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da\AppData\Local\Adobe\Contribute 6.5\en_US\Sites\Site1\fg\ac\es\documents\"/>
    </mc:Choice>
  </mc:AlternateContent>
  <xr:revisionPtr revIDLastSave="0" documentId="13_ncr:1_{0B47DA6D-0798-4FD9-A011-D3585C8BD4E1}" xr6:coauthVersionLast="47" xr6:coauthVersionMax="47" xr10:uidLastSave="{00000000-0000-0000-0000-000000000000}"/>
  <bookViews>
    <workbookView xWindow="-120" yWindow="-120" windowWidth="29040" windowHeight="15840" xr2:uid="{D07976DC-5930-4F83-8268-0FC42B99EC61}"/>
  </bookViews>
  <sheets>
    <sheet name="LEA Level Data" sheetId="4" r:id="rId1"/>
    <sheet name="School Level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19" i="2" l="1"/>
  <c r="C9119" i="2"/>
  <c r="E9118" i="2"/>
  <c r="C9118" i="2"/>
  <c r="E9117" i="2"/>
  <c r="C9117" i="2"/>
  <c r="E9116" i="2"/>
  <c r="C9116" i="2"/>
  <c r="E9115" i="2"/>
  <c r="C9115" i="2"/>
  <c r="E9114" i="2"/>
  <c r="C9114" i="2"/>
  <c r="E9113" i="2"/>
  <c r="C9113" i="2"/>
  <c r="E9112" i="2"/>
  <c r="C9112" i="2"/>
  <c r="E9111" i="2"/>
  <c r="C9111" i="2"/>
  <c r="E9110" i="2"/>
  <c r="C9110" i="2"/>
  <c r="E9109" i="2"/>
  <c r="C9109" i="2"/>
  <c r="E9108" i="2"/>
  <c r="C9108" i="2"/>
  <c r="E9107" i="2"/>
  <c r="C9107" i="2"/>
  <c r="E9106" i="2"/>
  <c r="C9106" i="2"/>
  <c r="E9105" i="2"/>
  <c r="C9105" i="2"/>
  <c r="E9104" i="2"/>
  <c r="C9104" i="2"/>
  <c r="E9103" i="2"/>
  <c r="C9103" i="2"/>
  <c r="E9102" i="2"/>
  <c r="C9102" i="2"/>
  <c r="E9101" i="2"/>
  <c r="C9101" i="2"/>
  <c r="E9100" i="2"/>
  <c r="C9100" i="2"/>
  <c r="E9099" i="2"/>
  <c r="C9099" i="2"/>
  <c r="E9098" i="2"/>
  <c r="C9098" i="2"/>
  <c r="E9097" i="2"/>
  <c r="C9097" i="2"/>
  <c r="E9096" i="2"/>
  <c r="C9096" i="2"/>
  <c r="E9095" i="2"/>
  <c r="C9095" i="2"/>
  <c r="E9094" i="2"/>
  <c r="C9094" i="2"/>
  <c r="E9093" i="2"/>
  <c r="C9093" i="2"/>
  <c r="E9092" i="2"/>
  <c r="C9092" i="2"/>
  <c r="E9091" i="2"/>
  <c r="C9091" i="2"/>
  <c r="E9090" i="2"/>
  <c r="C9090" i="2"/>
  <c r="E9089" i="2"/>
  <c r="C9089" i="2"/>
  <c r="E9088" i="2"/>
  <c r="C9088" i="2"/>
  <c r="E9087" i="2"/>
  <c r="C9087" i="2"/>
  <c r="E9086" i="2"/>
  <c r="C9086" i="2"/>
  <c r="E9085" i="2"/>
  <c r="C9085" i="2"/>
  <c r="E9084" i="2"/>
  <c r="C9084" i="2"/>
  <c r="E9083" i="2"/>
  <c r="C9083" i="2"/>
  <c r="E9082" i="2"/>
  <c r="C9082" i="2"/>
  <c r="E9081" i="2"/>
  <c r="C9081" i="2"/>
  <c r="E9080" i="2"/>
  <c r="C9080" i="2"/>
  <c r="E9079" i="2"/>
  <c r="C9079" i="2"/>
  <c r="E9078" i="2"/>
  <c r="C9078" i="2"/>
  <c r="E9077" i="2"/>
  <c r="C9077" i="2"/>
  <c r="E9076" i="2"/>
  <c r="C9076" i="2"/>
  <c r="E9075" i="2"/>
  <c r="C9075" i="2"/>
  <c r="E9074" i="2"/>
  <c r="C9074" i="2"/>
  <c r="E9073" i="2"/>
  <c r="C9073" i="2"/>
  <c r="E9072" i="2"/>
  <c r="C9072" i="2"/>
  <c r="E9071" i="2"/>
  <c r="C9071" i="2"/>
  <c r="E9070" i="2"/>
  <c r="C9070" i="2"/>
  <c r="E9069" i="2"/>
  <c r="C9069" i="2"/>
  <c r="E9068" i="2"/>
  <c r="C9068" i="2"/>
  <c r="E9067" i="2"/>
  <c r="C9067" i="2"/>
  <c r="E9066" i="2"/>
  <c r="C9066" i="2"/>
  <c r="E9065" i="2"/>
  <c r="C9065" i="2"/>
  <c r="E9064" i="2"/>
  <c r="C9064" i="2"/>
  <c r="E9063" i="2"/>
  <c r="C9063" i="2"/>
  <c r="E9062" i="2"/>
  <c r="C9062" i="2"/>
  <c r="E9061" i="2"/>
  <c r="C9061" i="2"/>
  <c r="E9060" i="2"/>
  <c r="C9060" i="2"/>
  <c r="E9059" i="2"/>
  <c r="C9059" i="2"/>
  <c r="E9058" i="2"/>
  <c r="C9058" i="2"/>
  <c r="E9057" i="2"/>
  <c r="C9057" i="2"/>
  <c r="E9056" i="2"/>
  <c r="C9056" i="2"/>
  <c r="E9055" i="2"/>
  <c r="C9055" i="2"/>
  <c r="E9054" i="2"/>
  <c r="C9054" i="2"/>
  <c r="E9053" i="2"/>
  <c r="C9053" i="2"/>
  <c r="E9052" i="2"/>
  <c r="C9052" i="2"/>
  <c r="E9051" i="2"/>
  <c r="C9051" i="2"/>
  <c r="E9050" i="2"/>
  <c r="C9050" i="2"/>
  <c r="E9049" i="2"/>
  <c r="C9049" i="2"/>
  <c r="E9048" i="2"/>
  <c r="C9048" i="2"/>
  <c r="E9047" i="2"/>
  <c r="C9047" i="2"/>
  <c r="E9046" i="2"/>
  <c r="C9046" i="2"/>
  <c r="E9045" i="2"/>
  <c r="C9045" i="2"/>
  <c r="E9044" i="2"/>
  <c r="C9044" i="2"/>
  <c r="E9043" i="2"/>
  <c r="C9043" i="2"/>
  <c r="E9042" i="2"/>
  <c r="C9042" i="2"/>
  <c r="E9041" i="2"/>
  <c r="C9041" i="2"/>
  <c r="E9040" i="2"/>
  <c r="C9040" i="2"/>
  <c r="E9039" i="2"/>
  <c r="C9039" i="2"/>
  <c r="E9038" i="2"/>
  <c r="C9038" i="2"/>
  <c r="E9037" i="2"/>
  <c r="C9037" i="2"/>
  <c r="E9036" i="2"/>
  <c r="C9036" i="2"/>
  <c r="E9035" i="2"/>
  <c r="C9035" i="2"/>
  <c r="E9034" i="2"/>
  <c r="C9034" i="2"/>
  <c r="E9033" i="2"/>
  <c r="C9033" i="2"/>
  <c r="E9032" i="2"/>
  <c r="C9032" i="2"/>
  <c r="E9031" i="2"/>
  <c r="C9031" i="2"/>
  <c r="E9030" i="2"/>
  <c r="C9030" i="2"/>
  <c r="E9029" i="2"/>
  <c r="C9029" i="2"/>
  <c r="E9028" i="2"/>
  <c r="C9028" i="2"/>
  <c r="E9027" i="2"/>
  <c r="C9027" i="2"/>
  <c r="E9026" i="2"/>
  <c r="C9026" i="2"/>
  <c r="E9025" i="2"/>
  <c r="C9025" i="2"/>
  <c r="E9024" i="2"/>
  <c r="C9024" i="2"/>
  <c r="E9023" i="2"/>
  <c r="C9023" i="2"/>
  <c r="E9022" i="2"/>
  <c r="C9022" i="2"/>
  <c r="E9021" i="2"/>
  <c r="C9021" i="2"/>
  <c r="E9020" i="2"/>
  <c r="C9020" i="2"/>
  <c r="E9019" i="2"/>
  <c r="C9019" i="2"/>
  <c r="E9018" i="2"/>
  <c r="C9018" i="2"/>
  <c r="E9017" i="2"/>
  <c r="C9017" i="2"/>
  <c r="E9016" i="2"/>
  <c r="C9016" i="2"/>
  <c r="E9015" i="2"/>
  <c r="C9015" i="2"/>
  <c r="E9014" i="2"/>
  <c r="C9014" i="2"/>
  <c r="E9013" i="2"/>
  <c r="C9013" i="2"/>
  <c r="E9012" i="2"/>
  <c r="C9012" i="2"/>
  <c r="E9011" i="2"/>
  <c r="C9011" i="2"/>
  <c r="E9010" i="2"/>
  <c r="C9010" i="2"/>
  <c r="E9009" i="2"/>
  <c r="C9009" i="2"/>
  <c r="E9008" i="2"/>
  <c r="C9008" i="2"/>
  <c r="E9007" i="2"/>
  <c r="C9007" i="2"/>
  <c r="E9006" i="2"/>
  <c r="C9006" i="2"/>
  <c r="E9005" i="2"/>
  <c r="C9005" i="2"/>
  <c r="E9004" i="2"/>
  <c r="C9004" i="2"/>
  <c r="E9003" i="2"/>
  <c r="C9003" i="2"/>
  <c r="E9002" i="2"/>
  <c r="C9002" i="2"/>
  <c r="E9001" i="2"/>
  <c r="C9001" i="2"/>
  <c r="E9000" i="2"/>
  <c r="C9000" i="2"/>
  <c r="E8999" i="2"/>
  <c r="C8999" i="2"/>
  <c r="E8998" i="2"/>
  <c r="C8998" i="2"/>
  <c r="E8997" i="2"/>
  <c r="C8997" i="2"/>
  <c r="E8996" i="2"/>
  <c r="C8996" i="2"/>
  <c r="E8995" i="2"/>
  <c r="C8995" i="2"/>
  <c r="E8994" i="2"/>
  <c r="C8994" i="2"/>
  <c r="E8993" i="2"/>
  <c r="C8993" i="2"/>
  <c r="E8992" i="2"/>
  <c r="C8992" i="2"/>
  <c r="E8991" i="2"/>
  <c r="C8991" i="2"/>
  <c r="E8990" i="2"/>
  <c r="C8990" i="2"/>
  <c r="E8989" i="2"/>
  <c r="C8989" i="2"/>
  <c r="E8988" i="2"/>
  <c r="C8988" i="2"/>
  <c r="E8987" i="2"/>
  <c r="C8987" i="2"/>
  <c r="E8986" i="2"/>
  <c r="C8986" i="2"/>
  <c r="E8985" i="2"/>
  <c r="C8985" i="2"/>
  <c r="E8984" i="2"/>
  <c r="C8984" i="2"/>
  <c r="E8983" i="2"/>
  <c r="C8983" i="2"/>
  <c r="E8982" i="2"/>
  <c r="C8982" i="2"/>
  <c r="E8981" i="2"/>
  <c r="C8981" i="2"/>
  <c r="E8980" i="2"/>
  <c r="C8980" i="2"/>
  <c r="E8979" i="2"/>
  <c r="C8979" i="2"/>
  <c r="E8978" i="2"/>
  <c r="C8978" i="2"/>
  <c r="E8977" i="2"/>
  <c r="C8977" i="2"/>
  <c r="E8976" i="2"/>
  <c r="C8976" i="2"/>
  <c r="E8975" i="2"/>
  <c r="C8975" i="2"/>
  <c r="E8974" i="2"/>
  <c r="C8974" i="2"/>
  <c r="E8973" i="2"/>
  <c r="C8973" i="2"/>
  <c r="E8972" i="2"/>
  <c r="C8972" i="2"/>
  <c r="E8971" i="2"/>
  <c r="C8971" i="2"/>
  <c r="E8970" i="2"/>
  <c r="C8970" i="2"/>
  <c r="E8969" i="2"/>
  <c r="C8969" i="2"/>
  <c r="E8968" i="2"/>
  <c r="C8968" i="2"/>
  <c r="E8967" i="2"/>
  <c r="C8967" i="2"/>
  <c r="E8966" i="2"/>
  <c r="C8966" i="2"/>
  <c r="E8965" i="2"/>
  <c r="C8965" i="2"/>
  <c r="E8964" i="2"/>
  <c r="C8964" i="2"/>
  <c r="E8963" i="2"/>
  <c r="C8963" i="2"/>
  <c r="E8962" i="2"/>
  <c r="C8962" i="2"/>
  <c r="E8961" i="2"/>
  <c r="C8961" i="2"/>
  <c r="E8960" i="2"/>
  <c r="C8960" i="2"/>
  <c r="E8959" i="2"/>
  <c r="C8959" i="2"/>
  <c r="E8958" i="2"/>
  <c r="C8958" i="2"/>
  <c r="E8957" i="2"/>
  <c r="C8957" i="2"/>
  <c r="E8956" i="2"/>
  <c r="C8956" i="2"/>
  <c r="E8955" i="2"/>
  <c r="C8955" i="2"/>
  <c r="E8954" i="2"/>
  <c r="C8954" i="2"/>
  <c r="E8953" i="2"/>
  <c r="C8953" i="2"/>
  <c r="E8952" i="2"/>
  <c r="C8952" i="2"/>
  <c r="E8951" i="2"/>
  <c r="C8951" i="2"/>
  <c r="E8950" i="2"/>
  <c r="C8950" i="2"/>
  <c r="E8949" i="2"/>
  <c r="C8949" i="2"/>
  <c r="E8948" i="2"/>
  <c r="C8948" i="2"/>
  <c r="E8947" i="2"/>
  <c r="C8947" i="2"/>
  <c r="E8946" i="2"/>
  <c r="C8946" i="2"/>
  <c r="E8945" i="2"/>
  <c r="C8945" i="2"/>
  <c r="E8944" i="2"/>
  <c r="C8944" i="2"/>
  <c r="E8943" i="2"/>
  <c r="C8943" i="2"/>
  <c r="E8942" i="2"/>
  <c r="C8942" i="2"/>
  <c r="E8941" i="2"/>
  <c r="C8941" i="2"/>
  <c r="E8940" i="2"/>
  <c r="C8940" i="2"/>
  <c r="E8939" i="2"/>
  <c r="C8939" i="2"/>
  <c r="E8938" i="2"/>
  <c r="C8938" i="2"/>
  <c r="E8937" i="2"/>
  <c r="C8937" i="2"/>
  <c r="E8936" i="2"/>
  <c r="C8936" i="2"/>
  <c r="E8935" i="2"/>
  <c r="C8935" i="2"/>
  <c r="E8934" i="2"/>
  <c r="C8934" i="2"/>
  <c r="E8933" i="2"/>
  <c r="C8933" i="2"/>
  <c r="E8932" i="2"/>
  <c r="C8932" i="2"/>
  <c r="E8931" i="2"/>
  <c r="C8931" i="2"/>
  <c r="E8930" i="2"/>
  <c r="C8930" i="2"/>
  <c r="E8929" i="2"/>
  <c r="C8929" i="2"/>
  <c r="E8928" i="2"/>
  <c r="C8928" i="2"/>
  <c r="E8927" i="2"/>
  <c r="C8927" i="2"/>
  <c r="E8926" i="2"/>
  <c r="C8926" i="2"/>
  <c r="E8925" i="2"/>
  <c r="C8925" i="2"/>
  <c r="E8924" i="2"/>
  <c r="C8924" i="2"/>
  <c r="E8923" i="2"/>
  <c r="C8923" i="2"/>
  <c r="E8922" i="2"/>
  <c r="C8922" i="2"/>
  <c r="E8921" i="2"/>
  <c r="C8921" i="2"/>
  <c r="E8920" i="2"/>
  <c r="C8920" i="2"/>
  <c r="E8919" i="2"/>
  <c r="C8919" i="2"/>
  <c r="E8918" i="2"/>
  <c r="C8918" i="2"/>
  <c r="E8917" i="2"/>
  <c r="C8917" i="2"/>
  <c r="E8916" i="2"/>
  <c r="C8916" i="2"/>
  <c r="E8915" i="2"/>
  <c r="C8915" i="2"/>
  <c r="E8914" i="2"/>
  <c r="C8914" i="2"/>
  <c r="E8913" i="2"/>
  <c r="C8913" i="2"/>
  <c r="E8912" i="2"/>
  <c r="C8912" i="2"/>
  <c r="E8911" i="2"/>
  <c r="C8911" i="2"/>
  <c r="E8910" i="2"/>
  <c r="C8910" i="2"/>
  <c r="E8909" i="2"/>
  <c r="C8909" i="2"/>
  <c r="E8908" i="2"/>
  <c r="C8908" i="2"/>
  <c r="E8907" i="2"/>
  <c r="C8907" i="2"/>
  <c r="E8906" i="2"/>
  <c r="C8906" i="2"/>
  <c r="E8905" i="2"/>
  <c r="C8905" i="2"/>
  <c r="E8904" i="2"/>
  <c r="C8904" i="2"/>
  <c r="E8903" i="2"/>
  <c r="C8903" i="2"/>
  <c r="E8902" i="2"/>
  <c r="C8902" i="2"/>
  <c r="E8901" i="2"/>
  <c r="C8901" i="2"/>
  <c r="E8900" i="2"/>
  <c r="C8900" i="2"/>
  <c r="E8899" i="2"/>
  <c r="C8899" i="2"/>
  <c r="E8898" i="2"/>
  <c r="C8898" i="2"/>
  <c r="E8897" i="2"/>
  <c r="C8897" i="2"/>
  <c r="E8896" i="2"/>
  <c r="C8896" i="2"/>
  <c r="E8895" i="2"/>
  <c r="C8895" i="2"/>
  <c r="E8894" i="2"/>
  <c r="C8894" i="2"/>
  <c r="E8893" i="2"/>
  <c r="C8893" i="2"/>
  <c r="E8892" i="2"/>
  <c r="C8892" i="2"/>
  <c r="E8891" i="2"/>
  <c r="C8891" i="2"/>
  <c r="E8890" i="2"/>
  <c r="C8890" i="2"/>
  <c r="E8889" i="2"/>
  <c r="C8889" i="2"/>
  <c r="E8888" i="2"/>
  <c r="C8888" i="2"/>
  <c r="E8887" i="2"/>
  <c r="C8887" i="2"/>
  <c r="E8886" i="2"/>
  <c r="C8886" i="2"/>
  <c r="E8885" i="2"/>
  <c r="C8885" i="2"/>
  <c r="E8884" i="2"/>
  <c r="C8884" i="2"/>
  <c r="E8883" i="2"/>
  <c r="C8883" i="2"/>
  <c r="E8882" i="2"/>
  <c r="C8882" i="2"/>
  <c r="E8881" i="2"/>
  <c r="C8881" i="2"/>
  <c r="E8880" i="2"/>
  <c r="C8880" i="2"/>
  <c r="E8879" i="2"/>
  <c r="C8879" i="2"/>
  <c r="E8878" i="2"/>
  <c r="C8878" i="2"/>
  <c r="E8877" i="2"/>
  <c r="C8877" i="2"/>
  <c r="E8876" i="2"/>
  <c r="C8876" i="2"/>
  <c r="E8875" i="2"/>
  <c r="C8875" i="2"/>
  <c r="E8874" i="2"/>
  <c r="C8874" i="2"/>
  <c r="E8873" i="2"/>
  <c r="C8873" i="2"/>
  <c r="E8872" i="2"/>
  <c r="C8872" i="2"/>
  <c r="E8871" i="2"/>
  <c r="C8871" i="2"/>
  <c r="E8870" i="2"/>
  <c r="C8870" i="2"/>
  <c r="E8869" i="2"/>
  <c r="C8869" i="2"/>
  <c r="E8868" i="2"/>
  <c r="C8868" i="2"/>
  <c r="E8867" i="2"/>
  <c r="C8867" i="2"/>
  <c r="E8866" i="2"/>
  <c r="C8866" i="2"/>
  <c r="E8865" i="2"/>
  <c r="C8865" i="2"/>
  <c r="E8864" i="2"/>
  <c r="C8864" i="2"/>
  <c r="E8863" i="2"/>
  <c r="C8863" i="2"/>
  <c r="E8862" i="2"/>
  <c r="C8862" i="2"/>
  <c r="E8861" i="2"/>
  <c r="C8861" i="2"/>
  <c r="E8860" i="2"/>
  <c r="C8860" i="2"/>
  <c r="E8859" i="2"/>
  <c r="C8859" i="2"/>
  <c r="E8858" i="2"/>
  <c r="C8858" i="2"/>
  <c r="E8857" i="2"/>
  <c r="C8857" i="2"/>
  <c r="E8856" i="2"/>
  <c r="C8856" i="2"/>
  <c r="E8855" i="2"/>
  <c r="C8855" i="2"/>
  <c r="E8854" i="2"/>
  <c r="C8854" i="2"/>
  <c r="E8853" i="2"/>
  <c r="C8853" i="2"/>
  <c r="E8852" i="2"/>
  <c r="C8852" i="2"/>
  <c r="E8851" i="2"/>
  <c r="C8851" i="2"/>
  <c r="E8850" i="2"/>
  <c r="C8850" i="2"/>
  <c r="E8849" i="2"/>
  <c r="C8849" i="2"/>
  <c r="E8848" i="2"/>
  <c r="C8848" i="2"/>
  <c r="E8847" i="2"/>
  <c r="C8847" i="2"/>
  <c r="E8846" i="2"/>
  <c r="C8846" i="2"/>
  <c r="E8845" i="2"/>
  <c r="C8845" i="2"/>
  <c r="E8844" i="2"/>
  <c r="C8844" i="2"/>
  <c r="E8843" i="2"/>
  <c r="C8843" i="2"/>
  <c r="E8842" i="2"/>
  <c r="C8842" i="2"/>
  <c r="E8841" i="2"/>
  <c r="C8841" i="2"/>
  <c r="E8840" i="2"/>
  <c r="C8840" i="2"/>
  <c r="E8839" i="2"/>
  <c r="C8839" i="2"/>
  <c r="E8838" i="2"/>
  <c r="C8838" i="2"/>
  <c r="E8837" i="2"/>
  <c r="C8837" i="2"/>
  <c r="E8836" i="2"/>
  <c r="C8836" i="2"/>
  <c r="E8835" i="2"/>
  <c r="C8835" i="2"/>
  <c r="E8834" i="2"/>
  <c r="C8834" i="2"/>
  <c r="E8833" i="2"/>
  <c r="C8833" i="2"/>
  <c r="E8832" i="2"/>
  <c r="C8832" i="2"/>
  <c r="E8831" i="2"/>
  <c r="C8831" i="2"/>
  <c r="E8830" i="2"/>
  <c r="C8830" i="2"/>
  <c r="E8829" i="2"/>
  <c r="C8829" i="2"/>
  <c r="E8828" i="2"/>
  <c r="C8828" i="2"/>
  <c r="E8827" i="2"/>
  <c r="C8827" i="2"/>
  <c r="E8826" i="2"/>
  <c r="C8826" i="2"/>
  <c r="E8825" i="2"/>
  <c r="C8825" i="2"/>
  <c r="E8824" i="2"/>
  <c r="C8824" i="2"/>
  <c r="E8823" i="2"/>
  <c r="C8823" i="2"/>
  <c r="E8822" i="2"/>
  <c r="C8822" i="2"/>
  <c r="E8821" i="2"/>
  <c r="C8821" i="2"/>
  <c r="E8820" i="2"/>
  <c r="C8820" i="2"/>
  <c r="E8819" i="2"/>
  <c r="C8819" i="2"/>
  <c r="E8818" i="2"/>
  <c r="C8818" i="2"/>
  <c r="E8817" i="2"/>
  <c r="C8817" i="2"/>
  <c r="E8816" i="2"/>
  <c r="C8816" i="2"/>
  <c r="E8815" i="2"/>
  <c r="C8815" i="2"/>
  <c r="E8814" i="2"/>
  <c r="C8814" i="2"/>
  <c r="E8813" i="2"/>
  <c r="C8813" i="2"/>
  <c r="E8812" i="2"/>
  <c r="C8812" i="2"/>
  <c r="E8811" i="2"/>
  <c r="C8811" i="2"/>
  <c r="E8810" i="2"/>
  <c r="C8810" i="2"/>
  <c r="E8809" i="2"/>
  <c r="C8809" i="2"/>
  <c r="E8808" i="2"/>
  <c r="C8808" i="2"/>
  <c r="E8807" i="2"/>
  <c r="C8807" i="2"/>
  <c r="E8806" i="2"/>
  <c r="C8806" i="2"/>
  <c r="E8805" i="2"/>
  <c r="C8805" i="2"/>
  <c r="E8804" i="2"/>
  <c r="C8804" i="2"/>
  <c r="E8803" i="2"/>
  <c r="C8803" i="2"/>
  <c r="E8802" i="2"/>
  <c r="C8802" i="2"/>
  <c r="E8801" i="2"/>
  <c r="C8801" i="2"/>
  <c r="E8800" i="2"/>
  <c r="C8800" i="2"/>
  <c r="E8799" i="2"/>
  <c r="C8799" i="2"/>
  <c r="E8798" i="2"/>
  <c r="C8798" i="2"/>
  <c r="E8797" i="2"/>
  <c r="C8797" i="2"/>
  <c r="E8796" i="2"/>
  <c r="C8796" i="2"/>
  <c r="E8795" i="2"/>
  <c r="C8795" i="2"/>
  <c r="E8794" i="2"/>
  <c r="C8794" i="2"/>
  <c r="E8793" i="2"/>
  <c r="C8793" i="2"/>
  <c r="E8792" i="2"/>
  <c r="C8792" i="2"/>
  <c r="E8791" i="2"/>
  <c r="C8791" i="2"/>
  <c r="E8790" i="2"/>
  <c r="C8790" i="2"/>
  <c r="E8789" i="2"/>
  <c r="C8789" i="2"/>
  <c r="E8788" i="2"/>
  <c r="C8788" i="2"/>
  <c r="E8787" i="2"/>
  <c r="C8787" i="2"/>
  <c r="E8786" i="2"/>
  <c r="C8786" i="2"/>
  <c r="E8785" i="2"/>
  <c r="C8785" i="2"/>
  <c r="E8784" i="2"/>
  <c r="C8784" i="2"/>
  <c r="E8783" i="2"/>
  <c r="C8783" i="2"/>
  <c r="E8782" i="2"/>
  <c r="C8782" i="2"/>
  <c r="E8781" i="2"/>
  <c r="C8781" i="2"/>
  <c r="E8780" i="2"/>
  <c r="C8780" i="2"/>
  <c r="E8779" i="2"/>
  <c r="C8779" i="2"/>
  <c r="E8778" i="2"/>
  <c r="C8778" i="2"/>
  <c r="E8777" i="2"/>
  <c r="C8777" i="2"/>
  <c r="E8776" i="2"/>
  <c r="C8776" i="2"/>
  <c r="E8775" i="2"/>
  <c r="C8775" i="2"/>
  <c r="E8774" i="2"/>
  <c r="C8774" i="2"/>
  <c r="E8773" i="2"/>
  <c r="C8773" i="2"/>
  <c r="E8772" i="2"/>
  <c r="C8772" i="2"/>
  <c r="E8771" i="2"/>
  <c r="C8771" i="2"/>
  <c r="E8770" i="2"/>
  <c r="C8770" i="2"/>
  <c r="E8769" i="2"/>
  <c r="C8769" i="2"/>
  <c r="E8768" i="2"/>
  <c r="C8768" i="2"/>
  <c r="E8767" i="2"/>
  <c r="C8767" i="2"/>
  <c r="E8766" i="2"/>
  <c r="C8766" i="2"/>
  <c r="E8765" i="2"/>
  <c r="C8765" i="2"/>
  <c r="E8764" i="2"/>
  <c r="C8764" i="2"/>
  <c r="E8763" i="2"/>
  <c r="C8763" i="2"/>
  <c r="E8762" i="2"/>
  <c r="C8762" i="2"/>
  <c r="E8761" i="2"/>
  <c r="C8761" i="2"/>
  <c r="E8760" i="2"/>
  <c r="C8760" i="2"/>
  <c r="E8759" i="2"/>
  <c r="C8759" i="2"/>
  <c r="E8758" i="2"/>
  <c r="C8758" i="2"/>
  <c r="E8757" i="2"/>
  <c r="C8757" i="2"/>
  <c r="E8756" i="2"/>
  <c r="C8756" i="2"/>
  <c r="E8755" i="2"/>
  <c r="C8755" i="2"/>
  <c r="E8754" i="2"/>
  <c r="C8754" i="2"/>
  <c r="E8753" i="2"/>
  <c r="C8753" i="2"/>
  <c r="E8752" i="2"/>
  <c r="C8752" i="2"/>
  <c r="E8751" i="2"/>
  <c r="C8751" i="2"/>
  <c r="E8750" i="2"/>
  <c r="C8750" i="2"/>
  <c r="E8749" i="2"/>
  <c r="C8749" i="2"/>
  <c r="E8748" i="2"/>
  <c r="C8748" i="2"/>
  <c r="E8747" i="2"/>
  <c r="C8747" i="2"/>
  <c r="E8746" i="2"/>
  <c r="C8746" i="2"/>
  <c r="E8745" i="2"/>
  <c r="C8745" i="2"/>
  <c r="E8744" i="2"/>
  <c r="C8744" i="2"/>
  <c r="E8743" i="2"/>
  <c r="C8743" i="2"/>
  <c r="E8742" i="2"/>
  <c r="C8742" i="2"/>
  <c r="E8741" i="2"/>
  <c r="C8741" i="2"/>
  <c r="E8740" i="2"/>
  <c r="C8740" i="2"/>
  <c r="E8739" i="2"/>
  <c r="C8739" i="2"/>
  <c r="E8738" i="2"/>
  <c r="C8738" i="2"/>
  <c r="E8737" i="2"/>
  <c r="C8737" i="2"/>
  <c r="E8736" i="2"/>
  <c r="C8736" i="2"/>
  <c r="E8735" i="2"/>
  <c r="C8735" i="2"/>
  <c r="E8734" i="2"/>
  <c r="C8734" i="2"/>
  <c r="E8733" i="2"/>
  <c r="C8733" i="2"/>
  <c r="E8732" i="2"/>
  <c r="C8732" i="2"/>
  <c r="E8731" i="2"/>
  <c r="C8731" i="2"/>
  <c r="E8730" i="2"/>
  <c r="C8730" i="2"/>
  <c r="E8729" i="2"/>
  <c r="C8729" i="2"/>
  <c r="E8728" i="2"/>
  <c r="C8728" i="2"/>
  <c r="E8727" i="2"/>
  <c r="C8727" i="2"/>
  <c r="E8726" i="2"/>
  <c r="C8726" i="2"/>
  <c r="E8725" i="2"/>
  <c r="C8725" i="2"/>
  <c r="E8724" i="2"/>
  <c r="C8724" i="2"/>
  <c r="E8723" i="2"/>
  <c r="C8723" i="2"/>
  <c r="E8722" i="2"/>
  <c r="C8722" i="2"/>
  <c r="E8721" i="2"/>
  <c r="C8721" i="2"/>
  <c r="E8720" i="2"/>
  <c r="C8720" i="2"/>
  <c r="E8719" i="2"/>
  <c r="C8719" i="2"/>
  <c r="E8718" i="2"/>
  <c r="C8718" i="2"/>
  <c r="E8717" i="2"/>
  <c r="C8717" i="2"/>
  <c r="E8716" i="2"/>
  <c r="C8716" i="2"/>
  <c r="E8715" i="2"/>
  <c r="C8715" i="2"/>
  <c r="E8714" i="2"/>
  <c r="C8714" i="2"/>
  <c r="E8713" i="2"/>
  <c r="C8713" i="2"/>
  <c r="E8712" i="2"/>
  <c r="C8712" i="2"/>
  <c r="E8711" i="2"/>
  <c r="C8711" i="2"/>
  <c r="E8710" i="2"/>
  <c r="C8710" i="2"/>
  <c r="E8709" i="2"/>
  <c r="C8709" i="2"/>
  <c r="E8708" i="2"/>
  <c r="C8708" i="2"/>
  <c r="E8707" i="2"/>
  <c r="C8707" i="2"/>
  <c r="E8706" i="2"/>
  <c r="C8706" i="2"/>
  <c r="E8705" i="2"/>
  <c r="C8705" i="2"/>
  <c r="E8704" i="2"/>
  <c r="C8704" i="2"/>
  <c r="E8703" i="2"/>
  <c r="C8703" i="2"/>
  <c r="E8702" i="2"/>
  <c r="C8702" i="2"/>
  <c r="E8701" i="2"/>
  <c r="C8701" i="2"/>
  <c r="E8700" i="2"/>
  <c r="C8700" i="2"/>
  <c r="E8699" i="2"/>
  <c r="C8699" i="2"/>
  <c r="E8698" i="2"/>
  <c r="C8698" i="2"/>
  <c r="E8697" i="2"/>
  <c r="C8697" i="2"/>
  <c r="E8696" i="2"/>
  <c r="C8696" i="2"/>
  <c r="E8695" i="2"/>
  <c r="C8695" i="2"/>
  <c r="E8694" i="2"/>
  <c r="C8694" i="2"/>
  <c r="E8693" i="2"/>
  <c r="C8693" i="2"/>
  <c r="E8692" i="2"/>
  <c r="C8692" i="2"/>
  <c r="E8691" i="2"/>
  <c r="C8691" i="2"/>
  <c r="E8690" i="2"/>
  <c r="C8690" i="2"/>
  <c r="E8689" i="2"/>
  <c r="C8689" i="2"/>
  <c r="E8688" i="2"/>
  <c r="C8688" i="2"/>
  <c r="E8687" i="2"/>
  <c r="C8687" i="2"/>
  <c r="E8686" i="2"/>
  <c r="C8686" i="2"/>
  <c r="E8685" i="2"/>
  <c r="C8685" i="2"/>
  <c r="E8684" i="2"/>
  <c r="C8684" i="2"/>
  <c r="E8683" i="2"/>
  <c r="C8683" i="2"/>
  <c r="E8682" i="2"/>
  <c r="C8682" i="2"/>
  <c r="E8681" i="2"/>
  <c r="C8681" i="2"/>
  <c r="E8680" i="2"/>
  <c r="C8680" i="2"/>
  <c r="E8679" i="2"/>
  <c r="C8679" i="2"/>
  <c r="E8678" i="2"/>
  <c r="C8678" i="2"/>
  <c r="E8677" i="2"/>
  <c r="C8677" i="2"/>
  <c r="E8676" i="2"/>
  <c r="C8676" i="2"/>
  <c r="E8675" i="2"/>
  <c r="C8675" i="2"/>
  <c r="E8674" i="2"/>
  <c r="C8674" i="2"/>
  <c r="E8673" i="2"/>
  <c r="C8673" i="2"/>
  <c r="E8672" i="2"/>
  <c r="C8672" i="2"/>
  <c r="E8671" i="2"/>
  <c r="C8671" i="2"/>
  <c r="E8670" i="2"/>
  <c r="C8670" i="2"/>
  <c r="E8669" i="2"/>
  <c r="C8669" i="2"/>
  <c r="E8668" i="2"/>
  <c r="C8668" i="2"/>
  <c r="E8667" i="2"/>
  <c r="C8667" i="2"/>
  <c r="E8666" i="2"/>
  <c r="C8666" i="2"/>
  <c r="E8665" i="2"/>
  <c r="C8665" i="2"/>
  <c r="E8664" i="2"/>
  <c r="C8664" i="2"/>
  <c r="E8663" i="2"/>
  <c r="C8663" i="2"/>
  <c r="E8662" i="2"/>
  <c r="C8662" i="2"/>
  <c r="E8661" i="2"/>
  <c r="C8661" i="2"/>
  <c r="E8660" i="2"/>
  <c r="C8660" i="2"/>
  <c r="E8659" i="2"/>
  <c r="C8659" i="2"/>
  <c r="E8658" i="2"/>
  <c r="C8658" i="2"/>
  <c r="E8657" i="2"/>
  <c r="C8657" i="2"/>
  <c r="E8656" i="2"/>
  <c r="C8656" i="2"/>
  <c r="E8655" i="2"/>
  <c r="C8655" i="2"/>
  <c r="E8654" i="2"/>
  <c r="C8654" i="2"/>
  <c r="E8653" i="2"/>
  <c r="C8653" i="2"/>
  <c r="E8652" i="2"/>
  <c r="C8652" i="2"/>
  <c r="E8651" i="2"/>
  <c r="C8651" i="2"/>
  <c r="E8650" i="2"/>
  <c r="C8650" i="2"/>
  <c r="E8649" i="2"/>
  <c r="C8649" i="2"/>
  <c r="E8648" i="2"/>
  <c r="C8648" i="2"/>
  <c r="E8647" i="2"/>
  <c r="C8647" i="2"/>
  <c r="E8646" i="2"/>
  <c r="C8646" i="2"/>
  <c r="E8645" i="2"/>
  <c r="C8645" i="2"/>
  <c r="E8644" i="2"/>
  <c r="C8644" i="2"/>
  <c r="E8643" i="2"/>
  <c r="C8643" i="2"/>
  <c r="E8642" i="2"/>
  <c r="C8642" i="2"/>
  <c r="E8641" i="2"/>
  <c r="C8641" i="2"/>
  <c r="E8640" i="2"/>
  <c r="C8640" i="2"/>
  <c r="E8639" i="2"/>
  <c r="C8639" i="2"/>
  <c r="E8638" i="2"/>
  <c r="C8638" i="2"/>
  <c r="E8637" i="2"/>
  <c r="C8637" i="2"/>
  <c r="E8636" i="2"/>
  <c r="C8636" i="2"/>
  <c r="E8635" i="2"/>
  <c r="C8635" i="2"/>
  <c r="E8634" i="2"/>
  <c r="C8634" i="2"/>
  <c r="E8633" i="2"/>
  <c r="C8633" i="2"/>
  <c r="E8632" i="2"/>
  <c r="C8632" i="2"/>
  <c r="E8631" i="2"/>
  <c r="C8631" i="2"/>
  <c r="E8630" i="2"/>
  <c r="C8630" i="2"/>
  <c r="E8629" i="2"/>
  <c r="C8629" i="2"/>
  <c r="E8628" i="2"/>
  <c r="C8628" i="2"/>
  <c r="E8627" i="2"/>
  <c r="C8627" i="2"/>
  <c r="E8626" i="2"/>
  <c r="C8626" i="2"/>
  <c r="E8625" i="2"/>
  <c r="C8625" i="2"/>
  <c r="E8624" i="2"/>
  <c r="C8624" i="2"/>
  <c r="E8623" i="2"/>
  <c r="C8623" i="2"/>
  <c r="E8622" i="2"/>
  <c r="C8622" i="2"/>
  <c r="E8621" i="2"/>
  <c r="C8621" i="2"/>
  <c r="E8620" i="2"/>
  <c r="C8620" i="2"/>
  <c r="E8619" i="2"/>
  <c r="C8619" i="2"/>
  <c r="E8618" i="2"/>
  <c r="C8618" i="2"/>
  <c r="E8617" i="2"/>
  <c r="C8617" i="2"/>
  <c r="E8616" i="2"/>
  <c r="C8616" i="2"/>
  <c r="E8615" i="2"/>
  <c r="C8615" i="2"/>
  <c r="E8614" i="2"/>
  <c r="C8614" i="2"/>
  <c r="E8613" i="2"/>
  <c r="C8613" i="2"/>
  <c r="E8612" i="2"/>
  <c r="C8612" i="2"/>
  <c r="E8611" i="2"/>
  <c r="C8611" i="2"/>
  <c r="E8610" i="2"/>
  <c r="C8610" i="2"/>
  <c r="E8609" i="2"/>
  <c r="C8609" i="2"/>
  <c r="E8608" i="2"/>
  <c r="C8608" i="2"/>
  <c r="E8607" i="2"/>
  <c r="C8607" i="2"/>
  <c r="E8606" i="2"/>
  <c r="C8606" i="2"/>
  <c r="E8605" i="2"/>
  <c r="C8605" i="2"/>
  <c r="E8604" i="2"/>
  <c r="C8604" i="2"/>
  <c r="E8603" i="2"/>
  <c r="C8603" i="2"/>
  <c r="E8602" i="2"/>
  <c r="C8602" i="2"/>
  <c r="E8601" i="2"/>
  <c r="C8601" i="2"/>
  <c r="E8600" i="2"/>
  <c r="C8600" i="2"/>
  <c r="E8599" i="2"/>
  <c r="C8599" i="2"/>
  <c r="E8598" i="2"/>
  <c r="C8598" i="2"/>
  <c r="E8597" i="2"/>
  <c r="C8597" i="2"/>
  <c r="E8596" i="2"/>
  <c r="C8596" i="2"/>
  <c r="E8595" i="2"/>
  <c r="C8595" i="2"/>
  <c r="E8594" i="2"/>
  <c r="C8594" i="2"/>
  <c r="E8593" i="2"/>
  <c r="C8593" i="2"/>
  <c r="E8592" i="2"/>
  <c r="C8592" i="2"/>
  <c r="E8591" i="2"/>
  <c r="C8591" i="2"/>
  <c r="E8590" i="2"/>
  <c r="C8590" i="2"/>
  <c r="E8589" i="2"/>
  <c r="C8589" i="2"/>
  <c r="E8588" i="2"/>
  <c r="C8588" i="2"/>
  <c r="E8587" i="2"/>
  <c r="C8587" i="2"/>
  <c r="E8586" i="2"/>
  <c r="C8586" i="2"/>
  <c r="E8585" i="2"/>
  <c r="C8585" i="2"/>
  <c r="E8584" i="2"/>
  <c r="C8584" i="2"/>
  <c r="E8583" i="2"/>
  <c r="C8583" i="2"/>
  <c r="E8582" i="2"/>
  <c r="C8582" i="2"/>
  <c r="E8581" i="2"/>
  <c r="C8581" i="2"/>
  <c r="E8580" i="2"/>
  <c r="C8580" i="2"/>
  <c r="E8579" i="2"/>
  <c r="C8579" i="2"/>
  <c r="E8578" i="2"/>
  <c r="C8578" i="2"/>
  <c r="E8577" i="2"/>
  <c r="C8577" i="2"/>
  <c r="E8576" i="2"/>
  <c r="C8576" i="2"/>
  <c r="E8575" i="2"/>
  <c r="C8575" i="2"/>
  <c r="E8574" i="2"/>
  <c r="C8574" i="2"/>
  <c r="E8573" i="2"/>
  <c r="C8573" i="2"/>
  <c r="E8572" i="2"/>
  <c r="C8572" i="2"/>
  <c r="E8571" i="2"/>
  <c r="C8571" i="2"/>
  <c r="E8570" i="2"/>
  <c r="C8570" i="2"/>
  <c r="E8569" i="2"/>
  <c r="C8569" i="2"/>
  <c r="E8568" i="2"/>
  <c r="C8568" i="2"/>
  <c r="E8567" i="2"/>
  <c r="C8567" i="2"/>
  <c r="E8566" i="2"/>
  <c r="C8566" i="2"/>
  <c r="E8565" i="2"/>
  <c r="C8565" i="2"/>
  <c r="E8564" i="2"/>
  <c r="C8564" i="2"/>
  <c r="E8563" i="2"/>
  <c r="C8563" i="2"/>
  <c r="E8562" i="2"/>
  <c r="C8562" i="2"/>
  <c r="E8561" i="2"/>
  <c r="C8561" i="2"/>
  <c r="E8560" i="2"/>
  <c r="C8560" i="2"/>
  <c r="E8559" i="2"/>
  <c r="C8559" i="2"/>
  <c r="E8558" i="2"/>
  <c r="C8558" i="2"/>
  <c r="E8557" i="2"/>
  <c r="C8557" i="2"/>
  <c r="E8556" i="2"/>
  <c r="C8556" i="2"/>
  <c r="E8555" i="2"/>
  <c r="C8555" i="2"/>
  <c r="E8554" i="2"/>
  <c r="C8554" i="2"/>
  <c r="E8553" i="2"/>
  <c r="C8553" i="2"/>
  <c r="E8552" i="2"/>
  <c r="C8552" i="2"/>
  <c r="E8551" i="2"/>
  <c r="C8551" i="2"/>
  <c r="E8550" i="2"/>
  <c r="C8550" i="2"/>
  <c r="E8549" i="2"/>
  <c r="C8549" i="2"/>
  <c r="E8548" i="2"/>
  <c r="C8548" i="2"/>
  <c r="E8547" i="2"/>
  <c r="C8547" i="2"/>
  <c r="E8546" i="2"/>
  <c r="C8546" i="2"/>
  <c r="E8545" i="2"/>
  <c r="C8545" i="2"/>
  <c r="E8544" i="2"/>
  <c r="C8544" i="2"/>
  <c r="E8543" i="2"/>
  <c r="C8543" i="2"/>
  <c r="E8542" i="2"/>
  <c r="C8542" i="2"/>
  <c r="E8541" i="2"/>
  <c r="C8541" i="2"/>
  <c r="E8540" i="2"/>
  <c r="C8540" i="2"/>
  <c r="E8539" i="2"/>
  <c r="C8539" i="2"/>
  <c r="E8538" i="2"/>
  <c r="C8538" i="2"/>
  <c r="E8537" i="2"/>
  <c r="C8537" i="2"/>
  <c r="E8536" i="2"/>
  <c r="C8536" i="2"/>
  <c r="E8535" i="2"/>
  <c r="C8535" i="2"/>
  <c r="E8534" i="2"/>
  <c r="C8534" i="2"/>
  <c r="E8533" i="2"/>
  <c r="C8533" i="2"/>
  <c r="E8532" i="2"/>
  <c r="C8532" i="2"/>
  <c r="E8531" i="2"/>
  <c r="C8531" i="2"/>
  <c r="E8530" i="2"/>
  <c r="C8530" i="2"/>
  <c r="E8529" i="2"/>
  <c r="C8529" i="2"/>
  <c r="E8528" i="2"/>
  <c r="C8528" i="2"/>
  <c r="E8527" i="2"/>
  <c r="C8527" i="2"/>
  <c r="E8526" i="2"/>
  <c r="C8526" i="2"/>
  <c r="E8525" i="2"/>
  <c r="C8525" i="2"/>
  <c r="E8524" i="2"/>
  <c r="C8524" i="2"/>
  <c r="E8523" i="2"/>
  <c r="C8523" i="2"/>
  <c r="E8522" i="2"/>
  <c r="C8522" i="2"/>
  <c r="E8521" i="2"/>
  <c r="C8521" i="2"/>
  <c r="E8520" i="2"/>
  <c r="C8520" i="2"/>
  <c r="E8519" i="2"/>
  <c r="C8519" i="2"/>
  <c r="E8518" i="2"/>
  <c r="C8518" i="2"/>
  <c r="E8517" i="2"/>
  <c r="C8517" i="2"/>
  <c r="E8516" i="2"/>
  <c r="C8516" i="2"/>
  <c r="E8515" i="2"/>
  <c r="C8515" i="2"/>
  <c r="E8514" i="2"/>
  <c r="C8514" i="2"/>
  <c r="E8513" i="2"/>
  <c r="C8513" i="2"/>
  <c r="E8512" i="2"/>
  <c r="C8512" i="2"/>
  <c r="E8511" i="2"/>
  <c r="C8511" i="2"/>
  <c r="E8510" i="2"/>
  <c r="C8510" i="2"/>
  <c r="E8509" i="2"/>
  <c r="C8509" i="2"/>
  <c r="E8508" i="2"/>
  <c r="C8508" i="2"/>
  <c r="E8507" i="2"/>
  <c r="C8507" i="2"/>
  <c r="E8506" i="2"/>
  <c r="C8506" i="2"/>
  <c r="E8505" i="2"/>
  <c r="C8505" i="2"/>
  <c r="E8504" i="2"/>
  <c r="C8504" i="2"/>
  <c r="E8503" i="2"/>
  <c r="C8503" i="2"/>
  <c r="E8502" i="2"/>
  <c r="C8502" i="2"/>
  <c r="E8501" i="2"/>
  <c r="C8501" i="2"/>
  <c r="E8500" i="2"/>
  <c r="C8500" i="2"/>
  <c r="E8499" i="2"/>
  <c r="C8499" i="2"/>
  <c r="E8498" i="2"/>
  <c r="C8498" i="2"/>
  <c r="E8497" i="2"/>
  <c r="C8497" i="2"/>
  <c r="E8496" i="2"/>
  <c r="C8496" i="2"/>
  <c r="E8495" i="2"/>
  <c r="C8495" i="2"/>
  <c r="E8494" i="2"/>
  <c r="C8494" i="2"/>
  <c r="E8493" i="2"/>
  <c r="C8493" i="2"/>
  <c r="E8492" i="2"/>
  <c r="C8492" i="2"/>
  <c r="E8491" i="2"/>
  <c r="C8491" i="2"/>
  <c r="E8490" i="2"/>
  <c r="C8490" i="2"/>
  <c r="E8489" i="2"/>
  <c r="C8489" i="2"/>
  <c r="E8488" i="2"/>
  <c r="C8488" i="2"/>
  <c r="E8487" i="2"/>
  <c r="C8487" i="2"/>
  <c r="E8486" i="2"/>
  <c r="C8486" i="2"/>
  <c r="E8485" i="2"/>
  <c r="C8485" i="2"/>
  <c r="E8484" i="2"/>
  <c r="C8484" i="2"/>
  <c r="E8483" i="2"/>
  <c r="C8483" i="2"/>
  <c r="E8482" i="2"/>
  <c r="C8482" i="2"/>
  <c r="E8481" i="2"/>
  <c r="C8481" i="2"/>
  <c r="E8480" i="2"/>
  <c r="C8480" i="2"/>
  <c r="E8479" i="2"/>
  <c r="C8479" i="2"/>
  <c r="E8478" i="2"/>
  <c r="C8478" i="2"/>
  <c r="E8477" i="2"/>
  <c r="C8477" i="2"/>
  <c r="E8476" i="2"/>
  <c r="C8476" i="2"/>
  <c r="E8475" i="2"/>
  <c r="C8475" i="2"/>
  <c r="E8474" i="2"/>
  <c r="C8474" i="2"/>
  <c r="E8473" i="2"/>
  <c r="C8473" i="2"/>
  <c r="E8472" i="2"/>
  <c r="C8472" i="2"/>
  <c r="E8471" i="2"/>
  <c r="C8471" i="2"/>
  <c r="E8470" i="2"/>
  <c r="C8470" i="2"/>
  <c r="E8469" i="2"/>
  <c r="C8469" i="2"/>
  <c r="E8468" i="2"/>
  <c r="C8468" i="2"/>
  <c r="E8467" i="2"/>
  <c r="C8467" i="2"/>
  <c r="E8466" i="2"/>
  <c r="C8466" i="2"/>
  <c r="E8465" i="2"/>
  <c r="C8465" i="2"/>
  <c r="E8464" i="2"/>
  <c r="C8464" i="2"/>
  <c r="E8463" i="2"/>
  <c r="C8463" i="2"/>
  <c r="E8462" i="2"/>
  <c r="C8462" i="2"/>
  <c r="E8461" i="2"/>
  <c r="C8461" i="2"/>
  <c r="E8460" i="2"/>
  <c r="C8460" i="2"/>
  <c r="E8459" i="2"/>
  <c r="C8459" i="2"/>
  <c r="E8458" i="2"/>
  <c r="C8458" i="2"/>
  <c r="E8457" i="2"/>
  <c r="C8457" i="2"/>
  <c r="E8456" i="2"/>
  <c r="C8456" i="2"/>
  <c r="E8455" i="2"/>
  <c r="C8455" i="2"/>
  <c r="E8454" i="2"/>
  <c r="C8454" i="2"/>
  <c r="E8453" i="2"/>
  <c r="C8453" i="2"/>
  <c r="E8452" i="2"/>
  <c r="C8452" i="2"/>
  <c r="E8451" i="2"/>
  <c r="C8451" i="2"/>
  <c r="E8450" i="2"/>
  <c r="C8450" i="2"/>
  <c r="E8449" i="2"/>
  <c r="C8449" i="2"/>
  <c r="E8448" i="2"/>
  <c r="C8448" i="2"/>
  <c r="E8447" i="2"/>
  <c r="C8447" i="2"/>
  <c r="E8446" i="2"/>
  <c r="C8446" i="2"/>
  <c r="E8445" i="2"/>
  <c r="C8445" i="2"/>
  <c r="E8444" i="2"/>
  <c r="C8444" i="2"/>
  <c r="E8443" i="2"/>
  <c r="C8443" i="2"/>
  <c r="E8442" i="2"/>
  <c r="C8442" i="2"/>
  <c r="E8441" i="2"/>
  <c r="C8441" i="2"/>
  <c r="E8440" i="2"/>
  <c r="C8440" i="2"/>
  <c r="E8439" i="2"/>
  <c r="C8439" i="2"/>
  <c r="E8438" i="2"/>
  <c r="C8438" i="2"/>
  <c r="E8437" i="2"/>
  <c r="C8437" i="2"/>
  <c r="E8436" i="2"/>
  <c r="C8436" i="2"/>
  <c r="E8435" i="2"/>
  <c r="C8435" i="2"/>
  <c r="E8434" i="2"/>
  <c r="C8434" i="2"/>
  <c r="E8433" i="2"/>
  <c r="C8433" i="2"/>
  <c r="E8432" i="2"/>
  <c r="C8432" i="2"/>
  <c r="E8431" i="2"/>
  <c r="C8431" i="2"/>
  <c r="E8430" i="2"/>
  <c r="C8430" i="2"/>
  <c r="E8429" i="2"/>
  <c r="C8429" i="2"/>
  <c r="E8428" i="2"/>
  <c r="C8428" i="2"/>
  <c r="E8427" i="2"/>
  <c r="C8427" i="2"/>
  <c r="E8426" i="2"/>
  <c r="C8426" i="2"/>
  <c r="E8425" i="2"/>
  <c r="C8425" i="2"/>
  <c r="E8424" i="2"/>
  <c r="C8424" i="2"/>
  <c r="E8423" i="2"/>
  <c r="C8423" i="2"/>
  <c r="E8422" i="2"/>
  <c r="C8422" i="2"/>
  <c r="E8421" i="2"/>
  <c r="C8421" i="2"/>
  <c r="E8420" i="2"/>
  <c r="C8420" i="2"/>
  <c r="E8419" i="2"/>
  <c r="C8419" i="2"/>
  <c r="E8418" i="2"/>
  <c r="C8418" i="2"/>
  <c r="E8417" i="2"/>
  <c r="C8417" i="2"/>
  <c r="E8416" i="2"/>
  <c r="C8416" i="2"/>
  <c r="E8415" i="2"/>
  <c r="C8415" i="2"/>
  <c r="E8414" i="2"/>
  <c r="C8414" i="2"/>
  <c r="E8413" i="2"/>
  <c r="C8413" i="2"/>
  <c r="E8412" i="2"/>
  <c r="C8412" i="2"/>
  <c r="E8411" i="2"/>
  <c r="C8411" i="2"/>
  <c r="E8410" i="2"/>
  <c r="C8410" i="2"/>
  <c r="E8409" i="2"/>
  <c r="C8409" i="2"/>
  <c r="E8408" i="2"/>
  <c r="C8408" i="2"/>
  <c r="E8407" i="2"/>
  <c r="C8407" i="2"/>
  <c r="E8406" i="2"/>
  <c r="C8406" i="2"/>
  <c r="E8405" i="2"/>
  <c r="C8405" i="2"/>
  <c r="E8404" i="2"/>
  <c r="C8404" i="2"/>
  <c r="E8403" i="2"/>
  <c r="C8403" i="2"/>
  <c r="E8402" i="2"/>
  <c r="C8402" i="2"/>
  <c r="E8401" i="2"/>
  <c r="C8401" i="2"/>
  <c r="E8400" i="2"/>
  <c r="C8400" i="2"/>
  <c r="E8399" i="2"/>
  <c r="C8399" i="2"/>
  <c r="E8398" i="2"/>
  <c r="C8398" i="2"/>
  <c r="E8397" i="2"/>
  <c r="C8397" i="2"/>
  <c r="E8396" i="2"/>
  <c r="C8396" i="2"/>
  <c r="E8395" i="2"/>
  <c r="C8395" i="2"/>
  <c r="E8394" i="2"/>
  <c r="C8394" i="2"/>
  <c r="E8393" i="2"/>
  <c r="C8393" i="2"/>
  <c r="E8392" i="2"/>
  <c r="C8392" i="2"/>
  <c r="E8391" i="2"/>
  <c r="C8391" i="2"/>
  <c r="E8390" i="2"/>
  <c r="C8390" i="2"/>
  <c r="E8389" i="2"/>
  <c r="C8389" i="2"/>
  <c r="E8388" i="2"/>
  <c r="C8388" i="2"/>
  <c r="E8387" i="2"/>
  <c r="C8387" i="2"/>
  <c r="E8386" i="2"/>
  <c r="C8386" i="2"/>
  <c r="E8385" i="2"/>
  <c r="C8385" i="2"/>
  <c r="E8384" i="2"/>
  <c r="C8384" i="2"/>
  <c r="E8383" i="2"/>
  <c r="C8383" i="2"/>
  <c r="E8382" i="2"/>
  <c r="C8382" i="2"/>
  <c r="E8381" i="2"/>
  <c r="C8381" i="2"/>
  <c r="E8380" i="2"/>
  <c r="C8380" i="2"/>
  <c r="E8379" i="2"/>
  <c r="C8379" i="2"/>
  <c r="E8378" i="2"/>
  <c r="C8378" i="2"/>
  <c r="E8377" i="2"/>
  <c r="C8377" i="2"/>
  <c r="E8376" i="2"/>
  <c r="C8376" i="2"/>
  <c r="E8375" i="2"/>
  <c r="C8375" i="2"/>
  <c r="E8374" i="2"/>
  <c r="C8374" i="2"/>
  <c r="E8373" i="2"/>
  <c r="C8373" i="2"/>
  <c r="E8372" i="2"/>
  <c r="C8372" i="2"/>
  <c r="E8371" i="2"/>
  <c r="C8371" i="2"/>
  <c r="E8370" i="2"/>
  <c r="C8370" i="2"/>
  <c r="E8369" i="2"/>
  <c r="C8369" i="2"/>
  <c r="E8368" i="2"/>
  <c r="C8368" i="2"/>
  <c r="E8367" i="2"/>
  <c r="C8367" i="2"/>
  <c r="E8366" i="2"/>
  <c r="C8366" i="2"/>
  <c r="E8365" i="2"/>
  <c r="C8365" i="2"/>
  <c r="E8364" i="2"/>
  <c r="C8364" i="2"/>
  <c r="E8363" i="2"/>
  <c r="C8363" i="2"/>
  <c r="E8362" i="2"/>
  <c r="C8362" i="2"/>
  <c r="E8361" i="2"/>
  <c r="C8361" i="2"/>
  <c r="E8360" i="2"/>
  <c r="C8360" i="2"/>
  <c r="E8359" i="2"/>
  <c r="C8359" i="2"/>
  <c r="E8358" i="2"/>
  <c r="C8358" i="2"/>
  <c r="E8357" i="2"/>
  <c r="C8357" i="2"/>
  <c r="E8356" i="2"/>
  <c r="C8356" i="2"/>
  <c r="E8355" i="2"/>
  <c r="C8355" i="2"/>
  <c r="E8354" i="2"/>
  <c r="C8354" i="2"/>
  <c r="E8353" i="2"/>
  <c r="C8353" i="2"/>
  <c r="E8352" i="2"/>
  <c r="C8352" i="2"/>
  <c r="E8351" i="2"/>
  <c r="C8351" i="2"/>
  <c r="E8350" i="2"/>
  <c r="C8350" i="2"/>
  <c r="E8349" i="2"/>
  <c r="C8349" i="2"/>
  <c r="E8348" i="2"/>
  <c r="C8348" i="2"/>
  <c r="E8347" i="2"/>
  <c r="C8347" i="2"/>
  <c r="E8346" i="2"/>
  <c r="C8346" i="2"/>
  <c r="E8345" i="2"/>
  <c r="C8345" i="2"/>
  <c r="E8344" i="2"/>
  <c r="C8344" i="2"/>
  <c r="E8343" i="2"/>
  <c r="C8343" i="2"/>
  <c r="E8342" i="2"/>
  <c r="C8342" i="2"/>
  <c r="E8341" i="2"/>
  <c r="C8341" i="2"/>
  <c r="E8340" i="2"/>
  <c r="C8340" i="2"/>
  <c r="E8339" i="2"/>
  <c r="C8339" i="2"/>
  <c r="E8338" i="2"/>
  <c r="C8338" i="2"/>
  <c r="E8337" i="2"/>
  <c r="C8337" i="2"/>
  <c r="E8336" i="2"/>
  <c r="C8336" i="2"/>
  <c r="E8335" i="2"/>
  <c r="C8335" i="2"/>
  <c r="E8334" i="2"/>
  <c r="C8334" i="2"/>
  <c r="E8333" i="2"/>
  <c r="C8333" i="2"/>
  <c r="E8332" i="2"/>
  <c r="C8332" i="2"/>
  <c r="E8331" i="2"/>
  <c r="C8331" i="2"/>
  <c r="E8330" i="2"/>
  <c r="C8330" i="2"/>
  <c r="E8329" i="2"/>
  <c r="C8329" i="2"/>
  <c r="E8328" i="2"/>
  <c r="C8328" i="2"/>
  <c r="E8327" i="2"/>
  <c r="C8327" i="2"/>
  <c r="E8326" i="2"/>
  <c r="C8326" i="2"/>
  <c r="E8325" i="2"/>
  <c r="C8325" i="2"/>
  <c r="E8324" i="2"/>
  <c r="C8324" i="2"/>
  <c r="E8323" i="2"/>
  <c r="C8323" i="2"/>
  <c r="E8322" i="2"/>
  <c r="C8322" i="2"/>
  <c r="E8321" i="2"/>
  <c r="C8321" i="2"/>
  <c r="E8320" i="2"/>
  <c r="C8320" i="2"/>
  <c r="E8319" i="2"/>
  <c r="C8319" i="2"/>
  <c r="E8318" i="2"/>
  <c r="C8318" i="2"/>
  <c r="E8317" i="2"/>
  <c r="C8317" i="2"/>
  <c r="E8316" i="2"/>
  <c r="C8316" i="2"/>
  <c r="E8315" i="2"/>
  <c r="C8315" i="2"/>
  <c r="E8314" i="2"/>
  <c r="C8314" i="2"/>
  <c r="E8313" i="2"/>
  <c r="C8313" i="2"/>
  <c r="E8312" i="2"/>
  <c r="C8312" i="2"/>
  <c r="E8311" i="2"/>
  <c r="C8311" i="2"/>
  <c r="E8310" i="2"/>
  <c r="C8310" i="2"/>
  <c r="E8309" i="2"/>
  <c r="C8309" i="2"/>
  <c r="E8308" i="2"/>
  <c r="C8308" i="2"/>
  <c r="E8307" i="2"/>
  <c r="C8307" i="2"/>
  <c r="E8306" i="2"/>
  <c r="C8306" i="2"/>
  <c r="E8305" i="2"/>
  <c r="C8305" i="2"/>
  <c r="E8304" i="2"/>
  <c r="C8304" i="2"/>
  <c r="E8303" i="2"/>
  <c r="C8303" i="2"/>
  <c r="E8302" i="2"/>
  <c r="C8302" i="2"/>
  <c r="E8301" i="2"/>
  <c r="C8301" i="2"/>
  <c r="E8300" i="2"/>
  <c r="C8300" i="2"/>
  <c r="E8299" i="2"/>
  <c r="C8299" i="2"/>
  <c r="E8298" i="2"/>
  <c r="C8298" i="2"/>
  <c r="E8297" i="2"/>
  <c r="C8297" i="2"/>
  <c r="E8296" i="2"/>
  <c r="C8296" i="2"/>
  <c r="E8295" i="2"/>
  <c r="C8295" i="2"/>
  <c r="E8294" i="2"/>
  <c r="C8294" i="2"/>
  <c r="E8293" i="2"/>
  <c r="C8293" i="2"/>
  <c r="E8292" i="2"/>
  <c r="C8292" i="2"/>
  <c r="E8291" i="2"/>
  <c r="C8291" i="2"/>
  <c r="E8290" i="2"/>
  <c r="C8290" i="2"/>
  <c r="E8289" i="2"/>
  <c r="C8289" i="2"/>
  <c r="E8288" i="2"/>
  <c r="C8288" i="2"/>
  <c r="E8287" i="2"/>
  <c r="C8287" i="2"/>
  <c r="E8286" i="2"/>
  <c r="C8286" i="2"/>
  <c r="E8285" i="2"/>
  <c r="C8285" i="2"/>
  <c r="E8284" i="2"/>
  <c r="C8284" i="2"/>
  <c r="E8283" i="2"/>
  <c r="C8283" i="2"/>
  <c r="E8282" i="2"/>
  <c r="C8282" i="2"/>
  <c r="E8281" i="2"/>
  <c r="C8281" i="2"/>
  <c r="E8280" i="2"/>
  <c r="C8280" i="2"/>
  <c r="E8279" i="2"/>
  <c r="C8279" i="2"/>
  <c r="E8278" i="2"/>
  <c r="C8278" i="2"/>
  <c r="E8277" i="2"/>
  <c r="C8277" i="2"/>
  <c r="E8276" i="2"/>
  <c r="C8276" i="2"/>
  <c r="E8275" i="2"/>
  <c r="C8275" i="2"/>
  <c r="E8274" i="2"/>
  <c r="C8274" i="2"/>
  <c r="E8273" i="2"/>
  <c r="C8273" i="2"/>
  <c r="E8272" i="2"/>
  <c r="C8272" i="2"/>
  <c r="E8271" i="2"/>
  <c r="C8271" i="2"/>
  <c r="E8270" i="2"/>
  <c r="C8270" i="2"/>
  <c r="E8269" i="2"/>
  <c r="C8269" i="2"/>
  <c r="E8268" i="2"/>
  <c r="C8268" i="2"/>
  <c r="E8267" i="2"/>
  <c r="C8267" i="2"/>
  <c r="E8266" i="2"/>
  <c r="C8266" i="2"/>
  <c r="E8265" i="2"/>
  <c r="C8265" i="2"/>
  <c r="E8264" i="2"/>
  <c r="C8264" i="2"/>
  <c r="E8263" i="2"/>
  <c r="C8263" i="2"/>
  <c r="E8262" i="2"/>
  <c r="C8262" i="2"/>
  <c r="E8261" i="2"/>
  <c r="C8261" i="2"/>
  <c r="E8260" i="2"/>
  <c r="C8260" i="2"/>
  <c r="E8259" i="2"/>
  <c r="C8259" i="2"/>
  <c r="E8258" i="2"/>
  <c r="C8258" i="2"/>
  <c r="E8257" i="2"/>
  <c r="C8257" i="2"/>
  <c r="E8256" i="2"/>
  <c r="C8256" i="2"/>
  <c r="E8255" i="2"/>
  <c r="C8255" i="2"/>
  <c r="E8254" i="2"/>
  <c r="C8254" i="2"/>
  <c r="E8253" i="2"/>
  <c r="C8253" i="2"/>
  <c r="E8252" i="2"/>
  <c r="C8252" i="2"/>
  <c r="E8251" i="2"/>
  <c r="C8251" i="2"/>
  <c r="E8250" i="2"/>
  <c r="C8250" i="2"/>
  <c r="E8249" i="2"/>
  <c r="C8249" i="2"/>
  <c r="E8248" i="2"/>
  <c r="C8248" i="2"/>
  <c r="E8247" i="2"/>
  <c r="C8247" i="2"/>
  <c r="E8246" i="2"/>
  <c r="C8246" i="2"/>
  <c r="E8245" i="2"/>
  <c r="C8245" i="2"/>
  <c r="E8244" i="2"/>
  <c r="C8244" i="2"/>
  <c r="E8243" i="2"/>
  <c r="C8243" i="2"/>
  <c r="E8242" i="2"/>
  <c r="C8242" i="2"/>
  <c r="E8241" i="2"/>
  <c r="C8241" i="2"/>
  <c r="E8240" i="2"/>
  <c r="C8240" i="2"/>
  <c r="E8239" i="2"/>
  <c r="C8239" i="2"/>
  <c r="E8238" i="2"/>
  <c r="C8238" i="2"/>
  <c r="E8237" i="2"/>
  <c r="C8237" i="2"/>
  <c r="E8236" i="2"/>
  <c r="C8236" i="2"/>
  <c r="E8235" i="2"/>
  <c r="C8235" i="2"/>
  <c r="E8234" i="2"/>
  <c r="C8234" i="2"/>
  <c r="E8233" i="2"/>
  <c r="C8233" i="2"/>
  <c r="E8232" i="2"/>
  <c r="C8232" i="2"/>
  <c r="E8231" i="2"/>
  <c r="C8231" i="2"/>
  <c r="E8230" i="2"/>
  <c r="C8230" i="2"/>
  <c r="E8229" i="2"/>
  <c r="C8229" i="2"/>
  <c r="E8228" i="2"/>
  <c r="C8228" i="2"/>
  <c r="E8227" i="2"/>
  <c r="C8227" i="2"/>
  <c r="E8226" i="2"/>
  <c r="C8226" i="2"/>
  <c r="E8225" i="2"/>
  <c r="C8225" i="2"/>
  <c r="E8224" i="2"/>
  <c r="C8224" i="2"/>
  <c r="E8223" i="2"/>
  <c r="C8223" i="2"/>
  <c r="E8222" i="2"/>
  <c r="C8222" i="2"/>
  <c r="E8221" i="2"/>
  <c r="C8221" i="2"/>
  <c r="E8220" i="2"/>
  <c r="C8220" i="2"/>
  <c r="E8219" i="2"/>
  <c r="C8219" i="2"/>
  <c r="E8218" i="2"/>
  <c r="C8218" i="2"/>
  <c r="E8217" i="2"/>
  <c r="C8217" i="2"/>
  <c r="E8216" i="2"/>
  <c r="C8216" i="2"/>
  <c r="E8215" i="2"/>
  <c r="C8215" i="2"/>
  <c r="E8214" i="2"/>
  <c r="C8214" i="2"/>
  <c r="E8213" i="2"/>
  <c r="C8213" i="2"/>
  <c r="E8212" i="2"/>
  <c r="C8212" i="2"/>
  <c r="E8211" i="2"/>
  <c r="C8211" i="2"/>
  <c r="E8210" i="2"/>
  <c r="C8210" i="2"/>
  <c r="E8209" i="2"/>
  <c r="C8209" i="2"/>
  <c r="E8208" i="2"/>
  <c r="C8208" i="2"/>
  <c r="E8207" i="2"/>
  <c r="C8207" i="2"/>
  <c r="E8206" i="2"/>
  <c r="C8206" i="2"/>
  <c r="E8205" i="2"/>
  <c r="C8205" i="2"/>
  <c r="E8204" i="2"/>
  <c r="C8204" i="2"/>
  <c r="E8203" i="2"/>
  <c r="C8203" i="2"/>
  <c r="E8202" i="2"/>
  <c r="C8202" i="2"/>
  <c r="E8201" i="2"/>
  <c r="C8201" i="2"/>
  <c r="E8200" i="2"/>
  <c r="C8200" i="2"/>
  <c r="E8199" i="2"/>
  <c r="C8199" i="2"/>
  <c r="E8198" i="2"/>
  <c r="C8198" i="2"/>
  <c r="E8197" i="2"/>
  <c r="C8197" i="2"/>
  <c r="E8196" i="2"/>
  <c r="C8196" i="2"/>
  <c r="E8195" i="2"/>
  <c r="C8195" i="2"/>
  <c r="E8194" i="2"/>
  <c r="C8194" i="2"/>
  <c r="E8193" i="2"/>
  <c r="C8193" i="2"/>
  <c r="E8192" i="2"/>
  <c r="C8192" i="2"/>
  <c r="E8191" i="2"/>
  <c r="C8191" i="2"/>
  <c r="E8190" i="2"/>
  <c r="C8190" i="2"/>
  <c r="E8189" i="2"/>
  <c r="C8189" i="2"/>
  <c r="E8188" i="2"/>
  <c r="C8188" i="2"/>
  <c r="E8187" i="2"/>
  <c r="C8187" i="2"/>
  <c r="E8186" i="2"/>
  <c r="C8186" i="2"/>
  <c r="E8185" i="2"/>
  <c r="C8185" i="2"/>
  <c r="E8184" i="2"/>
  <c r="C8184" i="2"/>
  <c r="E8183" i="2"/>
  <c r="C8183" i="2"/>
  <c r="E8182" i="2"/>
  <c r="C8182" i="2"/>
  <c r="E8181" i="2"/>
  <c r="C8181" i="2"/>
  <c r="E8180" i="2"/>
  <c r="C8180" i="2"/>
  <c r="E8179" i="2"/>
  <c r="C8179" i="2"/>
  <c r="E8178" i="2"/>
  <c r="C8178" i="2"/>
  <c r="E8177" i="2"/>
  <c r="C8177" i="2"/>
  <c r="E8176" i="2"/>
  <c r="C8176" i="2"/>
  <c r="E8175" i="2"/>
  <c r="C8175" i="2"/>
  <c r="E8174" i="2"/>
  <c r="C8174" i="2"/>
  <c r="E8173" i="2"/>
  <c r="C8173" i="2"/>
  <c r="E8172" i="2"/>
  <c r="C8172" i="2"/>
  <c r="E8171" i="2"/>
  <c r="C8171" i="2"/>
  <c r="E8170" i="2"/>
  <c r="C8170" i="2"/>
  <c r="E8169" i="2"/>
  <c r="C8169" i="2"/>
  <c r="E8168" i="2"/>
  <c r="C8168" i="2"/>
  <c r="E8167" i="2"/>
  <c r="C8167" i="2"/>
  <c r="E8166" i="2"/>
  <c r="C8166" i="2"/>
  <c r="E8165" i="2"/>
  <c r="C8165" i="2"/>
  <c r="E8164" i="2"/>
  <c r="C8164" i="2"/>
  <c r="E8163" i="2"/>
  <c r="C8163" i="2"/>
  <c r="E8162" i="2"/>
  <c r="C8162" i="2"/>
  <c r="E8161" i="2"/>
  <c r="C8161" i="2"/>
  <c r="E8160" i="2"/>
  <c r="C8160" i="2"/>
  <c r="E8159" i="2"/>
  <c r="C8159" i="2"/>
  <c r="E8158" i="2"/>
  <c r="C8158" i="2"/>
  <c r="E8157" i="2"/>
  <c r="C8157" i="2"/>
  <c r="E8156" i="2"/>
  <c r="C8156" i="2"/>
  <c r="E8155" i="2"/>
  <c r="C8155" i="2"/>
  <c r="E8154" i="2"/>
  <c r="C8154" i="2"/>
  <c r="E8153" i="2"/>
  <c r="C8153" i="2"/>
  <c r="E8152" i="2"/>
  <c r="C8152" i="2"/>
  <c r="E8151" i="2"/>
  <c r="C8151" i="2"/>
  <c r="E8150" i="2"/>
  <c r="C8150" i="2"/>
  <c r="E8149" i="2"/>
  <c r="C8149" i="2"/>
  <c r="E8148" i="2"/>
  <c r="C8148" i="2"/>
  <c r="E8147" i="2"/>
  <c r="C8147" i="2"/>
  <c r="E8146" i="2"/>
  <c r="C8146" i="2"/>
  <c r="E8145" i="2"/>
  <c r="C8145" i="2"/>
  <c r="E8144" i="2"/>
  <c r="C8144" i="2"/>
  <c r="E8143" i="2"/>
  <c r="C8143" i="2"/>
  <c r="E8142" i="2"/>
  <c r="C8142" i="2"/>
  <c r="E8141" i="2"/>
  <c r="C8141" i="2"/>
  <c r="E8140" i="2"/>
  <c r="C8140" i="2"/>
  <c r="E8139" i="2"/>
  <c r="C8139" i="2"/>
  <c r="E8138" i="2"/>
  <c r="C8138" i="2"/>
  <c r="E8137" i="2"/>
  <c r="C8137" i="2"/>
  <c r="E8136" i="2"/>
  <c r="C8136" i="2"/>
  <c r="E8135" i="2"/>
  <c r="C8135" i="2"/>
  <c r="E8134" i="2"/>
  <c r="C8134" i="2"/>
  <c r="E8133" i="2"/>
  <c r="C8133" i="2"/>
  <c r="E8132" i="2"/>
  <c r="C8132" i="2"/>
  <c r="E8131" i="2"/>
  <c r="C8131" i="2"/>
  <c r="E8130" i="2"/>
  <c r="C8130" i="2"/>
  <c r="E8129" i="2"/>
  <c r="C8129" i="2"/>
  <c r="E8128" i="2"/>
  <c r="C8128" i="2"/>
  <c r="E8127" i="2"/>
  <c r="C8127" i="2"/>
  <c r="E8126" i="2"/>
  <c r="C8126" i="2"/>
  <c r="E8125" i="2"/>
  <c r="C8125" i="2"/>
  <c r="E8124" i="2"/>
  <c r="C8124" i="2"/>
  <c r="E8123" i="2"/>
  <c r="C8123" i="2"/>
  <c r="E8122" i="2"/>
  <c r="C8122" i="2"/>
  <c r="E8121" i="2"/>
  <c r="C8121" i="2"/>
  <c r="E8120" i="2"/>
  <c r="C8120" i="2"/>
  <c r="E8119" i="2"/>
  <c r="C8119" i="2"/>
  <c r="E8118" i="2"/>
  <c r="C8118" i="2"/>
  <c r="E8117" i="2"/>
  <c r="C8117" i="2"/>
  <c r="E8116" i="2"/>
  <c r="C8116" i="2"/>
  <c r="E8115" i="2"/>
  <c r="C8115" i="2"/>
  <c r="E8114" i="2"/>
  <c r="C8114" i="2"/>
  <c r="E8113" i="2"/>
  <c r="C8113" i="2"/>
  <c r="E8112" i="2"/>
  <c r="C8112" i="2"/>
  <c r="E8111" i="2"/>
  <c r="C8111" i="2"/>
  <c r="E8110" i="2"/>
  <c r="C8110" i="2"/>
  <c r="E8109" i="2"/>
  <c r="C8109" i="2"/>
  <c r="E8108" i="2"/>
  <c r="C8108" i="2"/>
  <c r="E8107" i="2"/>
  <c r="C8107" i="2"/>
  <c r="E8106" i="2"/>
  <c r="C8106" i="2"/>
  <c r="E8105" i="2"/>
  <c r="C8105" i="2"/>
  <c r="E8104" i="2"/>
  <c r="C8104" i="2"/>
  <c r="E8103" i="2"/>
  <c r="C8103" i="2"/>
  <c r="E8102" i="2"/>
  <c r="C8102" i="2"/>
  <c r="E8101" i="2"/>
  <c r="C8101" i="2"/>
  <c r="E8100" i="2"/>
  <c r="C8100" i="2"/>
  <c r="E8099" i="2"/>
  <c r="C8099" i="2"/>
  <c r="E8098" i="2"/>
  <c r="C8098" i="2"/>
  <c r="E8097" i="2"/>
  <c r="C8097" i="2"/>
  <c r="E8096" i="2"/>
  <c r="C8096" i="2"/>
  <c r="E8095" i="2"/>
  <c r="C8095" i="2"/>
  <c r="E8094" i="2"/>
  <c r="C8094" i="2"/>
  <c r="E8093" i="2"/>
  <c r="C8093" i="2"/>
  <c r="E8092" i="2"/>
  <c r="C8092" i="2"/>
  <c r="E8091" i="2"/>
  <c r="C8091" i="2"/>
  <c r="E8090" i="2"/>
  <c r="C8090" i="2"/>
  <c r="E8089" i="2"/>
  <c r="C8089" i="2"/>
  <c r="E8088" i="2"/>
  <c r="C8088" i="2"/>
  <c r="E8087" i="2"/>
  <c r="C8087" i="2"/>
  <c r="E8086" i="2"/>
  <c r="C8086" i="2"/>
  <c r="E8085" i="2"/>
  <c r="C8085" i="2"/>
  <c r="E8084" i="2"/>
  <c r="C8084" i="2"/>
  <c r="E8083" i="2"/>
  <c r="C8083" i="2"/>
  <c r="E8082" i="2"/>
  <c r="C8082" i="2"/>
  <c r="E8081" i="2"/>
  <c r="C8081" i="2"/>
  <c r="E8080" i="2"/>
  <c r="C8080" i="2"/>
  <c r="E8079" i="2"/>
  <c r="C8079" i="2"/>
  <c r="E8078" i="2"/>
  <c r="C8078" i="2"/>
  <c r="E8077" i="2"/>
  <c r="C8077" i="2"/>
  <c r="E8076" i="2"/>
  <c r="C8076" i="2"/>
  <c r="E8075" i="2"/>
  <c r="C8075" i="2"/>
  <c r="E8074" i="2"/>
  <c r="C8074" i="2"/>
  <c r="E8073" i="2"/>
  <c r="C8073" i="2"/>
  <c r="E8072" i="2"/>
  <c r="C8072" i="2"/>
  <c r="E8071" i="2"/>
  <c r="C8071" i="2"/>
  <c r="E8070" i="2"/>
  <c r="C8070" i="2"/>
  <c r="E8069" i="2"/>
  <c r="C8069" i="2"/>
  <c r="E8068" i="2"/>
  <c r="C8068" i="2"/>
  <c r="E8067" i="2"/>
  <c r="C8067" i="2"/>
  <c r="E8066" i="2"/>
  <c r="C8066" i="2"/>
  <c r="E8065" i="2"/>
  <c r="C8065" i="2"/>
  <c r="E8064" i="2"/>
  <c r="C8064" i="2"/>
  <c r="E8063" i="2"/>
  <c r="C8063" i="2"/>
  <c r="E8062" i="2"/>
  <c r="C8062" i="2"/>
  <c r="E8061" i="2"/>
  <c r="C8061" i="2"/>
  <c r="E8060" i="2"/>
  <c r="C8060" i="2"/>
  <c r="E8059" i="2"/>
  <c r="C8059" i="2"/>
  <c r="E8058" i="2"/>
  <c r="C8058" i="2"/>
  <c r="E8057" i="2"/>
  <c r="C8057" i="2"/>
  <c r="E8056" i="2"/>
  <c r="C8056" i="2"/>
  <c r="E8055" i="2"/>
  <c r="C8055" i="2"/>
  <c r="E8054" i="2"/>
  <c r="C8054" i="2"/>
  <c r="E8053" i="2"/>
  <c r="C8053" i="2"/>
  <c r="E8052" i="2"/>
  <c r="C8052" i="2"/>
  <c r="E8051" i="2"/>
  <c r="C8051" i="2"/>
  <c r="E8050" i="2"/>
  <c r="C8050" i="2"/>
  <c r="E8049" i="2"/>
  <c r="C8049" i="2"/>
  <c r="E8048" i="2"/>
  <c r="C8048" i="2"/>
  <c r="E8047" i="2"/>
  <c r="C8047" i="2"/>
  <c r="E8046" i="2"/>
  <c r="C8046" i="2"/>
  <c r="E8045" i="2"/>
  <c r="C8045" i="2"/>
  <c r="E8044" i="2"/>
  <c r="C8044" i="2"/>
  <c r="E8043" i="2"/>
  <c r="C8043" i="2"/>
  <c r="E8042" i="2"/>
  <c r="C8042" i="2"/>
  <c r="E8041" i="2"/>
  <c r="C8041" i="2"/>
  <c r="E8040" i="2"/>
  <c r="C8040" i="2"/>
  <c r="E8039" i="2"/>
  <c r="C8039" i="2"/>
  <c r="E8038" i="2"/>
  <c r="C8038" i="2"/>
  <c r="E8037" i="2"/>
  <c r="C8037" i="2"/>
  <c r="E8036" i="2"/>
  <c r="C8036" i="2"/>
  <c r="E8035" i="2"/>
  <c r="C8035" i="2"/>
  <c r="E8034" i="2"/>
  <c r="C8034" i="2"/>
  <c r="E8033" i="2"/>
  <c r="C8033" i="2"/>
  <c r="E8032" i="2"/>
  <c r="C8032" i="2"/>
  <c r="E8031" i="2"/>
  <c r="C8031" i="2"/>
  <c r="E8030" i="2"/>
  <c r="C8030" i="2"/>
  <c r="E8029" i="2"/>
  <c r="C8029" i="2"/>
  <c r="E8028" i="2"/>
  <c r="C8028" i="2"/>
  <c r="E8027" i="2"/>
  <c r="C8027" i="2"/>
  <c r="E8026" i="2"/>
  <c r="C8026" i="2"/>
  <c r="E8025" i="2"/>
  <c r="C8025" i="2"/>
  <c r="E8024" i="2"/>
  <c r="C8024" i="2"/>
  <c r="E8023" i="2"/>
  <c r="C8023" i="2"/>
  <c r="E8022" i="2"/>
  <c r="C8022" i="2"/>
  <c r="E8021" i="2"/>
  <c r="C8021" i="2"/>
  <c r="E8020" i="2"/>
  <c r="C8020" i="2"/>
  <c r="E8019" i="2"/>
  <c r="C8019" i="2"/>
  <c r="E8018" i="2"/>
  <c r="C8018" i="2"/>
  <c r="E8017" i="2"/>
  <c r="C8017" i="2"/>
  <c r="E8016" i="2"/>
  <c r="C8016" i="2"/>
  <c r="E8015" i="2"/>
  <c r="C8015" i="2"/>
  <c r="E8014" i="2"/>
  <c r="C8014" i="2"/>
  <c r="E8013" i="2"/>
  <c r="C8013" i="2"/>
  <c r="E8012" i="2"/>
  <c r="C8012" i="2"/>
  <c r="E8011" i="2"/>
  <c r="C8011" i="2"/>
  <c r="E8010" i="2"/>
  <c r="C8010" i="2"/>
  <c r="E8009" i="2"/>
  <c r="C8009" i="2"/>
  <c r="E8008" i="2"/>
  <c r="C8008" i="2"/>
  <c r="E8007" i="2"/>
  <c r="C8007" i="2"/>
  <c r="E8006" i="2"/>
  <c r="C8006" i="2"/>
  <c r="E8005" i="2"/>
  <c r="C8005" i="2"/>
  <c r="E8004" i="2"/>
  <c r="C8004" i="2"/>
  <c r="E8003" i="2"/>
  <c r="C8003" i="2"/>
  <c r="E8002" i="2"/>
  <c r="C8002" i="2"/>
  <c r="E8001" i="2"/>
  <c r="C8001" i="2"/>
  <c r="E8000" i="2"/>
  <c r="C8000" i="2"/>
  <c r="E7999" i="2"/>
  <c r="C7999" i="2"/>
  <c r="E7998" i="2"/>
  <c r="C7998" i="2"/>
  <c r="E7997" i="2"/>
  <c r="C7997" i="2"/>
  <c r="E7996" i="2"/>
  <c r="C7996" i="2"/>
  <c r="E7995" i="2"/>
  <c r="C7995" i="2"/>
  <c r="E7994" i="2"/>
  <c r="C7994" i="2"/>
  <c r="E7993" i="2"/>
  <c r="C7993" i="2"/>
  <c r="E7992" i="2"/>
  <c r="C7992" i="2"/>
  <c r="E7991" i="2"/>
  <c r="C7991" i="2"/>
  <c r="E7990" i="2"/>
  <c r="C7990" i="2"/>
  <c r="E7989" i="2"/>
  <c r="C7989" i="2"/>
  <c r="E7988" i="2"/>
  <c r="C7988" i="2"/>
  <c r="E7987" i="2"/>
  <c r="C7987" i="2"/>
  <c r="E7986" i="2"/>
  <c r="C7986" i="2"/>
  <c r="E7985" i="2"/>
  <c r="C7985" i="2"/>
  <c r="E7984" i="2"/>
  <c r="C7984" i="2"/>
  <c r="E7983" i="2"/>
  <c r="C7983" i="2"/>
  <c r="E7982" i="2"/>
  <c r="C7982" i="2"/>
  <c r="E7981" i="2"/>
  <c r="C7981" i="2"/>
  <c r="E7980" i="2"/>
  <c r="C7980" i="2"/>
  <c r="E7979" i="2"/>
  <c r="C7979" i="2"/>
  <c r="E7978" i="2"/>
  <c r="C7978" i="2"/>
  <c r="E7977" i="2"/>
  <c r="C7977" i="2"/>
  <c r="E7976" i="2"/>
  <c r="C7976" i="2"/>
  <c r="E7975" i="2"/>
  <c r="C7975" i="2"/>
  <c r="E7974" i="2"/>
  <c r="C7974" i="2"/>
  <c r="E7973" i="2"/>
  <c r="C7973" i="2"/>
  <c r="E7972" i="2"/>
  <c r="C7972" i="2"/>
  <c r="E7971" i="2"/>
  <c r="C7971" i="2"/>
  <c r="E7970" i="2"/>
  <c r="C7970" i="2"/>
  <c r="E7969" i="2"/>
  <c r="C7969" i="2"/>
  <c r="E7968" i="2"/>
  <c r="C7968" i="2"/>
  <c r="E7967" i="2"/>
  <c r="C7967" i="2"/>
  <c r="E7966" i="2"/>
  <c r="C7966" i="2"/>
  <c r="E7965" i="2"/>
  <c r="C7965" i="2"/>
  <c r="E7964" i="2"/>
  <c r="C7964" i="2"/>
  <c r="E7963" i="2"/>
  <c r="C7963" i="2"/>
  <c r="E7962" i="2"/>
  <c r="C7962" i="2"/>
  <c r="E7961" i="2"/>
  <c r="C7961" i="2"/>
  <c r="E7960" i="2"/>
  <c r="C7960" i="2"/>
  <c r="E7959" i="2"/>
  <c r="C7959" i="2"/>
  <c r="E7958" i="2"/>
  <c r="C7958" i="2"/>
  <c r="E7957" i="2"/>
  <c r="C7957" i="2"/>
  <c r="E7956" i="2"/>
  <c r="C7956" i="2"/>
  <c r="E7955" i="2"/>
  <c r="C7955" i="2"/>
  <c r="E7954" i="2"/>
  <c r="C7954" i="2"/>
  <c r="E7953" i="2"/>
  <c r="C7953" i="2"/>
  <c r="E7952" i="2"/>
  <c r="C7952" i="2"/>
  <c r="E7951" i="2"/>
  <c r="C7951" i="2"/>
  <c r="E7950" i="2"/>
  <c r="C7950" i="2"/>
  <c r="E7949" i="2"/>
  <c r="C7949" i="2"/>
  <c r="E7948" i="2"/>
  <c r="C7948" i="2"/>
  <c r="E7947" i="2"/>
  <c r="C7947" i="2"/>
  <c r="E7946" i="2"/>
  <c r="C7946" i="2"/>
  <c r="E7945" i="2"/>
  <c r="C7945" i="2"/>
  <c r="E7944" i="2"/>
  <c r="C7944" i="2"/>
  <c r="E7943" i="2"/>
  <c r="C7943" i="2"/>
  <c r="E7942" i="2"/>
  <c r="C7942" i="2"/>
  <c r="E7941" i="2"/>
  <c r="C7941" i="2"/>
  <c r="E7940" i="2"/>
  <c r="C7940" i="2"/>
  <c r="E7939" i="2"/>
  <c r="C7939" i="2"/>
  <c r="E7938" i="2"/>
  <c r="C7938" i="2"/>
  <c r="E7937" i="2"/>
  <c r="C7937" i="2"/>
  <c r="E7936" i="2"/>
  <c r="C7936" i="2"/>
  <c r="E7935" i="2"/>
  <c r="C7935" i="2"/>
  <c r="E7934" i="2"/>
  <c r="C7934" i="2"/>
  <c r="E7933" i="2"/>
  <c r="C7933" i="2"/>
  <c r="E7932" i="2"/>
  <c r="C7932" i="2"/>
  <c r="E7931" i="2"/>
  <c r="C7931" i="2"/>
  <c r="E7930" i="2"/>
  <c r="C7930" i="2"/>
  <c r="E7929" i="2"/>
  <c r="C7929" i="2"/>
  <c r="E7928" i="2"/>
  <c r="C7928" i="2"/>
  <c r="E7927" i="2"/>
  <c r="C7927" i="2"/>
  <c r="E7926" i="2"/>
  <c r="C7926" i="2"/>
  <c r="E7925" i="2"/>
  <c r="C7925" i="2"/>
  <c r="E7924" i="2"/>
  <c r="C7924" i="2"/>
  <c r="E7923" i="2"/>
  <c r="C7923" i="2"/>
  <c r="E7922" i="2"/>
  <c r="C7922" i="2"/>
  <c r="E7921" i="2"/>
  <c r="C7921" i="2"/>
  <c r="E7920" i="2"/>
  <c r="C7920" i="2"/>
  <c r="E7919" i="2"/>
  <c r="C7919" i="2"/>
  <c r="E7918" i="2"/>
  <c r="C7918" i="2"/>
  <c r="E7917" i="2"/>
  <c r="C7917" i="2"/>
  <c r="E7916" i="2"/>
  <c r="C7916" i="2"/>
  <c r="E7915" i="2"/>
  <c r="C7915" i="2"/>
  <c r="E7914" i="2"/>
  <c r="C7914" i="2"/>
  <c r="E7913" i="2"/>
  <c r="C7913" i="2"/>
  <c r="E7912" i="2"/>
  <c r="C7912" i="2"/>
  <c r="E7911" i="2"/>
  <c r="C7911" i="2"/>
  <c r="E7910" i="2"/>
  <c r="C7910" i="2"/>
  <c r="E7909" i="2"/>
  <c r="C7909" i="2"/>
  <c r="E7908" i="2"/>
  <c r="C7908" i="2"/>
  <c r="E7907" i="2"/>
  <c r="C7907" i="2"/>
  <c r="E7906" i="2"/>
  <c r="C7906" i="2"/>
  <c r="E7905" i="2"/>
  <c r="C7905" i="2"/>
  <c r="E7904" i="2"/>
  <c r="C7904" i="2"/>
  <c r="E7903" i="2"/>
  <c r="C7903" i="2"/>
  <c r="E7902" i="2"/>
  <c r="C7902" i="2"/>
  <c r="E7901" i="2"/>
  <c r="C7901" i="2"/>
  <c r="E7900" i="2"/>
  <c r="C7900" i="2"/>
  <c r="E7899" i="2"/>
  <c r="C7899" i="2"/>
  <c r="E7898" i="2"/>
  <c r="C7898" i="2"/>
  <c r="E7897" i="2"/>
  <c r="C7897" i="2"/>
  <c r="E7896" i="2"/>
  <c r="C7896" i="2"/>
  <c r="E7895" i="2"/>
  <c r="C7895" i="2"/>
  <c r="E7894" i="2"/>
  <c r="C7894" i="2"/>
  <c r="E7893" i="2"/>
  <c r="C7893" i="2"/>
  <c r="E7892" i="2"/>
  <c r="C7892" i="2"/>
  <c r="E7891" i="2"/>
  <c r="C7891" i="2"/>
  <c r="E7890" i="2"/>
  <c r="C7890" i="2"/>
  <c r="E7889" i="2"/>
  <c r="C7889" i="2"/>
  <c r="E7888" i="2"/>
  <c r="C7888" i="2"/>
  <c r="E7887" i="2"/>
  <c r="C7887" i="2"/>
  <c r="E7886" i="2"/>
  <c r="C7886" i="2"/>
  <c r="E7885" i="2"/>
  <c r="C7885" i="2"/>
  <c r="E7884" i="2"/>
  <c r="C7884" i="2"/>
  <c r="E7883" i="2"/>
  <c r="C7883" i="2"/>
  <c r="E7882" i="2"/>
  <c r="C7882" i="2"/>
  <c r="E7881" i="2"/>
  <c r="C7881" i="2"/>
  <c r="E7880" i="2"/>
  <c r="C7880" i="2"/>
  <c r="E7879" i="2"/>
  <c r="C7879" i="2"/>
  <c r="E7878" i="2"/>
  <c r="C7878" i="2"/>
  <c r="E7877" i="2"/>
  <c r="C7877" i="2"/>
  <c r="E7876" i="2"/>
  <c r="C7876" i="2"/>
  <c r="E7875" i="2"/>
  <c r="C7875" i="2"/>
  <c r="E7874" i="2"/>
  <c r="C7874" i="2"/>
  <c r="E7873" i="2"/>
  <c r="C7873" i="2"/>
  <c r="E7872" i="2"/>
  <c r="C7872" i="2"/>
  <c r="E7871" i="2"/>
  <c r="C7871" i="2"/>
  <c r="E7870" i="2"/>
  <c r="C7870" i="2"/>
  <c r="E7869" i="2"/>
  <c r="C7869" i="2"/>
  <c r="E7868" i="2"/>
  <c r="C7868" i="2"/>
  <c r="E7867" i="2"/>
  <c r="C7867" i="2"/>
  <c r="E7866" i="2"/>
  <c r="C7866" i="2"/>
  <c r="E7865" i="2"/>
  <c r="C7865" i="2"/>
  <c r="E7864" i="2"/>
  <c r="C7864" i="2"/>
  <c r="E7863" i="2"/>
  <c r="C7863" i="2"/>
  <c r="E7862" i="2"/>
  <c r="C7862" i="2"/>
  <c r="E7861" i="2"/>
  <c r="C7861" i="2"/>
  <c r="E7860" i="2"/>
  <c r="C7860" i="2"/>
  <c r="E7859" i="2"/>
  <c r="C7859" i="2"/>
  <c r="E7858" i="2"/>
  <c r="C7858" i="2"/>
  <c r="E7857" i="2"/>
  <c r="C7857" i="2"/>
  <c r="E7856" i="2"/>
  <c r="C7856" i="2"/>
  <c r="E7855" i="2"/>
  <c r="C7855" i="2"/>
  <c r="E7854" i="2"/>
  <c r="C7854" i="2"/>
  <c r="E7853" i="2"/>
  <c r="C7853" i="2"/>
  <c r="E7852" i="2"/>
  <c r="C7852" i="2"/>
  <c r="E7851" i="2"/>
  <c r="C7851" i="2"/>
  <c r="E7850" i="2"/>
  <c r="C7850" i="2"/>
  <c r="E7849" i="2"/>
  <c r="C7849" i="2"/>
  <c r="E7848" i="2"/>
  <c r="C7848" i="2"/>
  <c r="E7847" i="2"/>
  <c r="C7847" i="2"/>
  <c r="E7846" i="2"/>
  <c r="C7846" i="2"/>
  <c r="E7845" i="2"/>
  <c r="C7845" i="2"/>
  <c r="E7844" i="2"/>
  <c r="C7844" i="2"/>
  <c r="E7843" i="2"/>
  <c r="C7843" i="2"/>
  <c r="E7842" i="2"/>
  <c r="C7842" i="2"/>
  <c r="E7841" i="2"/>
  <c r="C7841" i="2"/>
  <c r="E7840" i="2"/>
  <c r="C7840" i="2"/>
  <c r="E7839" i="2"/>
  <c r="C7839" i="2"/>
  <c r="E7838" i="2"/>
  <c r="C7838" i="2"/>
  <c r="E7837" i="2"/>
  <c r="C7837" i="2"/>
  <c r="E7836" i="2"/>
  <c r="C7836" i="2"/>
  <c r="E7835" i="2"/>
  <c r="C7835" i="2"/>
  <c r="E7834" i="2"/>
  <c r="C7834" i="2"/>
  <c r="E7833" i="2"/>
  <c r="C7833" i="2"/>
  <c r="E7832" i="2"/>
  <c r="C7832" i="2"/>
  <c r="E7831" i="2"/>
  <c r="C7831" i="2"/>
  <c r="E7830" i="2"/>
  <c r="C7830" i="2"/>
  <c r="E7829" i="2"/>
  <c r="C7829" i="2"/>
  <c r="E7828" i="2"/>
  <c r="C7828" i="2"/>
  <c r="E7827" i="2"/>
  <c r="C7827" i="2"/>
  <c r="E7826" i="2"/>
  <c r="C7826" i="2"/>
  <c r="E7825" i="2"/>
  <c r="C7825" i="2"/>
  <c r="E7824" i="2"/>
  <c r="C7824" i="2"/>
  <c r="E7823" i="2"/>
  <c r="C7823" i="2"/>
  <c r="E7822" i="2"/>
  <c r="C7822" i="2"/>
  <c r="E7821" i="2"/>
  <c r="C7821" i="2"/>
  <c r="E7820" i="2"/>
  <c r="C7820" i="2"/>
  <c r="E7819" i="2"/>
  <c r="C7819" i="2"/>
  <c r="E7818" i="2"/>
  <c r="C7818" i="2"/>
  <c r="E7817" i="2"/>
  <c r="C7817" i="2"/>
  <c r="E7816" i="2"/>
  <c r="C7816" i="2"/>
  <c r="E7815" i="2"/>
  <c r="C7815" i="2"/>
  <c r="E7814" i="2"/>
  <c r="C7814" i="2"/>
  <c r="E7813" i="2"/>
  <c r="C7813" i="2"/>
  <c r="E7812" i="2"/>
  <c r="C7812" i="2"/>
  <c r="E7811" i="2"/>
  <c r="C7811" i="2"/>
  <c r="E7810" i="2"/>
  <c r="C7810" i="2"/>
  <c r="E7809" i="2"/>
  <c r="C7809" i="2"/>
  <c r="E7808" i="2"/>
  <c r="C7808" i="2"/>
  <c r="E7807" i="2"/>
  <c r="C7807" i="2"/>
  <c r="E7806" i="2"/>
  <c r="C7806" i="2"/>
  <c r="E7805" i="2"/>
  <c r="C7805" i="2"/>
  <c r="E7804" i="2"/>
  <c r="C7804" i="2"/>
  <c r="E7803" i="2"/>
  <c r="C7803" i="2"/>
  <c r="E7802" i="2"/>
  <c r="C7802" i="2"/>
  <c r="E7801" i="2"/>
  <c r="C7801" i="2"/>
  <c r="E7800" i="2"/>
  <c r="C7800" i="2"/>
  <c r="E7799" i="2"/>
  <c r="C7799" i="2"/>
  <c r="E7798" i="2"/>
  <c r="C7798" i="2"/>
  <c r="E7797" i="2"/>
  <c r="C7797" i="2"/>
  <c r="E7796" i="2"/>
  <c r="C7796" i="2"/>
  <c r="E7795" i="2"/>
  <c r="C7795" i="2"/>
  <c r="E7794" i="2"/>
  <c r="C7794" i="2"/>
  <c r="E7793" i="2"/>
  <c r="C7793" i="2"/>
  <c r="E7792" i="2"/>
  <c r="C7792" i="2"/>
  <c r="E7791" i="2"/>
  <c r="C7791" i="2"/>
  <c r="E7790" i="2"/>
  <c r="C7790" i="2"/>
  <c r="E7789" i="2"/>
  <c r="C7789" i="2"/>
  <c r="E7788" i="2"/>
  <c r="C7788" i="2"/>
  <c r="E7787" i="2"/>
  <c r="C7787" i="2"/>
  <c r="E7786" i="2"/>
  <c r="C7786" i="2"/>
  <c r="E7785" i="2"/>
  <c r="C7785" i="2"/>
  <c r="E7784" i="2"/>
  <c r="C7784" i="2"/>
  <c r="E7783" i="2"/>
  <c r="C7783" i="2"/>
  <c r="E7782" i="2"/>
  <c r="C7782" i="2"/>
  <c r="E7781" i="2"/>
  <c r="C7781" i="2"/>
  <c r="E7780" i="2"/>
  <c r="C7780" i="2"/>
  <c r="E7779" i="2"/>
  <c r="C7779" i="2"/>
  <c r="E7778" i="2"/>
  <c r="C7778" i="2"/>
  <c r="E7777" i="2"/>
  <c r="C7777" i="2"/>
  <c r="E7776" i="2"/>
  <c r="C7776" i="2"/>
  <c r="E7775" i="2"/>
  <c r="C7775" i="2"/>
  <c r="E7774" i="2"/>
  <c r="C7774" i="2"/>
  <c r="E7773" i="2"/>
  <c r="C7773" i="2"/>
  <c r="E7772" i="2"/>
  <c r="C7772" i="2"/>
  <c r="E7771" i="2"/>
  <c r="C7771" i="2"/>
  <c r="E7770" i="2"/>
  <c r="C7770" i="2"/>
  <c r="E7769" i="2"/>
  <c r="C7769" i="2"/>
  <c r="E7768" i="2"/>
  <c r="C7768" i="2"/>
  <c r="E7767" i="2"/>
  <c r="C7767" i="2"/>
  <c r="E7766" i="2"/>
  <c r="C7766" i="2"/>
  <c r="E7765" i="2"/>
  <c r="C7765" i="2"/>
  <c r="E7764" i="2"/>
  <c r="C7764" i="2"/>
  <c r="E7763" i="2"/>
  <c r="C7763" i="2"/>
  <c r="E7762" i="2"/>
  <c r="C7762" i="2"/>
  <c r="E7761" i="2"/>
  <c r="C7761" i="2"/>
  <c r="E7760" i="2"/>
  <c r="C7760" i="2"/>
  <c r="E7759" i="2"/>
  <c r="C7759" i="2"/>
  <c r="E7758" i="2"/>
  <c r="C7758" i="2"/>
  <c r="E7757" i="2"/>
  <c r="C7757" i="2"/>
  <c r="E7756" i="2"/>
  <c r="C7756" i="2"/>
  <c r="E7755" i="2"/>
  <c r="C7755" i="2"/>
  <c r="E7754" i="2"/>
  <c r="C7754" i="2"/>
  <c r="E7753" i="2"/>
  <c r="C7753" i="2"/>
  <c r="E7752" i="2"/>
  <c r="C7752" i="2"/>
  <c r="E7751" i="2"/>
  <c r="C7751" i="2"/>
  <c r="E7750" i="2"/>
  <c r="C7750" i="2"/>
  <c r="E7749" i="2"/>
  <c r="C7749" i="2"/>
  <c r="E7748" i="2"/>
  <c r="C7748" i="2"/>
  <c r="E7747" i="2"/>
  <c r="C7747" i="2"/>
  <c r="E7746" i="2"/>
  <c r="C7746" i="2"/>
  <c r="E7745" i="2"/>
  <c r="C7745" i="2"/>
  <c r="E7744" i="2"/>
  <c r="C7744" i="2"/>
  <c r="E7743" i="2"/>
  <c r="C7743" i="2"/>
  <c r="E7742" i="2"/>
  <c r="C7742" i="2"/>
  <c r="E7741" i="2"/>
  <c r="C7741" i="2"/>
  <c r="E7740" i="2"/>
  <c r="C7740" i="2"/>
  <c r="E7739" i="2"/>
  <c r="C7739" i="2"/>
  <c r="E7738" i="2"/>
  <c r="C7738" i="2"/>
  <c r="E7737" i="2"/>
  <c r="C7737" i="2"/>
  <c r="E7736" i="2"/>
  <c r="C7736" i="2"/>
  <c r="E7735" i="2"/>
  <c r="C7735" i="2"/>
  <c r="E7734" i="2"/>
  <c r="C7734" i="2"/>
  <c r="E7733" i="2"/>
  <c r="C7733" i="2"/>
  <c r="E7732" i="2"/>
  <c r="C7732" i="2"/>
  <c r="E7731" i="2"/>
  <c r="C7731" i="2"/>
  <c r="E7730" i="2"/>
  <c r="C7730" i="2"/>
  <c r="E7729" i="2"/>
  <c r="C7729" i="2"/>
  <c r="E7728" i="2"/>
  <c r="C7728" i="2"/>
  <c r="E7727" i="2"/>
  <c r="C7727" i="2"/>
  <c r="E7726" i="2"/>
  <c r="C7726" i="2"/>
  <c r="E7725" i="2"/>
  <c r="C7725" i="2"/>
  <c r="E7724" i="2"/>
  <c r="C7724" i="2"/>
  <c r="E7723" i="2"/>
  <c r="C7723" i="2"/>
  <c r="E7722" i="2"/>
  <c r="C7722" i="2"/>
  <c r="E7721" i="2"/>
  <c r="C7721" i="2"/>
  <c r="E7720" i="2"/>
  <c r="C7720" i="2"/>
  <c r="E7719" i="2"/>
  <c r="C7719" i="2"/>
  <c r="E7718" i="2"/>
  <c r="C7718" i="2"/>
  <c r="E7717" i="2"/>
  <c r="C7717" i="2"/>
  <c r="E7716" i="2"/>
  <c r="C7716" i="2"/>
  <c r="E7715" i="2"/>
  <c r="C7715" i="2"/>
  <c r="E7714" i="2"/>
  <c r="C7714" i="2"/>
  <c r="E7713" i="2"/>
  <c r="C7713" i="2"/>
  <c r="E7712" i="2"/>
  <c r="C7712" i="2"/>
  <c r="E7711" i="2"/>
  <c r="C7711" i="2"/>
  <c r="E7710" i="2"/>
  <c r="C7710" i="2"/>
  <c r="E7709" i="2"/>
  <c r="C7709" i="2"/>
  <c r="E7708" i="2"/>
  <c r="C7708" i="2"/>
  <c r="E7707" i="2"/>
  <c r="C7707" i="2"/>
  <c r="E7706" i="2"/>
  <c r="C7706" i="2"/>
  <c r="E7705" i="2"/>
  <c r="C7705" i="2"/>
  <c r="E7704" i="2"/>
  <c r="C7704" i="2"/>
  <c r="E7703" i="2"/>
  <c r="C7703" i="2"/>
  <c r="E7702" i="2"/>
  <c r="C7702" i="2"/>
  <c r="E7701" i="2"/>
  <c r="C7701" i="2"/>
  <c r="E7700" i="2"/>
  <c r="C7700" i="2"/>
  <c r="E7699" i="2"/>
  <c r="C7699" i="2"/>
  <c r="E7698" i="2"/>
  <c r="C7698" i="2"/>
  <c r="E7697" i="2"/>
  <c r="C7697" i="2"/>
  <c r="E7696" i="2"/>
  <c r="C7696" i="2"/>
  <c r="E7695" i="2"/>
  <c r="C7695" i="2"/>
  <c r="E7694" i="2"/>
  <c r="C7694" i="2"/>
  <c r="E7693" i="2"/>
  <c r="C7693" i="2"/>
  <c r="E7692" i="2"/>
  <c r="C7692" i="2"/>
  <c r="E7691" i="2"/>
  <c r="C7691" i="2"/>
  <c r="E7690" i="2"/>
  <c r="C7690" i="2"/>
  <c r="E7689" i="2"/>
  <c r="C7689" i="2"/>
  <c r="E7688" i="2"/>
  <c r="C7688" i="2"/>
  <c r="E7687" i="2"/>
  <c r="C7687" i="2"/>
  <c r="E7686" i="2"/>
  <c r="C7686" i="2"/>
  <c r="E7685" i="2"/>
  <c r="C7685" i="2"/>
  <c r="E7684" i="2"/>
  <c r="C7684" i="2"/>
  <c r="E7683" i="2"/>
  <c r="C7683" i="2"/>
  <c r="E7682" i="2"/>
  <c r="C7682" i="2"/>
  <c r="E7681" i="2"/>
  <c r="C7681" i="2"/>
  <c r="E7680" i="2"/>
  <c r="C7680" i="2"/>
  <c r="E7679" i="2"/>
  <c r="C7679" i="2"/>
  <c r="E7678" i="2"/>
  <c r="C7678" i="2"/>
  <c r="E7677" i="2"/>
  <c r="C7677" i="2"/>
  <c r="E7676" i="2"/>
  <c r="C7676" i="2"/>
  <c r="E7675" i="2"/>
  <c r="C7675" i="2"/>
  <c r="E7674" i="2"/>
  <c r="C7674" i="2"/>
  <c r="E7673" i="2"/>
  <c r="C7673" i="2"/>
  <c r="E7672" i="2"/>
  <c r="C7672" i="2"/>
  <c r="E7671" i="2"/>
  <c r="C7671" i="2"/>
  <c r="E7670" i="2"/>
  <c r="C7670" i="2"/>
  <c r="E7669" i="2"/>
  <c r="C7669" i="2"/>
  <c r="E7668" i="2"/>
  <c r="C7668" i="2"/>
  <c r="E7667" i="2"/>
  <c r="C7667" i="2"/>
  <c r="E7666" i="2"/>
  <c r="C7666" i="2"/>
  <c r="E7665" i="2"/>
  <c r="C7665" i="2"/>
  <c r="E7664" i="2"/>
  <c r="C7664" i="2"/>
  <c r="E7663" i="2"/>
  <c r="C7663" i="2"/>
  <c r="E7662" i="2"/>
  <c r="C7662" i="2"/>
  <c r="E7661" i="2"/>
  <c r="C7661" i="2"/>
  <c r="E7660" i="2"/>
  <c r="C7660" i="2"/>
  <c r="E7659" i="2"/>
  <c r="C7659" i="2"/>
  <c r="E7658" i="2"/>
  <c r="C7658" i="2"/>
  <c r="E7657" i="2"/>
  <c r="C7657" i="2"/>
  <c r="E7656" i="2"/>
  <c r="C7656" i="2"/>
  <c r="E7655" i="2"/>
  <c r="C7655" i="2"/>
  <c r="E7654" i="2"/>
  <c r="C7654" i="2"/>
  <c r="E7653" i="2"/>
  <c r="C7653" i="2"/>
  <c r="E7652" i="2"/>
  <c r="C7652" i="2"/>
  <c r="E7651" i="2"/>
  <c r="C7651" i="2"/>
  <c r="E7650" i="2"/>
  <c r="C7650" i="2"/>
  <c r="E7649" i="2"/>
  <c r="C7649" i="2"/>
  <c r="E7648" i="2"/>
  <c r="C7648" i="2"/>
  <c r="E7647" i="2"/>
  <c r="C7647" i="2"/>
  <c r="E7646" i="2"/>
  <c r="C7646" i="2"/>
  <c r="E7645" i="2"/>
  <c r="C7645" i="2"/>
  <c r="E7644" i="2"/>
  <c r="C7644" i="2"/>
  <c r="E7643" i="2"/>
  <c r="C7643" i="2"/>
  <c r="E7642" i="2"/>
  <c r="C7642" i="2"/>
  <c r="E7641" i="2"/>
  <c r="C7641" i="2"/>
  <c r="E7640" i="2"/>
  <c r="C7640" i="2"/>
  <c r="E7639" i="2"/>
  <c r="C7639" i="2"/>
  <c r="E7638" i="2"/>
  <c r="C7638" i="2"/>
  <c r="E7637" i="2"/>
  <c r="C7637" i="2"/>
  <c r="E7636" i="2"/>
  <c r="C7636" i="2"/>
  <c r="E7635" i="2"/>
  <c r="C7635" i="2"/>
  <c r="E7634" i="2"/>
  <c r="C7634" i="2"/>
  <c r="E7633" i="2"/>
  <c r="C7633" i="2"/>
  <c r="E7632" i="2"/>
  <c r="C7632" i="2"/>
  <c r="E7631" i="2"/>
  <c r="C7631" i="2"/>
  <c r="E7630" i="2"/>
  <c r="C7630" i="2"/>
  <c r="E7629" i="2"/>
  <c r="C7629" i="2"/>
  <c r="E7628" i="2"/>
  <c r="C7628" i="2"/>
  <c r="E7627" i="2"/>
  <c r="C7627" i="2"/>
  <c r="E7626" i="2"/>
  <c r="C7626" i="2"/>
  <c r="E7625" i="2"/>
  <c r="C7625" i="2"/>
  <c r="E7624" i="2"/>
  <c r="C7624" i="2"/>
  <c r="E7623" i="2"/>
  <c r="C7623" i="2"/>
  <c r="E7622" i="2"/>
  <c r="C7622" i="2"/>
  <c r="E7621" i="2"/>
  <c r="C7621" i="2"/>
  <c r="E7620" i="2"/>
  <c r="C7620" i="2"/>
  <c r="E7619" i="2"/>
  <c r="C7619" i="2"/>
  <c r="E7618" i="2"/>
  <c r="C7618" i="2"/>
  <c r="E7617" i="2"/>
  <c r="C7617" i="2"/>
  <c r="E7616" i="2"/>
  <c r="C7616" i="2"/>
  <c r="E7615" i="2"/>
  <c r="C7615" i="2"/>
  <c r="E7614" i="2"/>
  <c r="C7614" i="2"/>
  <c r="E7613" i="2"/>
  <c r="C7613" i="2"/>
  <c r="E7612" i="2"/>
  <c r="C7612" i="2"/>
  <c r="E7611" i="2"/>
  <c r="C7611" i="2"/>
  <c r="E7610" i="2"/>
  <c r="C7610" i="2"/>
  <c r="E7609" i="2"/>
  <c r="C7609" i="2"/>
  <c r="E7608" i="2"/>
  <c r="C7608" i="2"/>
  <c r="E7607" i="2"/>
  <c r="C7607" i="2"/>
  <c r="E7606" i="2"/>
  <c r="C7606" i="2"/>
  <c r="E7605" i="2"/>
  <c r="C7605" i="2"/>
  <c r="E7604" i="2"/>
  <c r="C7604" i="2"/>
  <c r="E7603" i="2"/>
  <c r="C7603" i="2"/>
  <c r="E7602" i="2"/>
  <c r="C7602" i="2"/>
  <c r="E7601" i="2"/>
  <c r="C7601" i="2"/>
  <c r="E7600" i="2"/>
  <c r="C7600" i="2"/>
  <c r="E7599" i="2"/>
  <c r="C7599" i="2"/>
  <c r="E7598" i="2"/>
  <c r="C7598" i="2"/>
  <c r="E7597" i="2"/>
  <c r="C7597" i="2"/>
  <c r="E7596" i="2"/>
  <c r="C7596" i="2"/>
  <c r="E7595" i="2"/>
  <c r="C7595" i="2"/>
  <c r="E7594" i="2"/>
  <c r="C7594" i="2"/>
  <c r="E7593" i="2"/>
  <c r="C7593" i="2"/>
  <c r="E7592" i="2"/>
  <c r="C7592" i="2"/>
  <c r="E7591" i="2"/>
  <c r="C7591" i="2"/>
  <c r="E7590" i="2"/>
  <c r="C7590" i="2"/>
  <c r="E7589" i="2"/>
  <c r="C7589" i="2"/>
  <c r="E7588" i="2"/>
  <c r="C7588" i="2"/>
  <c r="E7587" i="2"/>
  <c r="C7587" i="2"/>
  <c r="E7586" i="2"/>
  <c r="C7586" i="2"/>
  <c r="E7585" i="2"/>
  <c r="C7585" i="2"/>
  <c r="E7584" i="2"/>
  <c r="C7584" i="2"/>
  <c r="E7583" i="2"/>
  <c r="C7583" i="2"/>
  <c r="E7582" i="2"/>
  <c r="C7582" i="2"/>
  <c r="E7581" i="2"/>
  <c r="C7581" i="2"/>
  <c r="E7580" i="2"/>
  <c r="C7580" i="2"/>
  <c r="E7579" i="2"/>
  <c r="C7579" i="2"/>
  <c r="E7578" i="2"/>
  <c r="C7578" i="2"/>
  <c r="E7577" i="2"/>
  <c r="C7577" i="2"/>
  <c r="E7576" i="2"/>
  <c r="C7576" i="2"/>
  <c r="E7575" i="2"/>
  <c r="C7575" i="2"/>
  <c r="E7574" i="2"/>
  <c r="C7574" i="2"/>
  <c r="E7573" i="2"/>
  <c r="C7573" i="2"/>
  <c r="E7572" i="2"/>
  <c r="C7572" i="2"/>
  <c r="E7571" i="2"/>
  <c r="C7571" i="2"/>
  <c r="E7570" i="2"/>
  <c r="C7570" i="2"/>
  <c r="E7569" i="2"/>
  <c r="C7569" i="2"/>
  <c r="E7568" i="2"/>
  <c r="C7568" i="2"/>
  <c r="E7567" i="2"/>
  <c r="C7567" i="2"/>
  <c r="E7566" i="2"/>
  <c r="C7566" i="2"/>
  <c r="E7565" i="2"/>
  <c r="C7565" i="2"/>
  <c r="E7564" i="2"/>
  <c r="C7564" i="2"/>
  <c r="E7563" i="2"/>
  <c r="C7563" i="2"/>
  <c r="E7562" i="2"/>
  <c r="C7562" i="2"/>
  <c r="E7561" i="2"/>
  <c r="C7561" i="2"/>
  <c r="E7560" i="2"/>
  <c r="C7560" i="2"/>
  <c r="E7559" i="2"/>
  <c r="C7559" i="2"/>
  <c r="E7558" i="2"/>
  <c r="C7558" i="2"/>
  <c r="E7557" i="2"/>
  <c r="C7557" i="2"/>
  <c r="E7556" i="2"/>
  <c r="C7556" i="2"/>
  <c r="E7555" i="2"/>
  <c r="C7555" i="2"/>
  <c r="E7554" i="2"/>
  <c r="C7554" i="2"/>
  <c r="E7553" i="2"/>
  <c r="C7553" i="2"/>
  <c r="E7552" i="2"/>
  <c r="C7552" i="2"/>
  <c r="E7551" i="2"/>
  <c r="C7551" i="2"/>
  <c r="E7550" i="2"/>
  <c r="C7550" i="2"/>
  <c r="E7549" i="2"/>
  <c r="C7549" i="2"/>
  <c r="E7548" i="2"/>
  <c r="C7548" i="2"/>
  <c r="E7547" i="2"/>
  <c r="C7547" i="2"/>
  <c r="E7546" i="2"/>
  <c r="C7546" i="2"/>
  <c r="E7545" i="2"/>
  <c r="C7545" i="2"/>
  <c r="E7544" i="2"/>
  <c r="C7544" i="2"/>
  <c r="E7543" i="2"/>
  <c r="C7543" i="2"/>
  <c r="E7542" i="2"/>
  <c r="C7542" i="2"/>
  <c r="E7541" i="2"/>
  <c r="C7541" i="2"/>
  <c r="E7540" i="2"/>
  <c r="C7540" i="2"/>
  <c r="E7539" i="2"/>
  <c r="C7539" i="2"/>
  <c r="E7538" i="2"/>
  <c r="C7538" i="2"/>
  <c r="E7537" i="2"/>
  <c r="C7537" i="2"/>
  <c r="E7536" i="2"/>
  <c r="C7536" i="2"/>
  <c r="E7535" i="2"/>
  <c r="C7535" i="2"/>
  <c r="E7534" i="2"/>
  <c r="C7534" i="2"/>
  <c r="E7533" i="2"/>
  <c r="C7533" i="2"/>
  <c r="E7532" i="2"/>
  <c r="C7532" i="2"/>
  <c r="E7531" i="2"/>
  <c r="C7531" i="2"/>
  <c r="E7530" i="2"/>
  <c r="C7530" i="2"/>
  <c r="E7529" i="2"/>
  <c r="C7529" i="2"/>
  <c r="E7528" i="2"/>
  <c r="C7528" i="2"/>
  <c r="E7527" i="2"/>
  <c r="C7527" i="2"/>
  <c r="E7526" i="2"/>
  <c r="C7526" i="2"/>
  <c r="E7525" i="2"/>
  <c r="C7525" i="2"/>
  <c r="E7524" i="2"/>
  <c r="C7524" i="2"/>
  <c r="E7523" i="2"/>
  <c r="C7523" i="2"/>
  <c r="E7522" i="2"/>
  <c r="C7522" i="2"/>
  <c r="E7521" i="2"/>
  <c r="C7521" i="2"/>
  <c r="E7520" i="2"/>
  <c r="C7520" i="2"/>
  <c r="E7519" i="2"/>
  <c r="C7519" i="2"/>
  <c r="E7518" i="2"/>
  <c r="C7518" i="2"/>
  <c r="E7517" i="2"/>
  <c r="C7517" i="2"/>
  <c r="E7516" i="2"/>
  <c r="C7516" i="2"/>
  <c r="E7515" i="2"/>
  <c r="C7515" i="2"/>
  <c r="E7514" i="2"/>
  <c r="C7514" i="2"/>
  <c r="E7513" i="2"/>
  <c r="C7513" i="2"/>
  <c r="E7512" i="2"/>
  <c r="C7512" i="2"/>
  <c r="E7511" i="2"/>
  <c r="C7511" i="2"/>
  <c r="E7510" i="2"/>
  <c r="C7510" i="2"/>
  <c r="E7509" i="2"/>
  <c r="C7509" i="2"/>
  <c r="E7508" i="2"/>
  <c r="C7508" i="2"/>
  <c r="E7507" i="2"/>
  <c r="C7507" i="2"/>
  <c r="E7506" i="2"/>
  <c r="C7506" i="2"/>
  <c r="E7505" i="2"/>
  <c r="C7505" i="2"/>
  <c r="E7504" i="2"/>
  <c r="C7504" i="2"/>
  <c r="E7503" i="2"/>
  <c r="C7503" i="2"/>
  <c r="E7502" i="2"/>
  <c r="C7502" i="2"/>
  <c r="E7501" i="2"/>
  <c r="C7501" i="2"/>
  <c r="E7500" i="2"/>
  <c r="C7500" i="2"/>
  <c r="E7499" i="2"/>
  <c r="C7499" i="2"/>
  <c r="E7498" i="2"/>
  <c r="C7498" i="2"/>
  <c r="E7497" i="2"/>
  <c r="C7497" i="2"/>
  <c r="E7496" i="2"/>
  <c r="C7496" i="2"/>
  <c r="E7495" i="2"/>
  <c r="C7495" i="2"/>
  <c r="E7494" i="2"/>
  <c r="C7494" i="2"/>
  <c r="E7493" i="2"/>
  <c r="C7493" i="2"/>
  <c r="E7492" i="2"/>
  <c r="C7492" i="2"/>
  <c r="E7491" i="2"/>
  <c r="C7491" i="2"/>
  <c r="E7490" i="2"/>
  <c r="C7490" i="2"/>
  <c r="E7489" i="2"/>
  <c r="C7489" i="2"/>
  <c r="E7488" i="2"/>
  <c r="C7488" i="2"/>
  <c r="E7487" i="2"/>
  <c r="C7487" i="2"/>
  <c r="E7486" i="2"/>
  <c r="C7486" i="2"/>
  <c r="E7485" i="2"/>
  <c r="C7485" i="2"/>
  <c r="E7484" i="2"/>
  <c r="C7484" i="2"/>
  <c r="E7483" i="2"/>
  <c r="C7483" i="2"/>
  <c r="E7482" i="2"/>
  <c r="C7482" i="2"/>
  <c r="E7481" i="2"/>
  <c r="C7481" i="2"/>
  <c r="E7480" i="2"/>
  <c r="C7480" i="2"/>
  <c r="E7479" i="2"/>
  <c r="C7479" i="2"/>
  <c r="E7478" i="2"/>
  <c r="C7478" i="2"/>
  <c r="E7477" i="2"/>
  <c r="C7477" i="2"/>
  <c r="E7476" i="2"/>
  <c r="C7476" i="2"/>
  <c r="E7475" i="2"/>
  <c r="C7475" i="2"/>
  <c r="E7474" i="2"/>
  <c r="C7474" i="2"/>
  <c r="E7473" i="2"/>
  <c r="C7473" i="2"/>
  <c r="E7472" i="2"/>
  <c r="C7472" i="2"/>
  <c r="E7471" i="2"/>
  <c r="C7471" i="2"/>
  <c r="E7470" i="2"/>
  <c r="C7470" i="2"/>
  <c r="E7469" i="2"/>
  <c r="C7469" i="2"/>
  <c r="E7468" i="2"/>
  <c r="C7468" i="2"/>
  <c r="E7467" i="2"/>
  <c r="C7467" i="2"/>
  <c r="E7466" i="2"/>
  <c r="C7466" i="2"/>
  <c r="E7465" i="2"/>
  <c r="C7465" i="2"/>
  <c r="E7464" i="2"/>
  <c r="C7464" i="2"/>
  <c r="E7463" i="2"/>
  <c r="C7463" i="2"/>
  <c r="E7462" i="2"/>
  <c r="C7462" i="2"/>
  <c r="E7461" i="2"/>
  <c r="C7461" i="2"/>
  <c r="E7460" i="2"/>
  <c r="C7460" i="2"/>
  <c r="E7459" i="2"/>
  <c r="C7459" i="2"/>
  <c r="E7458" i="2"/>
  <c r="C7458" i="2"/>
  <c r="E7457" i="2"/>
  <c r="C7457" i="2"/>
  <c r="E7456" i="2"/>
  <c r="C7456" i="2"/>
  <c r="E7455" i="2"/>
  <c r="C7455" i="2"/>
  <c r="E7454" i="2"/>
  <c r="C7454" i="2"/>
  <c r="E7453" i="2"/>
  <c r="C7453" i="2"/>
  <c r="E7452" i="2"/>
  <c r="C7452" i="2"/>
  <c r="E7451" i="2"/>
  <c r="C7451" i="2"/>
  <c r="E7450" i="2"/>
  <c r="C7450" i="2"/>
  <c r="E7449" i="2"/>
  <c r="C7449" i="2"/>
  <c r="E7448" i="2"/>
  <c r="C7448" i="2"/>
  <c r="E7447" i="2"/>
  <c r="C7447" i="2"/>
  <c r="E7446" i="2"/>
  <c r="C7446" i="2"/>
  <c r="E7445" i="2"/>
  <c r="C7445" i="2"/>
  <c r="E7444" i="2"/>
  <c r="C7444" i="2"/>
  <c r="E7443" i="2"/>
  <c r="C7443" i="2"/>
  <c r="E7442" i="2"/>
  <c r="C7442" i="2"/>
  <c r="E7441" i="2"/>
  <c r="C7441" i="2"/>
  <c r="E7440" i="2"/>
  <c r="C7440" i="2"/>
  <c r="E7439" i="2"/>
  <c r="C7439" i="2"/>
  <c r="E7438" i="2"/>
  <c r="C7438" i="2"/>
  <c r="E7437" i="2"/>
  <c r="C7437" i="2"/>
  <c r="E7436" i="2"/>
  <c r="C7436" i="2"/>
  <c r="E7435" i="2"/>
  <c r="C7435" i="2"/>
  <c r="E7434" i="2"/>
  <c r="C7434" i="2"/>
  <c r="E7433" i="2"/>
  <c r="C7433" i="2"/>
  <c r="E7432" i="2"/>
  <c r="C7432" i="2"/>
  <c r="E7431" i="2"/>
  <c r="C7431" i="2"/>
  <c r="E7430" i="2"/>
  <c r="C7430" i="2"/>
  <c r="E7429" i="2"/>
  <c r="C7429" i="2"/>
  <c r="E7428" i="2"/>
  <c r="C7428" i="2"/>
  <c r="E7427" i="2"/>
  <c r="C7427" i="2"/>
  <c r="E7426" i="2"/>
  <c r="C7426" i="2"/>
  <c r="E7425" i="2"/>
  <c r="C7425" i="2"/>
  <c r="E7424" i="2"/>
  <c r="C7424" i="2"/>
  <c r="E7423" i="2"/>
  <c r="C7423" i="2"/>
  <c r="E7422" i="2"/>
  <c r="C7422" i="2"/>
  <c r="E7421" i="2"/>
  <c r="C7421" i="2"/>
  <c r="E7420" i="2"/>
  <c r="C7420" i="2"/>
  <c r="E7419" i="2"/>
  <c r="C7419" i="2"/>
  <c r="E7418" i="2"/>
  <c r="C7418" i="2"/>
  <c r="E7417" i="2"/>
  <c r="C7417" i="2"/>
  <c r="E7416" i="2"/>
  <c r="C7416" i="2"/>
  <c r="E7415" i="2"/>
  <c r="C7415" i="2"/>
  <c r="E7414" i="2"/>
  <c r="C7414" i="2"/>
  <c r="E7413" i="2"/>
  <c r="C7413" i="2"/>
  <c r="E7412" i="2"/>
  <c r="C7412" i="2"/>
  <c r="E7411" i="2"/>
  <c r="C7411" i="2"/>
  <c r="E7410" i="2"/>
  <c r="C7410" i="2"/>
  <c r="E7409" i="2"/>
  <c r="C7409" i="2"/>
  <c r="E7408" i="2"/>
  <c r="C7408" i="2"/>
  <c r="E7407" i="2"/>
  <c r="C7407" i="2"/>
  <c r="E7406" i="2"/>
  <c r="C7406" i="2"/>
  <c r="E7405" i="2"/>
  <c r="C7405" i="2"/>
  <c r="E7404" i="2"/>
  <c r="C7404" i="2"/>
  <c r="E7403" i="2"/>
  <c r="C7403" i="2"/>
  <c r="E7402" i="2"/>
  <c r="C7402" i="2"/>
  <c r="E7401" i="2"/>
  <c r="C7401" i="2"/>
  <c r="E7400" i="2"/>
  <c r="C7400" i="2"/>
  <c r="E7399" i="2"/>
  <c r="C7399" i="2"/>
  <c r="E7398" i="2"/>
  <c r="C7398" i="2"/>
  <c r="E7397" i="2"/>
  <c r="C7397" i="2"/>
  <c r="E7396" i="2"/>
  <c r="C7396" i="2"/>
  <c r="E7395" i="2"/>
  <c r="C7395" i="2"/>
  <c r="E7394" i="2"/>
  <c r="C7394" i="2"/>
  <c r="E7393" i="2"/>
  <c r="C7393" i="2"/>
  <c r="E7392" i="2"/>
  <c r="C7392" i="2"/>
  <c r="E7391" i="2"/>
  <c r="C7391" i="2"/>
  <c r="E7390" i="2"/>
  <c r="C7390" i="2"/>
  <c r="E7389" i="2"/>
  <c r="C7389" i="2"/>
  <c r="E7388" i="2"/>
  <c r="C7388" i="2"/>
  <c r="E7387" i="2"/>
  <c r="C7387" i="2"/>
  <c r="E7386" i="2"/>
  <c r="C7386" i="2"/>
  <c r="E7385" i="2"/>
  <c r="C7385" i="2"/>
  <c r="E7384" i="2"/>
  <c r="C7384" i="2"/>
  <c r="E7383" i="2"/>
  <c r="C7383" i="2"/>
  <c r="E7382" i="2"/>
  <c r="C7382" i="2"/>
  <c r="E7381" i="2"/>
  <c r="C7381" i="2"/>
  <c r="E7380" i="2"/>
  <c r="C7380" i="2"/>
  <c r="E7379" i="2"/>
  <c r="C7379" i="2"/>
  <c r="E7378" i="2"/>
  <c r="C7378" i="2"/>
  <c r="E7377" i="2"/>
  <c r="C7377" i="2"/>
  <c r="E7376" i="2"/>
  <c r="C7376" i="2"/>
  <c r="E7375" i="2"/>
  <c r="C7375" i="2"/>
  <c r="E7374" i="2"/>
  <c r="C7374" i="2"/>
  <c r="E7373" i="2"/>
  <c r="C7373" i="2"/>
  <c r="E7372" i="2"/>
  <c r="C7372" i="2"/>
  <c r="E7371" i="2"/>
  <c r="C7371" i="2"/>
  <c r="E7370" i="2"/>
  <c r="C7370" i="2"/>
  <c r="E7369" i="2"/>
  <c r="C7369" i="2"/>
  <c r="E7368" i="2"/>
  <c r="C7368" i="2"/>
  <c r="E7367" i="2"/>
  <c r="C7367" i="2"/>
  <c r="E7366" i="2"/>
  <c r="C7366" i="2"/>
  <c r="E7365" i="2"/>
  <c r="C7365" i="2"/>
  <c r="E7364" i="2"/>
  <c r="C7364" i="2"/>
  <c r="E7363" i="2"/>
  <c r="C7363" i="2"/>
  <c r="E7362" i="2"/>
  <c r="C7362" i="2"/>
  <c r="E7361" i="2"/>
  <c r="C7361" i="2"/>
  <c r="E7360" i="2"/>
  <c r="C7360" i="2"/>
  <c r="E7359" i="2"/>
  <c r="C7359" i="2"/>
  <c r="E7358" i="2"/>
  <c r="C7358" i="2"/>
  <c r="E7357" i="2"/>
  <c r="C7357" i="2"/>
  <c r="E7356" i="2"/>
  <c r="C7356" i="2"/>
  <c r="E7355" i="2"/>
  <c r="C7355" i="2"/>
  <c r="E7354" i="2"/>
  <c r="C7354" i="2"/>
  <c r="E7353" i="2"/>
  <c r="C7353" i="2"/>
  <c r="E7352" i="2"/>
  <c r="C7352" i="2"/>
  <c r="E7351" i="2"/>
  <c r="C7351" i="2"/>
  <c r="E7350" i="2"/>
  <c r="C7350" i="2"/>
  <c r="E7349" i="2"/>
  <c r="C7349" i="2"/>
  <c r="E7348" i="2"/>
  <c r="C7348" i="2"/>
  <c r="E7347" i="2"/>
  <c r="C7347" i="2"/>
  <c r="E7346" i="2"/>
  <c r="C7346" i="2"/>
  <c r="E7345" i="2"/>
  <c r="C7345" i="2"/>
  <c r="E7344" i="2"/>
  <c r="C7344" i="2"/>
  <c r="E7343" i="2"/>
  <c r="C7343" i="2"/>
  <c r="E7342" i="2"/>
  <c r="C7342" i="2"/>
  <c r="E7341" i="2"/>
  <c r="C7341" i="2"/>
  <c r="E7340" i="2"/>
  <c r="C7340" i="2"/>
  <c r="E7339" i="2"/>
  <c r="C7339" i="2"/>
  <c r="E7338" i="2"/>
  <c r="C7338" i="2"/>
  <c r="E7337" i="2"/>
  <c r="C7337" i="2"/>
  <c r="E7336" i="2"/>
  <c r="C7336" i="2"/>
  <c r="E7335" i="2"/>
  <c r="C7335" i="2"/>
  <c r="E7334" i="2"/>
  <c r="C7334" i="2"/>
  <c r="E7333" i="2"/>
  <c r="C7333" i="2"/>
  <c r="E7332" i="2"/>
  <c r="C7332" i="2"/>
  <c r="E7331" i="2"/>
  <c r="C7331" i="2"/>
  <c r="E7330" i="2"/>
  <c r="C7330" i="2"/>
  <c r="E7329" i="2"/>
  <c r="C7329" i="2"/>
  <c r="E7328" i="2"/>
  <c r="C7328" i="2"/>
  <c r="E7327" i="2"/>
  <c r="C7327" i="2"/>
  <c r="E7326" i="2"/>
  <c r="C7326" i="2"/>
  <c r="E7325" i="2"/>
  <c r="C7325" i="2"/>
  <c r="E7324" i="2"/>
  <c r="C7324" i="2"/>
  <c r="E7323" i="2"/>
  <c r="C7323" i="2"/>
  <c r="E7322" i="2"/>
  <c r="C7322" i="2"/>
  <c r="E7321" i="2"/>
  <c r="C7321" i="2"/>
  <c r="E7320" i="2"/>
  <c r="C7320" i="2"/>
  <c r="E7319" i="2"/>
  <c r="C7319" i="2"/>
  <c r="E7318" i="2"/>
  <c r="C7318" i="2"/>
  <c r="E7317" i="2"/>
  <c r="C7317" i="2"/>
  <c r="E7316" i="2"/>
  <c r="C7316" i="2"/>
  <c r="E7315" i="2"/>
  <c r="C7315" i="2"/>
  <c r="E7314" i="2"/>
  <c r="C7314" i="2"/>
  <c r="E7313" i="2"/>
  <c r="C7313" i="2"/>
  <c r="E7312" i="2"/>
  <c r="C7312" i="2"/>
  <c r="E7311" i="2"/>
  <c r="C7311" i="2"/>
  <c r="E7310" i="2"/>
  <c r="C7310" i="2"/>
  <c r="E7309" i="2"/>
  <c r="C7309" i="2"/>
  <c r="E7308" i="2"/>
  <c r="C7308" i="2"/>
  <c r="E7307" i="2"/>
  <c r="C7307" i="2"/>
  <c r="E7306" i="2"/>
  <c r="C7306" i="2"/>
  <c r="E7305" i="2"/>
  <c r="C7305" i="2"/>
  <c r="E7304" i="2"/>
  <c r="C7304" i="2"/>
  <c r="E7303" i="2"/>
  <c r="C7303" i="2"/>
  <c r="E7302" i="2"/>
  <c r="C7302" i="2"/>
  <c r="E7301" i="2"/>
  <c r="C7301" i="2"/>
  <c r="E7300" i="2"/>
  <c r="C7300" i="2"/>
  <c r="E7299" i="2"/>
  <c r="C7299" i="2"/>
  <c r="E7298" i="2"/>
  <c r="C7298" i="2"/>
  <c r="E7297" i="2"/>
  <c r="C7297" i="2"/>
  <c r="E7296" i="2"/>
  <c r="C7296" i="2"/>
  <c r="E7295" i="2"/>
  <c r="C7295" i="2"/>
  <c r="E7294" i="2"/>
  <c r="C7294" i="2"/>
  <c r="E7293" i="2"/>
  <c r="C7293" i="2"/>
  <c r="E7292" i="2"/>
  <c r="C7292" i="2"/>
  <c r="E7291" i="2"/>
  <c r="C7291" i="2"/>
  <c r="E7290" i="2"/>
  <c r="C7290" i="2"/>
  <c r="E7289" i="2"/>
  <c r="C7289" i="2"/>
  <c r="E7288" i="2"/>
  <c r="C7288" i="2"/>
  <c r="E7287" i="2"/>
  <c r="C7287" i="2"/>
  <c r="E7286" i="2"/>
  <c r="C7286" i="2"/>
  <c r="E7285" i="2"/>
  <c r="C7285" i="2"/>
  <c r="E7284" i="2"/>
  <c r="C7284" i="2"/>
  <c r="E7283" i="2"/>
  <c r="C7283" i="2"/>
  <c r="E7282" i="2"/>
  <c r="C7282" i="2"/>
  <c r="E7281" i="2"/>
  <c r="C7281" i="2"/>
  <c r="E7280" i="2"/>
  <c r="C7280" i="2"/>
  <c r="E7279" i="2"/>
  <c r="C7279" i="2"/>
  <c r="E7278" i="2"/>
  <c r="C7278" i="2"/>
  <c r="E7277" i="2"/>
  <c r="C7277" i="2"/>
  <c r="E7276" i="2"/>
  <c r="C7276" i="2"/>
  <c r="E7275" i="2"/>
  <c r="C7275" i="2"/>
  <c r="E7274" i="2"/>
  <c r="C7274" i="2"/>
  <c r="E7273" i="2"/>
  <c r="C7273" i="2"/>
  <c r="E7272" i="2"/>
  <c r="C7272" i="2"/>
  <c r="E7271" i="2"/>
  <c r="C7271" i="2"/>
  <c r="E7270" i="2"/>
  <c r="C7270" i="2"/>
  <c r="E7269" i="2"/>
  <c r="C7269" i="2"/>
  <c r="E7268" i="2"/>
  <c r="C7268" i="2"/>
  <c r="E7267" i="2"/>
  <c r="C7267" i="2"/>
  <c r="E7266" i="2"/>
  <c r="C7266" i="2"/>
  <c r="E7265" i="2"/>
  <c r="C7265" i="2"/>
  <c r="E7264" i="2"/>
  <c r="C7264" i="2"/>
  <c r="E7263" i="2"/>
  <c r="C7263" i="2"/>
  <c r="E7262" i="2"/>
  <c r="C7262" i="2"/>
  <c r="E7261" i="2"/>
  <c r="C7261" i="2"/>
  <c r="E7260" i="2"/>
  <c r="C7260" i="2"/>
  <c r="E7259" i="2"/>
  <c r="C7259" i="2"/>
  <c r="E7258" i="2"/>
  <c r="C7258" i="2"/>
  <c r="E7257" i="2"/>
  <c r="C7257" i="2"/>
  <c r="E7256" i="2"/>
  <c r="C7256" i="2"/>
  <c r="E7255" i="2"/>
  <c r="C7255" i="2"/>
  <c r="E7254" i="2"/>
  <c r="C7254" i="2"/>
  <c r="E7253" i="2"/>
  <c r="C7253" i="2"/>
  <c r="E7252" i="2"/>
  <c r="C7252" i="2"/>
  <c r="E7251" i="2"/>
  <c r="C7251" i="2"/>
  <c r="E7250" i="2"/>
  <c r="C7250" i="2"/>
  <c r="E7249" i="2"/>
  <c r="C7249" i="2"/>
  <c r="E7248" i="2"/>
  <c r="C7248" i="2"/>
  <c r="E7247" i="2"/>
  <c r="C7247" i="2"/>
  <c r="E7246" i="2"/>
  <c r="C7246" i="2"/>
  <c r="E7245" i="2"/>
  <c r="C7245" i="2"/>
  <c r="E7244" i="2"/>
  <c r="C7244" i="2"/>
  <c r="E7243" i="2"/>
  <c r="C7243" i="2"/>
  <c r="E7242" i="2"/>
  <c r="C7242" i="2"/>
  <c r="E7241" i="2"/>
  <c r="C7241" i="2"/>
  <c r="E7240" i="2"/>
  <c r="C7240" i="2"/>
  <c r="E7239" i="2"/>
  <c r="C7239" i="2"/>
  <c r="E7238" i="2"/>
  <c r="C7238" i="2"/>
  <c r="E7237" i="2"/>
  <c r="C7237" i="2"/>
  <c r="E7236" i="2"/>
  <c r="C7236" i="2"/>
  <c r="E7235" i="2"/>
  <c r="C7235" i="2"/>
  <c r="E7234" i="2"/>
  <c r="C7234" i="2"/>
  <c r="E7233" i="2"/>
  <c r="C7233" i="2"/>
  <c r="E7232" i="2"/>
  <c r="C7232" i="2"/>
  <c r="E7231" i="2"/>
  <c r="C7231" i="2"/>
  <c r="E7230" i="2"/>
  <c r="C7230" i="2"/>
  <c r="E7229" i="2"/>
  <c r="C7229" i="2"/>
  <c r="E7228" i="2"/>
  <c r="C7228" i="2"/>
  <c r="E7227" i="2"/>
  <c r="C7227" i="2"/>
  <c r="E7226" i="2"/>
  <c r="C7226" i="2"/>
  <c r="E7225" i="2"/>
  <c r="C7225" i="2"/>
  <c r="E7224" i="2"/>
  <c r="C7224" i="2"/>
  <c r="E7223" i="2"/>
  <c r="C7223" i="2"/>
  <c r="E7222" i="2"/>
  <c r="C7222" i="2"/>
  <c r="E7221" i="2"/>
  <c r="C7221" i="2"/>
  <c r="E7220" i="2"/>
  <c r="C7220" i="2"/>
  <c r="E7219" i="2"/>
  <c r="C7219" i="2"/>
  <c r="E7218" i="2"/>
  <c r="C7218" i="2"/>
  <c r="E7217" i="2"/>
  <c r="C7217" i="2"/>
  <c r="E7216" i="2"/>
  <c r="C7216" i="2"/>
  <c r="E7215" i="2"/>
  <c r="C7215" i="2"/>
  <c r="E7214" i="2"/>
  <c r="C7214" i="2"/>
  <c r="E7213" i="2"/>
  <c r="C7213" i="2"/>
  <c r="E7212" i="2"/>
  <c r="C7212" i="2"/>
  <c r="E7211" i="2"/>
  <c r="C7211" i="2"/>
  <c r="E7210" i="2"/>
  <c r="C7210" i="2"/>
  <c r="E7209" i="2"/>
  <c r="C7209" i="2"/>
  <c r="E7208" i="2"/>
  <c r="C7208" i="2"/>
  <c r="E7207" i="2"/>
  <c r="C7207" i="2"/>
  <c r="E7206" i="2"/>
  <c r="C7206" i="2"/>
  <c r="E7205" i="2"/>
  <c r="C7205" i="2"/>
  <c r="E7204" i="2"/>
  <c r="C7204" i="2"/>
  <c r="E7203" i="2"/>
  <c r="C7203" i="2"/>
  <c r="E7202" i="2"/>
  <c r="C7202" i="2"/>
  <c r="E7201" i="2"/>
  <c r="C7201" i="2"/>
  <c r="E7200" i="2"/>
  <c r="C7200" i="2"/>
  <c r="E7199" i="2"/>
  <c r="C7199" i="2"/>
  <c r="E7198" i="2"/>
  <c r="C7198" i="2"/>
  <c r="E7197" i="2"/>
  <c r="C7197" i="2"/>
  <c r="E7196" i="2"/>
  <c r="C7196" i="2"/>
  <c r="E7195" i="2"/>
  <c r="C7195" i="2"/>
  <c r="E7194" i="2"/>
  <c r="C7194" i="2"/>
  <c r="E7193" i="2"/>
  <c r="C7193" i="2"/>
  <c r="E7192" i="2"/>
  <c r="C7192" i="2"/>
  <c r="E7191" i="2"/>
  <c r="C7191" i="2"/>
  <c r="E7190" i="2"/>
  <c r="C7190" i="2"/>
  <c r="E7189" i="2"/>
  <c r="C7189" i="2"/>
  <c r="E7188" i="2"/>
  <c r="C7188" i="2"/>
  <c r="E7187" i="2"/>
  <c r="C7187" i="2"/>
  <c r="E7186" i="2"/>
  <c r="C7186" i="2"/>
  <c r="E7185" i="2"/>
  <c r="C7185" i="2"/>
  <c r="E7184" i="2"/>
  <c r="C7184" i="2"/>
  <c r="E7183" i="2"/>
  <c r="C7183" i="2"/>
  <c r="E7182" i="2"/>
  <c r="C7182" i="2"/>
  <c r="E7181" i="2"/>
  <c r="C7181" i="2"/>
  <c r="E7180" i="2"/>
  <c r="C7180" i="2"/>
  <c r="E7179" i="2"/>
  <c r="C7179" i="2"/>
  <c r="E7178" i="2"/>
  <c r="C7178" i="2"/>
  <c r="E7177" i="2"/>
  <c r="C7177" i="2"/>
  <c r="E7176" i="2"/>
  <c r="C7176" i="2"/>
  <c r="E7175" i="2"/>
  <c r="C7175" i="2"/>
  <c r="E7174" i="2"/>
  <c r="C7174" i="2"/>
  <c r="E7173" i="2"/>
  <c r="C7173" i="2"/>
  <c r="E7172" i="2"/>
  <c r="C7172" i="2"/>
  <c r="E7171" i="2"/>
  <c r="C7171" i="2"/>
  <c r="E7170" i="2"/>
  <c r="C7170" i="2"/>
  <c r="E7169" i="2"/>
  <c r="C7169" i="2"/>
  <c r="E7168" i="2"/>
  <c r="C7168" i="2"/>
  <c r="E7167" i="2"/>
  <c r="C7167" i="2"/>
  <c r="E7166" i="2"/>
  <c r="C7166" i="2"/>
  <c r="E7165" i="2"/>
  <c r="C7165" i="2"/>
  <c r="E7164" i="2"/>
  <c r="C7164" i="2"/>
  <c r="E7163" i="2"/>
  <c r="C7163" i="2"/>
  <c r="E7162" i="2"/>
  <c r="C7162" i="2"/>
  <c r="E7161" i="2"/>
  <c r="C7161" i="2"/>
  <c r="E7160" i="2"/>
  <c r="C7160" i="2"/>
  <c r="E7159" i="2"/>
  <c r="C7159" i="2"/>
  <c r="E7158" i="2"/>
  <c r="C7158" i="2"/>
  <c r="E7157" i="2"/>
  <c r="C7157" i="2"/>
  <c r="E7156" i="2"/>
  <c r="C7156" i="2"/>
  <c r="E7155" i="2"/>
  <c r="C7155" i="2"/>
  <c r="E7154" i="2"/>
  <c r="C7154" i="2"/>
  <c r="E7153" i="2"/>
  <c r="C7153" i="2"/>
  <c r="E7152" i="2"/>
  <c r="C7152" i="2"/>
  <c r="E7151" i="2"/>
  <c r="C7151" i="2"/>
  <c r="E7150" i="2"/>
  <c r="C7150" i="2"/>
  <c r="E7149" i="2"/>
  <c r="C7149" i="2"/>
  <c r="E7148" i="2"/>
  <c r="C7148" i="2"/>
  <c r="E7147" i="2"/>
  <c r="C7147" i="2"/>
  <c r="E7146" i="2"/>
  <c r="C7146" i="2"/>
  <c r="E7145" i="2"/>
  <c r="C7145" i="2"/>
  <c r="E7144" i="2"/>
  <c r="C7144" i="2"/>
  <c r="E7143" i="2"/>
  <c r="C7143" i="2"/>
  <c r="E7142" i="2"/>
  <c r="C7142" i="2"/>
  <c r="E7141" i="2"/>
  <c r="C7141" i="2"/>
  <c r="E7140" i="2"/>
  <c r="C7140" i="2"/>
  <c r="E7139" i="2"/>
  <c r="C7139" i="2"/>
  <c r="E7138" i="2"/>
  <c r="C7138" i="2"/>
  <c r="E7137" i="2"/>
  <c r="C7137" i="2"/>
  <c r="E7136" i="2"/>
  <c r="C7136" i="2"/>
  <c r="E7135" i="2"/>
  <c r="C7135" i="2"/>
  <c r="E7134" i="2"/>
  <c r="C7134" i="2"/>
  <c r="E7133" i="2"/>
  <c r="C7133" i="2"/>
  <c r="E7132" i="2"/>
  <c r="C7132" i="2"/>
  <c r="E7131" i="2"/>
  <c r="C7131" i="2"/>
  <c r="E7130" i="2"/>
  <c r="C7130" i="2"/>
  <c r="E7129" i="2"/>
  <c r="C7129" i="2"/>
  <c r="E7128" i="2"/>
  <c r="C7128" i="2"/>
  <c r="E7127" i="2"/>
  <c r="C7127" i="2"/>
  <c r="E7126" i="2"/>
  <c r="C7126" i="2"/>
  <c r="E7125" i="2"/>
  <c r="C7125" i="2"/>
  <c r="E7124" i="2"/>
  <c r="C7124" i="2"/>
  <c r="E7123" i="2"/>
  <c r="C7123" i="2"/>
  <c r="E7122" i="2"/>
  <c r="C7122" i="2"/>
  <c r="E7121" i="2"/>
  <c r="C7121" i="2"/>
  <c r="E7120" i="2"/>
  <c r="C7120" i="2"/>
  <c r="E7119" i="2"/>
  <c r="C7119" i="2"/>
  <c r="E7118" i="2"/>
  <c r="C7118" i="2"/>
  <c r="E7117" i="2"/>
  <c r="C7117" i="2"/>
  <c r="E7116" i="2"/>
  <c r="C7116" i="2"/>
  <c r="E7115" i="2"/>
  <c r="C7115" i="2"/>
  <c r="E7114" i="2"/>
  <c r="C7114" i="2"/>
  <c r="E7113" i="2"/>
  <c r="C7113" i="2"/>
  <c r="E7112" i="2"/>
  <c r="C7112" i="2"/>
  <c r="E7111" i="2"/>
  <c r="C7111" i="2"/>
  <c r="E7110" i="2"/>
  <c r="C7110" i="2"/>
  <c r="E7109" i="2"/>
  <c r="C7109" i="2"/>
  <c r="E7108" i="2"/>
  <c r="C7108" i="2"/>
  <c r="E7107" i="2"/>
  <c r="C7107" i="2"/>
  <c r="E7106" i="2"/>
  <c r="C7106" i="2"/>
  <c r="E7105" i="2"/>
  <c r="C7105" i="2"/>
  <c r="E7104" i="2"/>
  <c r="C7104" i="2"/>
  <c r="E7103" i="2"/>
  <c r="C7103" i="2"/>
  <c r="E7102" i="2"/>
  <c r="C7102" i="2"/>
  <c r="E7101" i="2"/>
  <c r="C7101" i="2"/>
  <c r="E7100" i="2"/>
  <c r="C7100" i="2"/>
  <c r="E7099" i="2"/>
  <c r="C7099" i="2"/>
  <c r="E7098" i="2"/>
  <c r="C7098" i="2"/>
  <c r="E7097" i="2"/>
  <c r="C7097" i="2"/>
  <c r="E7096" i="2"/>
  <c r="C7096" i="2"/>
  <c r="E7095" i="2"/>
  <c r="C7095" i="2"/>
  <c r="E7094" i="2"/>
  <c r="C7094" i="2"/>
  <c r="E7093" i="2"/>
  <c r="C7093" i="2"/>
  <c r="E7092" i="2"/>
  <c r="C7092" i="2"/>
  <c r="E7091" i="2"/>
  <c r="C7091" i="2"/>
  <c r="E7090" i="2"/>
  <c r="C7090" i="2"/>
  <c r="E7089" i="2"/>
  <c r="C7089" i="2"/>
  <c r="E7088" i="2"/>
  <c r="C7088" i="2"/>
  <c r="E7087" i="2"/>
  <c r="C7087" i="2"/>
  <c r="E7086" i="2"/>
  <c r="C7086" i="2"/>
  <c r="E7085" i="2"/>
  <c r="C7085" i="2"/>
  <c r="E7084" i="2"/>
  <c r="C7084" i="2"/>
  <c r="E7083" i="2"/>
  <c r="C7083" i="2"/>
  <c r="E7082" i="2"/>
  <c r="C7082" i="2"/>
  <c r="E7081" i="2"/>
  <c r="C7081" i="2"/>
  <c r="E7080" i="2"/>
  <c r="C7080" i="2"/>
  <c r="E7079" i="2"/>
  <c r="C7079" i="2"/>
  <c r="E7078" i="2"/>
  <c r="C7078" i="2"/>
  <c r="E7077" i="2"/>
  <c r="C7077" i="2"/>
  <c r="E7076" i="2"/>
  <c r="C7076" i="2"/>
  <c r="E7075" i="2"/>
  <c r="C7075" i="2"/>
  <c r="E7074" i="2"/>
  <c r="C7074" i="2"/>
  <c r="E7073" i="2"/>
  <c r="C7073" i="2"/>
  <c r="E7072" i="2"/>
  <c r="C7072" i="2"/>
  <c r="E7071" i="2"/>
  <c r="C7071" i="2"/>
  <c r="E7070" i="2"/>
  <c r="C7070" i="2"/>
  <c r="E7069" i="2"/>
  <c r="C7069" i="2"/>
  <c r="E7068" i="2"/>
  <c r="C7068" i="2"/>
  <c r="E7067" i="2"/>
  <c r="C7067" i="2"/>
  <c r="E7066" i="2"/>
  <c r="C7066" i="2"/>
  <c r="E7065" i="2"/>
  <c r="C7065" i="2"/>
  <c r="E7064" i="2"/>
  <c r="C7064" i="2"/>
  <c r="E7063" i="2"/>
  <c r="C7063" i="2"/>
  <c r="E7062" i="2"/>
  <c r="C7062" i="2"/>
  <c r="E7061" i="2"/>
  <c r="C7061" i="2"/>
  <c r="E7060" i="2"/>
  <c r="C7060" i="2"/>
  <c r="E7059" i="2"/>
  <c r="C7059" i="2"/>
  <c r="E7058" i="2"/>
  <c r="C7058" i="2"/>
  <c r="E7057" i="2"/>
  <c r="C7057" i="2"/>
  <c r="E7056" i="2"/>
  <c r="C7056" i="2"/>
  <c r="E7055" i="2"/>
  <c r="C7055" i="2"/>
  <c r="E7054" i="2"/>
  <c r="C7054" i="2"/>
  <c r="E7053" i="2"/>
  <c r="C7053" i="2"/>
  <c r="E7052" i="2"/>
  <c r="C7052" i="2"/>
  <c r="E7051" i="2"/>
  <c r="C7051" i="2"/>
  <c r="E7050" i="2"/>
  <c r="C7050" i="2"/>
  <c r="E7049" i="2"/>
  <c r="C7049" i="2"/>
  <c r="E7048" i="2"/>
  <c r="C7048" i="2"/>
  <c r="E7047" i="2"/>
  <c r="C7047" i="2"/>
  <c r="E7046" i="2"/>
  <c r="C7046" i="2"/>
  <c r="E7045" i="2"/>
  <c r="C7045" i="2"/>
  <c r="E7044" i="2"/>
  <c r="C7044" i="2"/>
  <c r="E7043" i="2"/>
  <c r="C7043" i="2"/>
  <c r="E7042" i="2"/>
  <c r="C7042" i="2"/>
  <c r="E7041" i="2"/>
  <c r="C7041" i="2"/>
  <c r="E7040" i="2"/>
  <c r="C7040" i="2"/>
  <c r="E7039" i="2"/>
  <c r="C7039" i="2"/>
  <c r="E7038" i="2"/>
  <c r="C7038" i="2"/>
  <c r="E7037" i="2"/>
  <c r="C7037" i="2"/>
  <c r="E7036" i="2"/>
  <c r="C7036" i="2"/>
  <c r="E7035" i="2"/>
  <c r="C7035" i="2"/>
  <c r="E7034" i="2"/>
  <c r="C7034" i="2"/>
  <c r="E7033" i="2"/>
  <c r="C7033" i="2"/>
  <c r="E7032" i="2"/>
  <c r="C7032" i="2"/>
  <c r="E7031" i="2"/>
  <c r="C7031" i="2"/>
  <c r="E7030" i="2"/>
  <c r="C7030" i="2"/>
  <c r="E7029" i="2"/>
  <c r="C7029" i="2"/>
  <c r="E7028" i="2"/>
  <c r="C7028" i="2"/>
  <c r="E7027" i="2"/>
  <c r="C7027" i="2"/>
  <c r="E7026" i="2"/>
  <c r="C7026" i="2"/>
  <c r="E7025" i="2"/>
  <c r="C7025" i="2"/>
  <c r="E7024" i="2"/>
  <c r="C7024" i="2"/>
  <c r="E7023" i="2"/>
  <c r="C7023" i="2"/>
  <c r="E7022" i="2"/>
  <c r="C7022" i="2"/>
  <c r="E7021" i="2"/>
  <c r="C7021" i="2"/>
  <c r="E7020" i="2"/>
  <c r="C7020" i="2"/>
  <c r="E7019" i="2"/>
  <c r="C7019" i="2"/>
  <c r="E7018" i="2"/>
  <c r="C7018" i="2"/>
  <c r="E7017" i="2"/>
  <c r="C7017" i="2"/>
  <c r="E7016" i="2"/>
  <c r="C7016" i="2"/>
  <c r="E7015" i="2"/>
  <c r="C7015" i="2"/>
  <c r="E7014" i="2"/>
  <c r="C7014" i="2"/>
  <c r="E7013" i="2"/>
  <c r="C7013" i="2"/>
  <c r="E7012" i="2"/>
  <c r="C7012" i="2"/>
  <c r="E7011" i="2"/>
  <c r="C7011" i="2"/>
  <c r="E7010" i="2"/>
  <c r="C7010" i="2"/>
  <c r="E7009" i="2"/>
  <c r="C7009" i="2"/>
  <c r="E7008" i="2"/>
  <c r="C7008" i="2"/>
  <c r="E7007" i="2"/>
  <c r="C7007" i="2"/>
  <c r="E7006" i="2"/>
  <c r="C7006" i="2"/>
  <c r="E7005" i="2"/>
  <c r="C7005" i="2"/>
  <c r="E7004" i="2"/>
  <c r="C7004" i="2"/>
  <c r="E7003" i="2"/>
  <c r="C7003" i="2"/>
  <c r="E7002" i="2"/>
  <c r="C7002" i="2"/>
  <c r="E7001" i="2"/>
  <c r="C7001" i="2"/>
  <c r="E7000" i="2"/>
  <c r="C7000" i="2"/>
  <c r="E6999" i="2"/>
  <c r="C6999" i="2"/>
  <c r="E6998" i="2"/>
  <c r="C6998" i="2"/>
  <c r="E6997" i="2"/>
  <c r="C6997" i="2"/>
  <c r="E6996" i="2"/>
  <c r="C6996" i="2"/>
  <c r="E6995" i="2"/>
  <c r="C6995" i="2"/>
  <c r="E6994" i="2"/>
  <c r="C6994" i="2"/>
  <c r="E6993" i="2"/>
  <c r="C6993" i="2"/>
  <c r="E6992" i="2"/>
  <c r="C6992" i="2"/>
  <c r="E6991" i="2"/>
  <c r="C6991" i="2"/>
  <c r="E6990" i="2"/>
  <c r="C6990" i="2"/>
  <c r="E6989" i="2"/>
  <c r="C6989" i="2"/>
  <c r="E6988" i="2"/>
  <c r="C6988" i="2"/>
  <c r="E6987" i="2"/>
  <c r="C6987" i="2"/>
  <c r="E6986" i="2"/>
  <c r="C6986" i="2"/>
  <c r="E6985" i="2"/>
  <c r="C6985" i="2"/>
  <c r="E6984" i="2"/>
  <c r="C6984" i="2"/>
  <c r="E6983" i="2"/>
  <c r="C6983" i="2"/>
  <c r="E6982" i="2"/>
  <c r="C6982" i="2"/>
  <c r="E6981" i="2"/>
  <c r="C6981" i="2"/>
  <c r="E6980" i="2"/>
  <c r="C6980" i="2"/>
  <c r="E6979" i="2"/>
  <c r="C6979" i="2"/>
  <c r="E6978" i="2"/>
  <c r="C6978" i="2"/>
  <c r="E6977" i="2"/>
  <c r="C6977" i="2"/>
  <c r="E6976" i="2"/>
  <c r="C6976" i="2"/>
  <c r="E6975" i="2"/>
  <c r="C6975" i="2"/>
  <c r="E6974" i="2"/>
  <c r="C6974" i="2"/>
  <c r="E6973" i="2"/>
  <c r="C6973" i="2"/>
  <c r="E6972" i="2"/>
  <c r="C6972" i="2"/>
  <c r="E6971" i="2"/>
  <c r="C6971" i="2"/>
  <c r="E6970" i="2"/>
  <c r="C6970" i="2"/>
  <c r="E6969" i="2"/>
  <c r="C6969" i="2"/>
  <c r="E6968" i="2"/>
  <c r="C6968" i="2"/>
  <c r="E6967" i="2"/>
  <c r="C6967" i="2"/>
  <c r="E6966" i="2"/>
  <c r="C6966" i="2"/>
  <c r="E6965" i="2"/>
  <c r="C6965" i="2"/>
  <c r="E6964" i="2"/>
  <c r="C6964" i="2"/>
  <c r="E6963" i="2"/>
  <c r="C6963" i="2"/>
  <c r="E6962" i="2"/>
  <c r="C6962" i="2"/>
  <c r="E6961" i="2"/>
  <c r="C6961" i="2"/>
  <c r="E6960" i="2"/>
  <c r="C6960" i="2"/>
  <c r="E6959" i="2"/>
  <c r="C6959" i="2"/>
  <c r="E6958" i="2"/>
  <c r="C6958" i="2"/>
  <c r="E6957" i="2"/>
  <c r="C6957" i="2"/>
  <c r="E6956" i="2"/>
  <c r="C6956" i="2"/>
  <c r="E6955" i="2"/>
  <c r="C6955" i="2"/>
  <c r="E6954" i="2"/>
  <c r="C6954" i="2"/>
  <c r="E6953" i="2"/>
  <c r="C6953" i="2"/>
  <c r="E6952" i="2"/>
  <c r="C6952" i="2"/>
  <c r="E6951" i="2"/>
  <c r="C6951" i="2"/>
  <c r="E6950" i="2"/>
  <c r="C6950" i="2"/>
  <c r="E6949" i="2"/>
  <c r="C6949" i="2"/>
  <c r="E6948" i="2"/>
  <c r="C6948" i="2"/>
  <c r="E6947" i="2"/>
  <c r="C6947" i="2"/>
  <c r="E6946" i="2"/>
  <c r="C6946" i="2"/>
  <c r="E6945" i="2"/>
  <c r="C6945" i="2"/>
  <c r="E6944" i="2"/>
  <c r="C6944" i="2"/>
  <c r="E6943" i="2"/>
  <c r="C6943" i="2"/>
  <c r="E6942" i="2"/>
  <c r="C6942" i="2"/>
  <c r="E6941" i="2"/>
  <c r="C6941" i="2"/>
  <c r="E6940" i="2"/>
  <c r="C6940" i="2"/>
  <c r="E6939" i="2"/>
  <c r="C6939" i="2"/>
  <c r="E6938" i="2"/>
  <c r="C6938" i="2"/>
  <c r="E6937" i="2"/>
  <c r="C6937" i="2"/>
  <c r="E6936" i="2"/>
  <c r="C6936" i="2"/>
  <c r="E6935" i="2"/>
  <c r="C6935" i="2"/>
  <c r="E6934" i="2"/>
  <c r="C6934" i="2"/>
  <c r="E6933" i="2"/>
  <c r="C6933" i="2"/>
  <c r="E6932" i="2"/>
  <c r="C6932" i="2"/>
  <c r="E6931" i="2"/>
  <c r="C6931" i="2"/>
  <c r="E6930" i="2"/>
  <c r="C6930" i="2"/>
  <c r="E6929" i="2"/>
  <c r="C6929" i="2"/>
  <c r="E6928" i="2"/>
  <c r="C6928" i="2"/>
  <c r="E6927" i="2"/>
  <c r="C6927" i="2"/>
  <c r="E6926" i="2"/>
  <c r="C6926" i="2"/>
  <c r="E6925" i="2"/>
  <c r="C6925" i="2"/>
  <c r="E6924" i="2"/>
  <c r="C6924" i="2"/>
  <c r="E6923" i="2"/>
  <c r="C6923" i="2"/>
  <c r="E6922" i="2"/>
  <c r="C6922" i="2"/>
  <c r="E6921" i="2"/>
  <c r="C6921" i="2"/>
  <c r="E6920" i="2"/>
  <c r="C6920" i="2"/>
  <c r="E6919" i="2"/>
  <c r="C6919" i="2"/>
  <c r="E6918" i="2"/>
  <c r="C6918" i="2"/>
  <c r="E6917" i="2"/>
  <c r="C6917" i="2"/>
  <c r="E6916" i="2"/>
  <c r="C6916" i="2"/>
  <c r="E6915" i="2"/>
  <c r="C6915" i="2"/>
  <c r="E6914" i="2"/>
  <c r="C6914" i="2"/>
  <c r="E6913" i="2"/>
  <c r="C6913" i="2"/>
  <c r="E6912" i="2"/>
  <c r="C6912" i="2"/>
  <c r="E6911" i="2"/>
  <c r="C6911" i="2"/>
  <c r="E6910" i="2"/>
  <c r="C6910" i="2"/>
  <c r="E6909" i="2"/>
  <c r="C6909" i="2"/>
  <c r="E6908" i="2"/>
  <c r="C6908" i="2"/>
  <c r="E6907" i="2"/>
  <c r="C6907" i="2"/>
  <c r="E6906" i="2"/>
  <c r="C6906" i="2"/>
  <c r="E6905" i="2"/>
  <c r="C6905" i="2"/>
  <c r="E6904" i="2"/>
  <c r="C6904" i="2"/>
  <c r="E6903" i="2"/>
  <c r="C6903" i="2"/>
  <c r="E6902" i="2"/>
  <c r="C6902" i="2"/>
  <c r="E6901" i="2"/>
  <c r="C6901" i="2"/>
  <c r="E6900" i="2"/>
  <c r="C6900" i="2"/>
  <c r="E6899" i="2"/>
  <c r="C6899" i="2"/>
  <c r="E6898" i="2"/>
  <c r="C6898" i="2"/>
  <c r="E6897" i="2"/>
  <c r="C6897" i="2"/>
  <c r="E6896" i="2"/>
  <c r="C6896" i="2"/>
  <c r="E6895" i="2"/>
  <c r="C6895" i="2"/>
  <c r="E6894" i="2"/>
  <c r="C6894" i="2"/>
  <c r="E6893" i="2"/>
  <c r="C6893" i="2"/>
  <c r="E6892" i="2"/>
  <c r="C6892" i="2"/>
  <c r="E6891" i="2"/>
  <c r="C6891" i="2"/>
  <c r="E6890" i="2"/>
  <c r="C6890" i="2"/>
  <c r="E6889" i="2"/>
  <c r="C6889" i="2"/>
  <c r="E6888" i="2"/>
  <c r="C6888" i="2"/>
  <c r="E6887" i="2"/>
  <c r="C6887" i="2"/>
  <c r="E6886" i="2"/>
  <c r="C6886" i="2"/>
  <c r="E6885" i="2"/>
  <c r="C6885" i="2"/>
  <c r="E6884" i="2"/>
  <c r="C6884" i="2"/>
  <c r="E6883" i="2"/>
  <c r="C6883" i="2"/>
  <c r="E6882" i="2"/>
  <c r="C6882" i="2"/>
  <c r="E6881" i="2"/>
  <c r="C6881" i="2"/>
  <c r="E6880" i="2"/>
  <c r="C6880" i="2"/>
  <c r="E6879" i="2"/>
  <c r="C6879" i="2"/>
  <c r="E6878" i="2"/>
  <c r="C6878" i="2"/>
  <c r="E6877" i="2"/>
  <c r="C6877" i="2"/>
  <c r="E6876" i="2"/>
  <c r="C6876" i="2"/>
  <c r="E6875" i="2"/>
  <c r="C6875" i="2"/>
  <c r="E6874" i="2"/>
  <c r="C6874" i="2"/>
  <c r="E6873" i="2"/>
  <c r="C6873" i="2"/>
  <c r="E6872" i="2"/>
  <c r="C6872" i="2"/>
  <c r="E6871" i="2"/>
  <c r="C6871" i="2"/>
  <c r="E6870" i="2"/>
  <c r="C6870" i="2"/>
  <c r="E6869" i="2"/>
  <c r="C6869" i="2"/>
  <c r="E6868" i="2"/>
  <c r="C6868" i="2"/>
  <c r="E6867" i="2"/>
  <c r="C6867" i="2"/>
  <c r="E6866" i="2"/>
  <c r="C6866" i="2"/>
  <c r="E6865" i="2"/>
  <c r="C6865" i="2"/>
  <c r="E6864" i="2"/>
  <c r="C6864" i="2"/>
  <c r="E6863" i="2"/>
  <c r="C6863" i="2"/>
  <c r="E6862" i="2"/>
  <c r="C6862" i="2"/>
  <c r="E6861" i="2"/>
  <c r="C6861" i="2"/>
  <c r="E6860" i="2"/>
  <c r="C6860" i="2"/>
  <c r="E6859" i="2"/>
  <c r="C6859" i="2"/>
  <c r="E6858" i="2"/>
  <c r="C6858" i="2"/>
  <c r="E6857" i="2"/>
  <c r="C6857" i="2"/>
  <c r="E6856" i="2"/>
  <c r="C6856" i="2"/>
  <c r="E6855" i="2"/>
  <c r="C6855" i="2"/>
  <c r="E6854" i="2"/>
  <c r="C6854" i="2"/>
  <c r="E6853" i="2"/>
  <c r="C6853" i="2"/>
  <c r="E6852" i="2"/>
  <c r="C6852" i="2"/>
  <c r="E6851" i="2"/>
  <c r="C6851" i="2"/>
  <c r="E6850" i="2"/>
  <c r="C6850" i="2"/>
  <c r="E6849" i="2"/>
  <c r="C6849" i="2"/>
  <c r="E6848" i="2"/>
  <c r="C6848" i="2"/>
  <c r="E6847" i="2"/>
  <c r="C6847" i="2"/>
  <c r="E6846" i="2"/>
  <c r="C6846" i="2"/>
  <c r="E6845" i="2"/>
  <c r="C6845" i="2"/>
  <c r="E6844" i="2"/>
  <c r="C6844" i="2"/>
  <c r="E6843" i="2"/>
  <c r="C6843" i="2"/>
  <c r="E6842" i="2"/>
  <c r="C6842" i="2"/>
  <c r="E6841" i="2"/>
  <c r="C6841" i="2"/>
  <c r="E6840" i="2"/>
  <c r="C6840" i="2"/>
  <c r="E6839" i="2"/>
  <c r="C6839" i="2"/>
  <c r="E6838" i="2"/>
  <c r="C6838" i="2"/>
  <c r="E6837" i="2"/>
  <c r="C6837" i="2"/>
  <c r="E6836" i="2"/>
  <c r="C6836" i="2"/>
  <c r="E6835" i="2"/>
  <c r="C6835" i="2"/>
  <c r="E6834" i="2"/>
  <c r="C6834" i="2"/>
  <c r="E6833" i="2"/>
  <c r="C6833" i="2"/>
  <c r="E6832" i="2"/>
  <c r="C6832" i="2"/>
  <c r="E6831" i="2"/>
  <c r="C6831" i="2"/>
  <c r="E6830" i="2"/>
  <c r="C6830" i="2"/>
  <c r="E6829" i="2"/>
  <c r="C6829" i="2"/>
  <c r="E6828" i="2"/>
  <c r="C6828" i="2"/>
  <c r="E6827" i="2"/>
  <c r="C6827" i="2"/>
  <c r="E6826" i="2"/>
  <c r="C6826" i="2"/>
  <c r="E6825" i="2"/>
  <c r="C6825" i="2"/>
  <c r="E6824" i="2"/>
  <c r="C6824" i="2"/>
  <c r="E6823" i="2"/>
  <c r="C6823" i="2"/>
  <c r="E6822" i="2"/>
  <c r="C6822" i="2"/>
  <c r="E6821" i="2"/>
  <c r="C6821" i="2"/>
  <c r="E6820" i="2"/>
  <c r="C6820" i="2"/>
  <c r="E6819" i="2"/>
  <c r="C6819" i="2"/>
  <c r="E6818" i="2"/>
  <c r="C6818" i="2"/>
  <c r="E6817" i="2"/>
  <c r="C6817" i="2"/>
  <c r="E6816" i="2"/>
  <c r="C6816" i="2"/>
  <c r="E6815" i="2"/>
  <c r="C6815" i="2"/>
  <c r="E6814" i="2"/>
  <c r="C6814" i="2"/>
  <c r="E6813" i="2"/>
  <c r="C6813" i="2"/>
  <c r="E6812" i="2"/>
  <c r="C6812" i="2"/>
  <c r="E6811" i="2"/>
  <c r="C6811" i="2"/>
  <c r="E6810" i="2"/>
  <c r="C6810" i="2"/>
  <c r="E6809" i="2"/>
  <c r="C6809" i="2"/>
  <c r="E6808" i="2"/>
  <c r="C6808" i="2"/>
  <c r="E6807" i="2"/>
  <c r="C6807" i="2"/>
  <c r="E6806" i="2"/>
  <c r="C6806" i="2"/>
  <c r="E6805" i="2"/>
  <c r="C6805" i="2"/>
  <c r="E6804" i="2"/>
  <c r="C6804" i="2"/>
  <c r="E6803" i="2"/>
  <c r="C6803" i="2"/>
  <c r="E6802" i="2"/>
  <c r="C6802" i="2"/>
  <c r="E6801" i="2"/>
  <c r="C6801" i="2"/>
  <c r="E6800" i="2"/>
  <c r="C6800" i="2"/>
  <c r="E6799" i="2"/>
  <c r="C6799" i="2"/>
  <c r="E6798" i="2"/>
  <c r="C6798" i="2"/>
  <c r="E6797" i="2"/>
  <c r="C6797" i="2"/>
  <c r="E6796" i="2"/>
  <c r="C6796" i="2"/>
  <c r="E6795" i="2"/>
  <c r="C6795" i="2"/>
  <c r="E6794" i="2"/>
  <c r="C6794" i="2"/>
  <c r="E6793" i="2"/>
  <c r="C6793" i="2"/>
  <c r="E6792" i="2"/>
  <c r="C6792" i="2"/>
  <c r="E6791" i="2"/>
  <c r="C6791" i="2"/>
  <c r="E6790" i="2"/>
  <c r="C6790" i="2"/>
  <c r="E6789" i="2"/>
  <c r="C6789" i="2"/>
  <c r="E6788" i="2"/>
  <c r="C6788" i="2"/>
  <c r="E6787" i="2"/>
  <c r="C6787" i="2"/>
  <c r="E6786" i="2"/>
  <c r="C6786" i="2"/>
  <c r="E6785" i="2"/>
  <c r="C6785" i="2"/>
  <c r="E6784" i="2"/>
  <c r="C6784" i="2"/>
  <c r="E6783" i="2"/>
  <c r="C6783" i="2"/>
  <c r="E6782" i="2"/>
  <c r="C6782" i="2"/>
  <c r="E6781" i="2"/>
  <c r="C6781" i="2"/>
  <c r="E6780" i="2"/>
  <c r="C6780" i="2"/>
  <c r="E6779" i="2"/>
  <c r="C6779" i="2"/>
  <c r="E6778" i="2"/>
  <c r="C6778" i="2"/>
  <c r="E6777" i="2"/>
  <c r="C6777" i="2"/>
  <c r="E6776" i="2"/>
  <c r="C6776" i="2"/>
  <c r="E6775" i="2"/>
  <c r="C6775" i="2"/>
  <c r="E6774" i="2"/>
  <c r="C6774" i="2"/>
  <c r="E6773" i="2"/>
  <c r="C6773" i="2"/>
  <c r="E6772" i="2"/>
  <c r="C6772" i="2"/>
  <c r="E6771" i="2"/>
  <c r="C6771" i="2"/>
  <c r="E6770" i="2"/>
  <c r="C6770" i="2"/>
  <c r="E6769" i="2"/>
  <c r="C6769" i="2"/>
  <c r="E6768" i="2"/>
  <c r="C6768" i="2"/>
  <c r="E6767" i="2"/>
  <c r="C6767" i="2"/>
  <c r="E6766" i="2"/>
  <c r="C6766" i="2"/>
  <c r="E6765" i="2"/>
  <c r="C6765" i="2"/>
  <c r="E6764" i="2"/>
  <c r="C6764" i="2"/>
  <c r="E6763" i="2"/>
  <c r="C6763" i="2"/>
  <c r="E6762" i="2"/>
  <c r="C6762" i="2"/>
  <c r="E6761" i="2"/>
  <c r="C6761" i="2"/>
  <c r="E6760" i="2"/>
  <c r="C6760" i="2"/>
  <c r="E6759" i="2"/>
  <c r="C6759" i="2"/>
  <c r="E6758" i="2"/>
  <c r="C6758" i="2"/>
  <c r="E6757" i="2"/>
  <c r="C6757" i="2"/>
  <c r="E6756" i="2"/>
  <c r="C6756" i="2"/>
  <c r="E6755" i="2"/>
  <c r="C6755" i="2"/>
  <c r="E6754" i="2"/>
  <c r="C6754" i="2"/>
  <c r="E6753" i="2"/>
  <c r="C6753" i="2"/>
  <c r="E6752" i="2"/>
  <c r="C6752" i="2"/>
  <c r="E6751" i="2"/>
  <c r="C6751" i="2"/>
  <c r="E6750" i="2"/>
  <c r="C6750" i="2"/>
  <c r="E6749" i="2"/>
  <c r="C6749" i="2"/>
  <c r="E6748" i="2"/>
  <c r="C6748" i="2"/>
  <c r="E6747" i="2"/>
  <c r="C6747" i="2"/>
  <c r="E6746" i="2"/>
  <c r="C6746" i="2"/>
  <c r="E6745" i="2"/>
  <c r="C6745" i="2"/>
  <c r="E6744" i="2"/>
  <c r="C6744" i="2"/>
  <c r="E6743" i="2"/>
  <c r="C6743" i="2"/>
  <c r="E6742" i="2"/>
  <c r="C6742" i="2"/>
  <c r="E6741" i="2"/>
  <c r="C6741" i="2"/>
  <c r="E6740" i="2"/>
  <c r="C6740" i="2"/>
  <c r="E6739" i="2"/>
  <c r="C6739" i="2"/>
  <c r="E6738" i="2"/>
  <c r="C6738" i="2"/>
  <c r="E6737" i="2"/>
  <c r="C6737" i="2"/>
  <c r="E6736" i="2"/>
  <c r="C6736" i="2"/>
  <c r="E6735" i="2"/>
  <c r="C6735" i="2"/>
  <c r="E6734" i="2"/>
  <c r="C6734" i="2"/>
  <c r="E6733" i="2"/>
  <c r="C6733" i="2"/>
  <c r="E6732" i="2"/>
  <c r="C6732" i="2"/>
  <c r="E6731" i="2"/>
  <c r="C6731" i="2"/>
  <c r="E6730" i="2"/>
  <c r="C6730" i="2"/>
  <c r="E6729" i="2"/>
  <c r="C6729" i="2"/>
  <c r="E6728" i="2"/>
  <c r="C6728" i="2"/>
  <c r="E6727" i="2"/>
  <c r="C6727" i="2"/>
  <c r="E6726" i="2"/>
  <c r="C6726" i="2"/>
  <c r="E6725" i="2"/>
  <c r="C6725" i="2"/>
  <c r="E6724" i="2"/>
  <c r="C6724" i="2"/>
  <c r="E6723" i="2"/>
  <c r="C6723" i="2"/>
  <c r="E6722" i="2"/>
  <c r="C6722" i="2"/>
  <c r="E6721" i="2"/>
  <c r="C6721" i="2"/>
  <c r="E6720" i="2"/>
  <c r="C6720" i="2"/>
  <c r="E6719" i="2"/>
  <c r="C6719" i="2"/>
  <c r="E6718" i="2"/>
  <c r="C6718" i="2"/>
  <c r="E6717" i="2"/>
  <c r="C6717" i="2"/>
  <c r="E6716" i="2"/>
  <c r="C6716" i="2"/>
  <c r="E6715" i="2"/>
  <c r="C6715" i="2"/>
  <c r="E6714" i="2"/>
  <c r="C6714" i="2"/>
  <c r="E6713" i="2"/>
  <c r="C6713" i="2"/>
  <c r="E6712" i="2"/>
  <c r="C6712" i="2"/>
  <c r="E6711" i="2"/>
  <c r="C6711" i="2"/>
  <c r="E6710" i="2"/>
  <c r="C6710" i="2"/>
  <c r="E6709" i="2"/>
  <c r="C6709" i="2"/>
  <c r="E6708" i="2"/>
  <c r="C6708" i="2"/>
  <c r="E6707" i="2"/>
  <c r="C6707" i="2"/>
  <c r="E6706" i="2"/>
  <c r="C6706" i="2"/>
  <c r="E6705" i="2"/>
  <c r="C6705" i="2"/>
  <c r="E6704" i="2"/>
  <c r="C6704" i="2"/>
  <c r="E6703" i="2"/>
  <c r="C6703" i="2"/>
  <c r="E6702" i="2"/>
  <c r="C6702" i="2"/>
  <c r="E6701" i="2"/>
  <c r="C6701" i="2"/>
  <c r="E6700" i="2"/>
  <c r="C6700" i="2"/>
  <c r="E6699" i="2"/>
  <c r="C6699" i="2"/>
  <c r="E6698" i="2"/>
  <c r="C6698" i="2"/>
  <c r="E6697" i="2"/>
  <c r="C6697" i="2"/>
  <c r="E6696" i="2"/>
  <c r="C6696" i="2"/>
  <c r="E6695" i="2"/>
  <c r="C6695" i="2"/>
  <c r="E6694" i="2"/>
  <c r="C6694" i="2"/>
  <c r="E6693" i="2"/>
  <c r="C6693" i="2"/>
  <c r="E6692" i="2"/>
  <c r="C6692" i="2"/>
  <c r="E6691" i="2"/>
  <c r="C6691" i="2"/>
  <c r="E6690" i="2"/>
  <c r="C6690" i="2"/>
  <c r="E6689" i="2"/>
  <c r="C6689" i="2"/>
  <c r="E6688" i="2"/>
  <c r="C6688" i="2"/>
  <c r="E6687" i="2"/>
  <c r="C6687" i="2"/>
  <c r="E6686" i="2"/>
  <c r="C6686" i="2"/>
  <c r="E6685" i="2"/>
  <c r="C6685" i="2"/>
  <c r="E6684" i="2"/>
  <c r="C6684" i="2"/>
  <c r="E6683" i="2"/>
  <c r="C6683" i="2"/>
  <c r="E6682" i="2"/>
  <c r="C6682" i="2"/>
  <c r="E6681" i="2"/>
  <c r="C6681" i="2"/>
  <c r="E6680" i="2"/>
  <c r="C6680" i="2"/>
  <c r="E6679" i="2"/>
  <c r="C6679" i="2"/>
  <c r="E6678" i="2"/>
  <c r="C6678" i="2"/>
  <c r="E6677" i="2"/>
  <c r="C6677" i="2"/>
  <c r="E6676" i="2"/>
  <c r="C6676" i="2"/>
  <c r="E6675" i="2"/>
  <c r="C6675" i="2"/>
  <c r="E6674" i="2"/>
  <c r="C6674" i="2"/>
  <c r="E6673" i="2"/>
  <c r="C6673" i="2"/>
  <c r="E6672" i="2"/>
  <c r="C6672" i="2"/>
  <c r="E6671" i="2"/>
  <c r="C6671" i="2"/>
  <c r="E6670" i="2"/>
  <c r="C6670" i="2"/>
  <c r="E6669" i="2"/>
  <c r="C6669" i="2"/>
  <c r="E6668" i="2"/>
  <c r="C6668" i="2"/>
  <c r="E6667" i="2"/>
  <c r="C6667" i="2"/>
  <c r="E6666" i="2"/>
  <c r="C6666" i="2"/>
  <c r="E6665" i="2"/>
  <c r="C6665" i="2"/>
  <c r="E6664" i="2"/>
  <c r="C6664" i="2"/>
  <c r="E6663" i="2"/>
  <c r="C6663" i="2"/>
  <c r="E6662" i="2"/>
  <c r="C6662" i="2"/>
  <c r="E6661" i="2"/>
  <c r="C6661" i="2"/>
  <c r="E6660" i="2"/>
  <c r="C6660" i="2"/>
  <c r="E6659" i="2"/>
  <c r="C6659" i="2"/>
  <c r="E6658" i="2"/>
  <c r="C6658" i="2"/>
  <c r="E6657" i="2"/>
  <c r="C6657" i="2"/>
  <c r="E6656" i="2"/>
  <c r="C6656" i="2"/>
  <c r="E6655" i="2"/>
  <c r="C6655" i="2"/>
  <c r="E6654" i="2"/>
  <c r="C6654" i="2"/>
  <c r="E6653" i="2"/>
  <c r="C6653" i="2"/>
  <c r="E6652" i="2"/>
  <c r="C6652" i="2"/>
  <c r="E6651" i="2"/>
  <c r="C6651" i="2"/>
  <c r="E6650" i="2"/>
  <c r="C6650" i="2"/>
  <c r="E6649" i="2"/>
  <c r="C6649" i="2"/>
  <c r="E6648" i="2"/>
  <c r="C6648" i="2"/>
  <c r="E6647" i="2"/>
  <c r="C6647" i="2"/>
  <c r="E6646" i="2"/>
  <c r="C6646" i="2"/>
  <c r="E6645" i="2"/>
  <c r="C6645" i="2"/>
  <c r="E6644" i="2"/>
  <c r="C6644" i="2"/>
  <c r="E6643" i="2"/>
  <c r="C6643" i="2"/>
  <c r="E6642" i="2"/>
  <c r="C6642" i="2"/>
  <c r="E6641" i="2"/>
  <c r="C6641" i="2"/>
  <c r="E6640" i="2"/>
  <c r="C6640" i="2"/>
  <c r="E6639" i="2"/>
  <c r="C6639" i="2"/>
  <c r="E6638" i="2"/>
  <c r="C6638" i="2"/>
  <c r="E6637" i="2"/>
  <c r="C6637" i="2"/>
  <c r="E6636" i="2"/>
  <c r="C6636" i="2"/>
  <c r="E6635" i="2"/>
  <c r="C6635" i="2"/>
  <c r="E6634" i="2"/>
  <c r="C6634" i="2"/>
  <c r="E6633" i="2"/>
  <c r="C6633" i="2"/>
  <c r="E6632" i="2"/>
  <c r="C6632" i="2"/>
  <c r="E6631" i="2"/>
  <c r="C6631" i="2"/>
  <c r="E6630" i="2"/>
  <c r="C6630" i="2"/>
  <c r="E6629" i="2"/>
  <c r="C6629" i="2"/>
  <c r="E6628" i="2"/>
  <c r="C6628" i="2"/>
  <c r="E6627" i="2"/>
  <c r="C6627" i="2"/>
  <c r="E6626" i="2"/>
  <c r="C6626" i="2"/>
  <c r="E6625" i="2"/>
  <c r="C6625" i="2"/>
  <c r="E6624" i="2"/>
  <c r="C6624" i="2"/>
  <c r="E6623" i="2"/>
  <c r="C6623" i="2"/>
  <c r="E6622" i="2"/>
  <c r="C6622" i="2"/>
  <c r="E6621" i="2"/>
  <c r="C6621" i="2"/>
  <c r="E6620" i="2"/>
  <c r="C6620" i="2"/>
  <c r="E6619" i="2"/>
  <c r="C6619" i="2"/>
  <c r="E6618" i="2"/>
  <c r="C6618" i="2"/>
  <c r="E6617" i="2"/>
  <c r="C6617" i="2"/>
  <c r="E6616" i="2"/>
  <c r="C6616" i="2"/>
  <c r="E6615" i="2"/>
  <c r="C6615" i="2"/>
  <c r="E6614" i="2"/>
  <c r="C6614" i="2"/>
  <c r="E6613" i="2"/>
  <c r="C6613" i="2"/>
  <c r="E6612" i="2"/>
  <c r="C6612" i="2"/>
  <c r="E6611" i="2"/>
  <c r="C6611" i="2"/>
  <c r="E6610" i="2"/>
  <c r="C6610" i="2"/>
  <c r="E6609" i="2"/>
  <c r="C6609" i="2"/>
  <c r="E6608" i="2"/>
  <c r="C6608" i="2"/>
  <c r="E6607" i="2"/>
  <c r="C6607" i="2"/>
  <c r="E6606" i="2"/>
  <c r="C6606" i="2"/>
  <c r="E6605" i="2"/>
  <c r="C6605" i="2"/>
  <c r="E6604" i="2"/>
  <c r="C6604" i="2"/>
  <c r="E6603" i="2"/>
  <c r="C6603" i="2"/>
  <c r="E6602" i="2"/>
  <c r="C6602" i="2"/>
  <c r="E6601" i="2"/>
  <c r="C6601" i="2"/>
  <c r="E6600" i="2"/>
  <c r="C6600" i="2"/>
  <c r="E6599" i="2"/>
  <c r="C6599" i="2"/>
  <c r="E6598" i="2"/>
  <c r="C6598" i="2"/>
  <c r="E6597" i="2"/>
  <c r="C6597" i="2"/>
  <c r="E6596" i="2"/>
  <c r="C6596" i="2"/>
  <c r="E6595" i="2"/>
  <c r="C6595" i="2"/>
  <c r="E6594" i="2"/>
  <c r="C6594" i="2"/>
  <c r="E6593" i="2"/>
  <c r="C6593" i="2"/>
  <c r="E6592" i="2"/>
  <c r="C6592" i="2"/>
  <c r="E6591" i="2"/>
  <c r="C6591" i="2"/>
  <c r="E6590" i="2"/>
  <c r="C6590" i="2"/>
  <c r="E6589" i="2"/>
  <c r="C6589" i="2"/>
  <c r="E6588" i="2"/>
  <c r="C6588" i="2"/>
  <c r="E6587" i="2"/>
  <c r="C6587" i="2"/>
  <c r="E6586" i="2"/>
  <c r="C6586" i="2"/>
  <c r="E6585" i="2"/>
  <c r="C6585" i="2"/>
  <c r="E6584" i="2"/>
  <c r="C6584" i="2"/>
  <c r="E6583" i="2"/>
  <c r="C6583" i="2"/>
  <c r="E6582" i="2"/>
  <c r="C6582" i="2"/>
  <c r="E6581" i="2"/>
  <c r="C6581" i="2"/>
  <c r="E6580" i="2"/>
  <c r="C6580" i="2"/>
  <c r="E6579" i="2"/>
  <c r="C6579" i="2"/>
  <c r="E6578" i="2"/>
  <c r="C6578" i="2"/>
  <c r="E6577" i="2"/>
  <c r="C6577" i="2"/>
  <c r="E6576" i="2"/>
  <c r="C6576" i="2"/>
  <c r="E6575" i="2"/>
  <c r="C6575" i="2"/>
  <c r="E6574" i="2"/>
  <c r="C6574" i="2"/>
  <c r="E6573" i="2"/>
  <c r="C6573" i="2"/>
  <c r="E6572" i="2"/>
  <c r="C6572" i="2"/>
  <c r="E6571" i="2"/>
  <c r="C6571" i="2"/>
  <c r="E6570" i="2"/>
  <c r="C6570" i="2"/>
  <c r="E6569" i="2"/>
  <c r="C6569" i="2"/>
  <c r="E6568" i="2"/>
  <c r="C6568" i="2"/>
  <c r="E6567" i="2"/>
  <c r="C6567" i="2"/>
  <c r="E6566" i="2"/>
  <c r="C6566" i="2"/>
  <c r="E6565" i="2"/>
  <c r="C6565" i="2"/>
  <c r="E6564" i="2"/>
  <c r="C6564" i="2"/>
  <c r="E6563" i="2"/>
  <c r="C6563" i="2"/>
  <c r="E6562" i="2"/>
  <c r="C6562" i="2"/>
  <c r="E6561" i="2"/>
  <c r="C6561" i="2"/>
  <c r="E6560" i="2"/>
  <c r="C6560" i="2"/>
  <c r="E6559" i="2"/>
  <c r="C6559" i="2"/>
  <c r="E6558" i="2"/>
  <c r="C6558" i="2"/>
  <c r="E6557" i="2"/>
  <c r="C6557" i="2"/>
  <c r="E6556" i="2"/>
  <c r="C6556" i="2"/>
  <c r="E6555" i="2"/>
  <c r="C6555" i="2"/>
  <c r="E6554" i="2"/>
  <c r="C6554" i="2"/>
  <c r="E6553" i="2"/>
  <c r="C6553" i="2"/>
  <c r="E6552" i="2"/>
  <c r="C6552" i="2"/>
  <c r="E6551" i="2"/>
  <c r="C6551" i="2"/>
  <c r="E6550" i="2"/>
  <c r="C6550" i="2"/>
  <c r="E6549" i="2"/>
  <c r="C6549" i="2"/>
  <c r="E6548" i="2"/>
  <c r="C6548" i="2"/>
  <c r="E6547" i="2"/>
  <c r="C6547" i="2"/>
  <c r="E6546" i="2"/>
  <c r="C6546" i="2"/>
  <c r="E6545" i="2"/>
  <c r="C6545" i="2"/>
  <c r="E6544" i="2"/>
  <c r="C6544" i="2"/>
  <c r="E6543" i="2"/>
  <c r="C6543" i="2"/>
  <c r="E6542" i="2"/>
  <c r="C6542" i="2"/>
  <c r="E6541" i="2"/>
  <c r="C6541" i="2"/>
  <c r="E6540" i="2"/>
  <c r="C6540" i="2"/>
  <c r="E6539" i="2"/>
  <c r="C6539" i="2"/>
  <c r="E6538" i="2"/>
  <c r="C6538" i="2"/>
  <c r="E6537" i="2"/>
  <c r="C6537" i="2"/>
  <c r="E6536" i="2"/>
  <c r="C6536" i="2"/>
  <c r="E6535" i="2"/>
  <c r="C6535" i="2"/>
  <c r="E6534" i="2"/>
  <c r="C6534" i="2"/>
  <c r="E6533" i="2"/>
  <c r="C6533" i="2"/>
  <c r="E6532" i="2"/>
  <c r="C6532" i="2"/>
  <c r="E6531" i="2"/>
  <c r="C6531" i="2"/>
  <c r="E6530" i="2"/>
  <c r="C6530" i="2"/>
  <c r="E6529" i="2"/>
  <c r="C6529" i="2"/>
  <c r="E6528" i="2"/>
  <c r="C6528" i="2"/>
  <c r="E6527" i="2"/>
  <c r="C6527" i="2"/>
  <c r="E6526" i="2"/>
  <c r="C6526" i="2"/>
  <c r="E6525" i="2"/>
  <c r="C6525" i="2"/>
  <c r="E6524" i="2"/>
  <c r="C6524" i="2"/>
  <c r="E6523" i="2"/>
  <c r="C6523" i="2"/>
  <c r="E6522" i="2"/>
  <c r="C6522" i="2"/>
  <c r="E6521" i="2"/>
  <c r="C6521" i="2"/>
  <c r="E6520" i="2"/>
  <c r="C6520" i="2"/>
  <c r="E6519" i="2"/>
  <c r="C6519" i="2"/>
  <c r="E6518" i="2"/>
  <c r="C6518" i="2"/>
  <c r="E6517" i="2"/>
  <c r="C6517" i="2"/>
  <c r="E6516" i="2"/>
  <c r="C6516" i="2"/>
  <c r="E6515" i="2"/>
  <c r="C6515" i="2"/>
  <c r="E6514" i="2"/>
  <c r="C6514" i="2"/>
  <c r="E6513" i="2"/>
  <c r="C6513" i="2"/>
  <c r="E6512" i="2"/>
  <c r="C6512" i="2"/>
  <c r="E6511" i="2"/>
  <c r="C6511" i="2"/>
  <c r="E6510" i="2"/>
  <c r="C6510" i="2"/>
  <c r="E6509" i="2"/>
  <c r="C6509" i="2"/>
  <c r="E6508" i="2"/>
  <c r="C6508" i="2"/>
  <c r="E6507" i="2"/>
  <c r="C6507" i="2"/>
  <c r="E6506" i="2"/>
  <c r="C6506" i="2"/>
  <c r="E6505" i="2"/>
  <c r="C6505" i="2"/>
  <c r="E6504" i="2"/>
  <c r="C6504" i="2"/>
  <c r="E6503" i="2"/>
  <c r="C6503" i="2"/>
  <c r="E6502" i="2"/>
  <c r="C6502" i="2"/>
  <c r="E6501" i="2"/>
  <c r="C6501" i="2"/>
  <c r="E6500" i="2"/>
  <c r="C6500" i="2"/>
  <c r="E6499" i="2"/>
  <c r="C6499" i="2"/>
  <c r="E6498" i="2"/>
  <c r="C6498" i="2"/>
  <c r="E6497" i="2"/>
  <c r="C6497" i="2"/>
  <c r="E6496" i="2"/>
  <c r="C6496" i="2"/>
  <c r="E6495" i="2"/>
  <c r="C6495" i="2"/>
  <c r="E6494" i="2"/>
  <c r="C6494" i="2"/>
  <c r="E6493" i="2"/>
  <c r="C6493" i="2"/>
  <c r="E6492" i="2"/>
  <c r="C6492" i="2"/>
  <c r="E6491" i="2"/>
  <c r="C6491" i="2"/>
  <c r="E6490" i="2"/>
  <c r="C6490" i="2"/>
  <c r="E6489" i="2"/>
  <c r="C6489" i="2"/>
  <c r="E6488" i="2"/>
  <c r="C6488" i="2"/>
  <c r="E6487" i="2"/>
  <c r="C6487" i="2"/>
  <c r="E6486" i="2"/>
  <c r="C6486" i="2"/>
  <c r="E6485" i="2"/>
  <c r="C6485" i="2"/>
  <c r="E6484" i="2"/>
  <c r="C6484" i="2"/>
  <c r="E6483" i="2"/>
  <c r="C6483" i="2"/>
  <c r="E6482" i="2"/>
  <c r="C6482" i="2"/>
  <c r="E6481" i="2"/>
  <c r="C6481" i="2"/>
  <c r="E6480" i="2"/>
  <c r="C6480" i="2"/>
  <c r="E6479" i="2"/>
  <c r="C6479" i="2"/>
  <c r="E6478" i="2"/>
  <c r="C6478" i="2"/>
  <c r="E6477" i="2"/>
  <c r="C6477" i="2"/>
  <c r="E6476" i="2"/>
  <c r="C6476" i="2"/>
  <c r="E6475" i="2"/>
  <c r="C6475" i="2"/>
  <c r="E6474" i="2"/>
  <c r="C6474" i="2"/>
  <c r="E6473" i="2"/>
  <c r="C6473" i="2"/>
  <c r="E6472" i="2"/>
  <c r="C6472" i="2"/>
  <c r="E6471" i="2"/>
  <c r="C6471" i="2"/>
  <c r="E6470" i="2"/>
  <c r="C6470" i="2"/>
  <c r="E6469" i="2"/>
  <c r="C6469" i="2"/>
  <c r="E6468" i="2"/>
  <c r="C6468" i="2"/>
  <c r="E6467" i="2"/>
  <c r="C6467" i="2"/>
  <c r="E6466" i="2"/>
  <c r="C6466" i="2"/>
  <c r="E6465" i="2"/>
  <c r="C6465" i="2"/>
  <c r="E6464" i="2"/>
  <c r="C6464" i="2"/>
  <c r="E6463" i="2"/>
  <c r="C6463" i="2"/>
  <c r="E6462" i="2"/>
  <c r="C6462" i="2"/>
  <c r="E6461" i="2"/>
  <c r="C6461" i="2"/>
  <c r="E6460" i="2"/>
  <c r="C6460" i="2"/>
  <c r="E6459" i="2"/>
  <c r="C6459" i="2"/>
  <c r="E6458" i="2"/>
  <c r="C6458" i="2"/>
  <c r="E6457" i="2"/>
  <c r="C6457" i="2"/>
  <c r="E6456" i="2"/>
  <c r="C6456" i="2"/>
  <c r="E6455" i="2"/>
  <c r="C6455" i="2"/>
  <c r="E6454" i="2"/>
  <c r="C6454" i="2"/>
  <c r="E6453" i="2"/>
  <c r="C6453" i="2"/>
  <c r="E6452" i="2"/>
  <c r="C6452" i="2"/>
  <c r="E6451" i="2"/>
  <c r="C6451" i="2"/>
  <c r="E6450" i="2"/>
  <c r="C6450" i="2"/>
  <c r="E6449" i="2"/>
  <c r="C6449" i="2"/>
  <c r="E6448" i="2"/>
  <c r="C6448" i="2"/>
  <c r="E6447" i="2"/>
  <c r="C6447" i="2"/>
  <c r="E6446" i="2"/>
  <c r="C6446" i="2"/>
  <c r="E6445" i="2"/>
  <c r="C6445" i="2"/>
  <c r="E6444" i="2"/>
  <c r="C6444" i="2"/>
  <c r="E6443" i="2"/>
  <c r="C6443" i="2"/>
  <c r="E6442" i="2"/>
  <c r="C6442" i="2"/>
  <c r="E6441" i="2"/>
  <c r="C6441" i="2"/>
  <c r="E6440" i="2"/>
  <c r="C6440" i="2"/>
  <c r="E6439" i="2"/>
  <c r="C6439" i="2"/>
  <c r="E6438" i="2"/>
  <c r="C6438" i="2"/>
  <c r="E6437" i="2"/>
  <c r="C6437" i="2"/>
  <c r="E6436" i="2"/>
  <c r="C6436" i="2"/>
  <c r="E6435" i="2"/>
  <c r="C6435" i="2"/>
  <c r="E6434" i="2"/>
  <c r="C6434" i="2"/>
  <c r="E6433" i="2"/>
  <c r="C6433" i="2"/>
  <c r="E6432" i="2"/>
  <c r="C6432" i="2"/>
  <c r="E6431" i="2"/>
  <c r="C6431" i="2"/>
  <c r="E6430" i="2"/>
  <c r="C6430" i="2"/>
  <c r="E6429" i="2"/>
  <c r="C6429" i="2"/>
  <c r="E6428" i="2"/>
  <c r="C6428" i="2"/>
  <c r="E6427" i="2"/>
  <c r="C6427" i="2"/>
  <c r="E6426" i="2"/>
  <c r="C6426" i="2"/>
  <c r="E6425" i="2"/>
  <c r="C6425" i="2"/>
  <c r="E6424" i="2"/>
  <c r="C6424" i="2"/>
  <c r="E6423" i="2"/>
  <c r="C6423" i="2"/>
  <c r="E6422" i="2"/>
  <c r="C6422" i="2"/>
  <c r="E6421" i="2"/>
  <c r="C6421" i="2"/>
  <c r="E6420" i="2"/>
  <c r="C6420" i="2"/>
  <c r="E6419" i="2"/>
  <c r="C6419" i="2"/>
  <c r="E6418" i="2"/>
  <c r="C6418" i="2"/>
  <c r="E6417" i="2"/>
  <c r="C6417" i="2"/>
  <c r="E6416" i="2"/>
  <c r="C6416" i="2"/>
  <c r="E6415" i="2"/>
  <c r="C6415" i="2"/>
  <c r="E6414" i="2"/>
  <c r="C6414" i="2"/>
  <c r="E6413" i="2"/>
  <c r="C6413" i="2"/>
  <c r="E6412" i="2"/>
  <c r="C6412" i="2"/>
  <c r="E6411" i="2"/>
  <c r="C6411" i="2"/>
  <c r="E6410" i="2"/>
  <c r="C6410" i="2"/>
  <c r="E6409" i="2"/>
  <c r="C6409" i="2"/>
  <c r="E6408" i="2"/>
  <c r="C6408" i="2"/>
  <c r="E6407" i="2"/>
  <c r="C6407" i="2"/>
  <c r="E6406" i="2"/>
  <c r="C6406" i="2"/>
  <c r="E6405" i="2"/>
  <c r="C6405" i="2"/>
  <c r="E6404" i="2"/>
  <c r="C6404" i="2"/>
  <c r="E6403" i="2"/>
  <c r="C6403" i="2"/>
  <c r="E6402" i="2"/>
  <c r="C6402" i="2"/>
  <c r="E6401" i="2"/>
  <c r="C6401" i="2"/>
  <c r="E6400" i="2"/>
  <c r="C6400" i="2"/>
  <c r="E6399" i="2"/>
  <c r="C6399" i="2"/>
  <c r="E6398" i="2"/>
  <c r="C6398" i="2"/>
  <c r="E6397" i="2"/>
  <c r="C6397" i="2"/>
  <c r="E6396" i="2"/>
  <c r="C6396" i="2"/>
  <c r="E6395" i="2"/>
  <c r="C6395" i="2"/>
  <c r="E6394" i="2"/>
  <c r="C6394" i="2"/>
  <c r="E6393" i="2"/>
  <c r="C6393" i="2"/>
  <c r="E6392" i="2"/>
  <c r="C6392" i="2"/>
  <c r="E6391" i="2"/>
  <c r="C6391" i="2"/>
  <c r="E6390" i="2"/>
  <c r="C6390" i="2"/>
  <c r="E6389" i="2"/>
  <c r="C6389" i="2"/>
  <c r="E6388" i="2"/>
  <c r="C6388" i="2"/>
  <c r="E6387" i="2"/>
  <c r="C6387" i="2"/>
  <c r="E6386" i="2"/>
  <c r="C6386" i="2"/>
  <c r="E6385" i="2"/>
  <c r="C6385" i="2"/>
  <c r="E6384" i="2"/>
  <c r="C6384" i="2"/>
  <c r="E6383" i="2"/>
  <c r="C6383" i="2"/>
  <c r="E6382" i="2"/>
  <c r="C6382" i="2"/>
  <c r="E6381" i="2"/>
  <c r="C6381" i="2"/>
  <c r="E6380" i="2"/>
  <c r="C6380" i="2"/>
  <c r="E6379" i="2"/>
  <c r="C6379" i="2"/>
  <c r="E6378" i="2"/>
  <c r="C6378" i="2"/>
  <c r="E6377" i="2"/>
  <c r="C6377" i="2"/>
  <c r="E6376" i="2"/>
  <c r="C6376" i="2"/>
  <c r="E6375" i="2"/>
  <c r="C6375" i="2"/>
  <c r="E6374" i="2"/>
  <c r="C6374" i="2"/>
  <c r="E6373" i="2"/>
  <c r="C6373" i="2"/>
  <c r="E6372" i="2"/>
  <c r="C6372" i="2"/>
  <c r="E6371" i="2"/>
  <c r="C6371" i="2"/>
  <c r="E6370" i="2"/>
  <c r="C6370" i="2"/>
  <c r="E6369" i="2"/>
  <c r="C6369" i="2"/>
  <c r="E6368" i="2"/>
  <c r="C6368" i="2"/>
  <c r="E6367" i="2"/>
  <c r="C6367" i="2"/>
  <c r="E6366" i="2"/>
  <c r="C6366" i="2"/>
  <c r="E6365" i="2"/>
  <c r="C6365" i="2"/>
  <c r="E6364" i="2"/>
  <c r="C6364" i="2"/>
  <c r="E6363" i="2"/>
  <c r="C6363" i="2"/>
  <c r="E6362" i="2"/>
  <c r="C6362" i="2"/>
  <c r="E6361" i="2"/>
  <c r="C6361" i="2"/>
  <c r="E6360" i="2"/>
  <c r="C6360" i="2"/>
  <c r="E6359" i="2"/>
  <c r="C6359" i="2"/>
  <c r="E6358" i="2"/>
  <c r="C6358" i="2"/>
  <c r="E6357" i="2"/>
  <c r="C6357" i="2"/>
  <c r="E6356" i="2"/>
  <c r="C6356" i="2"/>
  <c r="E6355" i="2"/>
  <c r="C6355" i="2"/>
  <c r="E6354" i="2"/>
  <c r="C6354" i="2"/>
  <c r="E6353" i="2"/>
  <c r="C6353" i="2"/>
  <c r="E6352" i="2"/>
  <c r="C6352" i="2"/>
  <c r="E6351" i="2"/>
  <c r="C6351" i="2"/>
  <c r="E6350" i="2"/>
  <c r="C6350" i="2"/>
  <c r="E6349" i="2"/>
  <c r="C6349" i="2"/>
  <c r="E6348" i="2"/>
  <c r="C6348" i="2"/>
  <c r="E6347" i="2"/>
  <c r="C6347" i="2"/>
  <c r="E6346" i="2"/>
  <c r="C6346" i="2"/>
  <c r="E6345" i="2"/>
  <c r="C6345" i="2"/>
  <c r="E6344" i="2"/>
  <c r="C6344" i="2"/>
  <c r="E6343" i="2"/>
  <c r="C6343" i="2"/>
  <c r="E6342" i="2"/>
  <c r="C6342" i="2"/>
  <c r="E6341" i="2"/>
  <c r="C6341" i="2"/>
  <c r="E6340" i="2"/>
  <c r="C6340" i="2"/>
  <c r="E6339" i="2"/>
  <c r="C6339" i="2"/>
  <c r="E6338" i="2"/>
  <c r="C6338" i="2"/>
  <c r="E6337" i="2"/>
  <c r="C6337" i="2"/>
  <c r="E6336" i="2"/>
  <c r="C6336" i="2"/>
  <c r="E6335" i="2"/>
  <c r="C6335" i="2"/>
  <c r="E6334" i="2"/>
  <c r="C6334" i="2"/>
  <c r="E6333" i="2"/>
  <c r="C6333" i="2"/>
  <c r="E6332" i="2"/>
  <c r="C6332" i="2"/>
  <c r="E6331" i="2"/>
  <c r="C6331" i="2"/>
  <c r="E6330" i="2"/>
  <c r="C6330" i="2"/>
  <c r="E6329" i="2"/>
  <c r="C6329" i="2"/>
  <c r="E6328" i="2"/>
  <c r="C6328" i="2"/>
  <c r="E6327" i="2"/>
  <c r="C6327" i="2"/>
  <c r="E6326" i="2"/>
  <c r="C6326" i="2"/>
  <c r="E6325" i="2"/>
  <c r="C6325" i="2"/>
  <c r="E6324" i="2"/>
  <c r="C6324" i="2"/>
  <c r="E6323" i="2"/>
  <c r="C6323" i="2"/>
  <c r="E6322" i="2"/>
  <c r="C6322" i="2"/>
  <c r="E6321" i="2"/>
  <c r="C6321" i="2"/>
  <c r="E6320" i="2"/>
  <c r="C6320" i="2"/>
  <c r="E6319" i="2"/>
  <c r="C6319" i="2"/>
  <c r="E6318" i="2"/>
  <c r="C6318" i="2"/>
  <c r="E6317" i="2"/>
  <c r="C6317" i="2"/>
  <c r="E6316" i="2"/>
  <c r="C6316" i="2"/>
  <c r="E6315" i="2"/>
  <c r="C6315" i="2"/>
  <c r="E6314" i="2"/>
  <c r="C6314" i="2"/>
  <c r="E6313" i="2"/>
  <c r="C6313" i="2"/>
  <c r="E6312" i="2"/>
  <c r="C6312" i="2"/>
  <c r="E6311" i="2"/>
  <c r="C6311" i="2"/>
  <c r="E6310" i="2"/>
  <c r="C6310" i="2"/>
  <c r="E6309" i="2"/>
  <c r="C6309" i="2"/>
  <c r="E6308" i="2"/>
  <c r="C6308" i="2"/>
  <c r="E6307" i="2"/>
  <c r="C6307" i="2"/>
  <c r="E6306" i="2"/>
  <c r="C6306" i="2"/>
  <c r="E6305" i="2"/>
  <c r="C6305" i="2"/>
  <c r="E6304" i="2"/>
  <c r="C6304" i="2"/>
  <c r="E6303" i="2"/>
  <c r="C6303" i="2"/>
  <c r="E6302" i="2"/>
  <c r="C6302" i="2"/>
  <c r="E6301" i="2"/>
  <c r="C6301" i="2"/>
  <c r="E6300" i="2"/>
  <c r="C6300" i="2"/>
  <c r="E6299" i="2"/>
  <c r="C6299" i="2"/>
  <c r="E6298" i="2"/>
  <c r="C6298" i="2"/>
  <c r="E6297" i="2"/>
  <c r="C6297" i="2"/>
  <c r="E6296" i="2"/>
  <c r="C6296" i="2"/>
  <c r="E6295" i="2"/>
  <c r="C6295" i="2"/>
  <c r="E6294" i="2"/>
  <c r="C6294" i="2"/>
  <c r="E6293" i="2"/>
  <c r="C6293" i="2"/>
  <c r="E6292" i="2"/>
  <c r="C6292" i="2"/>
  <c r="E6291" i="2"/>
  <c r="C6291" i="2"/>
  <c r="E6290" i="2"/>
  <c r="C6290" i="2"/>
  <c r="E6289" i="2"/>
  <c r="C6289" i="2"/>
  <c r="E6288" i="2"/>
  <c r="C6288" i="2"/>
  <c r="E6287" i="2"/>
  <c r="C6287" i="2"/>
  <c r="E6286" i="2"/>
  <c r="C6286" i="2"/>
  <c r="E6285" i="2"/>
  <c r="C6285" i="2"/>
  <c r="E6284" i="2"/>
  <c r="C6284" i="2"/>
  <c r="E6283" i="2"/>
  <c r="C6283" i="2"/>
  <c r="E6282" i="2"/>
  <c r="C6282" i="2"/>
  <c r="E6281" i="2"/>
  <c r="C6281" i="2"/>
  <c r="E6280" i="2"/>
  <c r="C6280" i="2"/>
  <c r="E6279" i="2"/>
  <c r="C6279" i="2"/>
  <c r="E6278" i="2"/>
  <c r="C6278" i="2"/>
  <c r="E6277" i="2"/>
  <c r="C6277" i="2"/>
  <c r="E6276" i="2"/>
  <c r="C6276" i="2"/>
  <c r="E6275" i="2"/>
  <c r="C6275" i="2"/>
  <c r="E6274" i="2"/>
  <c r="C6274" i="2"/>
  <c r="E6273" i="2"/>
  <c r="C6273" i="2"/>
  <c r="E6272" i="2"/>
  <c r="C6272" i="2"/>
  <c r="E6271" i="2"/>
  <c r="C6271" i="2"/>
  <c r="E6270" i="2"/>
  <c r="C6270" i="2"/>
  <c r="E6269" i="2"/>
  <c r="C6269" i="2"/>
  <c r="E6268" i="2"/>
  <c r="C6268" i="2"/>
  <c r="E6267" i="2"/>
  <c r="C6267" i="2"/>
  <c r="E6266" i="2"/>
  <c r="C6266" i="2"/>
  <c r="E6265" i="2"/>
  <c r="C6265" i="2"/>
  <c r="E6264" i="2"/>
  <c r="C6264" i="2"/>
  <c r="E6263" i="2"/>
  <c r="C6263" i="2"/>
  <c r="E6262" i="2"/>
  <c r="C6262" i="2"/>
  <c r="E6261" i="2"/>
  <c r="C6261" i="2"/>
  <c r="E6260" i="2"/>
  <c r="C6260" i="2"/>
  <c r="E6259" i="2"/>
  <c r="C6259" i="2"/>
  <c r="E6258" i="2"/>
  <c r="C6258" i="2"/>
  <c r="E6257" i="2"/>
  <c r="C6257" i="2"/>
  <c r="E6256" i="2"/>
  <c r="C6256" i="2"/>
  <c r="E6255" i="2"/>
  <c r="C6255" i="2"/>
  <c r="E6254" i="2"/>
  <c r="C6254" i="2"/>
  <c r="E6253" i="2"/>
  <c r="C6253" i="2"/>
  <c r="E6252" i="2"/>
  <c r="C6252" i="2"/>
  <c r="E6251" i="2"/>
  <c r="C6251" i="2"/>
  <c r="E6250" i="2"/>
  <c r="C6250" i="2"/>
  <c r="E6249" i="2"/>
  <c r="C6249" i="2"/>
  <c r="E6248" i="2"/>
  <c r="C6248" i="2"/>
  <c r="E6247" i="2"/>
  <c r="C6247" i="2"/>
  <c r="E6246" i="2"/>
  <c r="C6246" i="2"/>
  <c r="E6245" i="2"/>
  <c r="C6245" i="2"/>
  <c r="E6244" i="2"/>
  <c r="C6244" i="2"/>
  <c r="E6243" i="2"/>
  <c r="C6243" i="2"/>
  <c r="E6242" i="2"/>
  <c r="C6242" i="2"/>
  <c r="E6241" i="2"/>
  <c r="C6241" i="2"/>
  <c r="E6240" i="2"/>
  <c r="C6240" i="2"/>
  <c r="E6239" i="2"/>
  <c r="C6239" i="2"/>
  <c r="E6238" i="2"/>
  <c r="C6238" i="2"/>
  <c r="E6237" i="2"/>
  <c r="C6237" i="2"/>
  <c r="E6236" i="2"/>
  <c r="C6236" i="2"/>
  <c r="E6235" i="2"/>
  <c r="C6235" i="2"/>
  <c r="E6234" i="2"/>
  <c r="C6234" i="2"/>
  <c r="E6233" i="2"/>
  <c r="C6233" i="2"/>
  <c r="E6232" i="2"/>
  <c r="C6232" i="2"/>
  <c r="E6231" i="2"/>
  <c r="C6231" i="2"/>
  <c r="E6230" i="2"/>
  <c r="C6230" i="2"/>
  <c r="E6229" i="2"/>
  <c r="C6229" i="2"/>
  <c r="E6228" i="2"/>
  <c r="C6228" i="2"/>
  <c r="E6227" i="2"/>
  <c r="C6227" i="2"/>
  <c r="E6226" i="2"/>
  <c r="C6226" i="2"/>
  <c r="E6225" i="2"/>
  <c r="C6225" i="2"/>
  <c r="E6224" i="2"/>
  <c r="C6224" i="2"/>
  <c r="E6223" i="2"/>
  <c r="C6223" i="2"/>
  <c r="E6222" i="2"/>
  <c r="C6222" i="2"/>
  <c r="E6221" i="2"/>
  <c r="C6221" i="2"/>
  <c r="E6220" i="2"/>
  <c r="C6220" i="2"/>
  <c r="E6219" i="2"/>
  <c r="C6219" i="2"/>
  <c r="E6218" i="2"/>
  <c r="C6218" i="2"/>
  <c r="E6217" i="2"/>
  <c r="C6217" i="2"/>
  <c r="E6216" i="2"/>
  <c r="C6216" i="2"/>
  <c r="E6215" i="2"/>
  <c r="C6215" i="2"/>
  <c r="E6214" i="2"/>
  <c r="C6214" i="2"/>
  <c r="E6213" i="2"/>
  <c r="C6213" i="2"/>
  <c r="E6212" i="2"/>
  <c r="C6212" i="2"/>
  <c r="E6211" i="2"/>
  <c r="C6211" i="2"/>
  <c r="E6210" i="2"/>
  <c r="C6210" i="2"/>
  <c r="E6209" i="2"/>
  <c r="C6209" i="2"/>
  <c r="E6208" i="2"/>
  <c r="C6208" i="2"/>
  <c r="E6207" i="2"/>
  <c r="C6207" i="2"/>
  <c r="E6206" i="2"/>
  <c r="C6206" i="2"/>
  <c r="E6205" i="2"/>
  <c r="C6205" i="2"/>
  <c r="E6204" i="2"/>
  <c r="C6204" i="2"/>
  <c r="E6203" i="2"/>
  <c r="C6203" i="2"/>
  <c r="E6202" i="2"/>
  <c r="C6202" i="2"/>
  <c r="E6201" i="2"/>
  <c r="C6201" i="2"/>
  <c r="E6200" i="2"/>
  <c r="C6200" i="2"/>
  <c r="E6199" i="2"/>
  <c r="C6199" i="2"/>
  <c r="E6198" i="2"/>
  <c r="C6198" i="2"/>
  <c r="E6197" i="2"/>
  <c r="C6197" i="2"/>
  <c r="E6196" i="2"/>
  <c r="C6196" i="2"/>
  <c r="E6195" i="2"/>
  <c r="C6195" i="2"/>
  <c r="E6194" i="2"/>
  <c r="C6194" i="2"/>
  <c r="E6193" i="2"/>
  <c r="C6193" i="2"/>
  <c r="E6192" i="2"/>
  <c r="C6192" i="2"/>
  <c r="E6191" i="2"/>
  <c r="C6191" i="2"/>
  <c r="E6190" i="2"/>
  <c r="C6190" i="2"/>
  <c r="E6189" i="2"/>
  <c r="C6189" i="2"/>
  <c r="E6188" i="2"/>
  <c r="C6188" i="2"/>
  <c r="E6187" i="2"/>
  <c r="C6187" i="2"/>
  <c r="E6186" i="2"/>
  <c r="C6186" i="2"/>
  <c r="E6185" i="2"/>
  <c r="C6185" i="2"/>
  <c r="E6184" i="2"/>
  <c r="C6184" i="2"/>
  <c r="E6183" i="2"/>
  <c r="C6183" i="2"/>
  <c r="E6182" i="2"/>
  <c r="C6182" i="2"/>
  <c r="E6181" i="2"/>
  <c r="C6181" i="2"/>
  <c r="E6180" i="2"/>
  <c r="C6180" i="2"/>
  <c r="E6179" i="2"/>
  <c r="C6179" i="2"/>
  <c r="E6178" i="2"/>
  <c r="C6178" i="2"/>
  <c r="E6177" i="2"/>
  <c r="C6177" i="2"/>
  <c r="E6176" i="2"/>
  <c r="C6176" i="2"/>
  <c r="E6175" i="2"/>
  <c r="C6175" i="2"/>
  <c r="E6174" i="2"/>
  <c r="C6174" i="2"/>
  <c r="E6173" i="2"/>
  <c r="C6173" i="2"/>
  <c r="E6172" i="2"/>
  <c r="C6172" i="2"/>
  <c r="E6171" i="2"/>
  <c r="C6171" i="2"/>
  <c r="E6170" i="2"/>
  <c r="C6170" i="2"/>
  <c r="E6169" i="2"/>
  <c r="C6169" i="2"/>
  <c r="E6168" i="2"/>
  <c r="C6168" i="2"/>
  <c r="E6167" i="2"/>
  <c r="C6167" i="2"/>
  <c r="E6166" i="2"/>
  <c r="C6166" i="2"/>
  <c r="E6165" i="2"/>
  <c r="C6165" i="2"/>
  <c r="E6164" i="2"/>
  <c r="C6164" i="2"/>
  <c r="E6163" i="2"/>
  <c r="C6163" i="2"/>
  <c r="E6162" i="2"/>
  <c r="C6162" i="2"/>
  <c r="E6161" i="2"/>
  <c r="C6161" i="2"/>
  <c r="E6160" i="2"/>
  <c r="C6160" i="2"/>
  <c r="E6159" i="2"/>
  <c r="C6159" i="2"/>
  <c r="E6158" i="2"/>
  <c r="C6158" i="2"/>
  <c r="E6157" i="2"/>
  <c r="C6157" i="2"/>
  <c r="E6156" i="2"/>
  <c r="C6156" i="2"/>
  <c r="E6155" i="2"/>
  <c r="C6155" i="2"/>
  <c r="E6154" i="2"/>
  <c r="C6154" i="2"/>
  <c r="E6153" i="2"/>
  <c r="C6153" i="2"/>
  <c r="E6152" i="2"/>
  <c r="C6152" i="2"/>
  <c r="E6151" i="2"/>
  <c r="C6151" i="2"/>
  <c r="E6150" i="2"/>
  <c r="C6150" i="2"/>
  <c r="E6149" i="2"/>
  <c r="C6149" i="2"/>
  <c r="E6148" i="2"/>
  <c r="C6148" i="2"/>
  <c r="E6147" i="2"/>
  <c r="C6147" i="2"/>
  <c r="E6146" i="2"/>
  <c r="C6146" i="2"/>
  <c r="E6145" i="2"/>
  <c r="C6145" i="2"/>
  <c r="E6144" i="2"/>
  <c r="C6144" i="2"/>
  <c r="E6143" i="2"/>
  <c r="C6143" i="2"/>
  <c r="E6142" i="2"/>
  <c r="C6142" i="2"/>
  <c r="E6141" i="2"/>
  <c r="C6141" i="2"/>
  <c r="E6140" i="2"/>
  <c r="C6140" i="2"/>
  <c r="E6139" i="2"/>
  <c r="C6139" i="2"/>
  <c r="E6138" i="2"/>
  <c r="C6138" i="2"/>
  <c r="E6137" i="2"/>
  <c r="C6137" i="2"/>
  <c r="E6136" i="2"/>
  <c r="C6136" i="2"/>
  <c r="E6135" i="2"/>
  <c r="C6135" i="2"/>
  <c r="E6134" i="2"/>
  <c r="C6134" i="2"/>
  <c r="E6133" i="2"/>
  <c r="C6133" i="2"/>
  <c r="E6132" i="2"/>
  <c r="C6132" i="2"/>
  <c r="E6131" i="2"/>
  <c r="C6131" i="2"/>
  <c r="E6130" i="2"/>
  <c r="C6130" i="2"/>
  <c r="E6129" i="2"/>
  <c r="C6129" i="2"/>
  <c r="E6128" i="2"/>
  <c r="C6128" i="2"/>
  <c r="E6127" i="2"/>
  <c r="C6127" i="2"/>
  <c r="E6126" i="2"/>
  <c r="C6126" i="2"/>
  <c r="E6125" i="2"/>
  <c r="C6125" i="2"/>
  <c r="E6124" i="2"/>
  <c r="C6124" i="2"/>
  <c r="E6123" i="2"/>
  <c r="C6123" i="2"/>
  <c r="E6122" i="2"/>
  <c r="C6122" i="2"/>
  <c r="E6121" i="2"/>
  <c r="C6121" i="2"/>
  <c r="E6120" i="2"/>
  <c r="C6120" i="2"/>
  <c r="E6119" i="2"/>
  <c r="C6119" i="2"/>
  <c r="E6118" i="2"/>
  <c r="C6118" i="2"/>
  <c r="E6117" i="2"/>
  <c r="C6117" i="2"/>
  <c r="E6116" i="2"/>
  <c r="C6116" i="2"/>
  <c r="E6115" i="2"/>
  <c r="C6115" i="2"/>
  <c r="E6114" i="2"/>
  <c r="C6114" i="2"/>
  <c r="E6113" i="2"/>
  <c r="C6113" i="2"/>
  <c r="E6112" i="2"/>
  <c r="C6112" i="2"/>
  <c r="E6111" i="2"/>
  <c r="C6111" i="2"/>
  <c r="E6110" i="2"/>
  <c r="C6110" i="2"/>
  <c r="E6109" i="2"/>
  <c r="C6109" i="2"/>
  <c r="E6108" i="2"/>
  <c r="C6108" i="2"/>
  <c r="E6107" i="2"/>
  <c r="C6107" i="2"/>
  <c r="E6106" i="2"/>
  <c r="C6106" i="2"/>
  <c r="E6105" i="2"/>
  <c r="C6105" i="2"/>
  <c r="E6104" i="2"/>
  <c r="C6104" i="2"/>
  <c r="E6103" i="2"/>
  <c r="C6103" i="2"/>
  <c r="E6102" i="2"/>
  <c r="C6102" i="2"/>
  <c r="E6101" i="2"/>
  <c r="C6101" i="2"/>
  <c r="E6100" i="2"/>
  <c r="C6100" i="2"/>
  <c r="E6099" i="2"/>
  <c r="C6099" i="2"/>
  <c r="E6098" i="2"/>
  <c r="C6098" i="2"/>
  <c r="E6097" i="2"/>
  <c r="C6097" i="2"/>
  <c r="E6096" i="2"/>
  <c r="C6096" i="2"/>
  <c r="E6095" i="2"/>
  <c r="C6095" i="2"/>
  <c r="E6094" i="2"/>
  <c r="C6094" i="2"/>
  <c r="E6093" i="2"/>
  <c r="C6093" i="2"/>
  <c r="E6092" i="2"/>
  <c r="C6092" i="2"/>
  <c r="E6091" i="2"/>
  <c r="C6091" i="2"/>
  <c r="E6090" i="2"/>
  <c r="C6090" i="2"/>
  <c r="E6089" i="2"/>
  <c r="C6089" i="2"/>
  <c r="E6088" i="2"/>
  <c r="C6088" i="2"/>
  <c r="E6087" i="2"/>
  <c r="C6087" i="2"/>
  <c r="E6086" i="2"/>
  <c r="C6086" i="2"/>
  <c r="E6085" i="2"/>
  <c r="C6085" i="2"/>
  <c r="E6084" i="2"/>
  <c r="C6084" i="2"/>
  <c r="E6083" i="2"/>
  <c r="C6083" i="2"/>
  <c r="E6082" i="2"/>
  <c r="C6082" i="2"/>
  <c r="E6081" i="2"/>
  <c r="C6081" i="2"/>
  <c r="E6080" i="2"/>
  <c r="C6080" i="2"/>
  <c r="E6079" i="2"/>
  <c r="C6079" i="2"/>
  <c r="E6078" i="2"/>
  <c r="C6078" i="2"/>
  <c r="E6077" i="2"/>
  <c r="C6077" i="2"/>
  <c r="E6076" i="2"/>
  <c r="C6076" i="2"/>
  <c r="E6075" i="2"/>
  <c r="C6075" i="2"/>
  <c r="E6074" i="2"/>
  <c r="C6074" i="2"/>
  <c r="E6073" i="2"/>
  <c r="C6073" i="2"/>
  <c r="E6072" i="2"/>
  <c r="C6072" i="2"/>
  <c r="E6071" i="2"/>
  <c r="C6071" i="2"/>
  <c r="E6070" i="2"/>
  <c r="C6070" i="2"/>
  <c r="E6069" i="2"/>
  <c r="C6069" i="2"/>
  <c r="E6068" i="2"/>
  <c r="C6068" i="2"/>
  <c r="E6067" i="2"/>
  <c r="C6067" i="2"/>
  <c r="E6066" i="2"/>
  <c r="C6066" i="2"/>
  <c r="E6065" i="2"/>
  <c r="C6065" i="2"/>
  <c r="E6064" i="2"/>
  <c r="C6064" i="2"/>
  <c r="E6063" i="2"/>
  <c r="C6063" i="2"/>
  <c r="E6062" i="2"/>
  <c r="C6062" i="2"/>
  <c r="E6061" i="2"/>
  <c r="C6061" i="2"/>
  <c r="E6060" i="2"/>
  <c r="C6060" i="2"/>
  <c r="E6059" i="2"/>
  <c r="C6059" i="2"/>
  <c r="E6058" i="2"/>
  <c r="C6058" i="2"/>
  <c r="E6057" i="2"/>
  <c r="C6057" i="2"/>
  <c r="E6056" i="2"/>
  <c r="C6056" i="2"/>
  <c r="E6055" i="2"/>
  <c r="C6055" i="2"/>
  <c r="E6054" i="2"/>
  <c r="C6054" i="2"/>
  <c r="E6053" i="2"/>
  <c r="C6053" i="2"/>
  <c r="E6052" i="2"/>
  <c r="C6052" i="2"/>
  <c r="E6051" i="2"/>
  <c r="C6051" i="2"/>
  <c r="E6050" i="2"/>
  <c r="C6050" i="2"/>
  <c r="E6049" i="2"/>
  <c r="C6049" i="2"/>
  <c r="E6048" i="2"/>
  <c r="C6048" i="2"/>
  <c r="E6047" i="2"/>
  <c r="C6047" i="2"/>
  <c r="E6046" i="2"/>
  <c r="C6046" i="2"/>
  <c r="E6045" i="2"/>
  <c r="C6045" i="2"/>
  <c r="E6044" i="2"/>
  <c r="C6044" i="2"/>
  <c r="E6043" i="2"/>
  <c r="C6043" i="2"/>
  <c r="E6042" i="2"/>
  <c r="C6042" i="2"/>
  <c r="E6041" i="2"/>
  <c r="C6041" i="2"/>
  <c r="E6040" i="2"/>
  <c r="C6040" i="2"/>
  <c r="E6039" i="2"/>
  <c r="C6039" i="2"/>
  <c r="E6038" i="2"/>
  <c r="C6038" i="2"/>
  <c r="E6037" i="2"/>
  <c r="C6037" i="2"/>
  <c r="E6036" i="2"/>
  <c r="C6036" i="2"/>
  <c r="E6035" i="2"/>
  <c r="C6035" i="2"/>
  <c r="E6034" i="2"/>
  <c r="C6034" i="2"/>
  <c r="E6033" i="2"/>
  <c r="C6033" i="2"/>
  <c r="E6032" i="2"/>
  <c r="C6032" i="2"/>
  <c r="E6031" i="2"/>
  <c r="C6031" i="2"/>
  <c r="E6030" i="2"/>
  <c r="C6030" i="2"/>
  <c r="E6029" i="2"/>
  <c r="C6029" i="2"/>
  <c r="E6028" i="2"/>
  <c r="C6028" i="2"/>
  <c r="E6027" i="2"/>
  <c r="C6027" i="2"/>
  <c r="E6026" i="2"/>
  <c r="C6026" i="2"/>
  <c r="E6025" i="2"/>
  <c r="C6025" i="2"/>
  <c r="E6024" i="2"/>
  <c r="C6024" i="2"/>
  <c r="E6023" i="2"/>
  <c r="C6023" i="2"/>
  <c r="E6022" i="2"/>
  <c r="C6022" i="2"/>
  <c r="E6021" i="2"/>
  <c r="C6021" i="2"/>
  <c r="E6020" i="2"/>
  <c r="C6020" i="2"/>
  <c r="E6019" i="2"/>
  <c r="C6019" i="2"/>
  <c r="E6018" i="2"/>
  <c r="C6018" i="2"/>
  <c r="E6017" i="2"/>
  <c r="C6017" i="2"/>
  <c r="E6016" i="2"/>
  <c r="C6016" i="2"/>
  <c r="E6015" i="2"/>
  <c r="C6015" i="2"/>
  <c r="E6014" i="2"/>
  <c r="C6014" i="2"/>
  <c r="E6013" i="2"/>
  <c r="C6013" i="2"/>
  <c r="E6012" i="2"/>
  <c r="C6012" i="2"/>
  <c r="E6011" i="2"/>
  <c r="C6011" i="2"/>
  <c r="E6010" i="2"/>
  <c r="C6010" i="2"/>
  <c r="E6009" i="2"/>
  <c r="C6009" i="2"/>
  <c r="E6008" i="2"/>
  <c r="C6008" i="2"/>
  <c r="E6007" i="2"/>
  <c r="C6007" i="2"/>
  <c r="E6006" i="2"/>
  <c r="C6006" i="2"/>
  <c r="E6005" i="2"/>
  <c r="C6005" i="2"/>
  <c r="E6004" i="2"/>
  <c r="C6004" i="2"/>
  <c r="E6003" i="2"/>
  <c r="C6003" i="2"/>
  <c r="E6002" i="2"/>
  <c r="C6002" i="2"/>
  <c r="E6001" i="2"/>
  <c r="C6001" i="2"/>
  <c r="E6000" i="2"/>
  <c r="C6000" i="2"/>
  <c r="E5999" i="2"/>
  <c r="C5999" i="2"/>
  <c r="E5998" i="2"/>
  <c r="C5998" i="2"/>
  <c r="E5997" i="2"/>
  <c r="C5997" i="2"/>
  <c r="E5996" i="2"/>
  <c r="C5996" i="2"/>
  <c r="E5995" i="2"/>
  <c r="C5995" i="2"/>
  <c r="E5994" i="2"/>
  <c r="C5994" i="2"/>
  <c r="E5993" i="2"/>
  <c r="C5993" i="2"/>
  <c r="E5992" i="2"/>
  <c r="C5992" i="2"/>
  <c r="E5991" i="2"/>
  <c r="C5991" i="2"/>
  <c r="E5990" i="2"/>
  <c r="C5990" i="2"/>
  <c r="E5989" i="2"/>
  <c r="C5989" i="2"/>
  <c r="E5988" i="2"/>
  <c r="C5988" i="2"/>
  <c r="E5987" i="2"/>
  <c r="C5987" i="2"/>
  <c r="E5986" i="2"/>
  <c r="C5986" i="2"/>
  <c r="E5985" i="2"/>
  <c r="C5985" i="2"/>
  <c r="E5984" i="2"/>
  <c r="C5984" i="2"/>
  <c r="E5983" i="2"/>
  <c r="C5983" i="2"/>
  <c r="E5982" i="2"/>
  <c r="C5982" i="2"/>
  <c r="E5981" i="2"/>
  <c r="C5981" i="2"/>
  <c r="E5980" i="2"/>
  <c r="C5980" i="2"/>
  <c r="E5979" i="2"/>
  <c r="C5979" i="2"/>
  <c r="E5978" i="2"/>
  <c r="C5978" i="2"/>
  <c r="E5977" i="2"/>
  <c r="C5977" i="2"/>
  <c r="E5976" i="2"/>
  <c r="C5976" i="2"/>
  <c r="E5975" i="2"/>
  <c r="C5975" i="2"/>
  <c r="E5974" i="2"/>
  <c r="C5974" i="2"/>
  <c r="E5973" i="2"/>
  <c r="C5973" i="2"/>
  <c r="E5972" i="2"/>
  <c r="C5972" i="2"/>
  <c r="E5971" i="2"/>
  <c r="C5971" i="2"/>
  <c r="E5970" i="2"/>
  <c r="C5970" i="2"/>
  <c r="E5969" i="2"/>
  <c r="C5969" i="2"/>
  <c r="E5968" i="2"/>
  <c r="C5968" i="2"/>
  <c r="E5967" i="2"/>
  <c r="C5967" i="2"/>
  <c r="E5966" i="2"/>
  <c r="C5966" i="2"/>
  <c r="E5965" i="2"/>
  <c r="C5965" i="2"/>
  <c r="E5964" i="2"/>
  <c r="C5964" i="2"/>
  <c r="E5963" i="2"/>
  <c r="C5963" i="2"/>
  <c r="E5962" i="2"/>
  <c r="C5962" i="2"/>
  <c r="E5961" i="2"/>
  <c r="C5961" i="2"/>
  <c r="E5960" i="2"/>
  <c r="C5960" i="2"/>
  <c r="E5959" i="2"/>
  <c r="C5959" i="2"/>
  <c r="E5958" i="2"/>
  <c r="C5958" i="2"/>
  <c r="E5957" i="2"/>
  <c r="C5957" i="2"/>
  <c r="E5956" i="2"/>
  <c r="C5956" i="2"/>
  <c r="E5955" i="2"/>
  <c r="C5955" i="2"/>
  <c r="E5954" i="2"/>
  <c r="C5954" i="2"/>
  <c r="E5953" i="2"/>
  <c r="C5953" i="2"/>
  <c r="E5952" i="2"/>
  <c r="C5952" i="2"/>
  <c r="E5951" i="2"/>
  <c r="C5951" i="2"/>
  <c r="E5950" i="2"/>
  <c r="C5950" i="2"/>
  <c r="E5949" i="2"/>
  <c r="C5949" i="2"/>
  <c r="E5948" i="2"/>
  <c r="C5948" i="2"/>
  <c r="E5947" i="2"/>
  <c r="C5947" i="2"/>
  <c r="E5946" i="2"/>
  <c r="C5946" i="2"/>
  <c r="E5945" i="2"/>
  <c r="C5945" i="2"/>
  <c r="E5944" i="2"/>
  <c r="C5944" i="2"/>
  <c r="E5943" i="2"/>
  <c r="C5943" i="2"/>
  <c r="E5942" i="2"/>
  <c r="C5942" i="2"/>
  <c r="E5941" i="2"/>
  <c r="C5941" i="2"/>
  <c r="E5940" i="2"/>
  <c r="C5940" i="2"/>
  <c r="E5939" i="2"/>
  <c r="C5939" i="2"/>
  <c r="E5938" i="2"/>
  <c r="C5938" i="2"/>
  <c r="E5937" i="2"/>
  <c r="C5937" i="2"/>
  <c r="E5936" i="2"/>
  <c r="C5936" i="2"/>
  <c r="E5935" i="2"/>
  <c r="C5935" i="2"/>
  <c r="E5934" i="2"/>
  <c r="C5934" i="2"/>
  <c r="E5933" i="2"/>
  <c r="C5933" i="2"/>
  <c r="E5932" i="2"/>
  <c r="C5932" i="2"/>
  <c r="E5931" i="2"/>
  <c r="C5931" i="2"/>
  <c r="E5930" i="2"/>
  <c r="C5930" i="2"/>
  <c r="E5929" i="2"/>
  <c r="C5929" i="2"/>
  <c r="E5928" i="2"/>
  <c r="C5928" i="2"/>
  <c r="E5927" i="2"/>
  <c r="C5927" i="2"/>
  <c r="E5926" i="2"/>
  <c r="C5926" i="2"/>
  <c r="E5925" i="2"/>
  <c r="C5925" i="2"/>
  <c r="E5924" i="2"/>
  <c r="C5924" i="2"/>
  <c r="E5923" i="2"/>
  <c r="C5923" i="2"/>
  <c r="E5922" i="2"/>
  <c r="C5922" i="2"/>
  <c r="E5921" i="2"/>
  <c r="C5921" i="2"/>
  <c r="E5920" i="2"/>
  <c r="C5920" i="2"/>
  <c r="E5919" i="2"/>
  <c r="C5919" i="2"/>
  <c r="E5918" i="2"/>
  <c r="C5918" i="2"/>
  <c r="E5917" i="2"/>
  <c r="C5917" i="2"/>
  <c r="E5916" i="2"/>
  <c r="C5916" i="2"/>
  <c r="E5915" i="2"/>
  <c r="C5915" i="2"/>
  <c r="E5914" i="2"/>
  <c r="C5914" i="2"/>
  <c r="E5913" i="2"/>
  <c r="C5913" i="2"/>
  <c r="E5912" i="2"/>
  <c r="C5912" i="2"/>
  <c r="E5911" i="2"/>
  <c r="C5911" i="2"/>
  <c r="E5910" i="2"/>
  <c r="C5910" i="2"/>
  <c r="E5909" i="2"/>
  <c r="C5909" i="2"/>
  <c r="E5908" i="2"/>
  <c r="C5908" i="2"/>
  <c r="E5907" i="2"/>
  <c r="C5907" i="2"/>
  <c r="E5906" i="2"/>
  <c r="C5906" i="2"/>
  <c r="E5905" i="2"/>
  <c r="C5905" i="2"/>
  <c r="E5904" i="2"/>
  <c r="C5904" i="2"/>
  <c r="E5903" i="2"/>
  <c r="C5903" i="2"/>
  <c r="E5902" i="2"/>
  <c r="C5902" i="2"/>
  <c r="E5901" i="2"/>
  <c r="C5901" i="2"/>
  <c r="E5900" i="2"/>
  <c r="C5900" i="2"/>
  <c r="E5899" i="2"/>
  <c r="C5899" i="2"/>
  <c r="E5898" i="2"/>
  <c r="C5898" i="2"/>
  <c r="E5897" i="2"/>
  <c r="C5897" i="2"/>
  <c r="E5896" i="2"/>
  <c r="C5896" i="2"/>
  <c r="E5895" i="2"/>
  <c r="C5895" i="2"/>
  <c r="E5894" i="2"/>
  <c r="C5894" i="2"/>
  <c r="E5893" i="2"/>
  <c r="C5893" i="2"/>
  <c r="E5892" i="2"/>
  <c r="C5892" i="2"/>
  <c r="E5891" i="2"/>
  <c r="C5891" i="2"/>
  <c r="E5890" i="2"/>
  <c r="C5890" i="2"/>
  <c r="E5889" i="2"/>
  <c r="C5889" i="2"/>
  <c r="E5888" i="2"/>
  <c r="C5888" i="2"/>
  <c r="E5887" i="2"/>
  <c r="C5887" i="2"/>
  <c r="E5886" i="2"/>
  <c r="C5886" i="2"/>
  <c r="E5885" i="2"/>
  <c r="C5885" i="2"/>
  <c r="E5884" i="2"/>
  <c r="C5884" i="2"/>
  <c r="E5883" i="2"/>
  <c r="C5883" i="2"/>
  <c r="E5882" i="2"/>
  <c r="C5882" i="2"/>
  <c r="E5881" i="2"/>
  <c r="C5881" i="2"/>
  <c r="E5880" i="2"/>
  <c r="C5880" i="2"/>
  <c r="E5879" i="2"/>
  <c r="C5879" i="2"/>
  <c r="E5878" i="2"/>
  <c r="C5878" i="2"/>
  <c r="E5877" i="2"/>
  <c r="C5877" i="2"/>
  <c r="E5876" i="2"/>
  <c r="C5876" i="2"/>
  <c r="E5875" i="2"/>
  <c r="C5875" i="2"/>
  <c r="E5874" i="2"/>
  <c r="C5874" i="2"/>
  <c r="E5873" i="2"/>
  <c r="C5873" i="2"/>
  <c r="E5872" i="2"/>
  <c r="C5872" i="2"/>
  <c r="E5871" i="2"/>
  <c r="C5871" i="2"/>
  <c r="E5870" i="2"/>
  <c r="C5870" i="2"/>
  <c r="E5869" i="2"/>
  <c r="C5869" i="2"/>
  <c r="E5868" i="2"/>
  <c r="C5868" i="2"/>
  <c r="E5867" i="2"/>
  <c r="C5867" i="2"/>
  <c r="E5866" i="2"/>
  <c r="C5866" i="2"/>
  <c r="E5865" i="2"/>
  <c r="C5865" i="2"/>
  <c r="E5864" i="2"/>
  <c r="C5864" i="2"/>
  <c r="E5863" i="2"/>
  <c r="C5863" i="2"/>
  <c r="E5862" i="2"/>
  <c r="C5862" i="2"/>
  <c r="E5861" i="2"/>
  <c r="C5861" i="2"/>
  <c r="E5860" i="2"/>
  <c r="C5860" i="2"/>
  <c r="E5859" i="2"/>
  <c r="C5859" i="2"/>
  <c r="E5858" i="2"/>
  <c r="C5858" i="2"/>
  <c r="E5857" i="2"/>
  <c r="C5857" i="2"/>
  <c r="E5856" i="2"/>
  <c r="C5856" i="2"/>
  <c r="E5855" i="2"/>
  <c r="C5855" i="2"/>
  <c r="E5854" i="2"/>
  <c r="C5854" i="2"/>
  <c r="E5853" i="2"/>
  <c r="C5853" i="2"/>
  <c r="E5852" i="2"/>
  <c r="C5852" i="2"/>
  <c r="E5851" i="2"/>
  <c r="C5851" i="2"/>
  <c r="E5850" i="2"/>
  <c r="C5850" i="2"/>
  <c r="E5849" i="2"/>
  <c r="C5849" i="2"/>
  <c r="E5848" i="2"/>
  <c r="C5848" i="2"/>
  <c r="E5847" i="2"/>
  <c r="C5847" i="2"/>
  <c r="E5846" i="2"/>
  <c r="C5846" i="2"/>
  <c r="E5845" i="2"/>
  <c r="C5845" i="2"/>
  <c r="E5844" i="2"/>
  <c r="C5844" i="2"/>
  <c r="E5843" i="2"/>
  <c r="C5843" i="2"/>
  <c r="E5842" i="2"/>
  <c r="C5842" i="2"/>
  <c r="E5841" i="2"/>
  <c r="C5841" i="2"/>
  <c r="E5840" i="2"/>
  <c r="C5840" i="2"/>
  <c r="E5839" i="2"/>
  <c r="C5839" i="2"/>
  <c r="E5838" i="2"/>
  <c r="C5838" i="2"/>
  <c r="E5837" i="2"/>
  <c r="C5837" i="2"/>
  <c r="E5836" i="2"/>
  <c r="C5836" i="2"/>
  <c r="E5835" i="2"/>
  <c r="C5835" i="2"/>
  <c r="E5834" i="2"/>
  <c r="C5834" i="2"/>
  <c r="E5833" i="2"/>
  <c r="C5833" i="2"/>
  <c r="E5832" i="2"/>
  <c r="C5832" i="2"/>
  <c r="E5831" i="2"/>
  <c r="C5831" i="2"/>
  <c r="E5830" i="2"/>
  <c r="C5830" i="2"/>
  <c r="E5829" i="2"/>
  <c r="C5829" i="2"/>
  <c r="E5828" i="2"/>
  <c r="C5828" i="2"/>
  <c r="E5827" i="2"/>
  <c r="C5827" i="2"/>
  <c r="E5826" i="2"/>
  <c r="C5826" i="2"/>
  <c r="E5825" i="2"/>
  <c r="C5825" i="2"/>
  <c r="E5824" i="2"/>
  <c r="C5824" i="2"/>
  <c r="E5823" i="2"/>
  <c r="C5823" i="2"/>
  <c r="E5822" i="2"/>
  <c r="C5822" i="2"/>
  <c r="E5821" i="2"/>
  <c r="C5821" i="2"/>
  <c r="E5820" i="2"/>
  <c r="C5820" i="2"/>
  <c r="E5819" i="2"/>
  <c r="C5819" i="2"/>
  <c r="E5818" i="2"/>
  <c r="C5818" i="2"/>
  <c r="E5817" i="2"/>
  <c r="C5817" i="2"/>
  <c r="E5816" i="2"/>
  <c r="C5816" i="2"/>
  <c r="E5815" i="2"/>
  <c r="C5815" i="2"/>
  <c r="E5814" i="2"/>
  <c r="C5814" i="2"/>
  <c r="E5813" i="2"/>
  <c r="C5813" i="2"/>
  <c r="E5812" i="2"/>
  <c r="C5812" i="2"/>
  <c r="E5811" i="2"/>
  <c r="C5811" i="2"/>
  <c r="E5810" i="2"/>
  <c r="C5810" i="2"/>
  <c r="E5809" i="2"/>
  <c r="C5809" i="2"/>
  <c r="E5808" i="2"/>
  <c r="C5808" i="2"/>
  <c r="E5807" i="2"/>
  <c r="C5807" i="2"/>
  <c r="E5806" i="2"/>
  <c r="C5806" i="2"/>
  <c r="E5805" i="2"/>
  <c r="C5805" i="2"/>
  <c r="E5804" i="2"/>
  <c r="C5804" i="2"/>
  <c r="E5803" i="2"/>
  <c r="C5803" i="2"/>
  <c r="E5802" i="2"/>
  <c r="C5802" i="2"/>
  <c r="E5801" i="2"/>
  <c r="C5801" i="2"/>
  <c r="E5800" i="2"/>
  <c r="C5800" i="2"/>
  <c r="E5799" i="2"/>
  <c r="C5799" i="2"/>
  <c r="E5798" i="2"/>
  <c r="C5798" i="2"/>
  <c r="E5797" i="2"/>
  <c r="C5797" i="2"/>
  <c r="E5796" i="2"/>
  <c r="C5796" i="2"/>
  <c r="E5795" i="2"/>
  <c r="C5795" i="2"/>
  <c r="E5794" i="2"/>
  <c r="C5794" i="2"/>
  <c r="E5793" i="2"/>
  <c r="C5793" i="2"/>
  <c r="E5792" i="2"/>
  <c r="C5792" i="2"/>
  <c r="E5791" i="2"/>
  <c r="C5791" i="2"/>
  <c r="E5790" i="2"/>
  <c r="C5790" i="2"/>
  <c r="E5789" i="2"/>
  <c r="C5789" i="2"/>
  <c r="E5788" i="2"/>
  <c r="C5788" i="2"/>
  <c r="E5787" i="2"/>
  <c r="C5787" i="2"/>
  <c r="E5786" i="2"/>
  <c r="C5786" i="2"/>
  <c r="E5785" i="2"/>
  <c r="C5785" i="2"/>
  <c r="E5784" i="2"/>
  <c r="C5784" i="2"/>
  <c r="E5783" i="2"/>
  <c r="C5783" i="2"/>
  <c r="E5782" i="2"/>
  <c r="C5782" i="2"/>
  <c r="E5781" i="2"/>
  <c r="C5781" i="2"/>
  <c r="E5780" i="2"/>
  <c r="C5780" i="2"/>
  <c r="E5779" i="2"/>
  <c r="C5779" i="2"/>
  <c r="E5778" i="2"/>
  <c r="C5778" i="2"/>
  <c r="E5777" i="2"/>
  <c r="C5777" i="2"/>
  <c r="E5776" i="2"/>
  <c r="C5776" i="2"/>
  <c r="E5775" i="2"/>
  <c r="C5775" i="2"/>
  <c r="E5774" i="2"/>
  <c r="C5774" i="2"/>
  <c r="E5773" i="2"/>
  <c r="C5773" i="2"/>
  <c r="E5772" i="2"/>
  <c r="C5772" i="2"/>
  <c r="E5771" i="2"/>
  <c r="C5771" i="2"/>
  <c r="E5770" i="2"/>
  <c r="C5770" i="2"/>
  <c r="E5769" i="2"/>
  <c r="C5769" i="2"/>
  <c r="E5768" i="2"/>
  <c r="C5768" i="2"/>
  <c r="E5767" i="2"/>
  <c r="C5767" i="2"/>
  <c r="E5766" i="2"/>
  <c r="C5766" i="2"/>
  <c r="E5765" i="2"/>
  <c r="C5765" i="2"/>
  <c r="E5764" i="2"/>
  <c r="C5764" i="2"/>
  <c r="E5763" i="2"/>
  <c r="C5763" i="2"/>
  <c r="E5762" i="2"/>
  <c r="C5762" i="2"/>
  <c r="E5761" i="2"/>
  <c r="C5761" i="2"/>
  <c r="E5760" i="2"/>
  <c r="C5760" i="2"/>
  <c r="E5759" i="2"/>
  <c r="C5759" i="2"/>
  <c r="E5758" i="2"/>
  <c r="C5758" i="2"/>
  <c r="E5757" i="2"/>
  <c r="C5757" i="2"/>
  <c r="E5756" i="2"/>
  <c r="C5756" i="2"/>
  <c r="E5755" i="2"/>
  <c r="C5755" i="2"/>
  <c r="E5754" i="2"/>
  <c r="C5754" i="2"/>
  <c r="E5753" i="2"/>
  <c r="C5753" i="2"/>
  <c r="E5752" i="2"/>
  <c r="C5752" i="2"/>
  <c r="E5751" i="2"/>
  <c r="C5751" i="2"/>
  <c r="E5750" i="2"/>
  <c r="C5750" i="2"/>
  <c r="E5749" i="2"/>
  <c r="C5749" i="2"/>
  <c r="E5748" i="2"/>
  <c r="C5748" i="2"/>
  <c r="E5747" i="2"/>
  <c r="C5747" i="2"/>
  <c r="E5746" i="2"/>
  <c r="C5746" i="2"/>
  <c r="E5745" i="2"/>
  <c r="C5745" i="2"/>
  <c r="E5744" i="2"/>
  <c r="C5744" i="2"/>
  <c r="E5743" i="2"/>
  <c r="C5743" i="2"/>
  <c r="E5742" i="2"/>
  <c r="C5742" i="2"/>
  <c r="E5741" i="2"/>
  <c r="C5741" i="2"/>
  <c r="E5740" i="2"/>
  <c r="C5740" i="2"/>
  <c r="E5739" i="2"/>
  <c r="C5739" i="2"/>
  <c r="E5738" i="2"/>
  <c r="C5738" i="2"/>
  <c r="E5737" i="2"/>
  <c r="C5737" i="2"/>
  <c r="E5736" i="2"/>
  <c r="C5736" i="2"/>
  <c r="E5735" i="2"/>
  <c r="C5735" i="2"/>
  <c r="E5734" i="2"/>
  <c r="C5734" i="2"/>
  <c r="E5733" i="2"/>
  <c r="C5733" i="2"/>
  <c r="E5732" i="2"/>
  <c r="C5732" i="2"/>
  <c r="E5731" i="2"/>
  <c r="C5731" i="2"/>
  <c r="E5730" i="2"/>
  <c r="C5730" i="2"/>
  <c r="E5729" i="2"/>
  <c r="C5729" i="2"/>
  <c r="E5728" i="2"/>
  <c r="C5728" i="2"/>
  <c r="E5727" i="2"/>
  <c r="C5727" i="2"/>
  <c r="E5726" i="2"/>
  <c r="C5726" i="2"/>
  <c r="E5725" i="2"/>
  <c r="C5725" i="2"/>
  <c r="E5724" i="2"/>
  <c r="C5724" i="2"/>
  <c r="E5723" i="2"/>
  <c r="C5723" i="2"/>
  <c r="E5722" i="2"/>
  <c r="C5722" i="2"/>
  <c r="E5721" i="2"/>
  <c r="C5721" i="2"/>
  <c r="E5720" i="2"/>
  <c r="C5720" i="2"/>
  <c r="E5719" i="2"/>
  <c r="C5719" i="2"/>
  <c r="E5718" i="2"/>
  <c r="C5718" i="2"/>
  <c r="E5717" i="2"/>
  <c r="C5717" i="2"/>
  <c r="E5716" i="2"/>
  <c r="C5716" i="2"/>
  <c r="E5715" i="2"/>
  <c r="C5715" i="2"/>
  <c r="E5714" i="2"/>
  <c r="C5714" i="2"/>
  <c r="E5713" i="2"/>
  <c r="C5713" i="2"/>
  <c r="E5712" i="2"/>
  <c r="C5712" i="2"/>
  <c r="E5711" i="2"/>
  <c r="C5711" i="2"/>
  <c r="E5710" i="2"/>
  <c r="C5710" i="2"/>
  <c r="E5709" i="2"/>
  <c r="C5709" i="2"/>
  <c r="E5708" i="2"/>
  <c r="C5708" i="2"/>
  <c r="E5707" i="2"/>
  <c r="C5707" i="2"/>
  <c r="E5706" i="2"/>
  <c r="C5706" i="2"/>
  <c r="E5705" i="2"/>
  <c r="C5705" i="2"/>
  <c r="E5704" i="2"/>
  <c r="C5704" i="2"/>
  <c r="E5703" i="2"/>
  <c r="C5703" i="2"/>
  <c r="E5702" i="2"/>
  <c r="C5702" i="2"/>
  <c r="E5701" i="2"/>
  <c r="C5701" i="2"/>
  <c r="E5700" i="2"/>
  <c r="C5700" i="2"/>
  <c r="E5699" i="2"/>
  <c r="C5699" i="2"/>
  <c r="E5698" i="2"/>
  <c r="C5698" i="2"/>
  <c r="E5697" i="2"/>
  <c r="C5697" i="2"/>
  <c r="E5696" i="2"/>
  <c r="C5696" i="2"/>
  <c r="E5695" i="2"/>
  <c r="C5695" i="2"/>
  <c r="E5694" i="2"/>
  <c r="C5694" i="2"/>
  <c r="E5693" i="2"/>
  <c r="C5693" i="2"/>
  <c r="E5692" i="2"/>
  <c r="C5692" i="2"/>
  <c r="E5691" i="2"/>
  <c r="C5691" i="2"/>
  <c r="E5690" i="2"/>
  <c r="C5690" i="2"/>
  <c r="E5689" i="2"/>
  <c r="C5689" i="2"/>
  <c r="E5688" i="2"/>
  <c r="C5688" i="2"/>
  <c r="E5687" i="2"/>
  <c r="C5687" i="2"/>
  <c r="E5686" i="2"/>
  <c r="C5686" i="2"/>
  <c r="E5685" i="2"/>
  <c r="C5685" i="2"/>
  <c r="E5684" i="2"/>
  <c r="C5684" i="2"/>
  <c r="E5683" i="2"/>
  <c r="C5683" i="2"/>
  <c r="E5682" i="2"/>
  <c r="C5682" i="2"/>
  <c r="E5681" i="2"/>
  <c r="C5681" i="2"/>
  <c r="E5680" i="2"/>
  <c r="C5680" i="2"/>
  <c r="E5679" i="2"/>
  <c r="C5679" i="2"/>
  <c r="E5678" i="2"/>
  <c r="C5678" i="2"/>
  <c r="E5677" i="2"/>
  <c r="C5677" i="2"/>
  <c r="E5676" i="2"/>
  <c r="C5676" i="2"/>
  <c r="E5675" i="2"/>
  <c r="C5675" i="2"/>
  <c r="E5674" i="2"/>
  <c r="C5674" i="2"/>
  <c r="E5673" i="2"/>
  <c r="C5673" i="2"/>
  <c r="E5672" i="2"/>
  <c r="C5672" i="2"/>
  <c r="E5671" i="2"/>
  <c r="C5671" i="2"/>
  <c r="E5670" i="2"/>
  <c r="C5670" i="2"/>
  <c r="E5669" i="2"/>
  <c r="C5669" i="2"/>
  <c r="E5668" i="2"/>
  <c r="C5668" i="2"/>
  <c r="E5667" i="2"/>
  <c r="C5667" i="2"/>
  <c r="E5666" i="2"/>
  <c r="C5666" i="2"/>
  <c r="E5665" i="2"/>
  <c r="C5665" i="2"/>
  <c r="E5664" i="2"/>
  <c r="C5664" i="2"/>
  <c r="E5663" i="2"/>
  <c r="C5663" i="2"/>
  <c r="E5662" i="2"/>
  <c r="C5662" i="2"/>
  <c r="E5661" i="2"/>
  <c r="C5661" i="2"/>
  <c r="E5660" i="2"/>
  <c r="C5660" i="2"/>
  <c r="E5659" i="2"/>
  <c r="C5659" i="2"/>
  <c r="E5658" i="2"/>
  <c r="C5658" i="2"/>
  <c r="E5657" i="2"/>
  <c r="C5657" i="2"/>
  <c r="E5656" i="2"/>
  <c r="C5656" i="2"/>
  <c r="E5655" i="2"/>
  <c r="C5655" i="2"/>
  <c r="E5654" i="2"/>
  <c r="C5654" i="2"/>
  <c r="E5653" i="2"/>
  <c r="C5653" i="2"/>
  <c r="E5652" i="2"/>
  <c r="C5652" i="2"/>
  <c r="E5651" i="2"/>
  <c r="C5651" i="2"/>
  <c r="E5650" i="2"/>
  <c r="C5650" i="2"/>
  <c r="E5649" i="2"/>
  <c r="C5649" i="2"/>
  <c r="E5648" i="2"/>
  <c r="C5648" i="2"/>
  <c r="E5647" i="2"/>
  <c r="C5647" i="2"/>
  <c r="E5646" i="2"/>
  <c r="C5646" i="2"/>
  <c r="E5645" i="2"/>
  <c r="C5645" i="2"/>
  <c r="E5644" i="2"/>
  <c r="C5644" i="2"/>
  <c r="E5643" i="2"/>
  <c r="C5643" i="2"/>
  <c r="E5642" i="2"/>
  <c r="C5642" i="2"/>
  <c r="E5641" i="2"/>
  <c r="C5641" i="2"/>
  <c r="E5640" i="2"/>
  <c r="C5640" i="2"/>
  <c r="E5639" i="2"/>
  <c r="C5639" i="2"/>
  <c r="E5638" i="2"/>
  <c r="C5638" i="2"/>
  <c r="E5637" i="2"/>
  <c r="C5637" i="2"/>
  <c r="E5636" i="2"/>
  <c r="C5636" i="2"/>
  <c r="E5635" i="2"/>
  <c r="C5635" i="2"/>
  <c r="E5634" i="2"/>
  <c r="C5634" i="2"/>
  <c r="E5633" i="2"/>
  <c r="C5633" i="2"/>
  <c r="E5632" i="2"/>
  <c r="C5632" i="2"/>
  <c r="E5631" i="2"/>
  <c r="C5631" i="2"/>
  <c r="E5630" i="2"/>
  <c r="C5630" i="2"/>
  <c r="E5629" i="2"/>
  <c r="C5629" i="2"/>
  <c r="E5628" i="2"/>
  <c r="C5628" i="2"/>
  <c r="E5627" i="2"/>
  <c r="C5627" i="2"/>
  <c r="E5626" i="2"/>
  <c r="C5626" i="2"/>
  <c r="E5625" i="2"/>
  <c r="C5625" i="2"/>
  <c r="E5624" i="2"/>
  <c r="C5624" i="2"/>
  <c r="E5623" i="2"/>
  <c r="C5623" i="2"/>
  <c r="E5622" i="2"/>
  <c r="C5622" i="2"/>
  <c r="E5621" i="2"/>
  <c r="C5621" i="2"/>
  <c r="E5620" i="2"/>
  <c r="C5620" i="2"/>
  <c r="E5619" i="2"/>
  <c r="C5619" i="2"/>
  <c r="E5618" i="2"/>
  <c r="C5618" i="2"/>
  <c r="E5617" i="2"/>
  <c r="C5617" i="2"/>
  <c r="E5616" i="2"/>
  <c r="C5616" i="2"/>
  <c r="E5615" i="2"/>
  <c r="C5615" i="2"/>
  <c r="E5614" i="2"/>
  <c r="C5614" i="2"/>
  <c r="E5613" i="2"/>
  <c r="C5613" i="2"/>
  <c r="E5612" i="2"/>
  <c r="C5612" i="2"/>
  <c r="E5611" i="2"/>
  <c r="C5611" i="2"/>
  <c r="E5610" i="2"/>
  <c r="C5610" i="2"/>
  <c r="E5609" i="2"/>
  <c r="C5609" i="2"/>
  <c r="E5608" i="2"/>
  <c r="C5608" i="2"/>
  <c r="E5607" i="2"/>
  <c r="C5607" i="2"/>
  <c r="E5606" i="2"/>
  <c r="C5606" i="2"/>
  <c r="E5605" i="2"/>
  <c r="C5605" i="2"/>
  <c r="E5604" i="2"/>
  <c r="C5604" i="2"/>
  <c r="E5603" i="2"/>
  <c r="C5603" i="2"/>
  <c r="E5602" i="2"/>
  <c r="C5602" i="2"/>
  <c r="E5601" i="2"/>
  <c r="C5601" i="2"/>
  <c r="E5600" i="2"/>
  <c r="C5600" i="2"/>
  <c r="E5599" i="2"/>
  <c r="C5599" i="2"/>
  <c r="E5598" i="2"/>
  <c r="C5598" i="2"/>
  <c r="E5597" i="2"/>
  <c r="C5597" i="2"/>
  <c r="E5596" i="2"/>
  <c r="C5596" i="2"/>
  <c r="E5595" i="2"/>
  <c r="C5595" i="2"/>
  <c r="E5594" i="2"/>
  <c r="C5594" i="2"/>
  <c r="E5593" i="2"/>
  <c r="C5593" i="2"/>
  <c r="E5592" i="2"/>
  <c r="C5592" i="2"/>
  <c r="E5591" i="2"/>
  <c r="C5591" i="2"/>
  <c r="E5590" i="2"/>
  <c r="C5590" i="2"/>
  <c r="E5589" i="2"/>
  <c r="C5589" i="2"/>
  <c r="E5588" i="2"/>
  <c r="C5588" i="2"/>
  <c r="E5587" i="2"/>
  <c r="C5587" i="2"/>
  <c r="E5586" i="2"/>
  <c r="C5586" i="2"/>
  <c r="E5585" i="2"/>
  <c r="C5585" i="2"/>
  <c r="E5584" i="2"/>
  <c r="C5584" i="2"/>
  <c r="E5583" i="2"/>
  <c r="C5583" i="2"/>
  <c r="E5582" i="2"/>
  <c r="C5582" i="2"/>
  <c r="E5581" i="2"/>
  <c r="C5581" i="2"/>
  <c r="E5580" i="2"/>
  <c r="C5580" i="2"/>
  <c r="E5579" i="2"/>
  <c r="C5579" i="2"/>
  <c r="E5578" i="2"/>
  <c r="C5578" i="2"/>
  <c r="E5577" i="2"/>
  <c r="C5577" i="2"/>
  <c r="E5576" i="2"/>
  <c r="C5576" i="2"/>
  <c r="E5575" i="2"/>
  <c r="C5575" i="2"/>
  <c r="E5574" i="2"/>
  <c r="C5574" i="2"/>
  <c r="E5573" i="2"/>
  <c r="C5573" i="2"/>
  <c r="E5572" i="2"/>
  <c r="C5572" i="2"/>
  <c r="E5571" i="2"/>
  <c r="C5571" i="2"/>
  <c r="E5570" i="2"/>
  <c r="C5570" i="2"/>
  <c r="E5569" i="2"/>
  <c r="C5569" i="2"/>
  <c r="E5568" i="2"/>
  <c r="C5568" i="2"/>
  <c r="E5567" i="2"/>
  <c r="C5567" i="2"/>
  <c r="E5566" i="2"/>
  <c r="C5566" i="2"/>
  <c r="E5565" i="2"/>
  <c r="C5565" i="2"/>
  <c r="E5564" i="2"/>
  <c r="C5564" i="2"/>
  <c r="E5563" i="2"/>
  <c r="C5563" i="2"/>
  <c r="E5562" i="2"/>
  <c r="C5562" i="2"/>
  <c r="E5561" i="2"/>
  <c r="C5561" i="2"/>
  <c r="E5560" i="2"/>
  <c r="C5560" i="2"/>
  <c r="E5559" i="2"/>
  <c r="C5559" i="2"/>
  <c r="E5558" i="2"/>
  <c r="C5558" i="2"/>
  <c r="E5557" i="2"/>
  <c r="C5557" i="2"/>
  <c r="E5556" i="2"/>
  <c r="C5556" i="2"/>
  <c r="E5555" i="2"/>
  <c r="C5555" i="2"/>
  <c r="E5554" i="2"/>
  <c r="C5554" i="2"/>
  <c r="E5553" i="2"/>
  <c r="C5553" i="2"/>
  <c r="E5552" i="2"/>
  <c r="C5552" i="2"/>
  <c r="E5551" i="2"/>
  <c r="C5551" i="2"/>
  <c r="E5550" i="2"/>
  <c r="C5550" i="2"/>
  <c r="E5549" i="2"/>
  <c r="C5549" i="2"/>
  <c r="E5548" i="2"/>
  <c r="C5548" i="2"/>
  <c r="E5547" i="2"/>
  <c r="C5547" i="2"/>
  <c r="E5546" i="2"/>
  <c r="C5546" i="2"/>
  <c r="E5545" i="2"/>
  <c r="C5545" i="2"/>
  <c r="E5544" i="2"/>
  <c r="C5544" i="2"/>
  <c r="E5543" i="2"/>
  <c r="C5543" i="2"/>
  <c r="E5542" i="2"/>
  <c r="C5542" i="2"/>
  <c r="E5541" i="2"/>
  <c r="C5541" i="2"/>
  <c r="E5540" i="2"/>
  <c r="C5540" i="2"/>
  <c r="E5539" i="2"/>
  <c r="C5539" i="2"/>
  <c r="E5538" i="2"/>
  <c r="C5538" i="2"/>
  <c r="E5537" i="2"/>
  <c r="C5537" i="2"/>
  <c r="E5536" i="2"/>
  <c r="C5536" i="2"/>
  <c r="E5535" i="2"/>
  <c r="C5535" i="2"/>
  <c r="E5534" i="2"/>
  <c r="C5534" i="2"/>
  <c r="E5533" i="2"/>
  <c r="C5533" i="2"/>
  <c r="E5532" i="2"/>
  <c r="C5532" i="2"/>
  <c r="E5531" i="2"/>
  <c r="C5531" i="2"/>
  <c r="E5530" i="2"/>
  <c r="C5530" i="2"/>
  <c r="E5529" i="2"/>
  <c r="C5529" i="2"/>
  <c r="E5528" i="2"/>
  <c r="C5528" i="2"/>
  <c r="E5527" i="2"/>
  <c r="C5527" i="2"/>
  <c r="E5526" i="2"/>
  <c r="C5526" i="2"/>
  <c r="E5525" i="2"/>
  <c r="C5525" i="2"/>
  <c r="E5524" i="2"/>
  <c r="C5524" i="2"/>
  <c r="E5523" i="2"/>
  <c r="C5523" i="2"/>
  <c r="E5522" i="2"/>
  <c r="C5522" i="2"/>
  <c r="E5521" i="2"/>
  <c r="C5521" i="2"/>
  <c r="E5520" i="2"/>
  <c r="C5520" i="2"/>
  <c r="E5519" i="2"/>
  <c r="C5519" i="2"/>
  <c r="E5518" i="2"/>
  <c r="C5518" i="2"/>
  <c r="E5517" i="2"/>
  <c r="C5517" i="2"/>
  <c r="E5516" i="2"/>
  <c r="C5516" i="2"/>
  <c r="E5515" i="2"/>
  <c r="C5515" i="2"/>
  <c r="E5514" i="2"/>
  <c r="C5514" i="2"/>
  <c r="E5513" i="2"/>
  <c r="C5513" i="2"/>
  <c r="E5512" i="2"/>
  <c r="C5512" i="2"/>
  <c r="E5511" i="2"/>
  <c r="C5511" i="2"/>
  <c r="E5510" i="2"/>
  <c r="C5510" i="2"/>
  <c r="E5509" i="2"/>
  <c r="C5509" i="2"/>
  <c r="E5508" i="2"/>
  <c r="C5508" i="2"/>
  <c r="E5507" i="2"/>
  <c r="C5507" i="2"/>
  <c r="E5506" i="2"/>
  <c r="C5506" i="2"/>
  <c r="E5505" i="2"/>
  <c r="C5505" i="2"/>
  <c r="E5504" i="2"/>
  <c r="C5504" i="2"/>
  <c r="E5503" i="2"/>
  <c r="C5503" i="2"/>
  <c r="E5502" i="2"/>
  <c r="C5502" i="2"/>
  <c r="E5501" i="2"/>
  <c r="C5501" i="2"/>
  <c r="E5500" i="2"/>
  <c r="C5500" i="2"/>
  <c r="E5499" i="2"/>
  <c r="C5499" i="2"/>
  <c r="E5498" i="2"/>
  <c r="C5498" i="2"/>
  <c r="E5497" i="2"/>
  <c r="C5497" i="2"/>
  <c r="E5496" i="2"/>
  <c r="C5496" i="2"/>
  <c r="E5495" i="2"/>
  <c r="C5495" i="2"/>
  <c r="E5494" i="2"/>
  <c r="C5494" i="2"/>
  <c r="E5493" i="2"/>
  <c r="C5493" i="2"/>
  <c r="E5492" i="2"/>
  <c r="C5492" i="2"/>
  <c r="E5491" i="2"/>
  <c r="C5491" i="2"/>
  <c r="E5490" i="2"/>
  <c r="C5490" i="2"/>
  <c r="E5489" i="2"/>
  <c r="C5489" i="2"/>
  <c r="E5488" i="2"/>
  <c r="C5488" i="2"/>
  <c r="E5487" i="2"/>
  <c r="C5487" i="2"/>
  <c r="E5486" i="2"/>
  <c r="C5486" i="2"/>
  <c r="E5485" i="2"/>
  <c r="C5485" i="2"/>
  <c r="E5484" i="2"/>
  <c r="C5484" i="2"/>
  <c r="E5483" i="2"/>
  <c r="C5483" i="2"/>
  <c r="E5482" i="2"/>
  <c r="C5482" i="2"/>
  <c r="E5481" i="2"/>
  <c r="C5481" i="2"/>
  <c r="E5480" i="2"/>
  <c r="C5480" i="2"/>
  <c r="E5479" i="2"/>
  <c r="C5479" i="2"/>
  <c r="E5478" i="2"/>
  <c r="C5478" i="2"/>
  <c r="E5477" i="2"/>
  <c r="C5477" i="2"/>
  <c r="E5476" i="2"/>
  <c r="C5476" i="2"/>
  <c r="E5475" i="2"/>
  <c r="C5475" i="2"/>
  <c r="E5474" i="2"/>
  <c r="C5474" i="2"/>
  <c r="E5473" i="2"/>
  <c r="C5473" i="2"/>
  <c r="E5472" i="2"/>
  <c r="C5472" i="2"/>
  <c r="E5471" i="2"/>
  <c r="C5471" i="2"/>
  <c r="E5470" i="2"/>
  <c r="C5470" i="2"/>
  <c r="E5469" i="2"/>
  <c r="C5469" i="2"/>
  <c r="E5468" i="2"/>
  <c r="C5468" i="2"/>
  <c r="E5467" i="2"/>
  <c r="C5467" i="2"/>
  <c r="E5466" i="2"/>
  <c r="C5466" i="2"/>
  <c r="E5465" i="2"/>
  <c r="C5465" i="2"/>
  <c r="E5464" i="2"/>
  <c r="C5464" i="2"/>
  <c r="E5463" i="2"/>
  <c r="C5463" i="2"/>
  <c r="E5462" i="2"/>
  <c r="C5462" i="2"/>
  <c r="E5461" i="2"/>
  <c r="C5461" i="2"/>
  <c r="E5460" i="2"/>
  <c r="C5460" i="2"/>
  <c r="E5459" i="2"/>
  <c r="C5459" i="2"/>
  <c r="E5458" i="2"/>
  <c r="C5458" i="2"/>
  <c r="E5457" i="2"/>
  <c r="C5457" i="2"/>
  <c r="E5456" i="2"/>
  <c r="C5456" i="2"/>
  <c r="E5455" i="2"/>
  <c r="C5455" i="2"/>
  <c r="E5454" i="2"/>
  <c r="C5454" i="2"/>
  <c r="E5453" i="2"/>
  <c r="C5453" i="2"/>
  <c r="E5452" i="2"/>
  <c r="C5452" i="2"/>
  <c r="E5451" i="2"/>
  <c r="C5451" i="2"/>
  <c r="E5450" i="2"/>
  <c r="C5450" i="2"/>
  <c r="E5449" i="2"/>
  <c r="C5449" i="2"/>
  <c r="E5448" i="2"/>
  <c r="C5448" i="2"/>
  <c r="E5447" i="2"/>
  <c r="C5447" i="2"/>
  <c r="E5446" i="2"/>
  <c r="C5446" i="2"/>
  <c r="E5445" i="2"/>
  <c r="C5445" i="2"/>
  <c r="E5444" i="2"/>
  <c r="C5444" i="2"/>
  <c r="E5443" i="2"/>
  <c r="C5443" i="2"/>
  <c r="E5442" i="2"/>
  <c r="C5442" i="2"/>
  <c r="E5441" i="2"/>
  <c r="C5441" i="2"/>
  <c r="E5440" i="2"/>
  <c r="C5440" i="2"/>
  <c r="E5439" i="2"/>
  <c r="C5439" i="2"/>
  <c r="E5438" i="2"/>
  <c r="C5438" i="2"/>
  <c r="E5437" i="2"/>
  <c r="C5437" i="2"/>
  <c r="E5436" i="2"/>
  <c r="C5436" i="2"/>
  <c r="E5435" i="2"/>
  <c r="C5435" i="2"/>
  <c r="E5434" i="2"/>
  <c r="C5434" i="2"/>
  <c r="E5433" i="2"/>
  <c r="C5433" i="2"/>
  <c r="E5432" i="2"/>
  <c r="C5432" i="2"/>
  <c r="E5431" i="2"/>
  <c r="C5431" i="2"/>
  <c r="E5430" i="2"/>
  <c r="C5430" i="2"/>
  <c r="E5429" i="2"/>
  <c r="C5429" i="2"/>
  <c r="E5428" i="2"/>
  <c r="C5428" i="2"/>
  <c r="E5427" i="2"/>
  <c r="C5427" i="2"/>
  <c r="E5426" i="2"/>
  <c r="C5426" i="2"/>
  <c r="E5425" i="2"/>
  <c r="C5425" i="2"/>
  <c r="E5424" i="2"/>
  <c r="C5424" i="2"/>
  <c r="E5423" i="2"/>
  <c r="C5423" i="2"/>
  <c r="E5422" i="2"/>
  <c r="C5422" i="2"/>
  <c r="E5421" i="2"/>
  <c r="C5421" i="2"/>
  <c r="E5420" i="2"/>
  <c r="C5420" i="2"/>
  <c r="E5419" i="2"/>
  <c r="C5419" i="2"/>
  <c r="E5418" i="2"/>
  <c r="C5418" i="2"/>
  <c r="E5417" i="2"/>
  <c r="C5417" i="2"/>
  <c r="E5416" i="2"/>
  <c r="C5416" i="2"/>
  <c r="E5415" i="2"/>
  <c r="C5415" i="2"/>
  <c r="E5414" i="2"/>
  <c r="C5414" i="2"/>
  <c r="E5413" i="2"/>
  <c r="C5413" i="2"/>
  <c r="E5412" i="2"/>
  <c r="C5412" i="2"/>
  <c r="E5411" i="2"/>
  <c r="C5411" i="2"/>
  <c r="E5410" i="2"/>
  <c r="C5410" i="2"/>
  <c r="E5409" i="2"/>
  <c r="C5409" i="2"/>
  <c r="E5408" i="2"/>
  <c r="C5408" i="2"/>
  <c r="E5407" i="2"/>
  <c r="C5407" i="2"/>
  <c r="E5406" i="2"/>
  <c r="C5406" i="2"/>
  <c r="E5405" i="2"/>
  <c r="C5405" i="2"/>
  <c r="E5404" i="2"/>
  <c r="C5404" i="2"/>
  <c r="E5403" i="2"/>
  <c r="C5403" i="2"/>
  <c r="E5402" i="2"/>
  <c r="C5402" i="2"/>
  <c r="E5401" i="2"/>
  <c r="C5401" i="2"/>
  <c r="E5400" i="2"/>
  <c r="C5400" i="2"/>
  <c r="E5399" i="2"/>
  <c r="C5399" i="2"/>
  <c r="E5398" i="2"/>
  <c r="C5398" i="2"/>
  <c r="E5397" i="2"/>
  <c r="C5397" i="2"/>
  <c r="E5396" i="2"/>
  <c r="C5396" i="2"/>
  <c r="E5395" i="2"/>
  <c r="C5395" i="2"/>
  <c r="E5394" i="2"/>
  <c r="C5394" i="2"/>
  <c r="E5393" i="2"/>
  <c r="C5393" i="2"/>
  <c r="E5392" i="2"/>
  <c r="C5392" i="2"/>
  <c r="E5391" i="2"/>
  <c r="C5391" i="2"/>
  <c r="E5390" i="2"/>
  <c r="C5390" i="2"/>
  <c r="E5389" i="2"/>
  <c r="C5389" i="2"/>
  <c r="E5388" i="2"/>
  <c r="C5388" i="2"/>
  <c r="E5387" i="2"/>
  <c r="C5387" i="2"/>
  <c r="E5386" i="2"/>
  <c r="C5386" i="2"/>
  <c r="E5385" i="2"/>
  <c r="C5385" i="2"/>
  <c r="E5384" i="2"/>
  <c r="C5384" i="2"/>
  <c r="E5383" i="2"/>
  <c r="C5383" i="2"/>
  <c r="E5382" i="2"/>
  <c r="C5382" i="2"/>
  <c r="E5381" i="2"/>
  <c r="C5381" i="2"/>
  <c r="E5380" i="2"/>
  <c r="C5380" i="2"/>
  <c r="E5379" i="2"/>
  <c r="C5379" i="2"/>
  <c r="E5378" i="2"/>
  <c r="C5378" i="2"/>
  <c r="E5377" i="2"/>
  <c r="C5377" i="2"/>
  <c r="E5376" i="2"/>
  <c r="C5376" i="2"/>
  <c r="E5375" i="2"/>
  <c r="C5375" i="2"/>
  <c r="E5374" i="2"/>
  <c r="C5374" i="2"/>
  <c r="E5373" i="2"/>
  <c r="C5373" i="2"/>
  <c r="E5372" i="2"/>
  <c r="C5372" i="2"/>
  <c r="E5371" i="2"/>
  <c r="C5371" i="2"/>
  <c r="E5370" i="2"/>
  <c r="C5370" i="2"/>
  <c r="E5369" i="2"/>
  <c r="C5369" i="2"/>
  <c r="E5368" i="2"/>
  <c r="C5368" i="2"/>
  <c r="E5367" i="2"/>
  <c r="C5367" i="2"/>
  <c r="E5366" i="2"/>
  <c r="C5366" i="2"/>
  <c r="E5365" i="2"/>
  <c r="C5365" i="2"/>
  <c r="E5364" i="2"/>
  <c r="C5364" i="2"/>
  <c r="E5363" i="2"/>
  <c r="C5363" i="2"/>
  <c r="E5362" i="2"/>
  <c r="C5362" i="2"/>
  <c r="E5361" i="2"/>
  <c r="C5361" i="2"/>
  <c r="E5360" i="2"/>
  <c r="C5360" i="2"/>
  <c r="E5359" i="2"/>
  <c r="C5359" i="2"/>
  <c r="E5358" i="2"/>
  <c r="C5358" i="2"/>
  <c r="E5357" i="2"/>
  <c r="C5357" i="2"/>
  <c r="E5356" i="2"/>
  <c r="C5356" i="2"/>
  <c r="E5355" i="2"/>
  <c r="C5355" i="2"/>
  <c r="E5354" i="2"/>
  <c r="C5354" i="2"/>
  <c r="E5353" i="2"/>
  <c r="C5353" i="2"/>
  <c r="E5352" i="2"/>
  <c r="C5352" i="2"/>
  <c r="E5351" i="2"/>
  <c r="C5351" i="2"/>
  <c r="E5350" i="2"/>
  <c r="C5350" i="2"/>
  <c r="E5349" i="2"/>
  <c r="C5349" i="2"/>
  <c r="E5348" i="2"/>
  <c r="C5348" i="2"/>
  <c r="E5347" i="2"/>
  <c r="C5347" i="2"/>
  <c r="E5346" i="2"/>
  <c r="C5346" i="2"/>
  <c r="E5345" i="2"/>
  <c r="C5345" i="2"/>
  <c r="E5344" i="2"/>
  <c r="C5344" i="2"/>
  <c r="E5343" i="2"/>
  <c r="C5343" i="2"/>
  <c r="E5342" i="2"/>
  <c r="C5342" i="2"/>
  <c r="E5341" i="2"/>
  <c r="C5341" i="2"/>
  <c r="E5340" i="2"/>
  <c r="C5340" i="2"/>
  <c r="E5339" i="2"/>
  <c r="C5339" i="2"/>
  <c r="E5338" i="2"/>
  <c r="C5338" i="2"/>
  <c r="E5337" i="2"/>
  <c r="C5337" i="2"/>
  <c r="E5336" i="2"/>
  <c r="C5336" i="2"/>
  <c r="E5335" i="2"/>
  <c r="C5335" i="2"/>
  <c r="E5334" i="2"/>
  <c r="C5334" i="2"/>
  <c r="E5333" i="2"/>
  <c r="C5333" i="2"/>
  <c r="E5332" i="2"/>
  <c r="C5332" i="2"/>
  <c r="E5331" i="2"/>
  <c r="C5331" i="2"/>
  <c r="E5330" i="2"/>
  <c r="C5330" i="2"/>
  <c r="E5329" i="2"/>
  <c r="C5329" i="2"/>
  <c r="E5328" i="2"/>
  <c r="C5328" i="2"/>
  <c r="E5327" i="2"/>
  <c r="C5327" i="2"/>
  <c r="E5326" i="2"/>
  <c r="C5326" i="2"/>
  <c r="E5325" i="2"/>
  <c r="C5325" i="2"/>
  <c r="E5324" i="2"/>
  <c r="C5324" i="2"/>
  <c r="E5323" i="2"/>
  <c r="C5323" i="2"/>
  <c r="E5322" i="2"/>
  <c r="C5322" i="2"/>
  <c r="E5321" i="2"/>
  <c r="C5321" i="2"/>
  <c r="E5320" i="2"/>
  <c r="C5320" i="2"/>
  <c r="E5319" i="2"/>
  <c r="C5319" i="2"/>
  <c r="E5318" i="2"/>
  <c r="C5318" i="2"/>
  <c r="E5317" i="2"/>
  <c r="C5317" i="2"/>
  <c r="E5316" i="2"/>
  <c r="C5316" i="2"/>
  <c r="E5315" i="2"/>
  <c r="C5315" i="2"/>
  <c r="E5314" i="2"/>
  <c r="C5314" i="2"/>
  <c r="E5313" i="2"/>
  <c r="C5313" i="2"/>
  <c r="E5312" i="2"/>
  <c r="C5312" i="2"/>
  <c r="E5311" i="2"/>
  <c r="C5311" i="2"/>
  <c r="E5310" i="2"/>
  <c r="C5310" i="2"/>
  <c r="E5309" i="2"/>
  <c r="C5309" i="2"/>
  <c r="E5308" i="2"/>
  <c r="C5308" i="2"/>
  <c r="E5307" i="2"/>
  <c r="C5307" i="2"/>
  <c r="E5306" i="2"/>
  <c r="C5306" i="2"/>
  <c r="E5305" i="2"/>
  <c r="C5305" i="2"/>
  <c r="E5304" i="2"/>
  <c r="C5304" i="2"/>
  <c r="E5303" i="2"/>
  <c r="C5303" i="2"/>
  <c r="E5302" i="2"/>
  <c r="C5302" i="2"/>
  <c r="E5301" i="2"/>
  <c r="C5301" i="2"/>
  <c r="E5300" i="2"/>
  <c r="C5300" i="2"/>
  <c r="E5299" i="2"/>
  <c r="C5299" i="2"/>
  <c r="E5298" i="2"/>
  <c r="C5298" i="2"/>
  <c r="E5297" i="2"/>
  <c r="C5297" i="2"/>
  <c r="E5296" i="2"/>
  <c r="C5296" i="2"/>
  <c r="E5295" i="2"/>
  <c r="C5295" i="2"/>
  <c r="E5294" i="2"/>
  <c r="C5294" i="2"/>
  <c r="E5293" i="2"/>
  <c r="C5293" i="2"/>
  <c r="E5292" i="2"/>
  <c r="C5292" i="2"/>
  <c r="E5291" i="2"/>
  <c r="C5291" i="2"/>
  <c r="E5290" i="2"/>
  <c r="C5290" i="2"/>
  <c r="E5289" i="2"/>
  <c r="C5289" i="2"/>
  <c r="E5288" i="2"/>
  <c r="C5288" i="2"/>
  <c r="E5287" i="2"/>
  <c r="C5287" i="2"/>
  <c r="E5286" i="2"/>
  <c r="C5286" i="2"/>
  <c r="E5285" i="2"/>
  <c r="C5285" i="2"/>
  <c r="E5284" i="2"/>
  <c r="C5284" i="2"/>
  <c r="E5283" i="2"/>
  <c r="C5283" i="2"/>
  <c r="E5282" i="2"/>
  <c r="C5282" i="2"/>
  <c r="E5281" i="2"/>
  <c r="C5281" i="2"/>
  <c r="E5280" i="2"/>
  <c r="C5280" i="2"/>
  <c r="E5279" i="2"/>
  <c r="C5279" i="2"/>
  <c r="E5278" i="2"/>
  <c r="C5278" i="2"/>
  <c r="E5277" i="2"/>
  <c r="C5277" i="2"/>
  <c r="E5276" i="2"/>
  <c r="C5276" i="2"/>
  <c r="E5275" i="2"/>
  <c r="C5275" i="2"/>
  <c r="E5274" i="2"/>
  <c r="C5274" i="2"/>
  <c r="E5273" i="2"/>
  <c r="C5273" i="2"/>
  <c r="E5272" i="2"/>
  <c r="C5272" i="2"/>
  <c r="E5271" i="2"/>
  <c r="C5271" i="2"/>
  <c r="E5270" i="2"/>
  <c r="C5270" i="2"/>
  <c r="E5269" i="2"/>
  <c r="C5269" i="2"/>
  <c r="E5268" i="2"/>
  <c r="C5268" i="2"/>
  <c r="E5267" i="2"/>
  <c r="C5267" i="2"/>
  <c r="E5266" i="2"/>
  <c r="C5266" i="2"/>
  <c r="E5265" i="2"/>
  <c r="C5265" i="2"/>
  <c r="E5264" i="2"/>
  <c r="C5264" i="2"/>
  <c r="E5263" i="2"/>
  <c r="C5263" i="2"/>
  <c r="E5262" i="2"/>
  <c r="C5262" i="2"/>
  <c r="E5261" i="2"/>
  <c r="C5261" i="2"/>
  <c r="E5260" i="2"/>
  <c r="C5260" i="2"/>
  <c r="E5259" i="2"/>
  <c r="C5259" i="2"/>
  <c r="E5258" i="2"/>
  <c r="C5258" i="2"/>
  <c r="E5257" i="2"/>
  <c r="C5257" i="2"/>
  <c r="E5256" i="2"/>
  <c r="C5256" i="2"/>
  <c r="E5255" i="2"/>
  <c r="C5255" i="2"/>
  <c r="E5254" i="2"/>
  <c r="C5254" i="2"/>
  <c r="E5253" i="2"/>
  <c r="C5253" i="2"/>
  <c r="E5252" i="2"/>
  <c r="C5252" i="2"/>
  <c r="E5251" i="2"/>
  <c r="C5251" i="2"/>
  <c r="E5250" i="2"/>
  <c r="C5250" i="2"/>
  <c r="E5249" i="2"/>
  <c r="C5249" i="2"/>
  <c r="E5248" i="2"/>
  <c r="C5248" i="2"/>
  <c r="E5247" i="2"/>
  <c r="C5247" i="2"/>
  <c r="E5246" i="2"/>
  <c r="C5246" i="2"/>
  <c r="E5245" i="2"/>
  <c r="C5245" i="2"/>
  <c r="E5244" i="2"/>
  <c r="C5244" i="2"/>
  <c r="E5243" i="2"/>
  <c r="C5243" i="2"/>
  <c r="E5242" i="2"/>
  <c r="C5242" i="2"/>
  <c r="E5241" i="2"/>
  <c r="C5241" i="2"/>
  <c r="E5240" i="2"/>
  <c r="C5240" i="2"/>
  <c r="E5239" i="2"/>
  <c r="C5239" i="2"/>
  <c r="E5238" i="2"/>
  <c r="C5238" i="2"/>
  <c r="E5237" i="2"/>
  <c r="C5237" i="2"/>
  <c r="E5236" i="2"/>
  <c r="C5236" i="2"/>
  <c r="E5235" i="2"/>
  <c r="C5235" i="2"/>
  <c r="E5234" i="2"/>
  <c r="C5234" i="2"/>
  <c r="E5233" i="2"/>
  <c r="C5233" i="2"/>
  <c r="E5232" i="2"/>
  <c r="C5232" i="2"/>
  <c r="E5231" i="2"/>
  <c r="C5231" i="2"/>
  <c r="E5230" i="2"/>
  <c r="C5230" i="2"/>
  <c r="E5229" i="2"/>
  <c r="C5229" i="2"/>
  <c r="E5228" i="2"/>
  <c r="C5228" i="2"/>
  <c r="E5227" i="2"/>
  <c r="C5227" i="2"/>
  <c r="E5226" i="2"/>
  <c r="C5226" i="2"/>
  <c r="E5225" i="2"/>
  <c r="C5225" i="2"/>
  <c r="E5224" i="2"/>
  <c r="C5224" i="2"/>
  <c r="E5223" i="2"/>
  <c r="C5223" i="2"/>
  <c r="E5222" i="2"/>
  <c r="C5222" i="2"/>
  <c r="E5221" i="2"/>
  <c r="C5221" i="2"/>
  <c r="E5220" i="2"/>
  <c r="C5220" i="2"/>
  <c r="E5219" i="2"/>
  <c r="C5219" i="2"/>
  <c r="E5218" i="2"/>
  <c r="C5218" i="2"/>
  <c r="E5217" i="2"/>
  <c r="C5217" i="2"/>
  <c r="E5216" i="2"/>
  <c r="C5216" i="2"/>
  <c r="E5215" i="2"/>
  <c r="C5215" i="2"/>
  <c r="E5214" i="2"/>
  <c r="C5214" i="2"/>
  <c r="E5213" i="2"/>
  <c r="C5213" i="2"/>
  <c r="E5212" i="2"/>
  <c r="C5212" i="2"/>
  <c r="E5211" i="2"/>
  <c r="C5211" i="2"/>
  <c r="E5210" i="2"/>
  <c r="C5210" i="2"/>
  <c r="E5209" i="2"/>
  <c r="C5209" i="2"/>
  <c r="E5208" i="2"/>
  <c r="C5208" i="2"/>
  <c r="E5207" i="2"/>
  <c r="C5207" i="2"/>
  <c r="E5206" i="2"/>
  <c r="C5206" i="2"/>
  <c r="E5205" i="2"/>
  <c r="C5205" i="2"/>
  <c r="E5204" i="2"/>
  <c r="C5204" i="2"/>
  <c r="E5203" i="2"/>
  <c r="C5203" i="2"/>
  <c r="E5202" i="2"/>
  <c r="C5202" i="2"/>
  <c r="E5201" i="2"/>
  <c r="C5201" i="2"/>
  <c r="E5200" i="2"/>
  <c r="C5200" i="2"/>
  <c r="E5199" i="2"/>
  <c r="C5199" i="2"/>
  <c r="E5198" i="2"/>
  <c r="C5198" i="2"/>
  <c r="E5197" i="2"/>
  <c r="C5197" i="2"/>
  <c r="E5196" i="2"/>
  <c r="C5196" i="2"/>
  <c r="E5195" i="2"/>
  <c r="C5195" i="2"/>
  <c r="E5194" i="2"/>
  <c r="C5194" i="2"/>
  <c r="E5193" i="2"/>
  <c r="C5193" i="2"/>
  <c r="E5192" i="2"/>
  <c r="C5192" i="2"/>
  <c r="E5191" i="2"/>
  <c r="C5191" i="2"/>
  <c r="E5190" i="2"/>
  <c r="C5190" i="2"/>
  <c r="E5189" i="2"/>
  <c r="C5189" i="2"/>
  <c r="E5188" i="2"/>
  <c r="C5188" i="2"/>
  <c r="E5187" i="2"/>
  <c r="C5187" i="2"/>
  <c r="E5186" i="2"/>
  <c r="C5186" i="2"/>
  <c r="E5185" i="2"/>
  <c r="C5185" i="2"/>
  <c r="E5184" i="2"/>
  <c r="C5184" i="2"/>
  <c r="E5183" i="2"/>
  <c r="C5183" i="2"/>
  <c r="E5182" i="2"/>
  <c r="C5182" i="2"/>
  <c r="E5181" i="2"/>
  <c r="C5181" i="2"/>
  <c r="E5180" i="2"/>
  <c r="C5180" i="2"/>
  <c r="E5179" i="2"/>
  <c r="C5179" i="2"/>
  <c r="E5178" i="2"/>
  <c r="C5178" i="2"/>
  <c r="E5177" i="2"/>
  <c r="C5177" i="2"/>
  <c r="E5176" i="2"/>
  <c r="C5176" i="2"/>
  <c r="E5175" i="2"/>
  <c r="C5175" i="2"/>
  <c r="E5174" i="2"/>
  <c r="C5174" i="2"/>
  <c r="E5173" i="2"/>
  <c r="C5173" i="2"/>
  <c r="E5172" i="2"/>
  <c r="C5172" i="2"/>
  <c r="E5171" i="2"/>
  <c r="C5171" i="2"/>
  <c r="E5170" i="2"/>
  <c r="C5170" i="2"/>
  <c r="E5169" i="2"/>
  <c r="C5169" i="2"/>
  <c r="E5168" i="2"/>
  <c r="C5168" i="2"/>
  <c r="E5167" i="2"/>
  <c r="C5167" i="2"/>
  <c r="E5166" i="2"/>
  <c r="C5166" i="2"/>
  <c r="E5165" i="2"/>
  <c r="C5165" i="2"/>
  <c r="E5164" i="2"/>
  <c r="C5164" i="2"/>
  <c r="E5163" i="2"/>
  <c r="C5163" i="2"/>
  <c r="E5162" i="2"/>
  <c r="C5162" i="2"/>
  <c r="E5161" i="2"/>
  <c r="C5161" i="2"/>
  <c r="E5160" i="2"/>
  <c r="C5160" i="2"/>
  <c r="E5159" i="2"/>
  <c r="C5159" i="2"/>
  <c r="E5158" i="2"/>
  <c r="C5158" i="2"/>
  <c r="E5157" i="2"/>
  <c r="C5157" i="2"/>
  <c r="E5156" i="2"/>
  <c r="C5156" i="2"/>
  <c r="E5155" i="2"/>
  <c r="C5155" i="2"/>
  <c r="E5154" i="2"/>
  <c r="C5154" i="2"/>
  <c r="E5153" i="2"/>
  <c r="C5153" i="2"/>
  <c r="E5152" i="2"/>
  <c r="C5152" i="2"/>
  <c r="E5151" i="2"/>
  <c r="C5151" i="2"/>
  <c r="E5150" i="2"/>
  <c r="C5150" i="2"/>
  <c r="E5149" i="2"/>
  <c r="C5149" i="2"/>
  <c r="E5148" i="2"/>
  <c r="C5148" i="2"/>
  <c r="E5147" i="2"/>
  <c r="C5147" i="2"/>
  <c r="E5146" i="2"/>
  <c r="C5146" i="2"/>
  <c r="E5145" i="2"/>
  <c r="C5145" i="2"/>
  <c r="E5144" i="2"/>
  <c r="C5144" i="2"/>
  <c r="E5143" i="2"/>
  <c r="C5143" i="2"/>
  <c r="E5142" i="2"/>
  <c r="C5142" i="2"/>
  <c r="E5141" i="2"/>
  <c r="C5141" i="2"/>
  <c r="E5140" i="2"/>
  <c r="C5140" i="2"/>
  <c r="E5139" i="2"/>
  <c r="C5139" i="2"/>
  <c r="E5138" i="2"/>
  <c r="C5138" i="2"/>
  <c r="E5137" i="2"/>
  <c r="C5137" i="2"/>
  <c r="E5136" i="2"/>
  <c r="C5136" i="2"/>
  <c r="E5135" i="2"/>
  <c r="C5135" i="2"/>
  <c r="E5134" i="2"/>
  <c r="C5134" i="2"/>
  <c r="E5133" i="2"/>
  <c r="C5133" i="2"/>
  <c r="E5132" i="2"/>
  <c r="C5132" i="2"/>
  <c r="E5131" i="2"/>
  <c r="C5131" i="2"/>
  <c r="E5130" i="2"/>
  <c r="C5130" i="2"/>
  <c r="E5129" i="2"/>
  <c r="C5129" i="2"/>
  <c r="E5128" i="2"/>
  <c r="C5128" i="2"/>
  <c r="E5127" i="2"/>
  <c r="C5127" i="2"/>
  <c r="E5126" i="2"/>
  <c r="C5126" i="2"/>
  <c r="E5125" i="2"/>
  <c r="C5125" i="2"/>
  <c r="E5124" i="2"/>
  <c r="C5124" i="2"/>
  <c r="E5123" i="2"/>
  <c r="C5123" i="2"/>
  <c r="E5122" i="2"/>
  <c r="C5122" i="2"/>
  <c r="E5121" i="2"/>
  <c r="C5121" i="2"/>
  <c r="E5120" i="2"/>
  <c r="C5120" i="2"/>
  <c r="E5119" i="2"/>
  <c r="C5119" i="2"/>
  <c r="E5118" i="2"/>
  <c r="C5118" i="2"/>
  <c r="E5117" i="2"/>
  <c r="C5117" i="2"/>
  <c r="E5116" i="2"/>
  <c r="C5116" i="2"/>
  <c r="E5115" i="2"/>
  <c r="C5115" i="2"/>
  <c r="E5114" i="2"/>
  <c r="C5114" i="2"/>
  <c r="E5113" i="2"/>
  <c r="C5113" i="2"/>
  <c r="E5112" i="2"/>
  <c r="C5112" i="2"/>
  <c r="E5111" i="2"/>
  <c r="C5111" i="2"/>
  <c r="E5110" i="2"/>
  <c r="C5110" i="2"/>
  <c r="E5109" i="2"/>
  <c r="C5109" i="2"/>
  <c r="E5108" i="2"/>
  <c r="C5108" i="2"/>
  <c r="E5107" i="2"/>
  <c r="C5107" i="2"/>
  <c r="E5106" i="2"/>
  <c r="C5106" i="2"/>
  <c r="E5105" i="2"/>
  <c r="C5105" i="2"/>
  <c r="E5104" i="2"/>
  <c r="C5104" i="2"/>
  <c r="E5103" i="2"/>
  <c r="C5103" i="2"/>
  <c r="E5102" i="2"/>
  <c r="C5102" i="2"/>
  <c r="E5101" i="2"/>
  <c r="C5101" i="2"/>
  <c r="E5100" i="2"/>
  <c r="C5100" i="2"/>
  <c r="E5099" i="2"/>
  <c r="C5099" i="2"/>
  <c r="E5098" i="2"/>
  <c r="C5098" i="2"/>
  <c r="E5097" i="2"/>
  <c r="C5097" i="2"/>
  <c r="E5096" i="2"/>
  <c r="C5096" i="2"/>
  <c r="E5095" i="2"/>
  <c r="C5095" i="2"/>
  <c r="E5094" i="2"/>
  <c r="C5094" i="2"/>
  <c r="E5093" i="2"/>
  <c r="C5093" i="2"/>
  <c r="E5092" i="2"/>
  <c r="C5092" i="2"/>
  <c r="E5091" i="2"/>
  <c r="C5091" i="2"/>
  <c r="E5090" i="2"/>
  <c r="C5090" i="2"/>
  <c r="E5089" i="2"/>
  <c r="C5089" i="2"/>
  <c r="E5088" i="2"/>
  <c r="C5088" i="2"/>
  <c r="E5087" i="2"/>
  <c r="C5087" i="2"/>
  <c r="E5086" i="2"/>
  <c r="C5086" i="2"/>
  <c r="E5085" i="2"/>
  <c r="C5085" i="2"/>
  <c r="E5084" i="2"/>
  <c r="C5084" i="2"/>
  <c r="E5083" i="2"/>
  <c r="C5083" i="2"/>
  <c r="E5082" i="2"/>
  <c r="C5082" i="2"/>
  <c r="E5081" i="2"/>
  <c r="C5081" i="2"/>
  <c r="E5080" i="2"/>
  <c r="C5080" i="2"/>
  <c r="E5079" i="2"/>
  <c r="C5079" i="2"/>
  <c r="E5078" i="2"/>
  <c r="C5078" i="2"/>
  <c r="E5077" i="2"/>
  <c r="C5077" i="2"/>
  <c r="E5076" i="2"/>
  <c r="C5076" i="2"/>
  <c r="E5075" i="2"/>
  <c r="C5075" i="2"/>
  <c r="E5074" i="2"/>
  <c r="C5074" i="2"/>
  <c r="E5073" i="2"/>
  <c r="C5073" i="2"/>
  <c r="E5072" i="2"/>
  <c r="C5072" i="2"/>
  <c r="E5071" i="2"/>
  <c r="C5071" i="2"/>
  <c r="E5070" i="2"/>
  <c r="C5070" i="2"/>
  <c r="E5069" i="2"/>
  <c r="C5069" i="2"/>
  <c r="E5068" i="2"/>
  <c r="C5068" i="2"/>
  <c r="E5067" i="2"/>
  <c r="C5067" i="2"/>
  <c r="E5066" i="2"/>
  <c r="C5066" i="2"/>
  <c r="E5065" i="2"/>
  <c r="C5065" i="2"/>
  <c r="E5064" i="2"/>
  <c r="C5064" i="2"/>
  <c r="E5063" i="2"/>
  <c r="C5063" i="2"/>
  <c r="E5062" i="2"/>
  <c r="C5062" i="2"/>
  <c r="E5061" i="2"/>
  <c r="C5061" i="2"/>
  <c r="E5060" i="2"/>
  <c r="C5060" i="2"/>
  <c r="E5059" i="2"/>
  <c r="C5059" i="2"/>
  <c r="E5058" i="2"/>
  <c r="C5058" i="2"/>
  <c r="E5057" i="2"/>
  <c r="C5057" i="2"/>
  <c r="E5056" i="2"/>
  <c r="C5056" i="2"/>
  <c r="E5055" i="2"/>
  <c r="C5055" i="2"/>
  <c r="E5054" i="2"/>
  <c r="C5054" i="2"/>
  <c r="E5053" i="2"/>
  <c r="C5053" i="2"/>
  <c r="E5052" i="2"/>
  <c r="C5052" i="2"/>
  <c r="E5051" i="2"/>
  <c r="C5051" i="2"/>
  <c r="E5050" i="2"/>
  <c r="C5050" i="2"/>
  <c r="E5049" i="2"/>
  <c r="C5049" i="2"/>
  <c r="E5048" i="2"/>
  <c r="C5048" i="2"/>
  <c r="E5047" i="2"/>
  <c r="C5047" i="2"/>
  <c r="E5046" i="2"/>
  <c r="C5046" i="2"/>
  <c r="E5045" i="2"/>
  <c r="C5045" i="2"/>
  <c r="E5044" i="2"/>
  <c r="C5044" i="2"/>
  <c r="E5043" i="2"/>
  <c r="C5043" i="2"/>
  <c r="E5042" i="2"/>
  <c r="C5042" i="2"/>
  <c r="E5041" i="2"/>
  <c r="C5041" i="2"/>
  <c r="E5040" i="2"/>
  <c r="C5040" i="2"/>
  <c r="E5039" i="2"/>
  <c r="C5039" i="2"/>
  <c r="E5038" i="2"/>
  <c r="C5038" i="2"/>
  <c r="E5037" i="2"/>
  <c r="C5037" i="2"/>
  <c r="E5036" i="2"/>
  <c r="C5036" i="2"/>
  <c r="E5035" i="2"/>
  <c r="C5035" i="2"/>
  <c r="E5034" i="2"/>
  <c r="C5034" i="2"/>
  <c r="E5033" i="2"/>
  <c r="C5033" i="2"/>
  <c r="E5032" i="2"/>
  <c r="C5032" i="2"/>
  <c r="E5031" i="2"/>
  <c r="C5031" i="2"/>
  <c r="E5030" i="2"/>
  <c r="C5030" i="2"/>
  <c r="E5029" i="2"/>
  <c r="C5029" i="2"/>
  <c r="E5028" i="2"/>
  <c r="C5028" i="2"/>
  <c r="E5027" i="2"/>
  <c r="C5027" i="2"/>
  <c r="E5026" i="2"/>
  <c r="C5026" i="2"/>
  <c r="E5025" i="2"/>
  <c r="C5025" i="2"/>
  <c r="E5024" i="2"/>
  <c r="C5024" i="2"/>
  <c r="E5023" i="2"/>
  <c r="C5023" i="2"/>
  <c r="E5022" i="2"/>
  <c r="C5022" i="2"/>
  <c r="E5021" i="2"/>
  <c r="C5021" i="2"/>
  <c r="E5020" i="2"/>
  <c r="C5020" i="2"/>
  <c r="E5019" i="2"/>
  <c r="C5019" i="2"/>
  <c r="E5018" i="2"/>
  <c r="C5018" i="2"/>
  <c r="E5017" i="2"/>
  <c r="C5017" i="2"/>
  <c r="E5016" i="2"/>
  <c r="C5016" i="2"/>
  <c r="E5015" i="2"/>
  <c r="C5015" i="2"/>
  <c r="E5014" i="2"/>
  <c r="C5014" i="2"/>
  <c r="E5013" i="2"/>
  <c r="C5013" i="2"/>
  <c r="E5012" i="2"/>
  <c r="C5012" i="2"/>
  <c r="E5011" i="2"/>
  <c r="C5011" i="2"/>
  <c r="E5010" i="2"/>
  <c r="C5010" i="2"/>
  <c r="E5009" i="2"/>
  <c r="C5009" i="2"/>
  <c r="E5008" i="2"/>
  <c r="C5008" i="2"/>
  <c r="E5007" i="2"/>
  <c r="C5007" i="2"/>
  <c r="E5006" i="2"/>
  <c r="C5006" i="2"/>
  <c r="E5005" i="2"/>
  <c r="C5005" i="2"/>
  <c r="E5004" i="2"/>
  <c r="C5004" i="2"/>
  <c r="E5003" i="2"/>
  <c r="C5003" i="2"/>
  <c r="E5002" i="2"/>
  <c r="C5002" i="2"/>
  <c r="E5001" i="2"/>
  <c r="C5001" i="2"/>
  <c r="E5000" i="2"/>
  <c r="C5000" i="2"/>
  <c r="E4999" i="2"/>
  <c r="C4999" i="2"/>
  <c r="E4998" i="2"/>
  <c r="C4998" i="2"/>
  <c r="E4997" i="2"/>
  <c r="C4997" i="2"/>
  <c r="E4996" i="2"/>
  <c r="C4996" i="2"/>
  <c r="E4995" i="2"/>
  <c r="C4995" i="2"/>
  <c r="E4994" i="2"/>
  <c r="C4994" i="2"/>
  <c r="E4993" i="2"/>
  <c r="C4993" i="2"/>
  <c r="E4992" i="2"/>
  <c r="C4992" i="2"/>
  <c r="E4991" i="2"/>
  <c r="C4991" i="2"/>
  <c r="E4990" i="2"/>
  <c r="C4990" i="2"/>
  <c r="E4989" i="2"/>
  <c r="C4989" i="2"/>
  <c r="E4988" i="2"/>
  <c r="C4988" i="2"/>
  <c r="E4987" i="2"/>
  <c r="C4987" i="2"/>
  <c r="E4986" i="2"/>
  <c r="C4986" i="2"/>
  <c r="E4985" i="2"/>
  <c r="C4985" i="2"/>
  <c r="E4984" i="2"/>
  <c r="C4984" i="2"/>
  <c r="E4983" i="2"/>
  <c r="C4983" i="2"/>
  <c r="E4982" i="2"/>
  <c r="C4982" i="2"/>
  <c r="E4981" i="2"/>
  <c r="C4981" i="2"/>
  <c r="E4980" i="2"/>
  <c r="C4980" i="2"/>
  <c r="E4979" i="2"/>
  <c r="C4979" i="2"/>
  <c r="E4978" i="2"/>
  <c r="C4978" i="2"/>
  <c r="E4977" i="2"/>
  <c r="C4977" i="2"/>
  <c r="E4976" i="2"/>
  <c r="C4976" i="2"/>
  <c r="E4975" i="2"/>
  <c r="C4975" i="2"/>
  <c r="E4974" i="2"/>
  <c r="C4974" i="2"/>
  <c r="E4973" i="2"/>
  <c r="C4973" i="2"/>
  <c r="E4972" i="2"/>
  <c r="C4972" i="2"/>
  <c r="E4971" i="2"/>
  <c r="C4971" i="2"/>
  <c r="E4970" i="2"/>
  <c r="C4970" i="2"/>
  <c r="E4969" i="2"/>
  <c r="C4969" i="2"/>
  <c r="E4968" i="2"/>
  <c r="C4968" i="2"/>
  <c r="E4967" i="2"/>
  <c r="C4967" i="2"/>
  <c r="E4966" i="2"/>
  <c r="C4966" i="2"/>
  <c r="E4965" i="2"/>
  <c r="C4965" i="2"/>
  <c r="E4964" i="2"/>
  <c r="C4964" i="2"/>
  <c r="E4963" i="2"/>
  <c r="C4963" i="2"/>
  <c r="E4962" i="2"/>
  <c r="C4962" i="2"/>
  <c r="E4961" i="2"/>
  <c r="C4961" i="2"/>
  <c r="E4960" i="2"/>
  <c r="C4960" i="2"/>
  <c r="E4959" i="2"/>
  <c r="C4959" i="2"/>
  <c r="E4958" i="2"/>
  <c r="C4958" i="2"/>
  <c r="E4957" i="2"/>
  <c r="C4957" i="2"/>
  <c r="E4956" i="2"/>
  <c r="C4956" i="2"/>
  <c r="E4955" i="2"/>
  <c r="C4955" i="2"/>
  <c r="E4954" i="2"/>
  <c r="C4954" i="2"/>
  <c r="E4953" i="2"/>
  <c r="C4953" i="2"/>
  <c r="E4952" i="2"/>
  <c r="C4952" i="2"/>
  <c r="E4951" i="2"/>
  <c r="C4951" i="2"/>
  <c r="E4950" i="2"/>
  <c r="C4950" i="2"/>
  <c r="E4949" i="2"/>
  <c r="C4949" i="2"/>
  <c r="E4948" i="2"/>
  <c r="C4948" i="2"/>
  <c r="E4947" i="2"/>
  <c r="C4947" i="2"/>
  <c r="E4946" i="2"/>
  <c r="C4946" i="2"/>
  <c r="E4945" i="2"/>
  <c r="C4945" i="2"/>
  <c r="E4944" i="2"/>
  <c r="C4944" i="2"/>
  <c r="E4943" i="2"/>
  <c r="C4943" i="2"/>
  <c r="E4942" i="2"/>
  <c r="C4942" i="2"/>
  <c r="E4941" i="2"/>
  <c r="C4941" i="2"/>
  <c r="E4940" i="2"/>
  <c r="C4940" i="2"/>
  <c r="E4939" i="2"/>
  <c r="C4939" i="2"/>
  <c r="E4938" i="2"/>
  <c r="C4938" i="2"/>
  <c r="E4937" i="2"/>
  <c r="C4937" i="2"/>
  <c r="E4936" i="2"/>
  <c r="C4936" i="2"/>
  <c r="E4935" i="2"/>
  <c r="C4935" i="2"/>
  <c r="E4934" i="2"/>
  <c r="C4934" i="2"/>
  <c r="E4933" i="2"/>
  <c r="C4933" i="2"/>
  <c r="E4932" i="2"/>
  <c r="C4932" i="2"/>
  <c r="E4931" i="2"/>
  <c r="C4931" i="2"/>
  <c r="E4930" i="2"/>
  <c r="C4930" i="2"/>
  <c r="E4929" i="2"/>
  <c r="C4929" i="2"/>
  <c r="E4928" i="2"/>
  <c r="C4928" i="2"/>
  <c r="E4927" i="2"/>
  <c r="C4927" i="2"/>
  <c r="E4926" i="2"/>
  <c r="C4926" i="2"/>
  <c r="E4925" i="2"/>
  <c r="C4925" i="2"/>
  <c r="E4924" i="2"/>
  <c r="C4924" i="2"/>
  <c r="E4923" i="2"/>
  <c r="C4923" i="2"/>
  <c r="E4922" i="2"/>
  <c r="C4922" i="2"/>
  <c r="E4921" i="2"/>
  <c r="C4921" i="2"/>
  <c r="E4920" i="2"/>
  <c r="C4920" i="2"/>
  <c r="E4919" i="2"/>
  <c r="C4919" i="2"/>
  <c r="E4918" i="2"/>
  <c r="C4918" i="2"/>
  <c r="E4917" i="2"/>
  <c r="C4917" i="2"/>
  <c r="E4916" i="2"/>
  <c r="C4916" i="2"/>
  <c r="E4915" i="2"/>
  <c r="C4915" i="2"/>
  <c r="E4914" i="2"/>
  <c r="C4914" i="2"/>
  <c r="E4913" i="2"/>
  <c r="C4913" i="2"/>
  <c r="E4912" i="2"/>
  <c r="C4912" i="2"/>
  <c r="E4911" i="2"/>
  <c r="C4911" i="2"/>
  <c r="E4910" i="2"/>
  <c r="C4910" i="2"/>
  <c r="E4909" i="2"/>
  <c r="C4909" i="2"/>
  <c r="E4908" i="2"/>
  <c r="C4908" i="2"/>
  <c r="E4907" i="2"/>
  <c r="C4907" i="2"/>
  <c r="E4906" i="2"/>
  <c r="C4906" i="2"/>
  <c r="E4905" i="2"/>
  <c r="C4905" i="2"/>
  <c r="E4904" i="2"/>
  <c r="C4904" i="2"/>
  <c r="E4903" i="2"/>
  <c r="C4903" i="2"/>
  <c r="E4902" i="2"/>
  <c r="C4902" i="2"/>
  <c r="E4901" i="2"/>
  <c r="C4901" i="2"/>
  <c r="E4900" i="2"/>
  <c r="C4900" i="2"/>
  <c r="E4899" i="2"/>
  <c r="C4899" i="2"/>
  <c r="E4898" i="2"/>
  <c r="C4898" i="2"/>
  <c r="E4897" i="2"/>
  <c r="C4897" i="2"/>
  <c r="E4896" i="2"/>
  <c r="C4896" i="2"/>
  <c r="E4895" i="2"/>
  <c r="C4895" i="2"/>
  <c r="E4894" i="2"/>
  <c r="C4894" i="2"/>
  <c r="E4893" i="2"/>
  <c r="C4893" i="2"/>
  <c r="E4892" i="2"/>
  <c r="C4892" i="2"/>
  <c r="E4891" i="2"/>
  <c r="C4891" i="2"/>
  <c r="E4890" i="2"/>
  <c r="C4890" i="2"/>
  <c r="E4889" i="2"/>
  <c r="C4889" i="2"/>
  <c r="E4888" i="2"/>
  <c r="C4888" i="2"/>
  <c r="E4887" i="2"/>
  <c r="C4887" i="2"/>
  <c r="E4886" i="2"/>
  <c r="C4886" i="2"/>
  <c r="E4885" i="2"/>
  <c r="C4885" i="2"/>
  <c r="E4884" i="2"/>
  <c r="C4884" i="2"/>
  <c r="E4883" i="2"/>
  <c r="C4883" i="2"/>
  <c r="E4882" i="2"/>
  <c r="C4882" i="2"/>
  <c r="E4881" i="2"/>
  <c r="C4881" i="2"/>
  <c r="E4880" i="2"/>
  <c r="C4880" i="2"/>
  <c r="E4879" i="2"/>
  <c r="C4879" i="2"/>
  <c r="E4878" i="2"/>
  <c r="C4878" i="2"/>
  <c r="E4877" i="2"/>
  <c r="C4877" i="2"/>
  <c r="E4876" i="2"/>
  <c r="C4876" i="2"/>
  <c r="E4875" i="2"/>
  <c r="C4875" i="2"/>
  <c r="E4874" i="2"/>
  <c r="C4874" i="2"/>
  <c r="E4873" i="2"/>
  <c r="C4873" i="2"/>
  <c r="E4872" i="2"/>
  <c r="C4872" i="2"/>
  <c r="E4871" i="2"/>
  <c r="C4871" i="2"/>
  <c r="E4870" i="2"/>
  <c r="C4870" i="2"/>
  <c r="E4869" i="2"/>
  <c r="C4869" i="2"/>
  <c r="E4868" i="2"/>
  <c r="C4868" i="2"/>
  <c r="E4867" i="2"/>
  <c r="C4867" i="2"/>
  <c r="E4866" i="2"/>
  <c r="C4866" i="2"/>
  <c r="E4865" i="2"/>
  <c r="C4865" i="2"/>
  <c r="E4864" i="2"/>
  <c r="C4864" i="2"/>
  <c r="E4863" i="2"/>
  <c r="C4863" i="2"/>
  <c r="E4862" i="2"/>
  <c r="C4862" i="2"/>
  <c r="E4861" i="2"/>
  <c r="C4861" i="2"/>
  <c r="E4860" i="2"/>
  <c r="C4860" i="2"/>
  <c r="E4859" i="2"/>
  <c r="C4859" i="2"/>
  <c r="E4858" i="2"/>
  <c r="C4858" i="2"/>
  <c r="E4857" i="2"/>
  <c r="C4857" i="2"/>
  <c r="E4856" i="2"/>
  <c r="C4856" i="2"/>
  <c r="E4855" i="2"/>
  <c r="C4855" i="2"/>
  <c r="E4854" i="2"/>
  <c r="C4854" i="2"/>
  <c r="E4853" i="2"/>
  <c r="C4853" i="2"/>
  <c r="E4852" i="2"/>
  <c r="C4852" i="2"/>
  <c r="E4851" i="2"/>
  <c r="C4851" i="2"/>
  <c r="E4850" i="2"/>
  <c r="C4850" i="2"/>
  <c r="E4849" i="2"/>
  <c r="C4849" i="2"/>
  <c r="E4848" i="2"/>
  <c r="C4848" i="2"/>
  <c r="E4847" i="2"/>
  <c r="C4847" i="2"/>
  <c r="E4846" i="2"/>
  <c r="C4846" i="2"/>
  <c r="E4845" i="2"/>
  <c r="C4845" i="2"/>
  <c r="E4844" i="2"/>
  <c r="C4844" i="2"/>
  <c r="E4843" i="2"/>
  <c r="C4843" i="2"/>
  <c r="E4842" i="2"/>
  <c r="C4842" i="2"/>
  <c r="E4841" i="2"/>
  <c r="C4841" i="2"/>
  <c r="E4840" i="2"/>
  <c r="C4840" i="2"/>
  <c r="E4839" i="2"/>
  <c r="C4839" i="2"/>
  <c r="E4838" i="2"/>
  <c r="C4838" i="2"/>
  <c r="E4837" i="2"/>
  <c r="C4837" i="2"/>
  <c r="E4836" i="2"/>
  <c r="C4836" i="2"/>
  <c r="E4835" i="2"/>
  <c r="C4835" i="2"/>
  <c r="E4834" i="2"/>
  <c r="C4834" i="2"/>
  <c r="E4833" i="2"/>
  <c r="C4833" i="2"/>
  <c r="E4832" i="2"/>
  <c r="C4832" i="2"/>
  <c r="E4831" i="2"/>
  <c r="C4831" i="2"/>
  <c r="E4830" i="2"/>
  <c r="C4830" i="2"/>
  <c r="E4829" i="2"/>
  <c r="C4829" i="2"/>
  <c r="E4828" i="2"/>
  <c r="C4828" i="2"/>
  <c r="E4827" i="2"/>
  <c r="C4827" i="2"/>
  <c r="E4826" i="2"/>
  <c r="C4826" i="2"/>
  <c r="E4825" i="2"/>
  <c r="C4825" i="2"/>
  <c r="E4824" i="2"/>
  <c r="C4824" i="2"/>
  <c r="E4823" i="2"/>
  <c r="C4823" i="2"/>
  <c r="E4822" i="2"/>
  <c r="C4822" i="2"/>
  <c r="E4821" i="2"/>
  <c r="C4821" i="2"/>
  <c r="E4820" i="2"/>
  <c r="C4820" i="2"/>
  <c r="E4819" i="2"/>
  <c r="C4819" i="2"/>
  <c r="E4818" i="2"/>
  <c r="C4818" i="2"/>
  <c r="E4817" i="2"/>
  <c r="C4817" i="2"/>
  <c r="E4816" i="2"/>
  <c r="C4816" i="2"/>
  <c r="E4815" i="2"/>
  <c r="C4815" i="2"/>
  <c r="E4814" i="2"/>
  <c r="C4814" i="2"/>
  <c r="E4813" i="2"/>
  <c r="C4813" i="2"/>
  <c r="E4812" i="2"/>
  <c r="C4812" i="2"/>
  <c r="E4811" i="2"/>
  <c r="C4811" i="2"/>
  <c r="E4810" i="2"/>
  <c r="C4810" i="2"/>
  <c r="E4809" i="2"/>
  <c r="C4809" i="2"/>
  <c r="E4808" i="2"/>
  <c r="C4808" i="2"/>
  <c r="E4807" i="2"/>
  <c r="C4807" i="2"/>
  <c r="E4806" i="2"/>
  <c r="C4806" i="2"/>
  <c r="E4805" i="2"/>
  <c r="C4805" i="2"/>
  <c r="E4804" i="2"/>
  <c r="C4804" i="2"/>
  <c r="E4803" i="2"/>
  <c r="C4803" i="2"/>
  <c r="E4802" i="2"/>
  <c r="C4802" i="2"/>
  <c r="E4801" i="2"/>
  <c r="C4801" i="2"/>
  <c r="E4800" i="2"/>
  <c r="C4800" i="2"/>
  <c r="E4799" i="2"/>
  <c r="C4799" i="2"/>
  <c r="E4798" i="2"/>
  <c r="C4798" i="2"/>
  <c r="E4797" i="2"/>
  <c r="C4797" i="2"/>
  <c r="E4796" i="2"/>
  <c r="C4796" i="2"/>
  <c r="E4795" i="2"/>
  <c r="C4795" i="2"/>
  <c r="E4794" i="2"/>
  <c r="C4794" i="2"/>
  <c r="E4793" i="2"/>
  <c r="C4793" i="2"/>
  <c r="E4792" i="2"/>
  <c r="C4792" i="2"/>
  <c r="E4791" i="2"/>
  <c r="C4791" i="2"/>
  <c r="E4790" i="2"/>
  <c r="C4790" i="2"/>
  <c r="E4789" i="2"/>
  <c r="C4789" i="2"/>
  <c r="E4788" i="2"/>
  <c r="C4788" i="2"/>
  <c r="E4787" i="2"/>
  <c r="C4787" i="2"/>
  <c r="E4786" i="2"/>
  <c r="C4786" i="2"/>
  <c r="E4785" i="2"/>
  <c r="C4785" i="2"/>
  <c r="E4784" i="2"/>
  <c r="C4784" i="2"/>
  <c r="E4783" i="2"/>
  <c r="C4783" i="2"/>
  <c r="E4782" i="2"/>
  <c r="C4782" i="2"/>
  <c r="E4781" i="2"/>
  <c r="C4781" i="2"/>
  <c r="E4780" i="2"/>
  <c r="C4780" i="2"/>
  <c r="E4779" i="2"/>
  <c r="C4779" i="2"/>
  <c r="E4778" i="2"/>
  <c r="C4778" i="2"/>
  <c r="E4777" i="2"/>
  <c r="C4777" i="2"/>
  <c r="E4776" i="2"/>
  <c r="C4776" i="2"/>
  <c r="E4775" i="2"/>
  <c r="C4775" i="2"/>
  <c r="E4774" i="2"/>
  <c r="C4774" i="2"/>
  <c r="E4773" i="2"/>
  <c r="C4773" i="2"/>
  <c r="E4772" i="2"/>
  <c r="C4772" i="2"/>
  <c r="E4771" i="2"/>
  <c r="C4771" i="2"/>
  <c r="E4770" i="2"/>
  <c r="C4770" i="2"/>
  <c r="E4769" i="2"/>
  <c r="C4769" i="2"/>
  <c r="E4768" i="2"/>
  <c r="C4768" i="2"/>
  <c r="E4767" i="2"/>
  <c r="C4767" i="2"/>
  <c r="E4766" i="2"/>
  <c r="C4766" i="2"/>
  <c r="E4765" i="2"/>
  <c r="C4765" i="2"/>
  <c r="E4764" i="2"/>
  <c r="C4764" i="2"/>
  <c r="E4763" i="2"/>
  <c r="C4763" i="2"/>
  <c r="E4762" i="2"/>
  <c r="C4762" i="2"/>
  <c r="E4761" i="2"/>
  <c r="C4761" i="2"/>
  <c r="E4760" i="2"/>
  <c r="C4760" i="2"/>
  <c r="E4759" i="2"/>
  <c r="C4759" i="2"/>
  <c r="E4758" i="2"/>
  <c r="C4758" i="2"/>
  <c r="E4757" i="2"/>
  <c r="C4757" i="2"/>
  <c r="E4756" i="2"/>
  <c r="C4756" i="2"/>
  <c r="E4755" i="2"/>
  <c r="C4755" i="2"/>
  <c r="E4754" i="2"/>
  <c r="C4754" i="2"/>
  <c r="E4753" i="2"/>
  <c r="C4753" i="2"/>
  <c r="E4752" i="2"/>
  <c r="C4752" i="2"/>
  <c r="E4751" i="2"/>
  <c r="C4751" i="2"/>
  <c r="E4750" i="2"/>
  <c r="C4750" i="2"/>
  <c r="E4749" i="2"/>
  <c r="C4749" i="2"/>
  <c r="E4748" i="2"/>
  <c r="C4748" i="2"/>
  <c r="E4747" i="2"/>
  <c r="C4747" i="2"/>
  <c r="E4746" i="2"/>
  <c r="C4746" i="2"/>
  <c r="E4745" i="2"/>
  <c r="C4745" i="2"/>
  <c r="E4744" i="2"/>
  <c r="C4744" i="2"/>
  <c r="E4743" i="2"/>
  <c r="C4743" i="2"/>
  <c r="E4742" i="2"/>
  <c r="C4742" i="2"/>
  <c r="E4741" i="2"/>
  <c r="C4741" i="2"/>
  <c r="E4740" i="2"/>
  <c r="C4740" i="2"/>
  <c r="E4739" i="2"/>
  <c r="C4739" i="2"/>
  <c r="E4738" i="2"/>
  <c r="C4738" i="2"/>
  <c r="E4737" i="2"/>
  <c r="C4737" i="2"/>
  <c r="E4736" i="2"/>
  <c r="C4736" i="2"/>
  <c r="E4735" i="2"/>
  <c r="C4735" i="2"/>
  <c r="E4734" i="2"/>
  <c r="C4734" i="2"/>
  <c r="E4733" i="2"/>
  <c r="C4733" i="2"/>
  <c r="E4732" i="2"/>
  <c r="C4732" i="2"/>
  <c r="E4731" i="2"/>
  <c r="C4731" i="2"/>
  <c r="E4730" i="2"/>
  <c r="C4730" i="2"/>
  <c r="E4729" i="2"/>
  <c r="C4729" i="2"/>
  <c r="E4728" i="2"/>
  <c r="C4728" i="2"/>
  <c r="E4727" i="2"/>
  <c r="C4727" i="2"/>
  <c r="E4726" i="2"/>
  <c r="C4726" i="2"/>
  <c r="E4725" i="2"/>
  <c r="C4725" i="2"/>
  <c r="E4724" i="2"/>
  <c r="C4724" i="2"/>
  <c r="E4723" i="2"/>
  <c r="C4723" i="2"/>
  <c r="E4722" i="2"/>
  <c r="C4722" i="2"/>
  <c r="E4721" i="2"/>
  <c r="C4721" i="2"/>
  <c r="E4720" i="2"/>
  <c r="C4720" i="2"/>
  <c r="E4719" i="2"/>
  <c r="C4719" i="2"/>
  <c r="E4718" i="2"/>
  <c r="C4718" i="2"/>
  <c r="E4717" i="2"/>
  <c r="C4717" i="2"/>
  <c r="E4716" i="2"/>
  <c r="C4716" i="2"/>
  <c r="E4715" i="2"/>
  <c r="C4715" i="2"/>
  <c r="E4714" i="2"/>
  <c r="C4714" i="2"/>
  <c r="E4713" i="2"/>
  <c r="C4713" i="2"/>
  <c r="E4712" i="2"/>
  <c r="C4712" i="2"/>
  <c r="E4711" i="2"/>
  <c r="C4711" i="2"/>
  <c r="E4710" i="2"/>
  <c r="C4710" i="2"/>
  <c r="E4709" i="2"/>
  <c r="C4709" i="2"/>
  <c r="E4708" i="2"/>
  <c r="C4708" i="2"/>
  <c r="E4707" i="2"/>
  <c r="C4707" i="2"/>
  <c r="E4706" i="2"/>
  <c r="C4706" i="2"/>
  <c r="E4705" i="2"/>
  <c r="C4705" i="2"/>
  <c r="E4704" i="2"/>
  <c r="C4704" i="2"/>
  <c r="E4703" i="2"/>
  <c r="C4703" i="2"/>
  <c r="E4702" i="2"/>
  <c r="C4702" i="2"/>
  <c r="E4701" i="2"/>
  <c r="C4701" i="2"/>
  <c r="E4700" i="2"/>
  <c r="C4700" i="2"/>
  <c r="E4699" i="2"/>
  <c r="C4699" i="2"/>
  <c r="E4698" i="2"/>
  <c r="C4698" i="2"/>
  <c r="E4697" i="2"/>
  <c r="C4697" i="2"/>
  <c r="E4696" i="2"/>
  <c r="C4696" i="2"/>
  <c r="E4695" i="2"/>
  <c r="C4695" i="2"/>
  <c r="E4694" i="2"/>
  <c r="C4694" i="2"/>
  <c r="E4693" i="2"/>
  <c r="C4693" i="2"/>
  <c r="E4692" i="2"/>
  <c r="C4692" i="2"/>
  <c r="E4691" i="2"/>
  <c r="C4691" i="2"/>
  <c r="E4690" i="2"/>
  <c r="C4690" i="2"/>
  <c r="E4689" i="2"/>
  <c r="C4689" i="2"/>
  <c r="E4688" i="2"/>
  <c r="C4688" i="2"/>
  <c r="E4687" i="2"/>
  <c r="C4687" i="2"/>
  <c r="E4686" i="2"/>
  <c r="C4686" i="2"/>
  <c r="E4685" i="2"/>
  <c r="C4685" i="2"/>
  <c r="E4684" i="2"/>
  <c r="C4684" i="2"/>
  <c r="E4683" i="2"/>
  <c r="C4683" i="2"/>
  <c r="E4682" i="2"/>
  <c r="C4682" i="2"/>
  <c r="E4681" i="2"/>
  <c r="C4681" i="2"/>
  <c r="E4680" i="2"/>
  <c r="C4680" i="2"/>
  <c r="E4679" i="2"/>
  <c r="C4679" i="2"/>
  <c r="E4678" i="2"/>
  <c r="C4678" i="2"/>
  <c r="E4677" i="2"/>
  <c r="C4677" i="2"/>
  <c r="E4676" i="2"/>
  <c r="C4676" i="2"/>
  <c r="E4675" i="2"/>
  <c r="C4675" i="2"/>
  <c r="E4674" i="2"/>
  <c r="C4674" i="2"/>
  <c r="E4673" i="2"/>
  <c r="C4673" i="2"/>
  <c r="E4672" i="2"/>
  <c r="C4672" i="2"/>
  <c r="E4671" i="2"/>
  <c r="C4671" i="2"/>
  <c r="E4670" i="2"/>
  <c r="C4670" i="2"/>
  <c r="E4669" i="2"/>
  <c r="C4669" i="2"/>
  <c r="E4668" i="2"/>
  <c r="C4668" i="2"/>
  <c r="E4667" i="2"/>
  <c r="C4667" i="2"/>
  <c r="E4666" i="2"/>
  <c r="C4666" i="2"/>
  <c r="E4665" i="2"/>
  <c r="C4665" i="2"/>
  <c r="E4664" i="2"/>
  <c r="C4664" i="2"/>
  <c r="E4663" i="2"/>
  <c r="C4663" i="2"/>
  <c r="E4662" i="2"/>
  <c r="C4662" i="2"/>
  <c r="E4661" i="2"/>
  <c r="C4661" i="2"/>
  <c r="E4660" i="2"/>
  <c r="C4660" i="2"/>
  <c r="E4659" i="2"/>
  <c r="C4659" i="2"/>
  <c r="E4658" i="2"/>
  <c r="C4658" i="2"/>
  <c r="E4657" i="2"/>
  <c r="C4657" i="2"/>
  <c r="E4656" i="2"/>
  <c r="C4656" i="2"/>
  <c r="E4655" i="2"/>
  <c r="C4655" i="2"/>
  <c r="E4654" i="2"/>
  <c r="C4654" i="2"/>
  <c r="E4653" i="2"/>
  <c r="C4653" i="2"/>
  <c r="E4652" i="2"/>
  <c r="C4652" i="2"/>
  <c r="E4651" i="2"/>
  <c r="C4651" i="2"/>
  <c r="E4650" i="2"/>
  <c r="C4650" i="2"/>
  <c r="E4649" i="2"/>
  <c r="C4649" i="2"/>
  <c r="E4648" i="2"/>
  <c r="C4648" i="2"/>
  <c r="E4647" i="2"/>
  <c r="C4647" i="2"/>
  <c r="E4646" i="2"/>
  <c r="C4646" i="2"/>
  <c r="E4645" i="2"/>
  <c r="C4645" i="2"/>
  <c r="E4644" i="2"/>
  <c r="C4644" i="2"/>
  <c r="E4643" i="2"/>
  <c r="C4643" i="2"/>
  <c r="E4642" i="2"/>
  <c r="C4642" i="2"/>
  <c r="E4641" i="2"/>
  <c r="C4641" i="2"/>
  <c r="E4640" i="2"/>
  <c r="C4640" i="2"/>
  <c r="E4639" i="2"/>
  <c r="C4639" i="2"/>
  <c r="E4638" i="2"/>
  <c r="C4638" i="2"/>
  <c r="E4637" i="2"/>
  <c r="C4637" i="2"/>
  <c r="E4636" i="2"/>
  <c r="C4636" i="2"/>
  <c r="E4635" i="2"/>
  <c r="C4635" i="2"/>
  <c r="E4634" i="2"/>
  <c r="C4634" i="2"/>
  <c r="E4633" i="2"/>
  <c r="C4633" i="2"/>
  <c r="E4632" i="2"/>
  <c r="C4632" i="2"/>
  <c r="E4631" i="2"/>
  <c r="C4631" i="2"/>
  <c r="E4630" i="2"/>
  <c r="C4630" i="2"/>
  <c r="E4629" i="2"/>
  <c r="C4629" i="2"/>
  <c r="E4628" i="2"/>
  <c r="C4628" i="2"/>
  <c r="E4627" i="2"/>
  <c r="C4627" i="2"/>
  <c r="E4626" i="2"/>
  <c r="C4626" i="2"/>
  <c r="E4625" i="2"/>
  <c r="C4625" i="2"/>
  <c r="E4624" i="2"/>
  <c r="C4624" i="2"/>
  <c r="E4623" i="2"/>
  <c r="C4623" i="2"/>
  <c r="E4622" i="2"/>
  <c r="C4622" i="2"/>
  <c r="E4621" i="2"/>
  <c r="C4621" i="2"/>
  <c r="E4620" i="2"/>
  <c r="C4620" i="2"/>
  <c r="E4619" i="2"/>
  <c r="C4619" i="2"/>
  <c r="E4618" i="2"/>
  <c r="C4618" i="2"/>
  <c r="E4617" i="2"/>
  <c r="C4617" i="2"/>
  <c r="E4616" i="2"/>
  <c r="C4616" i="2"/>
  <c r="E4615" i="2"/>
  <c r="C4615" i="2"/>
  <c r="E4614" i="2"/>
  <c r="C4614" i="2"/>
  <c r="E4613" i="2"/>
  <c r="C4613" i="2"/>
  <c r="E4612" i="2"/>
  <c r="C4612" i="2"/>
  <c r="E4611" i="2"/>
  <c r="C4611" i="2"/>
  <c r="E4610" i="2"/>
  <c r="C4610" i="2"/>
  <c r="E4609" i="2"/>
  <c r="C4609" i="2"/>
  <c r="E4608" i="2"/>
  <c r="C4608" i="2"/>
  <c r="E4607" i="2"/>
  <c r="C4607" i="2"/>
  <c r="E4606" i="2"/>
  <c r="C4606" i="2"/>
  <c r="E4605" i="2"/>
  <c r="C4605" i="2"/>
  <c r="E4604" i="2"/>
  <c r="C4604" i="2"/>
  <c r="E4603" i="2"/>
  <c r="C4603" i="2"/>
  <c r="E4602" i="2"/>
  <c r="C4602" i="2"/>
  <c r="E4601" i="2"/>
  <c r="C4601" i="2"/>
  <c r="E4600" i="2"/>
  <c r="C4600" i="2"/>
  <c r="E4599" i="2"/>
  <c r="C4599" i="2"/>
  <c r="E4598" i="2"/>
  <c r="C4598" i="2"/>
  <c r="E4597" i="2"/>
  <c r="C4597" i="2"/>
  <c r="E4596" i="2"/>
  <c r="C4596" i="2"/>
  <c r="E4595" i="2"/>
  <c r="C4595" i="2"/>
  <c r="E4594" i="2"/>
  <c r="C4594" i="2"/>
  <c r="E4593" i="2"/>
  <c r="C4593" i="2"/>
  <c r="E4592" i="2"/>
  <c r="C4592" i="2"/>
  <c r="E4591" i="2"/>
  <c r="C4591" i="2"/>
  <c r="E4590" i="2"/>
  <c r="C4590" i="2"/>
  <c r="E4589" i="2"/>
  <c r="C4589" i="2"/>
  <c r="E4588" i="2"/>
  <c r="C4588" i="2"/>
  <c r="E4587" i="2"/>
  <c r="C4587" i="2"/>
  <c r="E4586" i="2"/>
  <c r="C4586" i="2"/>
  <c r="E4585" i="2"/>
  <c r="C4585" i="2"/>
  <c r="E4584" i="2"/>
  <c r="C4584" i="2"/>
  <c r="E4583" i="2"/>
  <c r="C4583" i="2"/>
  <c r="E4582" i="2"/>
  <c r="C4582" i="2"/>
  <c r="E4581" i="2"/>
  <c r="C4581" i="2"/>
  <c r="E4580" i="2"/>
  <c r="C4580" i="2"/>
  <c r="E4579" i="2"/>
  <c r="C4579" i="2"/>
  <c r="E4578" i="2"/>
  <c r="C4578" i="2"/>
  <c r="E4577" i="2"/>
  <c r="C4577" i="2"/>
  <c r="E4576" i="2"/>
  <c r="C4576" i="2"/>
  <c r="E4575" i="2"/>
  <c r="C4575" i="2"/>
  <c r="E4574" i="2"/>
  <c r="C4574" i="2"/>
  <c r="E4573" i="2"/>
  <c r="C4573" i="2"/>
  <c r="E4572" i="2"/>
  <c r="C4572" i="2"/>
  <c r="E4571" i="2"/>
  <c r="C4571" i="2"/>
  <c r="E4570" i="2"/>
  <c r="C4570" i="2"/>
  <c r="E4569" i="2"/>
  <c r="C4569" i="2"/>
  <c r="E4568" i="2"/>
  <c r="C4568" i="2"/>
  <c r="E4567" i="2"/>
  <c r="C4567" i="2"/>
  <c r="E4566" i="2"/>
  <c r="C4566" i="2"/>
  <c r="E4565" i="2"/>
  <c r="C4565" i="2"/>
  <c r="E4564" i="2"/>
  <c r="C4564" i="2"/>
  <c r="E4563" i="2"/>
  <c r="C4563" i="2"/>
  <c r="E4562" i="2"/>
  <c r="C4562" i="2"/>
  <c r="E4561" i="2"/>
  <c r="C4561" i="2"/>
  <c r="E4560" i="2"/>
  <c r="C4560" i="2"/>
  <c r="E4559" i="2"/>
  <c r="C4559" i="2"/>
  <c r="E4558" i="2"/>
  <c r="C4558" i="2"/>
  <c r="E4557" i="2"/>
  <c r="C4557" i="2"/>
  <c r="E4556" i="2"/>
  <c r="C4556" i="2"/>
  <c r="E4555" i="2"/>
  <c r="C4555" i="2"/>
  <c r="E4554" i="2"/>
  <c r="C4554" i="2"/>
  <c r="E4553" i="2"/>
  <c r="C4553" i="2"/>
  <c r="E4552" i="2"/>
  <c r="C4552" i="2"/>
  <c r="E4551" i="2"/>
  <c r="C4551" i="2"/>
  <c r="E4550" i="2"/>
  <c r="C4550" i="2"/>
  <c r="E4549" i="2"/>
  <c r="C4549" i="2"/>
  <c r="E4548" i="2"/>
  <c r="C4548" i="2"/>
  <c r="E4547" i="2"/>
  <c r="C4547" i="2"/>
  <c r="E4546" i="2"/>
  <c r="C4546" i="2"/>
  <c r="E4545" i="2"/>
  <c r="C4545" i="2"/>
  <c r="E4544" i="2"/>
  <c r="C4544" i="2"/>
  <c r="E4543" i="2"/>
  <c r="C4543" i="2"/>
  <c r="E4542" i="2"/>
  <c r="C4542" i="2"/>
  <c r="E4541" i="2"/>
  <c r="C4541" i="2"/>
  <c r="E4540" i="2"/>
  <c r="C4540" i="2"/>
  <c r="E4539" i="2"/>
  <c r="C4539" i="2"/>
  <c r="E4538" i="2"/>
  <c r="C4538" i="2"/>
  <c r="E4537" i="2"/>
  <c r="C4537" i="2"/>
  <c r="E4536" i="2"/>
  <c r="C4536" i="2"/>
  <c r="E4535" i="2"/>
  <c r="C4535" i="2"/>
  <c r="E4534" i="2"/>
  <c r="C4534" i="2"/>
  <c r="E4533" i="2"/>
  <c r="C4533" i="2"/>
  <c r="E4532" i="2"/>
  <c r="C4532" i="2"/>
  <c r="E4531" i="2"/>
  <c r="C4531" i="2"/>
  <c r="E4530" i="2"/>
  <c r="C4530" i="2"/>
  <c r="E4529" i="2"/>
  <c r="C4529" i="2"/>
  <c r="E4528" i="2"/>
  <c r="C4528" i="2"/>
  <c r="E4527" i="2"/>
  <c r="C4527" i="2"/>
  <c r="E4526" i="2"/>
  <c r="C4526" i="2"/>
  <c r="E4525" i="2"/>
  <c r="C4525" i="2"/>
  <c r="E4524" i="2"/>
  <c r="C4524" i="2"/>
  <c r="E4523" i="2"/>
  <c r="C4523" i="2"/>
  <c r="E4522" i="2"/>
  <c r="C4522" i="2"/>
  <c r="E4521" i="2"/>
  <c r="C4521" i="2"/>
  <c r="E4520" i="2"/>
  <c r="C4520" i="2"/>
  <c r="E4519" i="2"/>
  <c r="C4519" i="2"/>
  <c r="E4518" i="2"/>
  <c r="C4518" i="2"/>
  <c r="E4517" i="2"/>
  <c r="C4517" i="2"/>
  <c r="E4516" i="2"/>
  <c r="C4516" i="2"/>
  <c r="E4515" i="2"/>
  <c r="C4515" i="2"/>
  <c r="E4514" i="2"/>
  <c r="C4514" i="2"/>
  <c r="E4513" i="2"/>
  <c r="C4513" i="2"/>
  <c r="E4512" i="2"/>
  <c r="C4512" i="2"/>
  <c r="E4511" i="2"/>
  <c r="C4511" i="2"/>
  <c r="E4510" i="2"/>
  <c r="C4510" i="2"/>
  <c r="E4509" i="2"/>
  <c r="C4509" i="2"/>
  <c r="E4508" i="2"/>
  <c r="C4508" i="2"/>
  <c r="E4507" i="2"/>
  <c r="C4507" i="2"/>
  <c r="E4506" i="2"/>
  <c r="C4506" i="2"/>
  <c r="E4505" i="2"/>
  <c r="C4505" i="2"/>
  <c r="E4504" i="2"/>
  <c r="C4504" i="2"/>
  <c r="E4503" i="2"/>
  <c r="C4503" i="2"/>
  <c r="E4502" i="2"/>
  <c r="C4502" i="2"/>
  <c r="E4501" i="2"/>
  <c r="C4501" i="2"/>
  <c r="E4500" i="2"/>
  <c r="C4500" i="2"/>
  <c r="E4499" i="2"/>
  <c r="C4499" i="2"/>
  <c r="E4498" i="2"/>
  <c r="C4498" i="2"/>
  <c r="E4497" i="2"/>
  <c r="C4497" i="2"/>
  <c r="E4496" i="2"/>
  <c r="C4496" i="2"/>
  <c r="E4495" i="2"/>
  <c r="C4495" i="2"/>
  <c r="E4494" i="2"/>
  <c r="C4494" i="2"/>
  <c r="E4493" i="2"/>
  <c r="C4493" i="2"/>
  <c r="E4492" i="2"/>
  <c r="C4492" i="2"/>
  <c r="E4491" i="2"/>
  <c r="C4491" i="2"/>
  <c r="E4490" i="2"/>
  <c r="C4490" i="2"/>
  <c r="E4489" i="2"/>
  <c r="C4489" i="2"/>
  <c r="E4488" i="2"/>
  <c r="C4488" i="2"/>
  <c r="E4487" i="2"/>
  <c r="C4487" i="2"/>
  <c r="E4486" i="2"/>
  <c r="C4486" i="2"/>
  <c r="E4485" i="2"/>
  <c r="C4485" i="2"/>
  <c r="E4484" i="2"/>
  <c r="C4484" i="2"/>
  <c r="E4483" i="2"/>
  <c r="C4483" i="2"/>
  <c r="E4482" i="2"/>
  <c r="C4482" i="2"/>
  <c r="E4481" i="2"/>
  <c r="C4481" i="2"/>
  <c r="E4480" i="2"/>
  <c r="C4480" i="2"/>
  <c r="E4479" i="2"/>
  <c r="C4479" i="2"/>
  <c r="E4478" i="2"/>
  <c r="C4478" i="2"/>
  <c r="E4477" i="2"/>
  <c r="C4477" i="2"/>
  <c r="E4476" i="2"/>
  <c r="C4476" i="2"/>
  <c r="E4475" i="2"/>
  <c r="C4475" i="2"/>
  <c r="E4474" i="2"/>
  <c r="C4474" i="2"/>
  <c r="E4473" i="2"/>
  <c r="C4473" i="2"/>
  <c r="E4472" i="2"/>
  <c r="C4472" i="2"/>
  <c r="E4471" i="2"/>
  <c r="C4471" i="2"/>
  <c r="E4470" i="2"/>
  <c r="C4470" i="2"/>
  <c r="E4469" i="2"/>
  <c r="C4469" i="2"/>
  <c r="E4468" i="2"/>
  <c r="C4468" i="2"/>
  <c r="E4467" i="2"/>
  <c r="C4467" i="2"/>
  <c r="E4466" i="2"/>
  <c r="C4466" i="2"/>
  <c r="E4465" i="2"/>
  <c r="C4465" i="2"/>
  <c r="E4464" i="2"/>
  <c r="C4464" i="2"/>
  <c r="E4463" i="2"/>
  <c r="C4463" i="2"/>
  <c r="E4462" i="2"/>
  <c r="C4462" i="2"/>
  <c r="E4461" i="2"/>
  <c r="C4461" i="2"/>
  <c r="E4460" i="2"/>
  <c r="C4460" i="2"/>
  <c r="E4459" i="2"/>
  <c r="C4459" i="2"/>
  <c r="E4458" i="2"/>
  <c r="C4458" i="2"/>
  <c r="E4457" i="2"/>
  <c r="C4457" i="2"/>
  <c r="E4456" i="2"/>
  <c r="C4456" i="2"/>
  <c r="E4455" i="2"/>
  <c r="C4455" i="2"/>
  <c r="E4454" i="2"/>
  <c r="C4454" i="2"/>
  <c r="E4453" i="2"/>
  <c r="C4453" i="2"/>
  <c r="E4452" i="2"/>
  <c r="C4452" i="2"/>
  <c r="E4451" i="2"/>
  <c r="C4451" i="2"/>
  <c r="E4450" i="2"/>
  <c r="C4450" i="2"/>
  <c r="E4449" i="2"/>
  <c r="C4449" i="2"/>
  <c r="E4448" i="2"/>
  <c r="C4448" i="2"/>
  <c r="E4447" i="2"/>
  <c r="C4447" i="2"/>
  <c r="E4446" i="2"/>
  <c r="C4446" i="2"/>
  <c r="E4445" i="2"/>
  <c r="C4445" i="2"/>
  <c r="E4444" i="2"/>
  <c r="C4444" i="2"/>
  <c r="E4443" i="2"/>
  <c r="C4443" i="2"/>
  <c r="E4442" i="2"/>
  <c r="C4442" i="2"/>
  <c r="E4441" i="2"/>
  <c r="C4441" i="2"/>
  <c r="E4440" i="2"/>
  <c r="C4440" i="2"/>
  <c r="E4439" i="2"/>
  <c r="C4439" i="2"/>
  <c r="E4438" i="2"/>
  <c r="C4438" i="2"/>
  <c r="E4437" i="2"/>
  <c r="C4437" i="2"/>
  <c r="E4436" i="2"/>
  <c r="C4436" i="2"/>
  <c r="E4435" i="2"/>
  <c r="C4435" i="2"/>
  <c r="E4434" i="2"/>
  <c r="C4434" i="2"/>
  <c r="E4433" i="2"/>
  <c r="C4433" i="2"/>
  <c r="E4432" i="2"/>
  <c r="C4432" i="2"/>
  <c r="E4431" i="2"/>
  <c r="C4431" i="2"/>
  <c r="E4430" i="2"/>
  <c r="C4430" i="2"/>
  <c r="E4429" i="2"/>
  <c r="C4429" i="2"/>
  <c r="E4428" i="2"/>
  <c r="C4428" i="2"/>
  <c r="E4427" i="2"/>
  <c r="C4427" i="2"/>
  <c r="E4426" i="2"/>
  <c r="C4426" i="2"/>
  <c r="E4425" i="2"/>
  <c r="C4425" i="2"/>
  <c r="E4424" i="2"/>
  <c r="C4424" i="2"/>
  <c r="E4423" i="2"/>
  <c r="C4423" i="2"/>
  <c r="E4422" i="2"/>
  <c r="C4422" i="2"/>
  <c r="E4421" i="2"/>
  <c r="C4421" i="2"/>
  <c r="E4420" i="2"/>
  <c r="C4420" i="2"/>
  <c r="E4419" i="2"/>
  <c r="C4419" i="2"/>
  <c r="E4418" i="2"/>
  <c r="C4418" i="2"/>
  <c r="E4417" i="2"/>
  <c r="C4417" i="2"/>
  <c r="E4416" i="2"/>
  <c r="C4416" i="2"/>
  <c r="E4415" i="2"/>
  <c r="C4415" i="2"/>
  <c r="E4414" i="2"/>
  <c r="C4414" i="2"/>
  <c r="E4413" i="2"/>
  <c r="C4413" i="2"/>
  <c r="E4412" i="2"/>
  <c r="C4412" i="2"/>
  <c r="E4411" i="2"/>
  <c r="C4411" i="2"/>
  <c r="E4410" i="2"/>
  <c r="C4410" i="2"/>
  <c r="E4409" i="2"/>
  <c r="C4409" i="2"/>
  <c r="E4408" i="2"/>
  <c r="C4408" i="2"/>
  <c r="E4407" i="2"/>
  <c r="C4407" i="2"/>
  <c r="E4406" i="2"/>
  <c r="C4406" i="2"/>
  <c r="E4405" i="2"/>
  <c r="C4405" i="2"/>
  <c r="E4404" i="2"/>
  <c r="C4404" i="2"/>
  <c r="E4403" i="2"/>
  <c r="C4403" i="2"/>
  <c r="E4402" i="2"/>
  <c r="C4402" i="2"/>
  <c r="E4401" i="2"/>
  <c r="C4401" i="2"/>
  <c r="E4400" i="2"/>
  <c r="C4400" i="2"/>
  <c r="E4399" i="2"/>
  <c r="C4399" i="2"/>
  <c r="E4398" i="2"/>
  <c r="C4398" i="2"/>
  <c r="E4397" i="2"/>
  <c r="C4397" i="2"/>
  <c r="E4396" i="2"/>
  <c r="C4396" i="2"/>
  <c r="E4395" i="2"/>
  <c r="C4395" i="2"/>
  <c r="E4394" i="2"/>
  <c r="C4394" i="2"/>
  <c r="E4393" i="2"/>
  <c r="C4393" i="2"/>
  <c r="E4392" i="2"/>
  <c r="C4392" i="2"/>
  <c r="E4391" i="2"/>
  <c r="C4391" i="2"/>
  <c r="E4390" i="2"/>
  <c r="C4390" i="2"/>
  <c r="E4389" i="2"/>
  <c r="C4389" i="2"/>
  <c r="E4388" i="2"/>
  <c r="C4388" i="2"/>
  <c r="E4387" i="2"/>
  <c r="C4387" i="2"/>
  <c r="E4386" i="2"/>
  <c r="C4386" i="2"/>
  <c r="E4385" i="2"/>
  <c r="C4385" i="2"/>
  <c r="E4384" i="2"/>
  <c r="C4384" i="2"/>
  <c r="E4383" i="2"/>
  <c r="C4383" i="2"/>
  <c r="E4382" i="2"/>
  <c r="C4382" i="2"/>
  <c r="E4381" i="2"/>
  <c r="C4381" i="2"/>
  <c r="E4380" i="2"/>
  <c r="C4380" i="2"/>
  <c r="E4379" i="2"/>
  <c r="C4379" i="2"/>
  <c r="E4378" i="2"/>
  <c r="C4378" i="2"/>
  <c r="E4377" i="2"/>
  <c r="C4377" i="2"/>
  <c r="E4376" i="2"/>
  <c r="C4376" i="2"/>
  <c r="E4375" i="2"/>
  <c r="C4375" i="2"/>
  <c r="E4374" i="2"/>
  <c r="C4374" i="2"/>
  <c r="E4373" i="2"/>
  <c r="C4373" i="2"/>
  <c r="E4372" i="2"/>
  <c r="C4372" i="2"/>
  <c r="E4371" i="2"/>
  <c r="C4371" i="2"/>
  <c r="E4370" i="2"/>
  <c r="C4370" i="2"/>
  <c r="E4369" i="2"/>
  <c r="C4369" i="2"/>
  <c r="E4368" i="2"/>
  <c r="C4368" i="2"/>
  <c r="E4367" i="2"/>
  <c r="C4367" i="2"/>
  <c r="E4366" i="2"/>
  <c r="C4366" i="2"/>
  <c r="E4365" i="2"/>
  <c r="C4365" i="2"/>
  <c r="E4364" i="2"/>
  <c r="C4364" i="2"/>
  <c r="E4363" i="2"/>
  <c r="C4363" i="2"/>
  <c r="E4362" i="2"/>
  <c r="C4362" i="2"/>
  <c r="E4361" i="2"/>
  <c r="C4361" i="2"/>
  <c r="E4360" i="2"/>
  <c r="C4360" i="2"/>
  <c r="E4359" i="2"/>
  <c r="C4359" i="2"/>
  <c r="E4358" i="2"/>
  <c r="C4358" i="2"/>
  <c r="E4357" i="2"/>
  <c r="C4357" i="2"/>
  <c r="E4356" i="2"/>
  <c r="C4356" i="2"/>
  <c r="E4355" i="2"/>
  <c r="C4355" i="2"/>
  <c r="E4354" i="2"/>
  <c r="C4354" i="2"/>
  <c r="E4353" i="2"/>
  <c r="C4353" i="2"/>
  <c r="E4352" i="2"/>
  <c r="C4352" i="2"/>
  <c r="E4351" i="2"/>
  <c r="C4351" i="2"/>
  <c r="E4350" i="2"/>
  <c r="C4350" i="2"/>
  <c r="E4349" i="2"/>
  <c r="C4349" i="2"/>
  <c r="E4348" i="2"/>
  <c r="C4348" i="2"/>
  <c r="E4347" i="2"/>
  <c r="C4347" i="2"/>
  <c r="E4346" i="2"/>
  <c r="C4346" i="2"/>
  <c r="E4345" i="2"/>
  <c r="C4345" i="2"/>
  <c r="E4344" i="2"/>
  <c r="C4344" i="2"/>
  <c r="E4343" i="2"/>
  <c r="C4343" i="2"/>
  <c r="E4342" i="2"/>
  <c r="C4342" i="2"/>
  <c r="E4341" i="2"/>
  <c r="C4341" i="2"/>
  <c r="E4340" i="2"/>
  <c r="C4340" i="2"/>
  <c r="E4339" i="2"/>
  <c r="C4339" i="2"/>
  <c r="E4338" i="2"/>
  <c r="C4338" i="2"/>
  <c r="E4337" i="2"/>
  <c r="C4337" i="2"/>
  <c r="E4336" i="2"/>
  <c r="C4336" i="2"/>
  <c r="E4335" i="2"/>
  <c r="C4335" i="2"/>
  <c r="E4334" i="2"/>
  <c r="C4334" i="2"/>
  <c r="E4333" i="2"/>
  <c r="C4333" i="2"/>
  <c r="E4332" i="2"/>
  <c r="C4332" i="2"/>
  <c r="E4331" i="2"/>
  <c r="C4331" i="2"/>
  <c r="E4330" i="2"/>
  <c r="C4330" i="2"/>
  <c r="E4329" i="2"/>
  <c r="C4329" i="2"/>
  <c r="E4328" i="2"/>
  <c r="C4328" i="2"/>
  <c r="E4327" i="2"/>
  <c r="C4327" i="2"/>
  <c r="E4326" i="2"/>
  <c r="C4326" i="2"/>
  <c r="E4325" i="2"/>
  <c r="C4325" i="2"/>
  <c r="E4324" i="2"/>
  <c r="C4324" i="2"/>
  <c r="E4323" i="2"/>
  <c r="C4323" i="2"/>
  <c r="E4322" i="2"/>
  <c r="C4322" i="2"/>
  <c r="E4321" i="2"/>
  <c r="C4321" i="2"/>
  <c r="E4320" i="2"/>
  <c r="C4320" i="2"/>
  <c r="E4319" i="2"/>
  <c r="C4319" i="2"/>
  <c r="E4318" i="2"/>
  <c r="C4318" i="2"/>
  <c r="E4317" i="2"/>
  <c r="C4317" i="2"/>
  <c r="E4316" i="2"/>
  <c r="C4316" i="2"/>
  <c r="E4315" i="2"/>
  <c r="C4315" i="2"/>
  <c r="E4314" i="2"/>
  <c r="C4314" i="2"/>
  <c r="E4313" i="2"/>
  <c r="C4313" i="2"/>
  <c r="E4312" i="2"/>
  <c r="C4312" i="2"/>
  <c r="E4311" i="2"/>
  <c r="C4311" i="2"/>
  <c r="E4310" i="2"/>
  <c r="C4310" i="2"/>
  <c r="E4309" i="2"/>
  <c r="C4309" i="2"/>
  <c r="E4308" i="2"/>
  <c r="C4308" i="2"/>
  <c r="E4307" i="2"/>
  <c r="C4307" i="2"/>
  <c r="E4306" i="2"/>
  <c r="C4306" i="2"/>
  <c r="E4305" i="2"/>
  <c r="C4305" i="2"/>
  <c r="E4304" i="2"/>
  <c r="C4304" i="2"/>
  <c r="E4303" i="2"/>
  <c r="C4303" i="2"/>
  <c r="E4302" i="2"/>
  <c r="C4302" i="2"/>
  <c r="E4301" i="2"/>
  <c r="C4301" i="2"/>
  <c r="E4300" i="2"/>
  <c r="C4300" i="2"/>
  <c r="E4299" i="2"/>
  <c r="C4299" i="2"/>
  <c r="E4298" i="2"/>
  <c r="C4298" i="2"/>
  <c r="E4297" i="2"/>
  <c r="C4297" i="2"/>
  <c r="E4296" i="2"/>
  <c r="C4296" i="2"/>
  <c r="E4295" i="2"/>
  <c r="C4295" i="2"/>
  <c r="E4294" i="2"/>
  <c r="C4294" i="2"/>
  <c r="E4293" i="2"/>
  <c r="C4293" i="2"/>
  <c r="E4292" i="2"/>
  <c r="C4292" i="2"/>
  <c r="E4291" i="2"/>
  <c r="C4291" i="2"/>
  <c r="E4290" i="2"/>
  <c r="C4290" i="2"/>
  <c r="E4289" i="2"/>
  <c r="C4289" i="2"/>
  <c r="E4288" i="2"/>
  <c r="C4288" i="2"/>
  <c r="E4287" i="2"/>
  <c r="C4287" i="2"/>
  <c r="E4286" i="2"/>
  <c r="C4286" i="2"/>
  <c r="E4285" i="2"/>
  <c r="C4285" i="2"/>
  <c r="E4284" i="2"/>
  <c r="C4284" i="2"/>
  <c r="E4283" i="2"/>
  <c r="C4283" i="2"/>
  <c r="E4282" i="2"/>
  <c r="C4282" i="2"/>
  <c r="E4281" i="2"/>
  <c r="C4281" i="2"/>
  <c r="E4280" i="2"/>
  <c r="C4280" i="2"/>
  <c r="E4279" i="2"/>
  <c r="C4279" i="2"/>
  <c r="E4278" i="2"/>
  <c r="C4278" i="2"/>
  <c r="E4277" i="2"/>
  <c r="C4277" i="2"/>
  <c r="E4276" i="2"/>
  <c r="C4276" i="2"/>
  <c r="E4275" i="2"/>
  <c r="C4275" i="2"/>
  <c r="E4274" i="2"/>
  <c r="C4274" i="2"/>
  <c r="E4273" i="2"/>
  <c r="C4273" i="2"/>
  <c r="E4272" i="2"/>
  <c r="C4272" i="2"/>
  <c r="E4271" i="2"/>
  <c r="C4271" i="2"/>
  <c r="E4270" i="2"/>
  <c r="C4270" i="2"/>
  <c r="E4269" i="2"/>
  <c r="C4269" i="2"/>
  <c r="E4268" i="2"/>
  <c r="C4268" i="2"/>
  <c r="E4267" i="2"/>
  <c r="C4267" i="2"/>
  <c r="E4266" i="2"/>
  <c r="C4266" i="2"/>
  <c r="E4265" i="2"/>
  <c r="C4265" i="2"/>
  <c r="E4264" i="2"/>
  <c r="C4264" i="2"/>
  <c r="E4263" i="2"/>
  <c r="C4263" i="2"/>
  <c r="E4262" i="2"/>
  <c r="C4262" i="2"/>
  <c r="E4261" i="2"/>
  <c r="C4261" i="2"/>
  <c r="E4260" i="2"/>
  <c r="C4260" i="2"/>
  <c r="E4259" i="2"/>
  <c r="C4259" i="2"/>
  <c r="E4258" i="2"/>
  <c r="C4258" i="2"/>
  <c r="E4257" i="2"/>
  <c r="C4257" i="2"/>
  <c r="E4256" i="2"/>
  <c r="C4256" i="2"/>
  <c r="E4255" i="2"/>
  <c r="C4255" i="2"/>
  <c r="E4254" i="2"/>
  <c r="C4254" i="2"/>
  <c r="E4253" i="2"/>
  <c r="C4253" i="2"/>
  <c r="E4252" i="2"/>
  <c r="C4252" i="2"/>
  <c r="E4251" i="2"/>
  <c r="C4251" i="2"/>
  <c r="E4250" i="2"/>
  <c r="C4250" i="2"/>
  <c r="E4249" i="2"/>
  <c r="C4249" i="2"/>
  <c r="E4248" i="2"/>
  <c r="C4248" i="2"/>
  <c r="E4247" i="2"/>
  <c r="C4247" i="2"/>
  <c r="E4246" i="2"/>
  <c r="C4246" i="2"/>
  <c r="E4245" i="2"/>
  <c r="C4245" i="2"/>
  <c r="E4244" i="2"/>
  <c r="C4244" i="2"/>
  <c r="E4243" i="2"/>
  <c r="C4243" i="2"/>
  <c r="E4242" i="2"/>
  <c r="C4242" i="2"/>
  <c r="E4241" i="2"/>
  <c r="C4241" i="2"/>
  <c r="E4240" i="2"/>
  <c r="C4240" i="2"/>
  <c r="E4239" i="2"/>
  <c r="C4239" i="2"/>
  <c r="E4238" i="2"/>
  <c r="C4238" i="2"/>
  <c r="E4237" i="2"/>
  <c r="C4237" i="2"/>
  <c r="E4236" i="2"/>
  <c r="C4236" i="2"/>
  <c r="E4235" i="2"/>
  <c r="C4235" i="2"/>
  <c r="E4234" i="2"/>
  <c r="C4234" i="2"/>
  <c r="E4233" i="2"/>
  <c r="C4233" i="2"/>
  <c r="E4232" i="2"/>
  <c r="C4232" i="2"/>
  <c r="E4231" i="2"/>
  <c r="C4231" i="2"/>
  <c r="E4230" i="2"/>
  <c r="C4230" i="2"/>
  <c r="E4229" i="2"/>
  <c r="C4229" i="2"/>
  <c r="E4228" i="2"/>
  <c r="C4228" i="2"/>
  <c r="E4227" i="2"/>
  <c r="C4227" i="2"/>
  <c r="E4226" i="2"/>
  <c r="C4226" i="2"/>
  <c r="E4225" i="2"/>
  <c r="C4225" i="2"/>
  <c r="E4224" i="2"/>
  <c r="C4224" i="2"/>
  <c r="E4223" i="2"/>
  <c r="C4223" i="2"/>
  <c r="E4222" i="2"/>
  <c r="C4222" i="2"/>
  <c r="E4221" i="2"/>
  <c r="C4221" i="2"/>
  <c r="E4220" i="2"/>
  <c r="C4220" i="2"/>
  <c r="E4219" i="2"/>
  <c r="C4219" i="2"/>
  <c r="E4218" i="2"/>
  <c r="C4218" i="2"/>
  <c r="E4217" i="2"/>
  <c r="C4217" i="2"/>
  <c r="E4216" i="2"/>
  <c r="C4216" i="2"/>
  <c r="E4215" i="2"/>
  <c r="C4215" i="2"/>
  <c r="E4214" i="2"/>
  <c r="C4214" i="2"/>
  <c r="E4213" i="2"/>
  <c r="C4213" i="2"/>
  <c r="E4212" i="2"/>
  <c r="C4212" i="2"/>
  <c r="E4211" i="2"/>
  <c r="C4211" i="2"/>
  <c r="E4210" i="2"/>
  <c r="C4210" i="2"/>
  <c r="E4209" i="2"/>
  <c r="C4209" i="2"/>
  <c r="E4208" i="2"/>
  <c r="C4208" i="2"/>
  <c r="E4207" i="2"/>
  <c r="C4207" i="2"/>
  <c r="E4206" i="2"/>
  <c r="C4206" i="2"/>
  <c r="E4205" i="2"/>
  <c r="C4205" i="2"/>
  <c r="E4204" i="2"/>
  <c r="C4204" i="2"/>
  <c r="E4203" i="2"/>
  <c r="C4203" i="2"/>
  <c r="E4202" i="2"/>
  <c r="C4202" i="2"/>
  <c r="E4201" i="2"/>
  <c r="C4201" i="2"/>
  <c r="E4200" i="2"/>
  <c r="C4200" i="2"/>
  <c r="E4199" i="2"/>
  <c r="C4199" i="2"/>
  <c r="E4198" i="2"/>
  <c r="C4198" i="2"/>
  <c r="E4197" i="2"/>
  <c r="C4197" i="2"/>
  <c r="E4196" i="2"/>
  <c r="C4196" i="2"/>
  <c r="E4195" i="2"/>
  <c r="C4195" i="2"/>
  <c r="E4194" i="2"/>
  <c r="C4194" i="2"/>
  <c r="E4193" i="2"/>
  <c r="C4193" i="2"/>
  <c r="E4192" i="2"/>
  <c r="C4192" i="2"/>
  <c r="E4191" i="2"/>
  <c r="C4191" i="2"/>
  <c r="E4190" i="2"/>
  <c r="C4190" i="2"/>
  <c r="E4189" i="2"/>
  <c r="C4189" i="2"/>
  <c r="E4188" i="2"/>
  <c r="C4188" i="2"/>
  <c r="E4187" i="2"/>
  <c r="C4187" i="2"/>
  <c r="E4186" i="2"/>
  <c r="C4186" i="2"/>
  <c r="E4185" i="2"/>
  <c r="C4185" i="2"/>
  <c r="E4184" i="2"/>
  <c r="C4184" i="2"/>
  <c r="E4183" i="2"/>
  <c r="C4183" i="2"/>
  <c r="E4182" i="2"/>
  <c r="C4182" i="2"/>
  <c r="E4181" i="2"/>
  <c r="C4181" i="2"/>
  <c r="E4180" i="2"/>
  <c r="C4180" i="2"/>
  <c r="E4179" i="2"/>
  <c r="C4179" i="2"/>
  <c r="E4178" i="2"/>
  <c r="C4178" i="2"/>
  <c r="E4177" i="2"/>
  <c r="C4177" i="2"/>
  <c r="E4176" i="2"/>
  <c r="C4176" i="2"/>
  <c r="E4175" i="2"/>
  <c r="C4175" i="2"/>
  <c r="E4174" i="2"/>
  <c r="C4174" i="2"/>
  <c r="E4173" i="2"/>
  <c r="C4173" i="2"/>
  <c r="E4172" i="2"/>
  <c r="C4172" i="2"/>
  <c r="E4171" i="2"/>
  <c r="C4171" i="2"/>
  <c r="E4170" i="2"/>
  <c r="C4170" i="2"/>
  <c r="E4169" i="2"/>
  <c r="C4169" i="2"/>
  <c r="E4168" i="2"/>
  <c r="C4168" i="2"/>
  <c r="E4167" i="2"/>
  <c r="C4167" i="2"/>
  <c r="E4166" i="2"/>
  <c r="C4166" i="2"/>
  <c r="E4165" i="2"/>
  <c r="C4165" i="2"/>
  <c r="E4164" i="2"/>
  <c r="C4164" i="2"/>
  <c r="E4163" i="2"/>
  <c r="C4163" i="2"/>
  <c r="E4162" i="2"/>
  <c r="C4162" i="2"/>
  <c r="E4161" i="2"/>
  <c r="C4161" i="2"/>
  <c r="E4160" i="2"/>
  <c r="C4160" i="2"/>
  <c r="E4159" i="2"/>
  <c r="C4159" i="2"/>
  <c r="E4158" i="2"/>
  <c r="C4158" i="2"/>
  <c r="E4157" i="2"/>
  <c r="C4157" i="2"/>
  <c r="E4156" i="2"/>
  <c r="C4156" i="2"/>
  <c r="E4155" i="2"/>
  <c r="C4155" i="2"/>
  <c r="E4154" i="2"/>
  <c r="C4154" i="2"/>
  <c r="E4153" i="2"/>
  <c r="C4153" i="2"/>
  <c r="E4152" i="2"/>
  <c r="C4152" i="2"/>
  <c r="E4151" i="2"/>
  <c r="C4151" i="2"/>
  <c r="E4150" i="2"/>
  <c r="C4150" i="2"/>
  <c r="E4149" i="2"/>
  <c r="C4149" i="2"/>
  <c r="E4148" i="2"/>
  <c r="C4148" i="2"/>
  <c r="E4147" i="2"/>
  <c r="C4147" i="2"/>
  <c r="E4146" i="2"/>
  <c r="C4146" i="2"/>
  <c r="E4145" i="2"/>
  <c r="C4145" i="2"/>
  <c r="E4144" i="2"/>
  <c r="C4144" i="2"/>
  <c r="E4143" i="2"/>
  <c r="C4143" i="2"/>
  <c r="E4142" i="2"/>
  <c r="C4142" i="2"/>
  <c r="E4141" i="2"/>
  <c r="C4141" i="2"/>
  <c r="E4140" i="2"/>
  <c r="C4140" i="2"/>
  <c r="E4139" i="2"/>
  <c r="C4139" i="2"/>
  <c r="E4138" i="2"/>
  <c r="C4138" i="2"/>
  <c r="E4137" i="2"/>
  <c r="C4137" i="2"/>
  <c r="E4136" i="2"/>
  <c r="C4136" i="2"/>
  <c r="E4135" i="2"/>
  <c r="C4135" i="2"/>
  <c r="E4134" i="2"/>
  <c r="C4134" i="2"/>
  <c r="E4133" i="2"/>
  <c r="C4133" i="2"/>
  <c r="E4132" i="2"/>
  <c r="C4132" i="2"/>
  <c r="E4131" i="2"/>
  <c r="C4131" i="2"/>
  <c r="E4130" i="2"/>
  <c r="C4130" i="2"/>
  <c r="E4129" i="2"/>
  <c r="C4129" i="2"/>
  <c r="E4128" i="2"/>
  <c r="C4128" i="2"/>
  <c r="E4127" i="2"/>
  <c r="C4127" i="2"/>
  <c r="E4126" i="2"/>
  <c r="C4126" i="2"/>
  <c r="E4125" i="2"/>
  <c r="C4125" i="2"/>
  <c r="E4124" i="2"/>
  <c r="C4124" i="2"/>
  <c r="E4123" i="2"/>
  <c r="C4123" i="2"/>
  <c r="E4122" i="2"/>
  <c r="C4122" i="2"/>
  <c r="E4121" i="2"/>
  <c r="C4121" i="2"/>
  <c r="E4120" i="2"/>
  <c r="C4120" i="2"/>
  <c r="E4119" i="2"/>
  <c r="C4119" i="2"/>
  <c r="E4118" i="2"/>
  <c r="C4118" i="2"/>
  <c r="E4117" i="2"/>
  <c r="C4117" i="2"/>
  <c r="E4116" i="2"/>
  <c r="C4116" i="2"/>
  <c r="E4115" i="2"/>
  <c r="C4115" i="2"/>
  <c r="E4114" i="2"/>
  <c r="C4114" i="2"/>
  <c r="E4113" i="2"/>
  <c r="C4113" i="2"/>
  <c r="E4112" i="2"/>
  <c r="C4112" i="2"/>
  <c r="E4111" i="2"/>
  <c r="C4111" i="2"/>
  <c r="E4110" i="2"/>
  <c r="C4110" i="2"/>
  <c r="E4109" i="2"/>
  <c r="C4109" i="2"/>
  <c r="E4108" i="2"/>
  <c r="C4108" i="2"/>
  <c r="E4107" i="2"/>
  <c r="C4107" i="2"/>
  <c r="E4106" i="2"/>
  <c r="C4106" i="2"/>
  <c r="E4105" i="2"/>
  <c r="C4105" i="2"/>
  <c r="E4104" i="2"/>
  <c r="C4104" i="2"/>
  <c r="E4103" i="2"/>
  <c r="C4103" i="2"/>
  <c r="E4102" i="2"/>
  <c r="C4102" i="2"/>
  <c r="E4101" i="2"/>
  <c r="C4101" i="2"/>
  <c r="E4100" i="2"/>
  <c r="C4100" i="2"/>
  <c r="E4099" i="2"/>
  <c r="C4099" i="2"/>
  <c r="E4098" i="2"/>
  <c r="C4098" i="2"/>
  <c r="E4097" i="2"/>
  <c r="C4097" i="2"/>
  <c r="E4096" i="2"/>
  <c r="C4096" i="2"/>
  <c r="E4095" i="2"/>
  <c r="C4095" i="2"/>
  <c r="E4094" i="2"/>
  <c r="C4094" i="2"/>
  <c r="E4093" i="2"/>
  <c r="C4093" i="2"/>
  <c r="E4092" i="2"/>
  <c r="C4092" i="2"/>
  <c r="E4091" i="2"/>
  <c r="C4091" i="2"/>
  <c r="E4090" i="2"/>
  <c r="C4090" i="2"/>
  <c r="E4089" i="2"/>
  <c r="C4089" i="2"/>
  <c r="E4088" i="2"/>
  <c r="C4088" i="2"/>
  <c r="E4087" i="2"/>
  <c r="C4087" i="2"/>
  <c r="E4086" i="2"/>
  <c r="C4086" i="2"/>
  <c r="E4085" i="2"/>
  <c r="C4085" i="2"/>
  <c r="E4084" i="2"/>
  <c r="C4084" i="2"/>
  <c r="E4083" i="2"/>
  <c r="C4083" i="2"/>
  <c r="E4082" i="2"/>
  <c r="C4082" i="2"/>
  <c r="E4081" i="2"/>
  <c r="C4081" i="2"/>
  <c r="E4080" i="2"/>
  <c r="C4080" i="2"/>
  <c r="E4079" i="2"/>
  <c r="C4079" i="2"/>
  <c r="E4078" i="2"/>
  <c r="C4078" i="2"/>
  <c r="E4077" i="2"/>
  <c r="C4077" i="2"/>
  <c r="E4076" i="2"/>
  <c r="C4076" i="2"/>
  <c r="E4075" i="2"/>
  <c r="C4075" i="2"/>
  <c r="E4074" i="2"/>
  <c r="C4074" i="2"/>
  <c r="E4073" i="2"/>
  <c r="C4073" i="2"/>
  <c r="E4072" i="2"/>
  <c r="C4072" i="2"/>
  <c r="E4071" i="2"/>
  <c r="C4071" i="2"/>
  <c r="E4070" i="2"/>
  <c r="C4070" i="2"/>
  <c r="E4069" i="2"/>
  <c r="C4069" i="2"/>
  <c r="E4068" i="2"/>
  <c r="C4068" i="2"/>
  <c r="E4067" i="2"/>
  <c r="C4067" i="2"/>
  <c r="E4066" i="2"/>
  <c r="C4066" i="2"/>
  <c r="E4065" i="2"/>
  <c r="C4065" i="2"/>
  <c r="E4064" i="2"/>
  <c r="C4064" i="2"/>
  <c r="E4063" i="2"/>
  <c r="C4063" i="2"/>
  <c r="E4062" i="2"/>
  <c r="C4062" i="2"/>
  <c r="E4061" i="2"/>
  <c r="C4061" i="2"/>
  <c r="E4060" i="2"/>
  <c r="C4060" i="2"/>
  <c r="E4059" i="2"/>
  <c r="C4059" i="2"/>
  <c r="E4058" i="2"/>
  <c r="C4058" i="2"/>
  <c r="E4057" i="2"/>
  <c r="C4057" i="2"/>
  <c r="E4056" i="2"/>
  <c r="C4056" i="2"/>
  <c r="E4055" i="2"/>
  <c r="C4055" i="2"/>
  <c r="E4054" i="2"/>
  <c r="C4054" i="2"/>
  <c r="E4053" i="2"/>
  <c r="C4053" i="2"/>
  <c r="E4052" i="2"/>
  <c r="C4052" i="2"/>
  <c r="E4051" i="2"/>
  <c r="C4051" i="2"/>
  <c r="E4050" i="2"/>
  <c r="C4050" i="2"/>
  <c r="E4049" i="2"/>
  <c r="C4049" i="2"/>
  <c r="E4048" i="2"/>
  <c r="C4048" i="2"/>
  <c r="E4047" i="2"/>
  <c r="C4047" i="2"/>
  <c r="E4046" i="2"/>
  <c r="C4046" i="2"/>
  <c r="E4045" i="2"/>
  <c r="C4045" i="2"/>
  <c r="E4044" i="2"/>
  <c r="C4044" i="2"/>
  <c r="E4043" i="2"/>
  <c r="C4043" i="2"/>
  <c r="E4042" i="2"/>
  <c r="C4042" i="2"/>
  <c r="E4041" i="2"/>
  <c r="C4041" i="2"/>
  <c r="E4040" i="2"/>
  <c r="C4040" i="2"/>
  <c r="E4039" i="2"/>
  <c r="C4039" i="2"/>
  <c r="E4038" i="2"/>
  <c r="C4038" i="2"/>
  <c r="E4037" i="2"/>
  <c r="C4037" i="2"/>
  <c r="E4036" i="2"/>
  <c r="C4036" i="2"/>
  <c r="E4035" i="2"/>
  <c r="C4035" i="2"/>
  <c r="E4034" i="2"/>
  <c r="C4034" i="2"/>
  <c r="E4033" i="2"/>
  <c r="C4033" i="2"/>
  <c r="E4032" i="2"/>
  <c r="C4032" i="2"/>
  <c r="E4031" i="2"/>
  <c r="C4031" i="2"/>
  <c r="E4030" i="2"/>
  <c r="C4030" i="2"/>
  <c r="E4029" i="2"/>
  <c r="C4029" i="2"/>
  <c r="E4028" i="2"/>
  <c r="C4028" i="2"/>
  <c r="E4027" i="2"/>
  <c r="C4027" i="2"/>
  <c r="E4026" i="2"/>
  <c r="C4026" i="2"/>
  <c r="E4025" i="2"/>
  <c r="C4025" i="2"/>
  <c r="E4024" i="2"/>
  <c r="C4024" i="2"/>
  <c r="E4023" i="2"/>
  <c r="C4023" i="2"/>
  <c r="E4022" i="2"/>
  <c r="C4022" i="2"/>
  <c r="E4021" i="2"/>
  <c r="C4021" i="2"/>
  <c r="E4020" i="2"/>
  <c r="C4020" i="2"/>
  <c r="E4019" i="2"/>
  <c r="C4019" i="2"/>
  <c r="E4018" i="2"/>
  <c r="C4018" i="2"/>
  <c r="E4017" i="2"/>
  <c r="C4017" i="2"/>
  <c r="E4016" i="2"/>
  <c r="C4016" i="2"/>
  <c r="E4015" i="2"/>
  <c r="C4015" i="2"/>
  <c r="E4014" i="2"/>
  <c r="C4014" i="2"/>
  <c r="E4013" i="2"/>
  <c r="C4013" i="2"/>
  <c r="E4012" i="2"/>
  <c r="C4012" i="2"/>
  <c r="E4011" i="2"/>
  <c r="C4011" i="2"/>
  <c r="E4010" i="2"/>
  <c r="C4010" i="2"/>
  <c r="E4009" i="2"/>
  <c r="C4009" i="2"/>
  <c r="E4008" i="2"/>
  <c r="C4008" i="2"/>
  <c r="E4007" i="2"/>
  <c r="C4007" i="2"/>
  <c r="E4006" i="2"/>
  <c r="C4006" i="2"/>
  <c r="E4005" i="2"/>
  <c r="C4005" i="2"/>
  <c r="E4004" i="2"/>
  <c r="C4004" i="2"/>
  <c r="E4003" i="2"/>
  <c r="C4003" i="2"/>
  <c r="E4002" i="2"/>
  <c r="C4002" i="2"/>
  <c r="E4001" i="2"/>
  <c r="C4001" i="2"/>
  <c r="E4000" i="2"/>
  <c r="C4000" i="2"/>
  <c r="E3999" i="2"/>
  <c r="C3999" i="2"/>
  <c r="E3998" i="2"/>
  <c r="C3998" i="2"/>
  <c r="E3997" i="2"/>
  <c r="C3997" i="2"/>
  <c r="E3996" i="2"/>
  <c r="C3996" i="2"/>
  <c r="E3995" i="2"/>
  <c r="C3995" i="2"/>
  <c r="E3994" i="2"/>
  <c r="C3994" i="2"/>
  <c r="E3993" i="2"/>
  <c r="C3993" i="2"/>
  <c r="E3992" i="2"/>
  <c r="C3992" i="2"/>
  <c r="E3991" i="2"/>
  <c r="C3991" i="2"/>
  <c r="E3990" i="2"/>
  <c r="C3990" i="2"/>
  <c r="E3989" i="2"/>
  <c r="C3989" i="2"/>
  <c r="E3988" i="2"/>
  <c r="C3988" i="2"/>
  <c r="E3987" i="2"/>
  <c r="C3987" i="2"/>
  <c r="E3986" i="2"/>
  <c r="C3986" i="2"/>
  <c r="E3985" i="2"/>
  <c r="C3985" i="2"/>
  <c r="E3984" i="2"/>
  <c r="C3984" i="2"/>
  <c r="E3983" i="2"/>
  <c r="C3983" i="2"/>
  <c r="E3982" i="2"/>
  <c r="C3982" i="2"/>
  <c r="E3981" i="2"/>
  <c r="C3981" i="2"/>
  <c r="E3980" i="2"/>
  <c r="C3980" i="2"/>
  <c r="E3979" i="2"/>
  <c r="C3979" i="2"/>
  <c r="E3978" i="2"/>
  <c r="C3978" i="2"/>
  <c r="E3977" i="2"/>
  <c r="C3977" i="2"/>
  <c r="E3976" i="2"/>
  <c r="C3976" i="2"/>
  <c r="E3975" i="2"/>
  <c r="C3975" i="2"/>
  <c r="E3974" i="2"/>
  <c r="C3974" i="2"/>
  <c r="E3973" i="2"/>
  <c r="C3973" i="2"/>
  <c r="E3972" i="2"/>
  <c r="C3972" i="2"/>
  <c r="E3971" i="2"/>
  <c r="C3971" i="2"/>
  <c r="E3970" i="2"/>
  <c r="C3970" i="2"/>
  <c r="E3969" i="2"/>
  <c r="C3969" i="2"/>
  <c r="E3968" i="2"/>
  <c r="C3968" i="2"/>
  <c r="E3967" i="2"/>
  <c r="C3967" i="2"/>
  <c r="E3966" i="2"/>
  <c r="C3966" i="2"/>
  <c r="E3965" i="2"/>
  <c r="C3965" i="2"/>
  <c r="E3964" i="2"/>
  <c r="C3964" i="2"/>
  <c r="E3963" i="2"/>
  <c r="C3963" i="2"/>
  <c r="E3962" i="2"/>
  <c r="C3962" i="2"/>
  <c r="E3961" i="2"/>
  <c r="C3961" i="2"/>
  <c r="E3960" i="2"/>
  <c r="C3960" i="2"/>
  <c r="E3959" i="2"/>
  <c r="C3959" i="2"/>
  <c r="E3958" i="2"/>
  <c r="C3958" i="2"/>
  <c r="E3957" i="2"/>
  <c r="C3957" i="2"/>
  <c r="E3956" i="2"/>
  <c r="C3956" i="2"/>
  <c r="E3955" i="2"/>
  <c r="C3955" i="2"/>
  <c r="E3954" i="2"/>
  <c r="C3954" i="2"/>
  <c r="E3953" i="2"/>
  <c r="C3953" i="2"/>
  <c r="E3952" i="2"/>
  <c r="C3952" i="2"/>
  <c r="E3951" i="2"/>
  <c r="C3951" i="2"/>
  <c r="E3950" i="2"/>
  <c r="C3950" i="2"/>
  <c r="E3949" i="2"/>
  <c r="C3949" i="2"/>
  <c r="E3948" i="2"/>
  <c r="C3948" i="2"/>
  <c r="E3947" i="2"/>
  <c r="C3947" i="2"/>
  <c r="E3946" i="2"/>
  <c r="C3946" i="2"/>
  <c r="E3945" i="2"/>
  <c r="C3945" i="2"/>
  <c r="E3944" i="2"/>
  <c r="C3944" i="2"/>
  <c r="E3943" i="2"/>
  <c r="C3943" i="2"/>
  <c r="E3942" i="2"/>
  <c r="C3942" i="2"/>
  <c r="E3941" i="2"/>
  <c r="C3941" i="2"/>
  <c r="E3940" i="2"/>
  <c r="C3940" i="2"/>
  <c r="E3939" i="2"/>
  <c r="C3939" i="2"/>
  <c r="E3938" i="2"/>
  <c r="C3938" i="2"/>
  <c r="E3937" i="2"/>
  <c r="C3937" i="2"/>
  <c r="E3936" i="2"/>
  <c r="C3936" i="2"/>
  <c r="E3935" i="2"/>
  <c r="C3935" i="2"/>
  <c r="E3934" i="2"/>
  <c r="C3934" i="2"/>
  <c r="E3933" i="2"/>
  <c r="C3933" i="2"/>
  <c r="E3932" i="2"/>
  <c r="C3932" i="2"/>
  <c r="E3931" i="2"/>
  <c r="C3931" i="2"/>
  <c r="E3930" i="2"/>
  <c r="C3930" i="2"/>
  <c r="E3929" i="2"/>
  <c r="C3929" i="2"/>
  <c r="E3928" i="2"/>
  <c r="C3928" i="2"/>
  <c r="E3927" i="2"/>
  <c r="C3927" i="2"/>
  <c r="E3926" i="2"/>
  <c r="C3926" i="2"/>
  <c r="E3925" i="2"/>
  <c r="C3925" i="2"/>
  <c r="E3924" i="2"/>
  <c r="C3924" i="2"/>
  <c r="E3923" i="2"/>
  <c r="C3923" i="2"/>
  <c r="E3922" i="2"/>
  <c r="C3922" i="2"/>
  <c r="E3921" i="2"/>
  <c r="C3921" i="2"/>
  <c r="E3920" i="2"/>
  <c r="C3920" i="2"/>
  <c r="E3919" i="2"/>
  <c r="C3919" i="2"/>
  <c r="E3918" i="2"/>
  <c r="C3918" i="2"/>
  <c r="E3917" i="2"/>
  <c r="C3917" i="2"/>
  <c r="E3916" i="2"/>
  <c r="C3916" i="2"/>
  <c r="E3915" i="2"/>
  <c r="C3915" i="2"/>
  <c r="E3914" i="2"/>
  <c r="C3914" i="2"/>
  <c r="E3913" i="2"/>
  <c r="C3913" i="2"/>
  <c r="E3912" i="2"/>
  <c r="C3912" i="2"/>
  <c r="E3911" i="2"/>
  <c r="C3911" i="2"/>
  <c r="E3910" i="2"/>
  <c r="C3910" i="2"/>
  <c r="E3909" i="2"/>
  <c r="C3909" i="2"/>
  <c r="E3908" i="2"/>
  <c r="C3908" i="2"/>
  <c r="E3907" i="2"/>
  <c r="C3907" i="2"/>
  <c r="E3906" i="2"/>
  <c r="C3906" i="2"/>
  <c r="E3905" i="2"/>
  <c r="C3905" i="2"/>
  <c r="E3904" i="2"/>
  <c r="C3904" i="2"/>
  <c r="E3903" i="2"/>
  <c r="C3903" i="2"/>
  <c r="E3902" i="2"/>
  <c r="C3902" i="2"/>
  <c r="E3901" i="2"/>
  <c r="C3901" i="2"/>
  <c r="E3900" i="2"/>
  <c r="C3900" i="2"/>
  <c r="E3899" i="2"/>
  <c r="C3899" i="2"/>
  <c r="E3898" i="2"/>
  <c r="C3898" i="2"/>
  <c r="E3897" i="2"/>
  <c r="C3897" i="2"/>
  <c r="E3896" i="2"/>
  <c r="C3896" i="2"/>
  <c r="E3895" i="2"/>
  <c r="C3895" i="2"/>
  <c r="E3894" i="2"/>
  <c r="C3894" i="2"/>
  <c r="E3893" i="2"/>
  <c r="C3893" i="2"/>
  <c r="E3892" i="2"/>
  <c r="C3892" i="2"/>
  <c r="E3891" i="2"/>
  <c r="C3891" i="2"/>
  <c r="E3890" i="2"/>
  <c r="C3890" i="2"/>
  <c r="E3889" i="2"/>
  <c r="C3889" i="2"/>
  <c r="E3888" i="2"/>
  <c r="C3888" i="2"/>
  <c r="E3887" i="2"/>
  <c r="C3887" i="2"/>
  <c r="E3886" i="2"/>
  <c r="C3886" i="2"/>
  <c r="E3885" i="2"/>
  <c r="C3885" i="2"/>
  <c r="E3884" i="2"/>
  <c r="C3884" i="2"/>
  <c r="E3883" i="2"/>
  <c r="C3883" i="2"/>
  <c r="E3882" i="2"/>
  <c r="C3882" i="2"/>
  <c r="E3881" i="2"/>
  <c r="C3881" i="2"/>
  <c r="E3880" i="2"/>
  <c r="C3880" i="2"/>
  <c r="E3879" i="2"/>
  <c r="C3879" i="2"/>
  <c r="E3878" i="2"/>
  <c r="C3878" i="2"/>
  <c r="E3877" i="2"/>
  <c r="C3877" i="2"/>
  <c r="E3876" i="2"/>
  <c r="C3876" i="2"/>
  <c r="E3875" i="2"/>
  <c r="C3875" i="2"/>
  <c r="E3874" i="2"/>
  <c r="C3874" i="2"/>
  <c r="E3873" i="2"/>
  <c r="C3873" i="2"/>
  <c r="E3872" i="2"/>
  <c r="C3872" i="2"/>
  <c r="E3871" i="2"/>
  <c r="C3871" i="2"/>
  <c r="E3870" i="2"/>
  <c r="C3870" i="2"/>
  <c r="E3869" i="2"/>
  <c r="C3869" i="2"/>
  <c r="E3868" i="2"/>
  <c r="C3868" i="2"/>
  <c r="E3867" i="2"/>
  <c r="C3867" i="2"/>
  <c r="E3866" i="2"/>
  <c r="C3866" i="2"/>
  <c r="E3865" i="2"/>
  <c r="C3865" i="2"/>
  <c r="E3864" i="2"/>
  <c r="C3864" i="2"/>
  <c r="E3863" i="2"/>
  <c r="C3863" i="2"/>
  <c r="E3862" i="2"/>
  <c r="C3862" i="2"/>
  <c r="E3861" i="2"/>
  <c r="C3861" i="2"/>
  <c r="E3860" i="2"/>
  <c r="C3860" i="2"/>
  <c r="E3859" i="2"/>
  <c r="C3859" i="2"/>
  <c r="E3858" i="2"/>
  <c r="C3858" i="2"/>
  <c r="E3857" i="2"/>
  <c r="C3857" i="2"/>
  <c r="E3856" i="2"/>
  <c r="C3856" i="2"/>
  <c r="E3855" i="2"/>
  <c r="C3855" i="2"/>
  <c r="E3854" i="2"/>
  <c r="C3854" i="2"/>
  <c r="E3853" i="2"/>
  <c r="C3853" i="2"/>
  <c r="E3852" i="2"/>
  <c r="C3852" i="2"/>
  <c r="E3851" i="2"/>
  <c r="C3851" i="2"/>
  <c r="E3850" i="2"/>
  <c r="C3850" i="2"/>
  <c r="E3849" i="2"/>
  <c r="C3849" i="2"/>
  <c r="E3848" i="2"/>
  <c r="C3848" i="2"/>
  <c r="E3847" i="2"/>
  <c r="C3847" i="2"/>
  <c r="E3846" i="2"/>
  <c r="C3846" i="2"/>
  <c r="E3845" i="2"/>
  <c r="C3845" i="2"/>
  <c r="E3844" i="2"/>
  <c r="C3844" i="2"/>
  <c r="E3843" i="2"/>
  <c r="C3843" i="2"/>
  <c r="E3842" i="2"/>
  <c r="C3842" i="2"/>
  <c r="E3841" i="2"/>
  <c r="C3841" i="2"/>
  <c r="E3840" i="2"/>
  <c r="C3840" i="2"/>
  <c r="E3839" i="2"/>
  <c r="C3839" i="2"/>
  <c r="E3838" i="2"/>
  <c r="C3838" i="2"/>
  <c r="E3837" i="2"/>
  <c r="C3837" i="2"/>
  <c r="E3836" i="2"/>
  <c r="C3836" i="2"/>
  <c r="E3835" i="2"/>
  <c r="C3835" i="2"/>
  <c r="E3834" i="2"/>
  <c r="C3834" i="2"/>
  <c r="E3833" i="2"/>
  <c r="C3833" i="2"/>
  <c r="E3832" i="2"/>
  <c r="C3832" i="2"/>
  <c r="E3831" i="2"/>
  <c r="C3831" i="2"/>
  <c r="E3830" i="2"/>
  <c r="C3830" i="2"/>
  <c r="E3829" i="2"/>
  <c r="C3829" i="2"/>
  <c r="E3828" i="2"/>
  <c r="C3828" i="2"/>
  <c r="E3827" i="2"/>
  <c r="C3827" i="2"/>
  <c r="E3826" i="2"/>
  <c r="C3826" i="2"/>
  <c r="E3825" i="2"/>
  <c r="C3825" i="2"/>
  <c r="E3824" i="2"/>
  <c r="C3824" i="2"/>
  <c r="E3823" i="2"/>
  <c r="C3823" i="2"/>
  <c r="E3822" i="2"/>
  <c r="C3822" i="2"/>
  <c r="E3821" i="2"/>
  <c r="C3821" i="2"/>
  <c r="E3820" i="2"/>
  <c r="C3820" i="2"/>
  <c r="E3819" i="2"/>
  <c r="C3819" i="2"/>
  <c r="E3818" i="2"/>
  <c r="C3818" i="2"/>
  <c r="E3817" i="2"/>
  <c r="C3817" i="2"/>
  <c r="E3816" i="2"/>
  <c r="C3816" i="2"/>
  <c r="E3815" i="2"/>
  <c r="C3815" i="2"/>
  <c r="E3814" i="2"/>
  <c r="C3814" i="2"/>
  <c r="E3813" i="2"/>
  <c r="C3813" i="2"/>
  <c r="E3812" i="2"/>
  <c r="C3812" i="2"/>
  <c r="E3811" i="2"/>
  <c r="C3811" i="2"/>
  <c r="E3810" i="2"/>
  <c r="C3810" i="2"/>
  <c r="E3809" i="2"/>
  <c r="C3809" i="2"/>
  <c r="E3808" i="2"/>
  <c r="C3808" i="2"/>
  <c r="E3807" i="2"/>
  <c r="C3807" i="2"/>
  <c r="E3806" i="2"/>
  <c r="C3806" i="2"/>
  <c r="E3805" i="2"/>
  <c r="C3805" i="2"/>
  <c r="E3804" i="2"/>
  <c r="C3804" i="2"/>
  <c r="E3803" i="2"/>
  <c r="C3803" i="2"/>
  <c r="E3802" i="2"/>
  <c r="C3802" i="2"/>
  <c r="E3801" i="2"/>
  <c r="C3801" i="2"/>
  <c r="E3800" i="2"/>
  <c r="C3800" i="2"/>
  <c r="E3799" i="2"/>
  <c r="C3799" i="2"/>
  <c r="E3798" i="2"/>
  <c r="C3798" i="2"/>
  <c r="E3797" i="2"/>
  <c r="C3797" i="2"/>
  <c r="E3796" i="2"/>
  <c r="C3796" i="2"/>
  <c r="E3795" i="2"/>
  <c r="C3795" i="2"/>
  <c r="E3794" i="2"/>
  <c r="C3794" i="2"/>
  <c r="E3793" i="2"/>
  <c r="C3793" i="2"/>
  <c r="E3792" i="2"/>
  <c r="C3792" i="2"/>
  <c r="E3791" i="2"/>
  <c r="C3791" i="2"/>
  <c r="E3790" i="2"/>
  <c r="C3790" i="2"/>
  <c r="E3789" i="2"/>
  <c r="C3789" i="2"/>
  <c r="E3788" i="2"/>
  <c r="C3788" i="2"/>
  <c r="E3787" i="2"/>
  <c r="C3787" i="2"/>
  <c r="E3786" i="2"/>
  <c r="C3786" i="2"/>
  <c r="E3785" i="2"/>
  <c r="C3785" i="2"/>
  <c r="E3784" i="2"/>
  <c r="C3784" i="2"/>
  <c r="E3783" i="2"/>
  <c r="C3783" i="2"/>
  <c r="E3782" i="2"/>
  <c r="C3782" i="2"/>
  <c r="E3781" i="2"/>
  <c r="C3781" i="2"/>
  <c r="E3780" i="2"/>
  <c r="C3780" i="2"/>
  <c r="E3779" i="2"/>
  <c r="C3779" i="2"/>
  <c r="E3778" i="2"/>
  <c r="C3778" i="2"/>
  <c r="E3777" i="2"/>
  <c r="C3777" i="2"/>
  <c r="E3776" i="2"/>
  <c r="C3776" i="2"/>
  <c r="E3775" i="2"/>
  <c r="C3775" i="2"/>
  <c r="E3774" i="2"/>
  <c r="C3774" i="2"/>
  <c r="E3773" i="2"/>
  <c r="C3773" i="2"/>
  <c r="E3772" i="2"/>
  <c r="C3772" i="2"/>
  <c r="E3771" i="2"/>
  <c r="C3771" i="2"/>
  <c r="E3770" i="2"/>
  <c r="C3770" i="2"/>
  <c r="E3769" i="2"/>
  <c r="C3769" i="2"/>
  <c r="E3768" i="2"/>
  <c r="C3768" i="2"/>
  <c r="E3767" i="2"/>
  <c r="C3767" i="2"/>
  <c r="E3766" i="2"/>
  <c r="C3766" i="2"/>
  <c r="E3765" i="2"/>
  <c r="C3765" i="2"/>
  <c r="E3764" i="2"/>
  <c r="C3764" i="2"/>
  <c r="E3763" i="2"/>
  <c r="C3763" i="2"/>
  <c r="E3762" i="2"/>
  <c r="C3762" i="2"/>
  <c r="E3761" i="2"/>
  <c r="C3761" i="2"/>
  <c r="E3760" i="2"/>
  <c r="C3760" i="2"/>
  <c r="E3759" i="2"/>
  <c r="C3759" i="2"/>
  <c r="E3758" i="2"/>
  <c r="C3758" i="2"/>
  <c r="E3757" i="2"/>
  <c r="C3757" i="2"/>
  <c r="E3756" i="2"/>
  <c r="C3756" i="2"/>
  <c r="E3755" i="2"/>
  <c r="C3755" i="2"/>
  <c r="E3754" i="2"/>
  <c r="C3754" i="2"/>
  <c r="E3753" i="2"/>
  <c r="C3753" i="2"/>
  <c r="E3752" i="2"/>
  <c r="C3752" i="2"/>
  <c r="E3751" i="2"/>
  <c r="C3751" i="2"/>
  <c r="E3750" i="2"/>
  <c r="C3750" i="2"/>
  <c r="E3749" i="2"/>
  <c r="C3749" i="2"/>
  <c r="E3748" i="2"/>
  <c r="C3748" i="2"/>
  <c r="E3747" i="2"/>
  <c r="C3747" i="2"/>
  <c r="E3746" i="2"/>
  <c r="C3746" i="2"/>
  <c r="E3745" i="2"/>
  <c r="C3745" i="2"/>
  <c r="E3744" i="2"/>
  <c r="C3744" i="2"/>
  <c r="E3743" i="2"/>
  <c r="C3743" i="2"/>
  <c r="E3742" i="2"/>
  <c r="C3742" i="2"/>
  <c r="E3741" i="2"/>
  <c r="C3741" i="2"/>
  <c r="E3740" i="2"/>
  <c r="C3740" i="2"/>
  <c r="E3739" i="2"/>
  <c r="C3739" i="2"/>
  <c r="E3738" i="2"/>
  <c r="C3738" i="2"/>
  <c r="E3737" i="2"/>
  <c r="C3737" i="2"/>
  <c r="E3736" i="2"/>
  <c r="C3736" i="2"/>
  <c r="E3735" i="2"/>
  <c r="C3735" i="2"/>
  <c r="E3734" i="2"/>
  <c r="C3734" i="2"/>
  <c r="E3733" i="2"/>
  <c r="C3733" i="2"/>
  <c r="E3732" i="2"/>
  <c r="C3732" i="2"/>
  <c r="E3731" i="2"/>
  <c r="C3731" i="2"/>
  <c r="E3730" i="2"/>
  <c r="C3730" i="2"/>
  <c r="E3729" i="2"/>
  <c r="C3729" i="2"/>
  <c r="E3728" i="2"/>
  <c r="C3728" i="2"/>
  <c r="E3727" i="2"/>
  <c r="C3727" i="2"/>
  <c r="E3726" i="2"/>
  <c r="C3726" i="2"/>
  <c r="E3725" i="2"/>
  <c r="C3725" i="2"/>
  <c r="E3724" i="2"/>
  <c r="C3724" i="2"/>
  <c r="E3723" i="2"/>
  <c r="C3723" i="2"/>
  <c r="E3722" i="2"/>
  <c r="C3722" i="2"/>
  <c r="E3721" i="2"/>
  <c r="C3721" i="2"/>
  <c r="E3720" i="2"/>
  <c r="C3720" i="2"/>
  <c r="E3719" i="2"/>
  <c r="C3719" i="2"/>
  <c r="E3718" i="2"/>
  <c r="C3718" i="2"/>
  <c r="E3717" i="2"/>
  <c r="C3717" i="2"/>
  <c r="E3716" i="2"/>
  <c r="C3716" i="2"/>
  <c r="E3715" i="2"/>
  <c r="C3715" i="2"/>
  <c r="E3714" i="2"/>
  <c r="C3714" i="2"/>
  <c r="E3713" i="2"/>
  <c r="C3713" i="2"/>
  <c r="E3712" i="2"/>
  <c r="C3712" i="2"/>
  <c r="E3711" i="2"/>
  <c r="C3711" i="2"/>
  <c r="E3710" i="2"/>
  <c r="C3710" i="2"/>
  <c r="E3709" i="2"/>
  <c r="C3709" i="2"/>
  <c r="E3708" i="2"/>
  <c r="C3708" i="2"/>
  <c r="E3707" i="2"/>
  <c r="C3707" i="2"/>
  <c r="E3706" i="2"/>
  <c r="C3706" i="2"/>
  <c r="E3705" i="2"/>
  <c r="C3705" i="2"/>
  <c r="E3704" i="2"/>
  <c r="C3704" i="2"/>
  <c r="E3703" i="2"/>
  <c r="C3703" i="2"/>
  <c r="E3702" i="2"/>
  <c r="C3702" i="2"/>
  <c r="E3701" i="2"/>
  <c r="C3701" i="2"/>
  <c r="E3700" i="2"/>
  <c r="C3700" i="2"/>
  <c r="E3699" i="2"/>
  <c r="C3699" i="2"/>
  <c r="E3698" i="2"/>
  <c r="C3698" i="2"/>
  <c r="E3697" i="2"/>
  <c r="C3697" i="2"/>
  <c r="E3696" i="2"/>
  <c r="C3696" i="2"/>
  <c r="E3695" i="2"/>
  <c r="C3695" i="2"/>
  <c r="E3694" i="2"/>
  <c r="C3694" i="2"/>
  <c r="E3693" i="2"/>
  <c r="C3693" i="2"/>
  <c r="E3692" i="2"/>
  <c r="C3692" i="2"/>
  <c r="E3691" i="2"/>
  <c r="C3691" i="2"/>
  <c r="E3690" i="2"/>
  <c r="C3690" i="2"/>
  <c r="E3689" i="2"/>
  <c r="C3689" i="2"/>
  <c r="E3688" i="2"/>
  <c r="C3688" i="2"/>
  <c r="E3687" i="2"/>
  <c r="C3687" i="2"/>
  <c r="E3686" i="2"/>
  <c r="C3686" i="2"/>
  <c r="E3685" i="2"/>
  <c r="C3685" i="2"/>
  <c r="E3684" i="2"/>
  <c r="C3684" i="2"/>
  <c r="E3683" i="2"/>
  <c r="C3683" i="2"/>
  <c r="E3682" i="2"/>
  <c r="C3682" i="2"/>
  <c r="E3681" i="2"/>
  <c r="C3681" i="2"/>
  <c r="E3680" i="2"/>
  <c r="C3680" i="2"/>
  <c r="E3679" i="2"/>
  <c r="C3679" i="2"/>
  <c r="E3678" i="2"/>
  <c r="C3678" i="2"/>
  <c r="E3677" i="2"/>
  <c r="C3677" i="2"/>
  <c r="E3676" i="2"/>
  <c r="C3676" i="2"/>
  <c r="E3675" i="2"/>
  <c r="C3675" i="2"/>
  <c r="E3674" i="2"/>
  <c r="C3674" i="2"/>
  <c r="E3673" i="2"/>
  <c r="C3673" i="2"/>
  <c r="E3672" i="2"/>
  <c r="C3672" i="2"/>
  <c r="E3671" i="2"/>
  <c r="C3671" i="2"/>
  <c r="E3670" i="2"/>
  <c r="C3670" i="2"/>
  <c r="E3669" i="2"/>
  <c r="C3669" i="2"/>
  <c r="E3668" i="2"/>
  <c r="C3668" i="2"/>
  <c r="E3667" i="2"/>
  <c r="C3667" i="2"/>
  <c r="E3666" i="2"/>
  <c r="C3666" i="2"/>
  <c r="E3665" i="2"/>
  <c r="C3665" i="2"/>
  <c r="E3664" i="2"/>
  <c r="C3664" i="2"/>
  <c r="E3663" i="2"/>
  <c r="C3663" i="2"/>
  <c r="E3662" i="2"/>
  <c r="C3662" i="2"/>
  <c r="E3661" i="2"/>
  <c r="C3661" i="2"/>
  <c r="E3660" i="2"/>
  <c r="C3660" i="2"/>
  <c r="E3659" i="2"/>
  <c r="C3659" i="2"/>
  <c r="E3658" i="2"/>
  <c r="C3658" i="2"/>
  <c r="E3657" i="2"/>
  <c r="C3657" i="2"/>
  <c r="E3656" i="2"/>
  <c r="C3656" i="2"/>
  <c r="E3655" i="2"/>
  <c r="C3655" i="2"/>
  <c r="E3654" i="2"/>
  <c r="C3654" i="2"/>
  <c r="E3653" i="2"/>
  <c r="C3653" i="2"/>
  <c r="E3652" i="2"/>
  <c r="C3652" i="2"/>
  <c r="E3651" i="2"/>
  <c r="C3651" i="2"/>
  <c r="E3650" i="2"/>
  <c r="C3650" i="2"/>
  <c r="E3649" i="2"/>
  <c r="C3649" i="2"/>
  <c r="E3648" i="2"/>
  <c r="C3648" i="2"/>
  <c r="E3647" i="2"/>
  <c r="C3647" i="2"/>
  <c r="E3646" i="2"/>
  <c r="C3646" i="2"/>
  <c r="E3645" i="2"/>
  <c r="C3645" i="2"/>
  <c r="E3644" i="2"/>
  <c r="C3644" i="2"/>
  <c r="E3643" i="2"/>
  <c r="C3643" i="2"/>
  <c r="E3642" i="2"/>
  <c r="C3642" i="2"/>
  <c r="E3641" i="2"/>
  <c r="C3641" i="2"/>
  <c r="E3640" i="2"/>
  <c r="C3640" i="2"/>
  <c r="E3639" i="2"/>
  <c r="C3639" i="2"/>
  <c r="E3638" i="2"/>
  <c r="C3638" i="2"/>
  <c r="E3637" i="2"/>
  <c r="C3637" i="2"/>
  <c r="E3636" i="2"/>
  <c r="C3636" i="2"/>
  <c r="E3635" i="2"/>
  <c r="C3635" i="2"/>
  <c r="E3634" i="2"/>
  <c r="C3634" i="2"/>
  <c r="E3633" i="2"/>
  <c r="C3633" i="2"/>
  <c r="E3632" i="2"/>
  <c r="C3632" i="2"/>
  <c r="E3631" i="2"/>
  <c r="C3631" i="2"/>
  <c r="E3630" i="2"/>
  <c r="C3630" i="2"/>
  <c r="E3629" i="2"/>
  <c r="C3629" i="2"/>
  <c r="E3628" i="2"/>
  <c r="C3628" i="2"/>
  <c r="E3627" i="2"/>
  <c r="C3627" i="2"/>
  <c r="E3626" i="2"/>
  <c r="C3626" i="2"/>
  <c r="E3625" i="2"/>
  <c r="C3625" i="2"/>
  <c r="E3624" i="2"/>
  <c r="C3624" i="2"/>
  <c r="E3623" i="2"/>
  <c r="C3623" i="2"/>
  <c r="E3622" i="2"/>
  <c r="C3622" i="2"/>
  <c r="E3621" i="2"/>
  <c r="C3621" i="2"/>
  <c r="E3620" i="2"/>
  <c r="C3620" i="2"/>
  <c r="E3619" i="2"/>
  <c r="C3619" i="2"/>
  <c r="E3618" i="2"/>
  <c r="C3618" i="2"/>
  <c r="E3617" i="2"/>
  <c r="C3617" i="2"/>
  <c r="E3616" i="2"/>
  <c r="C3616" i="2"/>
  <c r="E3615" i="2"/>
  <c r="C3615" i="2"/>
  <c r="E3614" i="2"/>
  <c r="C3614" i="2"/>
  <c r="E3613" i="2"/>
  <c r="C3613" i="2"/>
  <c r="E3612" i="2"/>
  <c r="C3612" i="2"/>
  <c r="E3611" i="2"/>
  <c r="C3611" i="2"/>
  <c r="E3610" i="2"/>
  <c r="C3610" i="2"/>
  <c r="E3609" i="2"/>
  <c r="C3609" i="2"/>
  <c r="E3608" i="2"/>
  <c r="C3608" i="2"/>
  <c r="E3607" i="2"/>
  <c r="C3607" i="2"/>
  <c r="E3606" i="2"/>
  <c r="C3606" i="2"/>
  <c r="E3605" i="2"/>
  <c r="C3605" i="2"/>
  <c r="E3604" i="2"/>
  <c r="C3604" i="2"/>
  <c r="E3603" i="2"/>
  <c r="C3603" i="2"/>
  <c r="E3602" i="2"/>
  <c r="C3602" i="2"/>
  <c r="E3601" i="2"/>
  <c r="C3601" i="2"/>
  <c r="E3600" i="2"/>
  <c r="C3600" i="2"/>
  <c r="E3599" i="2"/>
  <c r="C3599" i="2"/>
  <c r="E3598" i="2"/>
  <c r="C3598" i="2"/>
  <c r="E3597" i="2"/>
  <c r="C3597" i="2"/>
  <c r="E3596" i="2"/>
  <c r="C3596" i="2"/>
  <c r="E3595" i="2"/>
  <c r="C3595" i="2"/>
  <c r="E3594" i="2"/>
  <c r="C3594" i="2"/>
  <c r="E3593" i="2"/>
  <c r="C3593" i="2"/>
  <c r="E3592" i="2"/>
  <c r="C3592" i="2"/>
  <c r="E3591" i="2"/>
  <c r="C3591" i="2"/>
  <c r="E3590" i="2"/>
  <c r="C3590" i="2"/>
  <c r="E3589" i="2"/>
  <c r="C3589" i="2"/>
  <c r="E3588" i="2"/>
  <c r="C3588" i="2"/>
  <c r="E3587" i="2"/>
  <c r="C3587" i="2"/>
  <c r="E3586" i="2"/>
  <c r="C3586" i="2"/>
  <c r="E3585" i="2"/>
  <c r="C3585" i="2"/>
  <c r="E3584" i="2"/>
  <c r="C3584" i="2"/>
  <c r="E3583" i="2"/>
  <c r="C3583" i="2"/>
  <c r="E3582" i="2"/>
  <c r="C3582" i="2"/>
  <c r="E3581" i="2"/>
  <c r="C3581" i="2"/>
  <c r="E3580" i="2"/>
  <c r="C3580" i="2"/>
  <c r="E3579" i="2"/>
  <c r="C3579" i="2"/>
  <c r="E3578" i="2"/>
  <c r="C3578" i="2"/>
  <c r="E3577" i="2"/>
  <c r="C3577" i="2"/>
  <c r="E3576" i="2"/>
  <c r="C3576" i="2"/>
  <c r="E3575" i="2"/>
  <c r="C3575" i="2"/>
  <c r="E3574" i="2"/>
  <c r="C3574" i="2"/>
  <c r="E3573" i="2"/>
  <c r="C3573" i="2"/>
  <c r="E3572" i="2"/>
  <c r="C3572" i="2"/>
  <c r="E3571" i="2"/>
  <c r="C3571" i="2"/>
  <c r="E3570" i="2"/>
  <c r="C3570" i="2"/>
  <c r="E3569" i="2"/>
  <c r="C3569" i="2"/>
  <c r="E3568" i="2"/>
  <c r="C3568" i="2"/>
  <c r="E3567" i="2"/>
  <c r="C3567" i="2"/>
  <c r="E3566" i="2"/>
  <c r="C3566" i="2"/>
  <c r="E3565" i="2"/>
  <c r="C3565" i="2"/>
  <c r="E3564" i="2"/>
  <c r="C3564" i="2"/>
  <c r="E3563" i="2"/>
  <c r="C3563" i="2"/>
  <c r="E3562" i="2"/>
  <c r="C3562" i="2"/>
  <c r="E3561" i="2"/>
  <c r="C3561" i="2"/>
  <c r="E3560" i="2"/>
  <c r="C3560" i="2"/>
  <c r="E3559" i="2"/>
  <c r="C3559" i="2"/>
  <c r="E3558" i="2"/>
  <c r="C3558" i="2"/>
  <c r="E3557" i="2"/>
  <c r="C3557" i="2"/>
  <c r="E3556" i="2"/>
  <c r="C3556" i="2"/>
  <c r="E3555" i="2"/>
  <c r="C3555" i="2"/>
  <c r="E3554" i="2"/>
  <c r="C3554" i="2"/>
  <c r="E3553" i="2"/>
  <c r="C3553" i="2"/>
  <c r="E3552" i="2"/>
  <c r="C3552" i="2"/>
  <c r="E3551" i="2"/>
  <c r="C3551" i="2"/>
  <c r="E3550" i="2"/>
  <c r="C3550" i="2"/>
  <c r="E3549" i="2"/>
  <c r="C3549" i="2"/>
  <c r="E3548" i="2"/>
  <c r="C3548" i="2"/>
  <c r="E3547" i="2"/>
  <c r="C3547" i="2"/>
  <c r="E3546" i="2"/>
  <c r="C3546" i="2"/>
  <c r="E3545" i="2"/>
  <c r="C3545" i="2"/>
  <c r="E3544" i="2"/>
  <c r="C3544" i="2"/>
  <c r="E3543" i="2"/>
  <c r="C3543" i="2"/>
  <c r="E3542" i="2"/>
  <c r="C3542" i="2"/>
  <c r="E3541" i="2"/>
  <c r="C3541" i="2"/>
  <c r="E3540" i="2"/>
  <c r="C3540" i="2"/>
  <c r="E3539" i="2"/>
  <c r="C3539" i="2"/>
  <c r="E3538" i="2"/>
  <c r="C3538" i="2"/>
  <c r="E3537" i="2"/>
  <c r="C3537" i="2"/>
  <c r="E3536" i="2"/>
  <c r="C3536" i="2"/>
  <c r="E3535" i="2"/>
  <c r="C3535" i="2"/>
  <c r="E3534" i="2"/>
  <c r="C3534" i="2"/>
  <c r="E3533" i="2"/>
  <c r="C3533" i="2"/>
  <c r="E3532" i="2"/>
  <c r="C3532" i="2"/>
  <c r="E3531" i="2"/>
  <c r="C3531" i="2"/>
  <c r="E3530" i="2"/>
  <c r="C3530" i="2"/>
  <c r="E3529" i="2"/>
  <c r="C3529" i="2"/>
  <c r="E3528" i="2"/>
  <c r="C3528" i="2"/>
  <c r="E3527" i="2"/>
  <c r="C3527" i="2"/>
  <c r="E3526" i="2"/>
  <c r="C3526" i="2"/>
  <c r="E3525" i="2"/>
  <c r="C3525" i="2"/>
  <c r="E3524" i="2"/>
  <c r="C3524" i="2"/>
  <c r="E3523" i="2"/>
  <c r="C3523" i="2"/>
  <c r="E3522" i="2"/>
  <c r="C3522" i="2"/>
  <c r="E3521" i="2"/>
  <c r="C3521" i="2"/>
  <c r="E3520" i="2"/>
  <c r="C3520" i="2"/>
  <c r="E3519" i="2"/>
  <c r="C3519" i="2"/>
  <c r="E3518" i="2"/>
  <c r="C3518" i="2"/>
  <c r="E3517" i="2"/>
  <c r="C3517" i="2"/>
  <c r="E3516" i="2"/>
  <c r="C3516" i="2"/>
  <c r="E3515" i="2"/>
  <c r="C3515" i="2"/>
  <c r="E3514" i="2"/>
  <c r="C3514" i="2"/>
  <c r="E3513" i="2"/>
  <c r="C3513" i="2"/>
  <c r="E3512" i="2"/>
  <c r="C3512" i="2"/>
  <c r="E3511" i="2"/>
  <c r="C3511" i="2"/>
  <c r="E3510" i="2"/>
  <c r="C3510" i="2"/>
  <c r="E3509" i="2"/>
  <c r="C3509" i="2"/>
  <c r="E3508" i="2"/>
  <c r="C3508" i="2"/>
  <c r="E3507" i="2"/>
  <c r="C3507" i="2"/>
  <c r="E3506" i="2"/>
  <c r="C3506" i="2"/>
  <c r="E3505" i="2"/>
  <c r="C3505" i="2"/>
  <c r="E3504" i="2"/>
  <c r="C3504" i="2"/>
  <c r="E3503" i="2"/>
  <c r="C3503" i="2"/>
  <c r="E3502" i="2"/>
  <c r="C3502" i="2"/>
  <c r="E3501" i="2"/>
  <c r="C3501" i="2"/>
  <c r="E3500" i="2"/>
  <c r="C3500" i="2"/>
  <c r="E3499" i="2"/>
  <c r="C3499" i="2"/>
  <c r="E3498" i="2"/>
  <c r="C3498" i="2"/>
  <c r="E3497" i="2"/>
  <c r="C3497" i="2"/>
  <c r="E3496" i="2"/>
  <c r="C3496" i="2"/>
  <c r="E3495" i="2"/>
  <c r="C3495" i="2"/>
  <c r="E3494" i="2"/>
  <c r="C3494" i="2"/>
  <c r="E3493" i="2"/>
  <c r="C3493" i="2"/>
  <c r="E3492" i="2"/>
  <c r="C3492" i="2"/>
  <c r="E3491" i="2"/>
  <c r="C3491" i="2"/>
  <c r="E3490" i="2"/>
  <c r="C3490" i="2"/>
  <c r="E3489" i="2"/>
  <c r="C3489" i="2"/>
  <c r="E3488" i="2"/>
  <c r="C3488" i="2"/>
  <c r="E3487" i="2"/>
  <c r="C3487" i="2"/>
  <c r="E3486" i="2"/>
  <c r="C3486" i="2"/>
  <c r="E3485" i="2"/>
  <c r="C3485" i="2"/>
  <c r="E3484" i="2"/>
  <c r="C3484" i="2"/>
  <c r="E3483" i="2"/>
  <c r="C3483" i="2"/>
  <c r="E3482" i="2"/>
  <c r="C3482" i="2"/>
  <c r="E3481" i="2"/>
  <c r="C3481" i="2"/>
  <c r="E3480" i="2"/>
  <c r="C3480" i="2"/>
  <c r="E3479" i="2"/>
  <c r="C3479" i="2"/>
  <c r="E3478" i="2"/>
  <c r="C3478" i="2"/>
  <c r="E3477" i="2"/>
  <c r="C3477" i="2"/>
  <c r="E3476" i="2"/>
  <c r="C3476" i="2"/>
  <c r="E3475" i="2"/>
  <c r="C3475" i="2"/>
  <c r="E3474" i="2"/>
  <c r="C3474" i="2"/>
  <c r="E3473" i="2"/>
  <c r="C3473" i="2"/>
  <c r="E3472" i="2"/>
  <c r="C3472" i="2"/>
  <c r="E3471" i="2"/>
  <c r="C3471" i="2"/>
  <c r="E3470" i="2"/>
  <c r="C3470" i="2"/>
  <c r="E3469" i="2"/>
  <c r="C3469" i="2"/>
  <c r="E3468" i="2"/>
  <c r="C3468" i="2"/>
  <c r="E3467" i="2"/>
  <c r="C3467" i="2"/>
  <c r="E3466" i="2"/>
  <c r="C3466" i="2"/>
  <c r="E3465" i="2"/>
  <c r="C3465" i="2"/>
  <c r="E3464" i="2"/>
  <c r="C3464" i="2"/>
  <c r="E3463" i="2"/>
  <c r="C3463" i="2"/>
  <c r="E3462" i="2"/>
  <c r="C3462" i="2"/>
  <c r="E3461" i="2"/>
  <c r="C3461" i="2"/>
  <c r="E3460" i="2"/>
  <c r="C3460" i="2"/>
  <c r="E3459" i="2"/>
  <c r="C3459" i="2"/>
  <c r="E3458" i="2"/>
  <c r="C3458" i="2"/>
  <c r="E3457" i="2"/>
  <c r="C3457" i="2"/>
  <c r="E3456" i="2"/>
  <c r="C3456" i="2"/>
  <c r="E3455" i="2"/>
  <c r="C3455" i="2"/>
  <c r="E3454" i="2"/>
  <c r="C3454" i="2"/>
  <c r="E3453" i="2"/>
  <c r="C3453" i="2"/>
  <c r="E3452" i="2"/>
  <c r="C3452" i="2"/>
  <c r="E3451" i="2"/>
  <c r="C3451" i="2"/>
  <c r="E3450" i="2"/>
  <c r="C3450" i="2"/>
  <c r="E3449" i="2"/>
  <c r="C3449" i="2"/>
  <c r="E3448" i="2"/>
  <c r="C3448" i="2"/>
  <c r="E3447" i="2"/>
  <c r="C3447" i="2"/>
  <c r="E3446" i="2"/>
  <c r="C3446" i="2"/>
  <c r="E3445" i="2"/>
  <c r="C3445" i="2"/>
  <c r="E3444" i="2"/>
  <c r="C3444" i="2"/>
  <c r="E3443" i="2"/>
  <c r="C3443" i="2"/>
  <c r="E3442" i="2"/>
  <c r="C3442" i="2"/>
  <c r="E3441" i="2"/>
  <c r="C3441" i="2"/>
  <c r="E3440" i="2"/>
  <c r="C3440" i="2"/>
  <c r="E3439" i="2"/>
  <c r="C3439" i="2"/>
  <c r="E3438" i="2"/>
  <c r="C3438" i="2"/>
  <c r="E3437" i="2"/>
  <c r="C3437" i="2"/>
  <c r="E3436" i="2"/>
  <c r="C3436" i="2"/>
  <c r="E3435" i="2"/>
  <c r="C3435" i="2"/>
  <c r="E3434" i="2"/>
  <c r="C3434" i="2"/>
  <c r="E3433" i="2"/>
  <c r="C3433" i="2"/>
  <c r="E3432" i="2"/>
  <c r="C3432" i="2"/>
  <c r="E3431" i="2"/>
  <c r="C3431" i="2"/>
  <c r="E3430" i="2"/>
  <c r="C3430" i="2"/>
  <c r="E3429" i="2"/>
  <c r="C3429" i="2"/>
  <c r="E3428" i="2"/>
  <c r="C3428" i="2"/>
  <c r="E3427" i="2"/>
  <c r="C3427" i="2"/>
  <c r="E3426" i="2"/>
  <c r="C3426" i="2"/>
  <c r="E3425" i="2"/>
  <c r="C3425" i="2"/>
  <c r="E3424" i="2"/>
  <c r="C3424" i="2"/>
  <c r="E3423" i="2"/>
  <c r="C3423" i="2"/>
  <c r="E3422" i="2"/>
  <c r="C3422" i="2"/>
  <c r="E3421" i="2"/>
  <c r="C3421" i="2"/>
  <c r="E3420" i="2"/>
  <c r="C3420" i="2"/>
  <c r="E3419" i="2"/>
  <c r="C3419" i="2"/>
  <c r="E3418" i="2"/>
  <c r="C3418" i="2"/>
  <c r="E3417" i="2"/>
  <c r="C3417" i="2"/>
  <c r="E3416" i="2"/>
  <c r="C3416" i="2"/>
  <c r="E3415" i="2"/>
  <c r="C3415" i="2"/>
  <c r="E3414" i="2"/>
  <c r="C3414" i="2"/>
  <c r="E3413" i="2"/>
  <c r="C3413" i="2"/>
  <c r="E3412" i="2"/>
  <c r="C3412" i="2"/>
  <c r="E3411" i="2"/>
  <c r="C3411" i="2"/>
  <c r="E3410" i="2"/>
  <c r="C3410" i="2"/>
  <c r="E3409" i="2"/>
  <c r="C3409" i="2"/>
  <c r="E3408" i="2"/>
  <c r="C3408" i="2"/>
  <c r="E3407" i="2"/>
  <c r="C3407" i="2"/>
  <c r="E3406" i="2"/>
  <c r="C3406" i="2"/>
  <c r="E3405" i="2"/>
  <c r="C3405" i="2"/>
  <c r="E3404" i="2"/>
  <c r="C3404" i="2"/>
  <c r="E3403" i="2"/>
  <c r="C3403" i="2"/>
  <c r="E3402" i="2"/>
  <c r="C3402" i="2"/>
  <c r="E3401" i="2"/>
  <c r="C3401" i="2"/>
  <c r="E3400" i="2"/>
  <c r="C3400" i="2"/>
  <c r="E3399" i="2"/>
  <c r="C3399" i="2"/>
  <c r="E3398" i="2"/>
  <c r="C3398" i="2"/>
  <c r="E3397" i="2"/>
  <c r="C3397" i="2"/>
  <c r="E3396" i="2"/>
  <c r="C3396" i="2"/>
  <c r="E3395" i="2"/>
  <c r="C3395" i="2"/>
  <c r="E3394" i="2"/>
  <c r="C3394" i="2"/>
  <c r="E3393" i="2"/>
  <c r="C3393" i="2"/>
  <c r="E3392" i="2"/>
  <c r="C3392" i="2"/>
  <c r="E3391" i="2"/>
  <c r="C3391" i="2"/>
  <c r="E3390" i="2"/>
  <c r="C3390" i="2"/>
  <c r="E3389" i="2"/>
  <c r="C3389" i="2"/>
  <c r="E3388" i="2"/>
  <c r="C3388" i="2"/>
  <c r="E3387" i="2"/>
  <c r="C3387" i="2"/>
  <c r="E3386" i="2"/>
  <c r="C3386" i="2"/>
  <c r="E3385" i="2"/>
  <c r="C3385" i="2"/>
  <c r="E3384" i="2"/>
  <c r="C3384" i="2"/>
  <c r="E3383" i="2"/>
  <c r="C3383" i="2"/>
  <c r="E3382" i="2"/>
  <c r="C3382" i="2"/>
  <c r="E3381" i="2"/>
  <c r="C3381" i="2"/>
  <c r="E3380" i="2"/>
  <c r="C3380" i="2"/>
  <c r="E3379" i="2"/>
  <c r="C3379" i="2"/>
  <c r="E3378" i="2"/>
  <c r="C3378" i="2"/>
  <c r="E3377" i="2"/>
  <c r="C3377" i="2"/>
  <c r="E3376" i="2"/>
  <c r="C3376" i="2"/>
  <c r="E3375" i="2"/>
  <c r="C3375" i="2"/>
  <c r="E3374" i="2"/>
  <c r="C3374" i="2"/>
  <c r="E3373" i="2"/>
  <c r="C3373" i="2"/>
  <c r="E3372" i="2"/>
  <c r="C3372" i="2"/>
  <c r="E3371" i="2"/>
  <c r="C3371" i="2"/>
  <c r="E3370" i="2"/>
  <c r="C3370" i="2"/>
  <c r="E3369" i="2"/>
  <c r="C3369" i="2"/>
  <c r="E3368" i="2"/>
  <c r="C3368" i="2"/>
  <c r="E3367" i="2"/>
  <c r="C3367" i="2"/>
  <c r="E3366" i="2"/>
  <c r="C3366" i="2"/>
  <c r="E3365" i="2"/>
  <c r="C3365" i="2"/>
  <c r="E3364" i="2"/>
  <c r="C3364" i="2"/>
  <c r="E3363" i="2"/>
  <c r="C3363" i="2"/>
  <c r="E3362" i="2"/>
  <c r="C3362" i="2"/>
  <c r="E3361" i="2"/>
  <c r="C3361" i="2"/>
  <c r="E3360" i="2"/>
  <c r="C3360" i="2"/>
  <c r="E3359" i="2"/>
  <c r="C3359" i="2"/>
  <c r="E3358" i="2"/>
  <c r="C3358" i="2"/>
  <c r="E3357" i="2"/>
  <c r="C3357" i="2"/>
  <c r="E3356" i="2"/>
  <c r="C3356" i="2"/>
  <c r="E3355" i="2"/>
  <c r="C3355" i="2"/>
  <c r="E3354" i="2"/>
  <c r="C3354" i="2"/>
  <c r="E3353" i="2"/>
  <c r="C3353" i="2"/>
  <c r="E3352" i="2"/>
  <c r="C3352" i="2"/>
  <c r="E3351" i="2"/>
  <c r="C3351" i="2"/>
  <c r="E3350" i="2"/>
  <c r="C3350" i="2"/>
  <c r="E3349" i="2"/>
  <c r="C3349" i="2"/>
  <c r="E3348" i="2"/>
  <c r="C3348" i="2"/>
  <c r="E3347" i="2"/>
  <c r="C3347" i="2"/>
  <c r="E3346" i="2"/>
  <c r="C3346" i="2"/>
  <c r="E3345" i="2"/>
  <c r="C3345" i="2"/>
  <c r="E3344" i="2"/>
  <c r="C3344" i="2"/>
  <c r="E3343" i="2"/>
  <c r="C3343" i="2"/>
  <c r="E3342" i="2"/>
  <c r="C3342" i="2"/>
  <c r="E3341" i="2"/>
  <c r="C3341" i="2"/>
  <c r="E3340" i="2"/>
  <c r="C3340" i="2"/>
  <c r="E3339" i="2"/>
  <c r="C3339" i="2"/>
  <c r="E3338" i="2"/>
  <c r="C3338" i="2"/>
  <c r="E3337" i="2"/>
  <c r="C3337" i="2"/>
  <c r="E3336" i="2"/>
  <c r="C3336" i="2"/>
  <c r="E3335" i="2"/>
  <c r="C3335" i="2"/>
  <c r="E3334" i="2"/>
  <c r="C3334" i="2"/>
  <c r="E3333" i="2"/>
  <c r="C3333" i="2"/>
  <c r="E3332" i="2"/>
  <c r="C3332" i="2"/>
  <c r="E3331" i="2"/>
  <c r="C3331" i="2"/>
  <c r="E3330" i="2"/>
  <c r="C3330" i="2"/>
  <c r="E3329" i="2"/>
  <c r="C3329" i="2"/>
  <c r="E3328" i="2"/>
  <c r="C3328" i="2"/>
  <c r="E3327" i="2"/>
  <c r="C3327" i="2"/>
  <c r="E3326" i="2"/>
  <c r="C3326" i="2"/>
  <c r="E3325" i="2"/>
  <c r="C3325" i="2"/>
  <c r="E3324" i="2"/>
  <c r="C3324" i="2"/>
  <c r="E3323" i="2"/>
  <c r="C3323" i="2"/>
  <c r="E3322" i="2"/>
  <c r="C3322" i="2"/>
  <c r="E3321" i="2"/>
  <c r="C3321" i="2"/>
  <c r="E3320" i="2"/>
  <c r="C3320" i="2"/>
  <c r="E3319" i="2"/>
  <c r="C3319" i="2"/>
  <c r="E3318" i="2"/>
  <c r="C3318" i="2"/>
  <c r="E3317" i="2"/>
  <c r="C3317" i="2"/>
  <c r="E3316" i="2"/>
  <c r="C3316" i="2"/>
  <c r="E3315" i="2"/>
  <c r="C3315" i="2"/>
  <c r="E3314" i="2"/>
  <c r="C3314" i="2"/>
  <c r="E3313" i="2"/>
  <c r="C3313" i="2"/>
  <c r="E3312" i="2"/>
  <c r="C3312" i="2"/>
  <c r="E3311" i="2"/>
  <c r="C3311" i="2"/>
  <c r="E3310" i="2"/>
  <c r="C3310" i="2"/>
  <c r="E3309" i="2"/>
  <c r="C3309" i="2"/>
  <c r="E3308" i="2"/>
  <c r="C3308" i="2"/>
  <c r="E3307" i="2"/>
  <c r="C3307" i="2"/>
  <c r="E3306" i="2"/>
  <c r="C3306" i="2"/>
  <c r="E3305" i="2"/>
  <c r="C3305" i="2"/>
  <c r="E3304" i="2"/>
  <c r="C3304" i="2"/>
  <c r="E3303" i="2"/>
  <c r="C3303" i="2"/>
  <c r="E3302" i="2"/>
  <c r="C3302" i="2"/>
  <c r="E3301" i="2"/>
  <c r="C3301" i="2"/>
  <c r="E3300" i="2"/>
  <c r="C3300" i="2"/>
  <c r="E3299" i="2"/>
  <c r="C3299" i="2"/>
  <c r="E3298" i="2"/>
  <c r="C3298" i="2"/>
  <c r="E3297" i="2"/>
  <c r="C3297" i="2"/>
  <c r="E3296" i="2"/>
  <c r="C3296" i="2"/>
  <c r="E3295" i="2"/>
  <c r="C3295" i="2"/>
  <c r="E3294" i="2"/>
  <c r="C3294" i="2"/>
  <c r="E3293" i="2"/>
  <c r="C3293" i="2"/>
  <c r="E3292" i="2"/>
  <c r="C3292" i="2"/>
  <c r="E3291" i="2"/>
  <c r="C3291" i="2"/>
  <c r="E3290" i="2"/>
  <c r="C3290" i="2"/>
  <c r="E3289" i="2"/>
  <c r="C3289" i="2"/>
  <c r="E3288" i="2"/>
  <c r="C3288" i="2"/>
  <c r="E3287" i="2"/>
  <c r="C3287" i="2"/>
  <c r="E3286" i="2"/>
  <c r="C3286" i="2"/>
  <c r="E3285" i="2"/>
  <c r="C3285" i="2"/>
  <c r="E3284" i="2"/>
  <c r="C3284" i="2"/>
  <c r="E3283" i="2"/>
  <c r="C3283" i="2"/>
  <c r="E3282" i="2"/>
  <c r="C3282" i="2"/>
  <c r="E3281" i="2"/>
  <c r="C3281" i="2"/>
  <c r="E3280" i="2"/>
  <c r="C3280" i="2"/>
  <c r="E3279" i="2"/>
  <c r="C3279" i="2"/>
  <c r="E3278" i="2"/>
  <c r="C3278" i="2"/>
  <c r="E3277" i="2"/>
  <c r="C3277" i="2"/>
  <c r="E3276" i="2"/>
  <c r="C3276" i="2"/>
  <c r="E3275" i="2"/>
  <c r="C3275" i="2"/>
  <c r="E3274" i="2"/>
  <c r="C3274" i="2"/>
  <c r="E3273" i="2"/>
  <c r="C3273" i="2"/>
  <c r="E3272" i="2"/>
  <c r="C3272" i="2"/>
  <c r="E3271" i="2"/>
  <c r="C3271" i="2"/>
  <c r="E3270" i="2"/>
  <c r="C3270" i="2"/>
  <c r="E3269" i="2"/>
  <c r="C3269" i="2"/>
  <c r="E3268" i="2"/>
  <c r="C3268" i="2"/>
  <c r="E3267" i="2"/>
  <c r="C3267" i="2"/>
  <c r="E3266" i="2"/>
  <c r="C3266" i="2"/>
  <c r="E3265" i="2"/>
  <c r="C3265" i="2"/>
  <c r="E3264" i="2"/>
  <c r="C3264" i="2"/>
  <c r="E3263" i="2"/>
  <c r="C3263" i="2"/>
  <c r="E3262" i="2"/>
  <c r="C3262" i="2"/>
  <c r="E3261" i="2"/>
  <c r="C3261" i="2"/>
  <c r="E3260" i="2"/>
  <c r="C3260" i="2"/>
  <c r="E3259" i="2"/>
  <c r="C3259" i="2"/>
  <c r="E3258" i="2"/>
  <c r="C3258" i="2"/>
  <c r="E3257" i="2"/>
  <c r="C3257" i="2"/>
  <c r="E3256" i="2"/>
  <c r="C3256" i="2"/>
  <c r="E3255" i="2"/>
  <c r="C3255" i="2"/>
  <c r="E3254" i="2"/>
  <c r="C3254" i="2"/>
  <c r="E3253" i="2"/>
  <c r="C3253" i="2"/>
  <c r="E3252" i="2"/>
  <c r="C3252" i="2"/>
  <c r="E3251" i="2"/>
  <c r="C3251" i="2"/>
  <c r="E3250" i="2"/>
  <c r="C3250" i="2"/>
  <c r="E3249" i="2"/>
  <c r="C3249" i="2"/>
  <c r="E3248" i="2"/>
  <c r="C3248" i="2"/>
  <c r="E3247" i="2"/>
  <c r="C3247" i="2"/>
  <c r="E3246" i="2"/>
  <c r="C3246" i="2"/>
  <c r="E3245" i="2"/>
  <c r="C3245" i="2"/>
  <c r="E3244" i="2"/>
  <c r="C3244" i="2"/>
  <c r="E3243" i="2"/>
  <c r="C3243" i="2"/>
  <c r="E3242" i="2"/>
  <c r="C3242" i="2"/>
  <c r="E3241" i="2"/>
  <c r="C3241" i="2"/>
  <c r="E3240" i="2"/>
  <c r="C3240" i="2"/>
  <c r="E3239" i="2"/>
  <c r="C3239" i="2"/>
  <c r="E3238" i="2"/>
  <c r="C3238" i="2"/>
  <c r="E3237" i="2"/>
  <c r="C3237" i="2"/>
  <c r="E3236" i="2"/>
  <c r="C3236" i="2"/>
  <c r="E3235" i="2"/>
  <c r="C3235" i="2"/>
  <c r="E3234" i="2"/>
  <c r="C3234" i="2"/>
  <c r="E3233" i="2"/>
  <c r="C3233" i="2"/>
  <c r="E3232" i="2"/>
  <c r="C3232" i="2"/>
  <c r="E3231" i="2"/>
  <c r="C3231" i="2"/>
  <c r="E3230" i="2"/>
  <c r="C3230" i="2"/>
  <c r="E3229" i="2"/>
  <c r="C3229" i="2"/>
  <c r="E3228" i="2"/>
  <c r="C3228" i="2"/>
  <c r="E3227" i="2"/>
  <c r="C3227" i="2"/>
  <c r="E3226" i="2"/>
  <c r="C3226" i="2"/>
  <c r="E3225" i="2"/>
  <c r="C3225" i="2"/>
  <c r="E3224" i="2"/>
  <c r="C3224" i="2"/>
  <c r="E3223" i="2"/>
  <c r="C3223" i="2"/>
  <c r="E3222" i="2"/>
  <c r="C3222" i="2"/>
  <c r="E3221" i="2"/>
  <c r="C3221" i="2"/>
  <c r="E3220" i="2"/>
  <c r="C3220" i="2"/>
  <c r="E3219" i="2"/>
  <c r="C3219" i="2"/>
  <c r="E3218" i="2"/>
  <c r="C3218" i="2"/>
  <c r="E3217" i="2"/>
  <c r="C3217" i="2"/>
  <c r="E3216" i="2"/>
  <c r="C3216" i="2"/>
  <c r="E3215" i="2"/>
  <c r="C3215" i="2"/>
  <c r="E3214" i="2"/>
  <c r="C3214" i="2"/>
  <c r="E3213" i="2"/>
  <c r="C3213" i="2"/>
  <c r="E3212" i="2"/>
  <c r="C3212" i="2"/>
  <c r="E3211" i="2"/>
  <c r="C3211" i="2"/>
  <c r="E3210" i="2"/>
  <c r="C3210" i="2"/>
  <c r="E3209" i="2"/>
  <c r="C3209" i="2"/>
  <c r="E3208" i="2"/>
  <c r="C3208" i="2"/>
  <c r="E3207" i="2"/>
  <c r="C3207" i="2"/>
  <c r="E3206" i="2"/>
  <c r="C3206" i="2"/>
  <c r="E3205" i="2"/>
  <c r="C3205" i="2"/>
  <c r="E3204" i="2"/>
  <c r="C3204" i="2"/>
  <c r="E3203" i="2"/>
  <c r="C3203" i="2"/>
  <c r="E3202" i="2"/>
  <c r="C3202" i="2"/>
  <c r="E3201" i="2"/>
  <c r="C3201" i="2"/>
  <c r="E3200" i="2"/>
  <c r="C3200" i="2"/>
  <c r="E3199" i="2"/>
  <c r="C3199" i="2"/>
  <c r="E3198" i="2"/>
  <c r="C3198" i="2"/>
  <c r="E3197" i="2"/>
  <c r="C3197" i="2"/>
  <c r="E3196" i="2"/>
  <c r="C3196" i="2"/>
  <c r="E3195" i="2"/>
  <c r="C3195" i="2"/>
  <c r="E3194" i="2"/>
  <c r="C3194" i="2"/>
  <c r="E3193" i="2"/>
  <c r="C3193" i="2"/>
  <c r="E3192" i="2"/>
  <c r="C3192" i="2"/>
  <c r="E3191" i="2"/>
  <c r="C3191" i="2"/>
  <c r="E3190" i="2"/>
  <c r="C3190" i="2"/>
  <c r="E3189" i="2"/>
  <c r="C3189" i="2"/>
  <c r="E3188" i="2"/>
  <c r="C3188" i="2"/>
  <c r="E3187" i="2"/>
  <c r="C3187" i="2"/>
  <c r="E3186" i="2"/>
  <c r="C3186" i="2"/>
  <c r="E3185" i="2"/>
  <c r="C3185" i="2"/>
  <c r="E3184" i="2"/>
  <c r="C3184" i="2"/>
  <c r="E3183" i="2"/>
  <c r="C3183" i="2"/>
  <c r="E3182" i="2"/>
  <c r="C3182" i="2"/>
  <c r="E3181" i="2"/>
  <c r="C3181" i="2"/>
  <c r="E3180" i="2"/>
  <c r="C3180" i="2"/>
  <c r="E3179" i="2"/>
  <c r="C3179" i="2"/>
  <c r="E3178" i="2"/>
  <c r="C3178" i="2"/>
  <c r="E3177" i="2"/>
  <c r="C3177" i="2"/>
  <c r="E3176" i="2"/>
  <c r="C3176" i="2"/>
  <c r="E3175" i="2"/>
  <c r="C3175" i="2"/>
  <c r="E3174" i="2"/>
  <c r="C3174" i="2"/>
  <c r="E3173" i="2"/>
  <c r="C3173" i="2"/>
  <c r="E3172" i="2"/>
  <c r="C3172" i="2"/>
  <c r="E3171" i="2"/>
  <c r="C3171" i="2"/>
  <c r="E3170" i="2"/>
  <c r="C3170" i="2"/>
  <c r="E3169" i="2"/>
  <c r="C3169" i="2"/>
  <c r="E3168" i="2"/>
  <c r="C3168" i="2"/>
  <c r="E3167" i="2"/>
  <c r="C3167" i="2"/>
  <c r="E3166" i="2"/>
  <c r="C3166" i="2"/>
  <c r="E3165" i="2"/>
  <c r="C3165" i="2"/>
  <c r="E3164" i="2"/>
  <c r="C3164" i="2"/>
  <c r="E3163" i="2"/>
  <c r="C3163" i="2"/>
  <c r="E3162" i="2"/>
  <c r="C3162" i="2"/>
  <c r="E3161" i="2"/>
  <c r="C3161" i="2"/>
  <c r="E3160" i="2"/>
  <c r="C3160" i="2"/>
  <c r="E3159" i="2"/>
  <c r="C3159" i="2"/>
  <c r="E3158" i="2"/>
  <c r="C3158" i="2"/>
  <c r="E3157" i="2"/>
  <c r="C3157" i="2"/>
  <c r="E3156" i="2"/>
  <c r="C3156" i="2"/>
  <c r="E3155" i="2"/>
  <c r="C3155" i="2"/>
  <c r="E3154" i="2"/>
  <c r="C3154" i="2"/>
  <c r="E3153" i="2"/>
  <c r="C3153" i="2"/>
  <c r="E3152" i="2"/>
  <c r="C3152" i="2"/>
  <c r="E3151" i="2"/>
  <c r="C3151" i="2"/>
  <c r="E3150" i="2"/>
  <c r="C3150" i="2"/>
  <c r="E3149" i="2"/>
  <c r="C3149" i="2"/>
  <c r="E3148" i="2"/>
  <c r="C3148" i="2"/>
  <c r="E3147" i="2"/>
  <c r="C3147" i="2"/>
  <c r="E3146" i="2"/>
  <c r="C3146" i="2"/>
  <c r="E3145" i="2"/>
  <c r="C3145" i="2"/>
  <c r="E3144" i="2"/>
  <c r="C3144" i="2"/>
  <c r="E3143" i="2"/>
  <c r="C3143" i="2"/>
  <c r="E3142" i="2"/>
  <c r="C3142" i="2"/>
  <c r="E3141" i="2"/>
  <c r="C3141" i="2"/>
  <c r="E3140" i="2"/>
  <c r="C3140" i="2"/>
  <c r="E3139" i="2"/>
  <c r="C3139" i="2"/>
  <c r="E3138" i="2"/>
  <c r="C3138" i="2"/>
  <c r="E3137" i="2"/>
  <c r="C3137" i="2"/>
  <c r="E3136" i="2"/>
  <c r="C3136" i="2"/>
  <c r="E3135" i="2"/>
  <c r="C3135" i="2"/>
  <c r="E3134" i="2"/>
  <c r="C3134" i="2"/>
  <c r="E3133" i="2"/>
  <c r="C3133" i="2"/>
  <c r="E3132" i="2"/>
  <c r="C3132" i="2"/>
  <c r="E3131" i="2"/>
  <c r="C3131" i="2"/>
  <c r="E3130" i="2"/>
  <c r="C3130" i="2"/>
  <c r="E3129" i="2"/>
  <c r="C3129" i="2"/>
  <c r="E3128" i="2"/>
  <c r="C3128" i="2"/>
  <c r="E3127" i="2"/>
  <c r="C3127" i="2"/>
  <c r="E3126" i="2"/>
  <c r="C3126" i="2"/>
  <c r="E3125" i="2"/>
  <c r="C3125" i="2"/>
  <c r="E3124" i="2"/>
  <c r="C3124" i="2"/>
  <c r="E3123" i="2"/>
  <c r="C3123" i="2"/>
  <c r="E3122" i="2"/>
  <c r="C3122" i="2"/>
  <c r="E3121" i="2"/>
  <c r="C3121" i="2"/>
  <c r="E3120" i="2"/>
  <c r="C3120" i="2"/>
  <c r="E3119" i="2"/>
  <c r="C3119" i="2"/>
  <c r="E3118" i="2"/>
  <c r="C3118" i="2"/>
  <c r="E3117" i="2"/>
  <c r="C3117" i="2"/>
  <c r="E3116" i="2"/>
  <c r="C3116" i="2"/>
  <c r="E3115" i="2"/>
  <c r="C3115" i="2"/>
  <c r="E3114" i="2"/>
  <c r="C3114" i="2"/>
  <c r="E3113" i="2"/>
  <c r="C3113" i="2"/>
  <c r="E3112" i="2"/>
  <c r="C3112" i="2"/>
  <c r="E3111" i="2"/>
  <c r="C3111" i="2"/>
  <c r="E3110" i="2"/>
  <c r="C3110" i="2"/>
  <c r="E3109" i="2"/>
  <c r="C3109" i="2"/>
  <c r="E3108" i="2"/>
  <c r="C3108" i="2"/>
  <c r="E3107" i="2"/>
  <c r="C3107" i="2"/>
  <c r="E3106" i="2"/>
  <c r="C3106" i="2"/>
  <c r="E3105" i="2"/>
  <c r="C3105" i="2"/>
  <c r="E3104" i="2"/>
  <c r="C3104" i="2"/>
  <c r="E3103" i="2"/>
  <c r="C3103" i="2"/>
  <c r="E3102" i="2"/>
  <c r="C3102" i="2"/>
  <c r="E3101" i="2"/>
  <c r="C3101" i="2"/>
  <c r="E3100" i="2"/>
  <c r="C3100" i="2"/>
  <c r="E3099" i="2"/>
  <c r="C3099" i="2"/>
  <c r="E3098" i="2"/>
  <c r="C3098" i="2"/>
  <c r="E3097" i="2"/>
  <c r="C3097" i="2"/>
  <c r="E3096" i="2"/>
  <c r="C3096" i="2"/>
  <c r="E3095" i="2"/>
  <c r="C3095" i="2"/>
  <c r="E3094" i="2"/>
  <c r="C3094" i="2"/>
  <c r="E3093" i="2"/>
  <c r="C3093" i="2"/>
  <c r="E3092" i="2"/>
  <c r="C3092" i="2"/>
  <c r="E3091" i="2"/>
  <c r="C3091" i="2"/>
  <c r="E3090" i="2"/>
  <c r="C3090" i="2"/>
  <c r="E3089" i="2"/>
  <c r="C3089" i="2"/>
  <c r="E3088" i="2"/>
  <c r="C3088" i="2"/>
  <c r="E3087" i="2"/>
  <c r="C3087" i="2"/>
  <c r="E3086" i="2"/>
  <c r="C3086" i="2"/>
  <c r="E3085" i="2"/>
  <c r="C3085" i="2"/>
  <c r="E3084" i="2"/>
  <c r="C3084" i="2"/>
  <c r="E3083" i="2"/>
  <c r="C3083" i="2"/>
  <c r="E3082" i="2"/>
  <c r="C3082" i="2"/>
  <c r="E3081" i="2"/>
  <c r="C3081" i="2"/>
  <c r="E3080" i="2"/>
  <c r="C3080" i="2"/>
  <c r="E3079" i="2"/>
  <c r="C3079" i="2"/>
  <c r="E3078" i="2"/>
  <c r="C3078" i="2"/>
  <c r="E3077" i="2"/>
  <c r="C3077" i="2"/>
  <c r="E3076" i="2"/>
  <c r="C3076" i="2"/>
  <c r="E3075" i="2"/>
  <c r="C3075" i="2"/>
  <c r="E3074" i="2"/>
  <c r="C3074" i="2"/>
  <c r="E3073" i="2"/>
  <c r="C3073" i="2"/>
  <c r="E3072" i="2"/>
  <c r="C3072" i="2"/>
  <c r="E3071" i="2"/>
  <c r="C3071" i="2"/>
  <c r="E3070" i="2"/>
  <c r="C3070" i="2"/>
  <c r="E3069" i="2"/>
  <c r="C3069" i="2"/>
  <c r="E3068" i="2"/>
  <c r="C3068" i="2"/>
  <c r="E3067" i="2"/>
  <c r="C3067" i="2"/>
  <c r="E3066" i="2"/>
  <c r="C3066" i="2"/>
  <c r="E3065" i="2"/>
  <c r="C3065" i="2"/>
  <c r="E3064" i="2"/>
  <c r="C3064" i="2"/>
  <c r="E3063" i="2"/>
  <c r="C3063" i="2"/>
  <c r="E3062" i="2"/>
  <c r="C3062" i="2"/>
  <c r="E3061" i="2"/>
  <c r="C3061" i="2"/>
  <c r="E3060" i="2"/>
  <c r="C3060" i="2"/>
  <c r="E3059" i="2"/>
  <c r="C3059" i="2"/>
  <c r="E3058" i="2"/>
  <c r="C3058" i="2"/>
  <c r="E3057" i="2"/>
  <c r="C3057" i="2"/>
  <c r="E3056" i="2"/>
  <c r="C3056" i="2"/>
  <c r="E3055" i="2"/>
  <c r="C3055" i="2"/>
  <c r="E3054" i="2"/>
  <c r="C3054" i="2"/>
  <c r="E3053" i="2"/>
  <c r="C3053" i="2"/>
  <c r="E3052" i="2"/>
  <c r="C3052" i="2"/>
  <c r="E3051" i="2"/>
  <c r="C3051" i="2"/>
  <c r="E3050" i="2"/>
  <c r="C3050" i="2"/>
  <c r="E3049" i="2"/>
  <c r="C3049" i="2"/>
  <c r="E3048" i="2"/>
  <c r="C3048" i="2"/>
  <c r="E3047" i="2"/>
  <c r="C3047" i="2"/>
  <c r="E3046" i="2"/>
  <c r="C3046" i="2"/>
  <c r="E3045" i="2"/>
  <c r="C3045" i="2"/>
  <c r="E3044" i="2"/>
  <c r="C3044" i="2"/>
  <c r="E3043" i="2"/>
  <c r="C3043" i="2"/>
  <c r="E3042" i="2"/>
  <c r="C3042" i="2"/>
  <c r="E3041" i="2"/>
  <c r="C3041" i="2"/>
  <c r="E3040" i="2"/>
  <c r="C3040" i="2"/>
  <c r="E3039" i="2"/>
  <c r="C3039" i="2"/>
  <c r="E3038" i="2"/>
  <c r="C3038" i="2"/>
  <c r="E3037" i="2"/>
  <c r="C3037" i="2"/>
  <c r="E3036" i="2"/>
  <c r="C3036" i="2"/>
  <c r="E3035" i="2"/>
  <c r="C3035" i="2"/>
  <c r="E3034" i="2"/>
  <c r="C3034" i="2"/>
  <c r="E3033" i="2"/>
  <c r="C3033" i="2"/>
  <c r="E3032" i="2"/>
  <c r="C3032" i="2"/>
  <c r="E3031" i="2"/>
  <c r="C3031" i="2"/>
  <c r="E3030" i="2"/>
  <c r="C3030" i="2"/>
  <c r="E3029" i="2"/>
  <c r="C3029" i="2"/>
  <c r="E3028" i="2"/>
  <c r="C3028" i="2"/>
  <c r="E3027" i="2"/>
  <c r="C3027" i="2"/>
  <c r="E3026" i="2"/>
  <c r="C3026" i="2"/>
  <c r="E3025" i="2"/>
  <c r="C3025" i="2"/>
  <c r="E3024" i="2"/>
  <c r="C3024" i="2"/>
  <c r="E3023" i="2"/>
  <c r="C3023" i="2"/>
  <c r="E3022" i="2"/>
  <c r="C3022" i="2"/>
  <c r="E3021" i="2"/>
  <c r="C3021" i="2"/>
  <c r="E3020" i="2"/>
  <c r="C3020" i="2"/>
  <c r="E3019" i="2"/>
  <c r="C3019" i="2"/>
  <c r="E3018" i="2"/>
  <c r="C3018" i="2"/>
  <c r="E3017" i="2"/>
  <c r="C3017" i="2"/>
  <c r="E3016" i="2"/>
  <c r="C3016" i="2"/>
  <c r="E3015" i="2"/>
  <c r="C3015" i="2"/>
  <c r="E3014" i="2"/>
  <c r="C3014" i="2"/>
  <c r="E3013" i="2"/>
  <c r="C3013" i="2"/>
  <c r="E3012" i="2"/>
  <c r="C3012" i="2"/>
  <c r="E3011" i="2"/>
  <c r="C3011" i="2"/>
  <c r="E3010" i="2"/>
  <c r="C3010" i="2"/>
  <c r="E3009" i="2"/>
  <c r="C3009" i="2"/>
  <c r="E3008" i="2"/>
  <c r="C3008" i="2"/>
  <c r="E3007" i="2"/>
  <c r="C3007" i="2"/>
  <c r="E3006" i="2"/>
  <c r="C3006" i="2"/>
  <c r="E3005" i="2"/>
  <c r="C3005" i="2"/>
  <c r="E3004" i="2"/>
  <c r="C3004" i="2"/>
  <c r="E3003" i="2"/>
  <c r="C3003" i="2"/>
  <c r="E3002" i="2"/>
  <c r="C3002" i="2"/>
  <c r="E3001" i="2"/>
  <c r="C3001" i="2"/>
  <c r="E3000" i="2"/>
  <c r="C3000" i="2"/>
  <c r="E2999" i="2"/>
  <c r="C2999" i="2"/>
  <c r="E2998" i="2"/>
  <c r="C2998" i="2"/>
  <c r="E2997" i="2"/>
  <c r="C2997" i="2"/>
  <c r="E2996" i="2"/>
  <c r="C2996" i="2"/>
  <c r="E2995" i="2"/>
  <c r="C2995" i="2"/>
  <c r="E2994" i="2"/>
  <c r="C2994" i="2"/>
  <c r="E2993" i="2"/>
  <c r="C2993" i="2"/>
  <c r="E2992" i="2"/>
  <c r="C2992" i="2"/>
  <c r="E2991" i="2"/>
  <c r="C2991" i="2"/>
  <c r="E2990" i="2"/>
  <c r="C2990" i="2"/>
  <c r="E2989" i="2"/>
  <c r="C2989" i="2"/>
  <c r="E2988" i="2"/>
  <c r="C2988" i="2"/>
  <c r="E2987" i="2"/>
  <c r="C2987" i="2"/>
  <c r="E2986" i="2"/>
  <c r="C2986" i="2"/>
  <c r="E2985" i="2"/>
  <c r="C2985" i="2"/>
  <c r="E2984" i="2"/>
  <c r="C2984" i="2"/>
  <c r="E2983" i="2"/>
  <c r="C2983" i="2"/>
  <c r="E2982" i="2"/>
  <c r="C2982" i="2"/>
  <c r="E2981" i="2"/>
  <c r="C2981" i="2"/>
  <c r="E2980" i="2"/>
  <c r="C2980" i="2"/>
  <c r="E2979" i="2"/>
  <c r="C2979" i="2"/>
  <c r="E2978" i="2"/>
  <c r="C2978" i="2"/>
  <c r="E2977" i="2"/>
  <c r="C2977" i="2"/>
  <c r="E2976" i="2"/>
  <c r="C2976" i="2"/>
  <c r="E2975" i="2"/>
  <c r="C2975" i="2"/>
  <c r="E2974" i="2"/>
  <c r="C2974" i="2"/>
  <c r="E2973" i="2"/>
  <c r="C2973" i="2"/>
  <c r="E2972" i="2"/>
  <c r="C2972" i="2"/>
  <c r="E2971" i="2"/>
  <c r="C2971" i="2"/>
  <c r="E2970" i="2"/>
  <c r="C2970" i="2"/>
  <c r="E2969" i="2"/>
  <c r="C2969" i="2"/>
  <c r="E2968" i="2"/>
  <c r="C2968" i="2"/>
  <c r="E2967" i="2"/>
  <c r="C2967" i="2"/>
  <c r="E2966" i="2"/>
  <c r="C2966" i="2"/>
  <c r="E2965" i="2"/>
  <c r="C2965" i="2"/>
  <c r="E2964" i="2"/>
  <c r="C2964" i="2"/>
  <c r="E2963" i="2"/>
  <c r="C2963" i="2"/>
  <c r="E2962" i="2"/>
  <c r="C2962" i="2"/>
  <c r="E2961" i="2"/>
  <c r="C2961" i="2"/>
  <c r="E2960" i="2"/>
  <c r="C2960" i="2"/>
  <c r="E2959" i="2"/>
  <c r="C2959" i="2"/>
  <c r="E2958" i="2"/>
  <c r="C2958" i="2"/>
  <c r="E2957" i="2"/>
  <c r="C2957" i="2"/>
  <c r="E2956" i="2"/>
  <c r="C2956" i="2"/>
  <c r="E2955" i="2"/>
  <c r="C2955" i="2"/>
  <c r="E2954" i="2"/>
  <c r="C2954" i="2"/>
  <c r="E2953" i="2"/>
  <c r="C2953" i="2"/>
  <c r="E2952" i="2"/>
  <c r="C2952" i="2"/>
  <c r="E2951" i="2"/>
  <c r="C2951" i="2"/>
  <c r="E2950" i="2"/>
  <c r="C2950" i="2"/>
  <c r="E2949" i="2"/>
  <c r="C2949" i="2"/>
  <c r="E2948" i="2"/>
  <c r="C2948" i="2"/>
  <c r="E2947" i="2"/>
  <c r="C2947" i="2"/>
  <c r="E2946" i="2"/>
  <c r="C2946" i="2"/>
  <c r="E2945" i="2"/>
  <c r="C2945" i="2"/>
  <c r="E2944" i="2"/>
  <c r="C2944" i="2"/>
  <c r="E2943" i="2"/>
  <c r="C2943" i="2"/>
  <c r="E2942" i="2"/>
  <c r="C2942" i="2"/>
  <c r="E2941" i="2"/>
  <c r="C2941" i="2"/>
  <c r="E2940" i="2"/>
  <c r="C2940" i="2"/>
  <c r="E2939" i="2"/>
  <c r="C2939" i="2"/>
  <c r="E2938" i="2"/>
  <c r="C2938" i="2"/>
  <c r="E2937" i="2"/>
  <c r="C2937" i="2"/>
  <c r="E2936" i="2"/>
  <c r="C2936" i="2"/>
  <c r="E2935" i="2"/>
  <c r="C2935" i="2"/>
  <c r="E2934" i="2"/>
  <c r="C2934" i="2"/>
  <c r="E2933" i="2"/>
  <c r="C2933" i="2"/>
  <c r="E2932" i="2"/>
  <c r="C2932" i="2"/>
  <c r="E2931" i="2"/>
  <c r="C2931" i="2"/>
  <c r="E2930" i="2"/>
  <c r="C2930" i="2"/>
  <c r="E2929" i="2"/>
  <c r="C2929" i="2"/>
  <c r="E2928" i="2"/>
  <c r="C2928" i="2"/>
  <c r="E2927" i="2"/>
  <c r="C2927" i="2"/>
  <c r="E2926" i="2"/>
  <c r="C2926" i="2"/>
  <c r="E2925" i="2"/>
  <c r="C2925" i="2"/>
  <c r="E2924" i="2"/>
  <c r="C2924" i="2"/>
  <c r="E2923" i="2"/>
  <c r="C2923" i="2"/>
  <c r="E2922" i="2"/>
  <c r="C2922" i="2"/>
  <c r="E2921" i="2"/>
  <c r="C2921" i="2"/>
  <c r="E2920" i="2"/>
  <c r="C2920" i="2"/>
  <c r="E2919" i="2"/>
  <c r="C2919" i="2"/>
  <c r="E2918" i="2"/>
  <c r="C2918" i="2"/>
  <c r="E2917" i="2"/>
  <c r="C2917" i="2"/>
  <c r="E2916" i="2"/>
  <c r="C2916" i="2"/>
  <c r="E2915" i="2"/>
  <c r="C2915" i="2"/>
  <c r="E2914" i="2"/>
  <c r="C2914" i="2"/>
  <c r="E2913" i="2"/>
  <c r="C2913" i="2"/>
  <c r="E2912" i="2"/>
  <c r="C2912" i="2"/>
  <c r="E2911" i="2"/>
  <c r="C2911" i="2"/>
  <c r="E2910" i="2"/>
  <c r="C2910" i="2"/>
  <c r="E2909" i="2"/>
  <c r="C2909" i="2"/>
  <c r="E2908" i="2"/>
  <c r="C2908" i="2"/>
  <c r="E2907" i="2"/>
  <c r="C2907" i="2"/>
  <c r="E2906" i="2"/>
  <c r="C2906" i="2"/>
  <c r="E2905" i="2"/>
  <c r="C2905" i="2"/>
  <c r="E2904" i="2"/>
  <c r="C2904" i="2"/>
  <c r="E2903" i="2"/>
  <c r="C2903" i="2"/>
  <c r="E2902" i="2"/>
  <c r="C2902" i="2"/>
  <c r="E2901" i="2"/>
  <c r="C2901" i="2"/>
  <c r="E2900" i="2"/>
  <c r="C2900" i="2"/>
  <c r="E2899" i="2"/>
  <c r="C2899" i="2"/>
  <c r="E2898" i="2"/>
  <c r="C2898" i="2"/>
  <c r="E2897" i="2"/>
  <c r="C2897" i="2"/>
  <c r="E2896" i="2"/>
  <c r="C2896" i="2"/>
  <c r="E2895" i="2"/>
  <c r="C2895" i="2"/>
  <c r="E2894" i="2"/>
  <c r="C2894" i="2"/>
  <c r="E2893" i="2"/>
  <c r="C2893" i="2"/>
  <c r="E2892" i="2"/>
  <c r="C2892" i="2"/>
  <c r="E2891" i="2"/>
  <c r="C2891" i="2"/>
  <c r="E2890" i="2"/>
  <c r="C2890" i="2"/>
  <c r="E2889" i="2"/>
  <c r="C2889" i="2"/>
  <c r="E2888" i="2"/>
  <c r="C2888" i="2"/>
  <c r="E2887" i="2"/>
  <c r="C2887" i="2"/>
  <c r="E2886" i="2"/>
  <c r="C2886" i="2"/>
  <c r="E2885" i="2"/>
  <c r="C2885" i="2"/>
  <c r="E2884" i="2"/>
  <c r="C2884" i="2"/>
  <c r="E2883" i="2"/>
  <c r="C2883" i="2"/>
  <c r="E2882" i="2"/>
  <c r="C2882" i="2"/>
  <c r="E2881" i="2"/>
  <c r="C2881" i="2"/>
  <c r="E2880" i="2"/>
  <c r="C2880" i="2"/>
  <c r="E2879" i="2"/>
  <c r="C2879" i="2"/>
  <c r="E2878" i="2"/>
  <c r="C2878" i="2"/>
  <c r="E2877" i="2"/>
  <c r="C2877" i="2"/>
  <c r="E2876" i="2"/>
  <c r="C2876" i="2"/>
  <c r="E2875" i="2"/>
  <c r="C2875" i="2"/>
  <c r="E2874" i="2"/>
  <c r="C2874" i="2"/>
  <c r="E2873" i="2"/>
  <c r="C2873" i="2"/>
  <c r="E2872" i="2"/>
  <c r="C2872" i="2"/>
  <c r="E2871" i="2"/>
  <c r="C2871" i="2"/>
  <c r="E2870" i="2"/>
  <c r="C2870" i="2"/>
  <c r="E2869" i="2"/>
  <c r="C2869" i="2"/>
  <c r="E2868" i="2"/>
  <c r="C2868" i="2"/>
  <c r="E2867" i="2"/>
  <c r="C2867" i="2"/>
  <c r="E2866" i="2"/>
  <c r="C2866" i="2"/>
  <c r="E2865" i="2"/>
  <c r="C2865" i="2"/>
  <c r="E2864" i="2"/>
  <c r="C2864" i="2"/>
  <c r="E2863" i="2"/>
  <c r="C2863" i="2"/>
  <c r="E2862" i="2"/>
  <c r="C2862" i="2"/>
  <c r="E2861" i="2"/>
  <c r="C2861" i="2"/>
  <c r="E2860" i="2"/>
  <c r="C2860" i="2"/>
  <c r="E2859" i="2"/>
  <c r="C2859" i="2"/>
  <c r="E2858" i="2"/>
  <c r="C2858" i="2"/>
  <c r="E2857" i="2"/>
  <c r="C2857" i="2"/>
  <c r="E2856" i="2"/>
  <c r="C2856" i="2"/>
  <c r="E2855" i="2"/>
  <c r="C2855" i="2"/>
  <c r="E2854" i="2"/>
  <c r="C2854" i="2"/>
  <c r="E2853" i="2"/>
  <c r="C2853" i="2"/>
  <c r="E2852" i="2"/>
  <c r="C2852" i="2"/>
  <c r="E2851" i="2"/>
  <c r="C2851" i="2"/>
  <c r="E2850" i="2"/>
  <c r="C2850" i="2"/>
  <c r="E2849" i="2"/>
  <c r="C2849" i="2"/>
  <c r="E2848" i="2"/>
  <c r="C2848" i="2"/>
  <c r="E2847" i="2"/>
  <c r="C2847" i="2"/>
  <c r="E2846" i="2"/>
  <c r="C2846" i="2"/>
  <c r="E2845" i="2"/>
  <c r="C2845" i="2"/>
  <c r="E2844" i="2"/>
  <c r="C2844" i="2"/>
  <c r="E2843" i="2"/>
  <c r="C2843" i="2"/>
  <c r="E2842" i="2"/>
  <c r="C2842" i="2"/>
  <c r="E2841" i="2"/>
  <c r="C2841" i="2"/>
  <c r="E2840" i="2"/>
  <c r="C2840" i="2"/>
  <c r="E2839" i="2"/>
  <c r="C2839" i="2"/>
  <c r="E2838" i="2"/>
  <c r="C2838" i="2"/>
  <c r="E2837" i="2"/>
  <c r="C2837" i="2"/>
  <c r="E2836" i="2"/>
  <c r="C2836" i="2"/>
  <c r="E2835" i="2"/>
  <c r="C2835" i="2"/>
  <c r="E2834" i="2"/>
  <c r="C2834" i="2"/>
  <c r="E2833" i="2"/>
  <c r="C2833" i="2"/>
  <c r="E2832" i="2"/>
  <c r="C2832" i="2"/>
  <c r="E2831" i="2"/>
  <c r="C2831" i="2"/>
  <c r="E2830" i="2"/>
  <c r="C2830" i="2"/>
  <c r="E2829" i="2"/>
  <c r="C2829" i="2"/>
  <c r="E2828" i="2"/>
  <c r="C2828" i="2"/>
  <c r="E2827" i="2"/>
  <c r="C2827" i="2"/>
  <c r="E2826" i="2"/>
  <c r="C2826" i="2"/>
  <c r="E2825" i="2"/>
  <c r="C2825" i="2"/>
  <c r="E2824" i="2"/>
  <c r="C2824" i="2"/>
  <c r="E2823" i="2"/>
  <c r="C2823" i="2"/>
  <c r="E2822" i="2"/>
  <c r="C2822" i="2"/>
  <c r="E2821" i="2"/>
  <c r="C2821" i="2"/>
  <c r="E2820" i="2"/>
  <c r="C2820" i="2"/>
  <c r="E2819" i="2"/>
  <c r="C2819" i="2"/>
  <c r="E2818" i="2"/>
  <c r="C2818" i="2"/>
  <c r="E2817" i="2"/>
  <c r="C2817" i="2"/>
  <c r="E2816" i="2"/>
  <c r="C2816" i="2"/>
  <c r="E2815" i="2"/>
  <c r="C2815" i="2"/>
  <c r="E2814" i="2"/>
  <c r="C2814" i="2"/>
  <c r="E2813" i="2"/>
  <c r="C2813" i="2"/>
  <c r="E2812" i="2"/>
  <c r="C2812" i="2"/>
  <c r="E2811" i="2"/>
  <c r="C2811" i="2"/>
  <c r="E2810" i="2"/>
  <c r="C2810" i="2"/>
  <c r="E2809" i="2"/>
  <c r="C2809" i="2"/>
  <c r="E2808" i="2"/>
  <c r="C2808" i="2"/>
  <c r="E2807" i="2"/>
  <c r="C2807" i="2"/>
  <c r="E2806" i="2"/>
  <c r="C2806" i="2"/>
  <c r="E2805" i="2"/>
  <c r="C2805" i="2"/>
  <c r="E2804" i="2"/>
  <c r="C2804" i="2"/>
  <c r="E2803" i="2"/>
  <c r="C2803" i="2"/>
  <c r="E2802" i="2"/>
  <c r="C2802" i="2"/>
  <c r="E2801" i="2"/>
  <c r="C2801" i="2"/>
  <c r="E2800" i="2"/>
  <c r="C2800" i="2"/>
  <c r="E2799" i="2"/>
  <c r="C2799" i="2"/>
  <c r="E2798" i="2"/>
  <c r="C2798" i="2"/>
  <c r="E2797" i="2"/>
  <c r="C2797" i="2"/>
  <c r="E2796" i="2"/>
  <c r="C2796" i="2"/>
  <c r="E2795" i="2"/>
  <c r="C2795" i="2"/>
  <c r="E2794" i="2"/>
  <c r="C2794" i="2"/>
  <c r="E2793" i="2"/>
  <c r="C2793" i="2"/>
  <c r="E2792" i="2"/>
  <c r="C2792" i="2"/>
  <c r="E2791" i="2"/>
  <c r="C2791" i="2"/>
  <c r="E2790" i="2"/>
  <c r="C2790" i="2"/>
  <c r="E2789" i="2"/>
  <c r="C2789" i="2"/>
  <c r="E2788" i="2"/>
  <c r="C2788" i="2"/>
  <c r="E2787" i="2"/>
  <c r="C2787" i="2"/>
  <c r="E2786" i="2"/>
  <c r="C2786" i="2"/>
  <c r="E2785" i="2"/>
  <c r="C2785" i="2"/>
  <c r="E2784" i="2"/>
  <c r="C2784" i="2"/>
  <c r="E2783" i="2"/>
  <c r="C2783" i="2"/>
  <c r="E2782" i="2"/>
  <c r="C2782" i="2"/>
  <c r="E2781" i="2"/>
  <c r="C2781" i="2"/>
  <c r="E2780" i="2"/>
  <c r="C2780" i="2"/>
  <c r="E2779" i="2"/>
  <c r="C2779" i="2"/>
  <c r="E2778" i="2"/>
  <c r="C2778" i="2"/>
  <c r="E2777" i="2"/>
  <c r="C2777" i="2"/>
  <c r="E2776" i="2"/>
  <c r="C2776" i="2"/>
  <c r="E2775" i="2"/>
  <c r="C2775" i="2"/>
  <c r="E2774" i="2"/>
  <c r="C2774" i="2"/>
  <c r="E2773" i="2"/>
  <c r="C2773" i="2"/>
  <c r="E2772" i="2"/>
  <c r="C2772" i="2"/>
  <c r="E2771" i="2"/>
  <c r="C2771" i="2"/>
  <c r="E2770" i="2"/>
  <c r="C2770" i="2"/>
  <c r="E2769" i="2"/>
  <c r="C2769" i="2"/>
  <c r="E2768" i="2"/>
  <c r="C2768" i="2"/>
  <c r="E2767" i="2"/>
  <c r="C2767" i="2"/>
  <c r="E2766" i="2"/>
  <c r="C2766" i="2"/>
  <c r="E2765" i="2"/>
  <c r="C2765" i="2"/>
  <c r="E2764" i="2"/>
  <c r="C2764" i="2"/>
  <c r="E2763" i="2"/>
  <c r="C2763" i="2"/>
  <c r="E2762" i="2"/>
  <c r="C2762" i="2"/>
  <c r="E2761" i="2"/>
  <c r="C2761" i="2"/>
  <c r="E2760" i="2"/>
  <c r="C2760" i="2"/>
  <c r="E2759" i="2"/>
  <c r="C2759" i="2"/>
  <c r="E2758" i="2"/>
  <c r="C2758" i="2"/>
  <c r="E2757" i="2"/>
  <c r="C2757" i="2"/>
  <c r="E2756" i="2"/>
  <c r="C2756" i="2"/>
  <c r="E2755" i="2"/>
  <c r="C2755" i="2"/>
  <c r="E2754" i="2"/>
  <c r="C2754" i="2"/>
  <c r="E2753" i="2"/>
  <c r="C2753" i="2"/>
  <c r="E2752" i="2"/>
  <c r="C2752" i="2"/>
  <c r="E2751" i="2"/>
  <c r="C2751" i="2"/>
  <c r="E2750" i="2"/>
  <c r="C2750" i="2"/>
  <c r="E2749" i="2"/>
  <c r="C2749" i="2"/>
  <c r="E2748" i="2"/>
  <c r="C2748" i="2"/>
  <c r="E2747" i="2"/>
  <c r="C2747" i="2"/>
  <c r="E2746" i="2"/>
  <c r="C2746" i="2"/>
  <c r="E2745" i="2"/>
  <c r="C2745" i="2"/>
  <c r="E2744" i="2"/>
  <c r="C2744" i="2"/>
  <c r="E2743" i="2"/>
  <c r="C2743" i="2"/>
  <c r="E2742" i="2"/>
  <c r="C2742" i="2"/>
  <c r="E2741" i="2"/>
  <c r="C2741" i="2"/>
  <c r="E2740" i="2"/>
  <c r="C2740" i="2"/>
  <c r="E2739" i="2"/>
  <c r="C2739" i="2"/>
  <c r="E2738" i="2"/>
  <c r="C2738" i="2"/>
  <c r="E2737" i="2"/>
  <c r="C2737" i="2"/>
  <c r="E2736" i="2"/>
  <c r="C2736" i="2"/>
  <c r="E2735" i="2"/>
  <c r="C2735" i="2"/>
  <c r="E2734" i="2"/>
  <c r="C2734" i="2"/>
  <c r="E2733" i="2"/>
  <c r="C2733" i="2"/>
  <c r="E2732" i="2"/>
  <c r="C2732" i="2"/>
  <c r="E2731" i="2"/>
  <c r="C2731" i="2"/>
  <c r="E2730" i="2"/>
  <c r="C2730" i="2"/>
  <c r="E2729" i="2"/>
  <c r="C2729" i="2"/>
  <c r="E2728" i="2"/>
  <c r="C2728" i="2"/>
  <c r="E2727" i="2"/>
  <c r="C2727" i="2"/>
  <c r="E2726" i="2"/>
  <c r="C2726" i="2"/>
  <c r="E2725" i="2"/>
  <c r="C2725" i="2"/>
  <c r="E2724" i="2"/>
  <c r="C2724" i="2"/>
  <c r="E2723" i="2"/>
  <c r="C2723" i="2"/>
  <c r="E2722" i="2"/>
  <c r="C2722" i="2"/>
  <c r="E2721" i="2"/>
  <c r="C2721" i="2"/>
  <c r="E2720" i="2"/>
  <c r="C2720" i="2"/>
  <c r="E2719" i="2"/>
  <c r="C2719" i="2"/>
  <c r="E2718" i="2"/>
  <c r="C2718" i="2"/>
  <c r="E2717" i="2"/>
  <c r="C2717" i="2"/>
  <c r="E2716" i="2"/>
  <c r="C2716" i="2"/>
  <c r="E2715" i="2"/>
  <c r="C2715" i="2"/>
  <c r="E2714" i="2"/>
  <c r="C2714" i="2"/>
  <c r="E2713" i="2"/>
  <c r="C2713" i="2"/>
  <c r="E2712" i="2"/>
  <c r="C2712" i="2"/>
  <c r="E2711" i="2"/>
  <c r="C2711" i="2"/>
  <c r="E2710" i="2"/>
  <c r="C2710" i="2"/>
  <c r="E2709" i="2"/>
  <c r="C2709" i="2"/>
  <c r="E2708" i="2"/>
  <c r="C2708" i="2"/>
  <c r="E2707" i="2"/>
  <c r="C2707" i="2"/>
  <c r="E2706" i="2"/>
  <c r="C2706" i="2"/>
  <c r="E2705" i="2"/>
  <c r="C2705" i="2"/>
  <c r="E2704" i="2"/>
  <c r="C2704" i="2"/>
  <c r="E2703" i="2"/>
  <c r="C2703" i="2"/>
  <c r="E2702" i="2"/>
  <c r="C2702" i="2"/>
  <c r="E2701" i="2"/>
  <c r="C2701" i="2"/>
  <c r="E2700" i="2"/>
  <c r="C2700" i="2"/>
  <c r="E2699" i="2"/>
  <c r="C2699" i="2"/>
  <c r="E2698" i="2"/>
  <c r="C2698" i="2"/>
  <c r="E2697" i="2"/>
  <c r="C2697" i="2"/>
  <c r="E2696" i="2"/>
  <c r="C2696" i="2"/>
  <c r="E2695" i="2"/>
  <c r="C2695" i="2"/>
  <c r="E2694" i="2"/>
  <c r="C2694" i="2"/>
  <c r="E2693" i="2"/>
  <c r="C2693" i="2"/>
  <c r="E2692" i="2"/>
  <c r="C2692" i="2"/>
  <c r="E2691" i="2"/>
  <c r="C2691" i="2"/>
  <c r="E2690" i="2"/>
  <c r="C2690" i="2"/>
  <c r="E2689" i="2"/>
  <c r="C2689" i="2"/>
  <c r="E2688" i="2"/>
  <c r="C2688" i="2"/>
  <c r="E2687" i="2"/>
  <c r="C2687" i="2"/>
  <c r="E2686" i="2"/>
  <c r="C2686" i="2"/>
  <c r="E2685" i="2"/>
  <c r="C2685" i="2"/>
  <c r="E2684" i="2"/>
  <c r="C2684" i="2"/>
  <c r="E2683" i="2"/>
  <c r="C2683" i="2"/>
  <c r="E2682" i="2"/>
  <c r="C2682" i="2"/>
  <c r="E2681" i="2"/>
  <c r="C2681" i="2"/>
  <c r="E2680" i="2"/>
  <c r="C2680" i="2"/>
  <c r="E2679" i="2"/>
  <c r="C2679" i="2"/>
  <c r="E2678" i="2"/>
  <c r="C2678" i="2"/>
  <c r="E2677" i="2"/>
  <c r="C2677" i="2"/>
  <c r="E2676" i="2"/>
  <c r="C2676" i="2"/>
  <c r="E2675" i="2"/>
  <c r="C2675" i="2"/>
  <c r="E2674" i="2"/>
  <c r="C2674" i="2"/>
  <c r="E2673" i="2"/>
  <c r="C2673" i="2"/>
  <c r="E2672" i="2"/>
  <c r="C2672" i="2"/>
  <c r="E2671" i="2"/>
  <c r="C2671" i="2"/>
  <c r="E2670" i="2"/>
  <c r="C2670" i="2"/>
  <c r="E2669" i="2"/>
  <c r="C2669" i="2"/>
  <c r="E2668" i="2"/>
  <c r="C2668" i="2"/>
  <c r="E2667" i="2"/>
  <c r="C2667" i="2"/>
  <c r="E2666" i="2"/>
  <c r="C2666" i="2"/>
  <c r="E2665" i="2"/>
  <c r="C2665" i="2"/>
  <c r="E2664" i="2"/>
  <c r="C2664" i="2"/>
  <c r="E2663" i="2"/>
  <c r="C2663" i="2"/>
  <c r="E2662" i="2"/>
  <c r="C2662" i="2"/>
  <c r="E2661" i="2"/>
  <c r="C2661" i="2"/>
  <c r="E2660" i="2"/>
  <c r="C2660" i="2"/>
  <c r="E2659" i="2"/>
  <c r="C2659" i="2"/>
  <c r="E2658" i="2"/>
  <c r="C2658" i="2"/>
  <c r="E2657" i="2"/>
  <c r="C2657" i="2"/>
  <c r="E2656" i="2"/>
  <c r="C2656" i="2"/>
  <c r="E2655" i="2"/>
  <c r="C2655" i="2"/>
  <c r="E2654" i="2"/>
  <c r="C2654" i="2"/>
  <c r="E2653" i="2"/>
  <c r="C2653" i="2"/>
  <c r="E2652" i="2"/>
  <c r="C2652" i="2"/>
  <c r="E2651" i="2"/>
  <c r="C2651" i="2"/>
  <c r="E2650" i="2"/>
  <c r="C2650" i="2"/>
  <c r="E2649" i="2"/>
  <c r="C2649" i="2"/>
  <c r="E2648" i="2"/>
  <c r="C2648" i="2"/>
  <c r="E2647" i="2"/>
  <c r="C2647" i="2"/>
  <c r="E2646" i="2"/>
  <c r="C2646" i="2"/>
  <c r="E2645" i="2"/>
  <c r="C2645" i="2"/>
  <c r="E2644" i="2"/>
  <c r="C2644" i="2"/>
  <c r="E2643" i="2"/>
  <c r="C2643" i="2"/>
  <c r="E2642" i="2"/>
  <c r="C2642" i="2"/>
  <c r="E2641" i="2"/>
  <c r="C2641" i="2"/>
  <c r="E2640" i="2"/>
  <c r="C2640" i="2"/>
  <c r="E2639" i="2"/>
  <c r="C2639" i="2"/>
  <c r="E2638" i="2"/>
  <c r="C2638" i="2"/>
  <c r="E2637" i="2"/>
  <c r="C2637" i="2"/>
  <c r="E2636" i="2"/>
  <c r="C2636" i="2"/>
  <c r="E2635" i="2"/>
  <c r="C2635" i="2"/>
  <c r="E2634" i="2"/>
  <c r="C2634" i="2"/>
  <c r="E2633" i="2"/>
  <c r="C2633" i="2"/>
  <c r="E2632" i="2"/>
  <c r="C2632" i="2"/>
  <c r="E2631" i="2"/>
  <c r="C2631" i="2"/>
  <c r="E2630" i="2"/>
  <c r="C2630" i="2"/>
  <c r="E2629" i="2"/>
  <c r="C2629" i="2"/>
  <c r="E2628" i="2"/>
  <c r="C2628" i="2"/>
  <c r="E2627" i="2"/>
  <c r="C2627" i="2"/>
  <c r="E2626" i="2"/>
  <c r="C2626" i="2"/>
  <c r="E2625" i="2"/>
  <c r="C2625" i="2"/>
  <c r="E2624" i="2"/>
  <c r="C2624" i="2"/>
  <c r="E2623" i="2"/>
  <c r="C2623" i="2"/>
  <c r="E2622" i="2"/>
  <c r="C2622" i="2"/>
  <c r="E2621" i="2"/>
  <c r="C2621" i="2"/>
  <c r="E2620" i="2"/>
  <c r="C2620" i="2"/>
  <c r="E2619" i="2"/>
  <c r="C2619" i="2"/>
  <c r="E2618" i="2"/>
  <c r="C2618" i="2"/>
  <c r="E2617" i="2"/>
  <c r="C2617" i="2"/>
  <c r="E2616" i="2"/>
  <c r="C2616" i="2"/>
  <c r="E2615" i="2"/>
  <c r="C2615" i="2"/>
  <c r="E2614" i="2"/>
  <c r="C2614" i="2"/>
  <c r="E2613" i="2"/>
  <c r="C2613" i="2"/>
  <c r="E2612" i="2"/>
  <c r="C2612" i="2"/>
  <c r="E2611" i="2"/>
  <c r="C2611" i="2"/>
  <c r="E2610" i="2"/>
  <c r="C2610" i="2"/>
  <c r="E2609" i="2"/>
  <c r="C2609" i="2"/>
  <c r="E2608" i="2"/>
  <c r="C2608" i="2"/>
  <c r="E2607" i="2"/>
  <c r="C2607" i="2"/>
  <c r="E2606" i="2"/>
  <c r="C2606" i="2"/>
  <c r="E2605" i="2"/>
  <c r="C2605" i="2"/>
  <c r="E2604" i="2"/>
  <c r="C2604" i="2"/>
  <c r="E2603" i="2"/>
  <c r="C2603" i="2"/>
  <c r="E2602" i="2"/>
  <c r="C2602" i="2"/>
  <c r="E2601" i="2"/>
  <c r="C2601" i="2"/>
  <c r="E2600" i="2"/>
  <c r="C2600" i="2"/>
  <c r="E2599" i="2"/>
  <c r="C2599" i="2"/>
  <c r="E2598" i="2"/>
  <c r="C2598" i="2"/>
  <c r="E2597" i="2"/>
  <c r="C2597" i="2"/>
  <c r="E2596" i="2"/>
  <c r="C2596" i="2"/>
  <c r="E2595" i="2"/>
  <c r="C2595" i="2"/>
  <c r="E2594" i="2"/>
  <c r="C2594" i="2"/>
  <c r="E2593" i="2"/>
  <c r="C2593" i="2"/>
  <c r="E2592" i="2"/>
  <c r="C2592" i="2"/>
  <c r="E2591" i="2"/>
  <c r="C2591" i="2"/>
  <c r="E2590" i="2"/>
  <c r="C2590" i="2"/>
  <c r="E2589" i="2"/>
  <c r="C2589" i="2"/>
  <c r="E2588" i="2"/>
  <c r="C2588" i="2"/>
  <c r="E2587" i="2"/>
  <c r="C2587" i="2"/>
  <c r="E2586" i="2"/>
  <c r="C2586" i="2"/>
  <c r="E2585" i="2"/>
  <c r="C2585" i="2"/>
  <c r="E2584" i="2"/>
  <c r="C2584" i="2"/>
  <c r="E2583" i="2"/>
  <c r="C2583" i="2"/>
  <c r="E2582" i="2"/>
  <c r="C2582" i="2"/>
  <c r="E2581" i="2"/>
  <c r="C2581" i="2"/>
  <c r="E2580" i="2"/>
  <c r="C2580" i="2"/>
  <c r="E2579" i="2"/>
  <c r="C2579" i="2"/>
  <c r="E2578" i="2"/>
  <c r="C2578" i="2"/>
  <c r="E2577" i="2"/>
  <c r="C2577" i="2"/>
  <c r="E2576" i="2"/>
  <c r="C2576" i="2"/>
  <c r="E2575" i="2"/>
  <c r="C2575" i="2"/>
  <c r="E2574" i="2"/>
  <c r="C2574" i="2"/>
  <c r="E2573" i="2"/>
  <c r="C2573" i="2"/>
  <c r="E2572" i="2"/>
  <c r="C2572" i="2"/>
  <c r="E2571" i="2"/>
  <c r="C2571" i="2"/>
  <c r="E2570" i="2"/>
  <c r="C2570" i="2"/>
  <c r="E2569" i="2"/>
  <c r="C2569" i="2"/>
  <c r="E2568" i="2"/>
  <c r="C2568" i="2"/>
  <c r="E2567" i="2"/>
  <c r="C2567" i="2"/>
  <c r="E2566" i="2"/>
  <c r="C2566" i="2"/>
  <c r="E2565" i="2"/>
  <c r="C2565" i="2"/>
  <c r="E2564" i="2"/>
  <c r="C2564" i="2"/>
  <c r="E2563" i="2"/>
  <c r="C2563" i="2"/>
  <c r="E2562" i="2"/>
  <c r="C2562" i="2"/>
  <c r="E2561" i="2"/>
  <c r="C2561" i="2"/>
  <c r="E2560" i="2"/>
  <c r="C2560" i="2"/>
  <c r="E2559" i="2"/>
  <c r="C2559" i="2"/>
  <c r="E2558" i="2"/>
  <c r="C2558" i="2"/>
  <c r="E2557" i="2"/>
  <c r="C2557" i="2"/>
  <c r="E2556" i="2"/>
  <c r="C2556" i="2"/>
  <c r="E2555" i="2"/>
  <c r="C2555" i="2"/>
  <c r="E2554" i="2"/>
  <c r="C2554" i="2"/>
  <c r="E2553" i="2"/>
  <c r="C2553" i="2"/>
  <c r="E2552" i="2"/>
  <c r="C2552" i="2"/>
  <c r="E2551" i="2"/>
  <c r="C2551" i="2"/>
  <c r="E2550" i="2"/>
  <c r="C2550" i="2"/>
  <c r="E2549" i="2"/>
  <c r="C2549" i="2"/>
  <c r="E2548" i="2"/>
  <c r="C2548" i="2"/>
  <c r="E2547" i="2"/>
  <c r="C2547" i="2"/>
  <c r="E2546" i="2"/>
  <c r="C2546" i="2"/>
  <c r="E2545" i="2"/>
  <c r="C2545" i="2"/>
  <c r="E2544" i="2"/>
  <c r="C2544" i="2"/>
  <c r="E2543" i="2"/>
  <c r="C2543" i="2"/>
  <c r="E2542" i="2"/>
  <c r="C2542" i="2"/>
  <c r="E2541" i="2"/>
  <c r="C2541" i="2"/>
  <c r="E2540" i="2"/>
  <c r="C2540" i="2"/>
  <c r="E2539" i="2"/>
  <c r="C2539" i="2"/>
  <c r="E2538" i="2"/>
  <c r="C2538" i="2"/>
  <c r="E2537" i="2"/>
  <c r="C2537" i="2"/>
  <c r="E2536" i="2"/>
  <c r="C2536" i="2"/>
  <c r="E2535" i="2"/>
  <c r="C2535" i="2"/>
  <c r="E2534" i="2"/>
  <c r="C2534" i="2"/>
  <c r="E2533" i="2"/>
  <c r="C2533" i="2"/>
  <c r="E2532" i="2"/>
  <c r="C2532" i="2"/>
  <c r="E2531" i="2"/>
  <c r="C2531" i="2"/>
  <c r="E2530" i="2"/>
  <c r="C2530" i="2"/>
  <c r="E2529" i="2"/>
  <c r="C2529" i="2"/>
  <c r="E2528" i="2"/>
  <c r="C2528" i="2"/>
  <c r="E2527" i="2"/>
  <c r="C2527" i="2"/>
  <c r="E2526" i="2"/>
  <c r="C2526" i="2"/>
  <c r="E2525" i="2"/>
  <c r="C2525" i="2"/>
  <c r="E2524" i="2"/>
  <c r="C2524" i="2"/>
  <c r="E2523" i="2"/>
  <c r="C2523" i="2"/>
  <c r="E2522" i="2"/>
  <c r="C2522" i="2"/>
  <c r="E2521" i="2"/>
  <c r="C2521" i="2"/>
  <c r="E2520" i="2"/>
  <c r="C2520" i="2"/>
  <c r="E2519" i="2"/>
  <c r="C2519" i="2"/>
  <c r="E2518" i="2"/>
  <c r="C2518" i="2"/>
  <c r="E2517" i="2"/>
  <c r="C2517" i="2"/>
  <c r="E2516" i="2"/>
  <c r="C2516" i="2"/>
  <c r="E2515" i="2"/>
  <c r="C2515" i="2"/>
  <c r="E2514" i="2"/>
  <c r="C2514" i="2"/>
  <c r="E2513" i="2"/>
  <c r="C2513" i="2"/>
  <c r="E2512" i="2"/>
  <c r="C2512" i="2"/>
  <c r="E2511" i="2"/>
  <c r="C2511" i="2"/>
  <c r="E2510" i="2"/>
  <c r="C2510" i="2"/>
  <c r="E2509" i="2"/>
  <c r="C2509" i="2"/>
  <c r="E2508" i="2"/>
  <c r="C2508" i="2"/>
  <c r="E2507" i="2"/>
  <c r="C2507" i="2"/>
  <c r="E2506" i="2"/>
  <c r="C2506" i="2"/>
  <c r="E2505" i="2"/>
  <c r="C2505" i="2"/>
  <c r="E2504" i="2"/>
  <c r="C2504" i="2"/>
  <c r="E2503" i="2"/>
  <c r="C2503" i="2"/>
  <c r="E2502" i="2"/>
  <c r="C2502" i="2"/>
  <c r="E2501" i="2"/>
  <c r="C2501" i="2"/>
  <c r="E2500" i="2"/>
  <c r="C2500" i="2"/>
  <c r="E2499" i="2"/>
  <c r="C2499" i="2"/>
  <c r="E2498" i="2"/>
  <c r="C2498" i="2"/>
  <c r="E2497" i="2"/>
  <c r="C2497" i="2"/>
  <c r="E2496" i="2"/>
  <c r="C2496" i="2"/>
  <c r="E2495" i="2"/>
  <c r="C2495" i="2"/>
  <c r="E2494" i="2"/>
  <c r="C2494" i="2"/>
  <c r="E2493" i="2"/>
  <c r="C2493" i="2"/>
  <c r="E2492" i="2"/>
  <c r="C2492" i="2"/>
  <c r="E2491" i="2"/>
  <c r="C2491" i="2"/>
  <c r="E2490" i="2"/>
  <c r="C2490" i="2"/>
  <c r="E2489" i="2"/>
  <c r="C2489" i="2"/>
  <c r="E2488" i="2"/>
  <c r="C2488" i="2"/>
  <c r="E2487" i="2"/>
  <c r="C2487" i="2"/>
  <c r="E2486" i="2"/>
  <c r="C2486" i="2"/>
  <c r="E2485" i="2"/>
  <c r="C2485" i="2"/>
  <c r="E2484" i="2"/>
  <c r="C2484" i="2"/>
  <c r="E2483" i="2"/>
  <c r="C2483" i="2"/>
  <c r="E2482" i="2"/>
  <c r="C2482" i="2"/>
  <c r="E2481" i="2"/>
  <c r="C2481" i="2"/>
  <c r="E2480" i="2"/>
  <c r="C2480" i="2"/>
  <c r="E2479" i="2"/>
  <c r="C2479" i="2"/>
  <c r="E2478" i="2"/>
  <c r="C2478" i="2"/>
  <c r="E2477" i="2"/>
  <c r="C2477" i="2"/>
  <c r="E2476" i="2"/>
  <c r="C2476" i="2"/>
  <c r="E2475" i="2"/>
  <c r="C2475" i="2"/>
  <c r="E2474" i="2"/>
  <c r="C2474" i="2"/>
  <c r="E2473" i="2"/>
  <c r="C2473" i="2"/>
  <c r="E2472" i="2"/>
  <c r="C2472" i="2"/>
  <c r="E2471" i="2"/>
  <c r="C2471" i="2"/>
  <c r="E2470" i="2"/>
  <c r="C2470" i="2"/>
  <c r="E2469" i="2"/>
  <c r="C2469" i="2"/>
  <c r="E2468" i="2"/>
  <c r="C2468" i="2"/>
  <c r="E2467" i="2"/>
  <c r="C2467" i="2"/>
  <c r="E2466" i="2"/>
  <c r="C2466" i="2"/>
  <c r="E2465" i="2"/>
  <c r="C2465" i="2"/>
  <c r="E2464" i="2"/>
  <c r="C2464" i="2"/>
  <c r="E2463" i="2"/>
  <c r="C2463" i="2"/>
  <c r="E2462" i="2"/>
  <c r="C2462" i="2"/>
  <c r="E2461" i="2"/>
  <c r="C2461" i="2"/>
  <c r="E2460" i="2"/>
  <c r="C2460" i="2"/>
  <c r="E2459" i="2"/>
  <c r="C2459" i="2"/>
  <c r="E2458" i="2"/>
  <c r="C2458" i="2"/>
  <c r="E2457" i="2"/>
  <c r="C2457" i="2"/>
  <c r="E2456" i="2"/>
  <c r="C2456" i="2"/>
  <c r="E2455" i="2"/>
  <c r="C2455" i="2"/>
  <c r="E2454" i="2"/>
  <c r="C2454" i="2"/>
  <c r="E2453" i="2"/>
  <c r="C2453" i="2"/>
  <c r="E2452" i="2"/>
  <c r="C2452" i="2"/>
  <c r="E2451" i="2"/>
  <c r="C2451" i="2"/>
  <c r="E2450" i="2"/>
  <c r="C2450" i="2"/>
  <c r="E2449" i="2"/>
  <c r="C2449" i="2"/>
  <c r="E2448" i="2"/>
  <c r="C2448" i="2"/>
  <c r="E2447" i="2"/>
  <c r="C2447" i="2"/>
  <c r="E2446" i="2"/>
  <c r="C2446" i="2"/>
  <c r="E2445" i="2"/>
  <c r="C2445" i="2"/>
  <c r="E2444" i="2"/>
  <c r="C2444" i="2"/>
  <c r="E2443" i="2"/>
  <c r="C2443" i="2"/>
  <c r="E2442" i="2"/>
  <c r="C2442" i="2"/>
  <c r="E2441" i="2"/>
  <c r="C2441" i="2"/>
  <c r="E2440" i="2"/>
  <c r="C2440" i="2"/>
  <c r="E2439" i="2"/>
  <c r="C2439" i="2"/>
  <c r="E2438" i="2"/>
  <c r="C2438" i="2"/>
  <c r="E2437" i="2"/>
  <c r="C2437" i="2"/>
  <c r="E2436" i="2"/>
  <c r="C2436" i="2"/>
  <c r="E2435" i="2"/>
  <c r="C2435" i="2"/>
  <c r="E2434" i="2"/>
  <c r="C2434" i="2"/>
  <c r="E2433" i="2"/>
  <c r="C2433" i="2"/>
  <c r="E2432" i="2"/>
  <c r="C2432" i="2"/>
  <c r="E2431" i="2"/>
  <c r="C2431" i="2"/>
  <c r="E2430" i="2"/>
  <c r="C2430" i="2"/>
  <c r="E2429" i="2"/>
  <c r="C2429" i="2"/>
  <c r="E2428" i="2"/>
  <c r="C2428" i="2"/>
  <c r="E2427" i="2"/>
  <c r="C2427" i="2"/>
  <c r="E2426" i="2"/>
  <c r="C2426" i="2"/>
  <c r="E2425" i="2"/>
  <c r="C2425" i="2"/>
  <c r="E2424" i="2"/>
  <c r="C2424" i="2"/>
  <c r="E2423" i="2"/>
  <c r="C2423" i="2"/>
  <c r="E2422" i="2"/>
  <c r="C2422" i="2"/>
  <c r="E2421" i="2"/>
  <c r="C2421" i="2"/>
  <c r="E2420" i="2"/>
  <c r="C2420" i="2"/>
  <c r="E2419" i="2"/>
  <c r="C2419" i="2"/>
  <c r="E2418" i="2"/>
  <c r="C2418" i="2"/>
  <c r="E2417" i="2"/>
  <c r="C2417" i="2"/>
  <c r="E2416" i="2"/>
  <c r="C2416" i="2"/>
  <c r="E2415" i="2"/>
  <c r="C2415" i="2"/>
  <c r="E2414" i="2"/>
  <c r="C2414" i="2"/>
  <c r="E2413" i="2"/>
  <c r="C2413" i="2"/>
  <c r="E2412" i="2"/>
  <c r="C2412" i="2"/>
  <c r="E2411" i="2"/>
  <c r="C2411" i="2"/>
  <c r="E2410" i="2"/>
  <c r="C2410" i="2"/>
  <c r="E2409" i="2"/>
  <c r="C2409" i="2"/>
  <c r="E2408" i="2"/>
  <c r="C2408" i="2"/>
  <c r="E2407" i="2"/>
  <c r="C2407" i="2"/>
  <c r="E2406" i="2"/>
  <c r="C2406" i="2"/>
  <c r="E2405" i="2"/>
  <c r="C2405" i="2"/>
  <c r="E2404" i="2"/>
  <c r="C2404" i="2"/>
  <c r="E2403" i="2"/>
  <c r="C2403" i="2"/>
  <c r="E2402" i="2"/>
  <c r="C2402" i="2"/>
  <c r="E2401" i="2"/>
  <c r="C2401" i="2"/>
  <c r="E2400" i="2"/>
  <c r="C2400" i="2"/>
  <c r="E2399" i="2"/>
  <c r="C2399" i="2"/>
  <c r="E2398" i="2"/>
  <c r="C2398" i="2"/>
  <c r="E2397" i="2"/>
  <c r="C2397" i="2"/>
  <c r="E2396" i="2"/>
  <c r="C2396" i="2"/>
  <c r="E2395" i="2"/>
  <c r="C2395" i="2"/>
  <c r="E2394" i="2"/>
  <c r="C2394" i="2"/>
  <c r="E2393" i="2"/>
  <c r="C2393" i="2"/>
  <c r="E2392" i="2"/>
  <c r="C2392" i="2"/>
  <c r="E2391" i="2"/>
  <c r="C2391" i="2"/>
  <c r="E2390" i="2"/>
  <c r="C2390" i="2"/>
  <c r="E2389" i="2"/>
  <c r="C2389" i="2"/>
  <c r="E2388" i="2"/>
  <c r="C2388" i="2"/>
  <c r="E2387" i="2"/>
  <c r="C2387" i="2"/>
  <c r="E2386" i="2"/>
  <c r="C2386" i="2"/>
  <c r="E2385" i="2"/>
  <c r="C2385" i="2"/>
  <c r="E2384" i="2"/>
  <c r="C2384" i="2"/>
  <c r="E2383" i="2"/>
  <c r="C2383" i="2"/>
  <c r="E2382" i="2"/>
  <c r="C2382" i="2"/>
  <c r="E2381" i="2"/>
  <c r="C2381" i="2"/>
  <c r="E2380" i="2"/>
  <c r="C2380" i="2"/>
  <c r="E2379" i="2"/>
  <c r="C2379" i="2"/>
  <c r="E2378" i="2"/>
  <c r="C2378" i="2"/>
  <c r="E2377" i="2"/>
  <c r="C2377" i="2"/>
  <c r="E2376" i="2"/>
  <c r="C2376" i="2"/>
  <c r="E2375" i="2"/>
  <c r="C2375" i="2"/>
  <c r="E2374" i="2"/>
  <c r="C2374" i="2"/>
  <c r="E2373" i="2"/>
  <c r="C2373" i="2"/>
  <c r="E2372" i="2"/>
  <c r="C2372" i="2"/>
  <c r="E2371" i="2"/>
  <c r="C2371" i="2"/>
  <c r="E2370" i="2"/>
  <c r="C2370" i="2"/>
  <c r="E2369" i="2"/>
  <c r="C2369" i="2"/>
  <c r="E2368" i="2"/>
  <c r="C2368" i="2"/>
  <c r="E2367" i="2"/>
  <c r="C2367" i="2"/>
  <c r="E2366" i="2"/>
  <c r="C2366" i="2"/>
  <c r="E2365" i="2"/>
  <c r="C2365" i="2"/>
  <c r="E2364" i="2"/>
  <c r="C2364" i="2"/>
  <c r="E2363" i="2"/>
  <c r="C2363" i="2"/>
  <c r="E2362" i="2"/>
  <c r="C2362" i="2"/>
  <c r="E2361" i="2"/>
  <c r="C2361" i="2"/>
  <c r="E2360" i="2"/>
  <c r="C2360" i="2"/>
  <c r="E2359" i="2"/>
  <c r="C2359" i="2"/>
  <c r="E2358" i="2"/>
  <c r="C2358" i="2"/>
  <c r="E2357" i="2"/>
  <c r="C2357" i="2"/>
  <c r="E2356" i="2"/>
  <c r="C2356" i="2"/>
  <c r="E2355" i="2"/>
  <c r="C2355" i="2"/>
  <c r="E2354" i="2"/>
  <c r="C2354" i="2"/>
  <c r="E2353" i="2"/>
  <c r="C2353" i="2"/>
  <c r="E2352" i="2"/>
  <c r="C2352" i="2"/>
  <c r="E2351" i="2"/>
  <c r="C2351" i="2"/>
  <c r="E2350" i="2"/>
  <c r="C2350" i="2"/>
  <c r="E2349" i="2"/>
  <c r="C2349" i="2"/>
  <c r="E2348" i="2"/>
  <c r="C2348" i="2"/>
  <c r="E2347" i="2"/>
  <c r="C2347" i="2"/>
  <c r="E2346" i="2"/>
  <c r="C2346" i="2"/>
  <c r="E2345" i="2"/>
  <c r="C2345" i="2"/>
  <c r="E2344" i="2"/>
  <c r="C2344" i="2"/>
  <c r="E2343" i="2"/>
  <c r="C2343" i="2"/>
  <c r="E2342" i="2"/>
  <c r="C2342" i="2"/>
  <c r="E2341" i="2"/>
  <c r="C2341" i="2"/>
  <c r="E2340" i="2"/>
  <c r="C2340" i="2"/>
  <c r="E2339" i="2"/>
  <c r="C2339" i="2"/>
  <c r="E2338" i="2"/>
  <c r="C2338" i="2"/>
  <c r="E2337" i="2"/>
  <c r="C2337" i="2"/>
  <c r="E2336" i="2"/>
  <c r="C2336" i="2"/>
  <c r="E2335" i="2"/>
  <c r="C2335" i="2"/>
  <c r="E2334" i="2"/>
  <c r="C2334" i="2"/>
  <c r="E2333" i="2"/>
  <c r="C2333" i="2"/>
  <c r="E2332" i="2"/>
  <c r="C2332" i="2"/>
  <c r="E2331" i="2"/>
  <c r="C2331" i="2"/>
  <c r="E2330" i="2"/>
  <c r="C2330" i="2"/>
  <c r="E2329" i="2"/>
  <c r="C2329" i="2"/>
  <c r="E2328" i="2"/>
  <c r="C2328" i="2"/>
  <c r="E2327" i="2"/>
  <c r="C2327" i="2"/>
  <c r="E2326" i="2"/>
  <c r="C2326" i="2"/>
  <c r="E2325" i="2"/>
  <c r="C2325" i="2"/>
  <c r="E2324" i="2"/>
  <c r="C2324" i="2"/>
  <c r="E2323" i="2"/>
  <c r="C2323" i="2"/>
  <c r="E2322" i="2"/>
  <c r="C2322" i="2"/>
  <c r="E2321" i="2"/>
  <c r="C2321" i="2"/>
  <c r="E2320" i="2"/>
  <c r="C2320" i="2"/>
  <c r="E2319" i="2"/>
  <c r="C2319" i="2"/>
  <c r="E2318" i="2"/>
  <c r="C2318" i="2"/>
  <c r="E2317" i="2"/>
  <c r="C2317" i="2"/>
  <c r="E2316" i="2"/>
  <c r="C2316" i="2"/>
  <c r="E2315" i="2"/>
  <c r="C2315" i="2"/>
  <c r="E2314" i="2"/>
  <c r="C2314" i="2"/>
  <c r="E2313" i="2"/>
  <c r="C2313" i="2"/>
  <c r="E2312" i="2"/>
  <c r="C2312" i="2"/>
  <c r="E2311" i="2"/>
  <c r="C2311" i="2"/>
  <c r="E2310" i="2"/>
  <c r="C2310" i="2"/>
  <c r="E2309" i="2"/>
  <c r="C2309" i="2"/>
  <c r="E2308" i="2"/>
  <c r="C2308" i="2"/>
  <c r="E2307" i="2"/>
  <c r="C2307" i="2"/>
  <c r="E2306" i="2"/>
  <c r="C2306" i="2"/>
  <c r="E2305" i="2"/>
  <c r="C2305" i="2"/>
  <c r="E2304" i="2"/>
  <c r="C2304" i="2"/>
  <c r="E2303" i="2"/>
  <c r="C2303" i="2"/>
  <c r="E2302" i="2"/>
  <c r="C2302" i="2"/>
  <c r="E2301" i="2"/>
  <c r="C2301" i="2"/>
  <c r="E2300" i="2"/>
  <c r="C2300" i="2"/>
  <c r="E2299" i="2"/>
  <c r="C2299" i="2"/>
  <c r="E2298" i="2"/>
  <c r="C2298" i="2"/>
  <c r="E2297" i="2"/>
  <c r="C2297" i="2"/>
  <c r="E2296" i="2"/>
  <c r="C2296" i="2"/>
  <c r="E2295" i="2"/>
  <c r="C2295" i="2"/>
  <c r="E2294" i="2"/>
  <c r="C2294" i="2"/>
  <c r="E2293" i="2"/>
  <c r="C2293" i="2"/>
  <c r="E2292" i="2"/>
  <c r="C2292" i="2"/>
  <c r="E2291" i="2"/>
  <c r="C2291" i="2"/>
  <c r="E2290" i="2"/>
  <c r="C2290" i="2"/>
  <c r="E2289" i="2"/>
  <c r="C2289" i="2"/>
  <c r="E2288" i="2"/>
  <c r="C2288" i="2"/>
  <c r="E2287" i="2"/>
  <c r="C2287" i="2"/>
  <c r="E2286" i="2"/>
  <c r="C2286" i="2"/>
  <c r="E2285" i="2"/>
  <c r="C2285" i="2"/>
  <c r="E2284" i="2"/>
  <c r="C2284" i="2"/>
  <c r="E2283" i="2"/>
  <c r="C2283" i="2"/>
  <c r="E2282" i="2"/>
  <c r="C2282" i="2"/>
  <c r="E2281" i="2"/>
  <c r="C2281" i="2"/>
  <c r="E2280" i="2"/>
  <c r="C2280" i="2"/>
  <c r="E2279" i="2"/>
  <c r="C2279" i="2"/>
  <c r="E2278" i="2"/>
  <c r="C2278" i="2"/>
  <c r="E2277" i="2"/>
  <c r="C2277" i="2"/>
  <c r="E2276" i="2"/>
  <c r="C2276" i="2"/>
  <c r="E2275" i="2"/>
  <c r="C2275" i="2"/>
  <c r="E2274" i="2"/>
  <c r="C2274" i="2"/>
  <c r="E2273" i="2"/>
  <c r="C2273" i="2"/>
  <c r="E2272" i="2"/>
  <c r="C2272" i="2"/>
  <c r="E2271" i="2"/>
  <c r="C2271" i="2"/>
  <c r="E2270" i="2"/>
  <c r="C2270" i="2"/>
  <c r="E2269" i="2"/>
  <c r="C2269" i="2"/>
  <c r="E2268" i="2"/>
  <c r="C2268" i="2"/>
  <c r="E2267" i="2"/>
  <c r="C2267" i="2"/>
  <c r="E2266" i="2"/>
  <c r="C2266" i="2"/>
  <c r="E2265" i="2"/>
  <c r="C2265" i="2"/>
  <c r="E2264" i="2"/>
  <c r="C2264" i="2"/>
  <c r="E2263" i="2"/>
  <c r="C2263" i="2"/>
  <c r="E2262" i="2"/>
  <c r="C2262" i="2"/>
  <c r="E2261" i="2"/>
  <c r="C2261" i="2"/>
  <c r="E2260" i="2"/>
  <c r="C2260" i="2"/>
  <c r="E2259" i="2"/>
  <c r="C2259" i="2"/>
  <c r="E2258" i="2"/>
  <c r="C2258" i="2"/>
  <c r="E2257" i="2"/>
  <c r="C2257" i="2"/>
  <c r="E2256" i="2"/>
  <c r="C2256" i="2"/>
  <c r="E2255" i="2"/>
  <c r="C2255" i="2"/>
  <c r="E2254" i="2"/>
  <c r="C2254" i="2"/>
  <c r="E2253" i="2"/>
  <c r="C2253" i="2"/>
  <c r="E2252" i="2"/>
  <c r="C2252" i="2"/>
  <c r="E2251" i="2"/>
  <c r="C2251" i="2"/>
  <c r="E2250" i="2"/>
  <c r="C2250" i="2"/>
  <c r="E2249" i="2"/>
  <c r="C2249" i="2"/>
  <c r="E2248" i="2"/>
  <c r="C2248" i="2"/>
  <c r="E2247" i="2"/>
  <c r="C2247" i="2"/>
  <c r="E2246" i="2"/>
  <c r="C2246" i="2"/>
  <c r="E2245" i="2"/>
  <c r="C2245" i="2"/>
  <c r="E2244" i="2"/>
  <c r="C2244" i="2"/>
  <c r="E2243" i="2"/>
  <c r="C2243" i="2"/>
  <c r="E2242" i="2"/>
  <c r="C2242" i="2"/>
  <c r="E2241" i="2"/>
  <c r="C2241" i="2"/>
  <c r="E2240" i="2"/>
  <c r="C2240" i="2"/>
  <c r="E2239" i="2"/>
  <c r="C2239" i="2"/>
  <c r="E2238" i="2"/>
  <c r="C2238" i="2"/>
  <c r="E2237" i="2"/>
  <c r="C2237" i="2"/>
  <c r="E2236" i="2"/>
  <c r="C2236" i="2"/>
  <c r="E2235" i="2"/>
  <c r="C2235" i="2"/>
  <c r="E2234" i="2"/>
  <c r="C2234" i="2"/>
  <c r="E2233" i="2"/>
  <c r="C2233" i="2"/>
  <c r="E2232" i="2"/>
  <c r="C2232" i="2"/>
  <c r="E2231" i="2"/>
  <c r="C2231" i="2"/>
  <c r="E2230" i="2"/>
  <c r="C2230" i="2"/>
  <c r="E2229" i="2"/>
  <c r="C2229" i="2"/>
  <c r="E2228" i="2"/>
  <c r="C2228" i="2"/>
  <c r="E2227" i="2"/>
  <c r="C2227" i="2"/>
  <c r="E2226" i="2"/>
  <c r="C2226" i="2"/>
  <c r="E2225" i="2"/>
  <c r="C2225" i="2"/>
  <c r="E2224" i="2"/>
  <c r="C2224" i="2"/>
  <c r="E2223" i="2"/>
  <c r="C2223" i="2"/>
  <c r="E2222" i="2"/>
  <c r="C2222" i="2"/>
  <c r="E2221" i="2"/>
  <c r="C2221" i="2"/>
  <c r="E2220" i="2"/>
  <c r="C2220" i="2"/>
  <c r="E2219" i="2"/>
  <c r="C2219" i="2"/>
  <c r="E2218" i="2"/>
  <c r="C2218" i="2"/>
  <c r="E2217" i="2"/>
  <c r="C2217" i="2"/>
  <c r="E2216" i="2"/>
  <c r="C2216" i="2"/>
  <c r="E2215" i="2"/>
  <c r="C2215" i="2"/>
  <c r="E2214" i="2"/>
  <c r="C2214" i="2"/>
  <c r="E2213" i="2"/>
  <c r="C2213" i="2"/>
  <c r="E2212" i="2"/>
  <c r="C2212" i="2"/>
  <c r="E2211" i="2"/>
  <c r="C2211" i="2"/>
  <c r="E2210" i="2"/>
  <c r="C2210" i="2"/>
  <c r="E2209" i="2"/>
  <c r="C2209" i="2"/>
  <c r="E2208" i="2"/>
  <c r="C2208" i="2"/>
  <c r="E2207" i="2"/>
  <c r="C2207" i="2"/>
  <c r="E2206" i="2"/>
  <c r="C2206" i="2"/>
  <c r="E2205" i="2"/>
  <c r="C2205" i="2"/>
  <c r="E2204" i="2"/>
  <c r="C2204" i="2"/>
  <c r="E2203" i="2"/>
  <c r="C2203" i="2"/>
  <c r="E2202" i="2"/>
  <c r="C2202" i="2"/>
  <c r="E2201" i="2"/>
  <c r="C2201" i="2"/>
  <c r="E2200" i="2"/>
  <c r="C2200" i="2"/>
  <c r="E2199" i="2"/>
  <c r="C2199" i="2"/>
  <c r="E2198" i="2"/>
  <c r="C2198" i="2"/>
  <c r="E2197" i="2"/>
  <c r="C2197" i="2"/>
  <c r="E2196" i="2"/>
  <c r="C2196" i="2"/>
  <c r="E2195" i="2"/>
  <c r="C2195" i="2"/>
  <c r="E2194" i="2"/>
  <c r="C2194" i="2"/>
  <c r="E2193" i="2"/>
  <c r="C2193" i="2"/>
  <c r="E2192" i="2"/>
  <c r="C2192" i="2"/>
  <c r="E2191" i="2"/>
  <c r="C2191" i="2"/>
  <c r="E2190" i="2"/>
  <c r="C2190" i="2"/>
  <c r="E2189" i="2"/>
  <c r="C2189" i="2"/>
  <c r="E2188" i="2"/>
  <c r="C2188" i="2"/>
  <c r="E2187" i="2"/>
  <c r="C2187" i="2"/>
  <c r="E2186" i="2"/>
  <c r="C2186" i="2"/>
  <c r="E2185" i="2"/>
  <c r="C2185" i="2"/>
  <c r="E2184" i="2"/>
  <c r="C2184" i="2"/>
  <c r="E2183" i="2"/>
  <c r="C2183" i="2"/>
  <c r="E2182" i="2"/>
  <c r="C2182" i="2"/>
  <c r="E2181" i="2"/>
  <c r="C2181" i="2"/>
  <c r="E2180" i="2"/>
  <c r="C2180" i="2"/>
  <c r="E2179" i="2"/>
  <c r="C2179" i="2"/>
  <c r="E2178" i="2"/>
  <c r="C2178" i="2"/>
  <c r="E2177" i="2"/>
  <c r="C2177" i="2"/>
  <c r="E2176" i="2"/>
  <c r="C2176" i="2"/>
  <c r="E2175" i="2"/>
  <c r="C2175" i="2"/>
  <c r="E2174" i="2"/>
  <c r="C2174" i="2"/>
  <c r="E2173" i="2"/>
  <c r="C2173" i="2"/>
  <c r="E2172" i="2"/>
  <c r="C2172" i="2"/>
  <c r="E2171" i="2"/>
  <c r="C2171" i="2"/>
  <c r="E2170" i="2"/>
  <c r="C2170" i="2"/>
  <c r="E2169" i="2"/>
  <c r="C2169" i="2"/>
  <c r="E2168" i="2"/>
  <c r="C2168" i="2"/>
  <c r="E2167" i="2"/>
  <c r="C2167" i="2"/>
  <c r="E2166" i="2"/>
  <c r="C2166" i="2"/>
  <c r="E2165" i="2"/>
  <c r="C2165" i="2"/>
  <c r="E2164" i="2"/>
  <c r="C2164" i="2"/>
  <c r="E2163" i="2"/>
  <c r="C2163" i="2"/>
  <c r="E2162" i="2"/>
  <c r="C2162" i="2"/>
  <c r="E2161" i="2"/>
  <c r="C2161" i="2"/>
  <c r="E2160" i="2"/>
  <c r="C2160" i="2"/>
  <c r="E2159" i="2"/>
  <c r="C2159" i="2"/>
  <c r="E2158" i="2"/>
  <c r="C2158" i="2"/>
  <c r="E2157" i="2"/>
  <c r="C2157" i="2"/>
  <c r="E2156" i="2"/>
  <c r="C2156" i="2"/>
  <c r="E2155" i="2"/>
  <c r="C2155" i="2"/>
  <c r="E2154" i="2"/>
  <c r="C2154" i="2"/>
  <c r="E2153" i="2"/>
  <c r="C2153" i="2"/>
  <c r="E2152" i="2"/>
  <c r="C2152" i="2"/>
  <c r="E2151" i="2"/>
  <c r="C2151" i="2"/>
  <c r="E2150" i="2"/>
  <c r="C2150" i="2"/>
  <c r="E2149" i="2"/>
  <c r="C2149" i="2"/>
  <c r="E2148" i="2"/>
  <c r="C2148" i="2"/>
  <c r="E2147" i="2"/>
  <c r="C2147" i="2"/>
  <c r="E2146" i="2"/>
  <c r="C2146" i="2"/>
  <c r="E2145" i="2"/>
  <c r="C2145" i="2"/>
  <c r="E2144" i="2"/>
  <c r="C2144" i="2"/>
  <c r="E2143" i="2"/>
  <c r="C2143" i="2"/>
  <c r="E2142" i="2"/>
  <c r="C2142" i="2"/>
  <c r="E2141" i="2"/>
  <c r="C2141" i="2"/>
  <c r="E2140" i="2"/>
  <c r="C2140" i="2"/>
  <c r="E2139" i="2"/>
  <c r="C2139" i="2"/>
  <c r="E2138" i="2"/>
  <c r="C2138" i="2"/>
  <c r="E2137" i="2"/>
  <c r="C2137" i="2"/>
  <c r="E2136" i="2"/>
  <c r="C2136" i="2"/>
  <c r="E2135" i="2"/>
  <c r="C2135" i="2"/>
  <c r="E2134" i="2"/>
  <c r="C2134" i="2"/>
  <c r="E2133" i="2"/>
  <c r="C2133" i="2"/>
  <c r="E2132" i="2"/>
  <c r="C2132" i="2"/>
  <c r="E2131" i="2"/>
  <c r="C2131" i="2"/>
  <c r="E2130" i="2"/>
  <c r="C2130" i="2"/>
  <c r="E2129" i="2"/>
  <c r="C2129" i="2"/>
  <c r="E2128" i="2"/>
  <c r="C2128" i="2"/>
  <c r="E2127" i="2"/>
  <c r="C2127" i="2"/>
  <c r="E2126" i="2"/>
  <c r="C2126" i="2"/>
  <c r="E2125" i="2"/>
  <c r="C2125" i="2"/>
  <c r="E2124" i="2"/>
  <c r="C2124" i="2"/>
  <c r="E2123" i="2"/>
  <c r="C2123" i="2"/>
  <c r="E2122" i="2"/>
  <c r="C2122" i="2"/>
  <c r="E2121" i="2"/>
  <c r="C2121" i="2"/>
  <c r="E2120" i="2"/>
  <c r="C2120" i="2"/>
  <c r="E2119" i="2"/>
  <c r="C2119" i="2"/>
  <c r="E2118" i="2"/>
  <c r="C2118" i="2"/>
  <c r="E2117" i="2"/>
  <c r="C2117" i="2"/>
  <c r="E2116" i="2"/>
  <c r="C2116" i="2"/>
  <c r="E2115" i="2"/>
  <c r="C2115" i="2"/>
  <c r="E2114" i="2"/>
  <c r="C2114" i="2"/>
  <c r="E2113" i="2"/>
  <c r="C2113" i="2"/>
  <c r="E2112" i="2"/>
  <c r="C2112" i="2"/>
  <c r="E2111" i="2"/>
  <c r="C2111" i="2"/>
  <c r="E2110" i="2"/>
  <c r="C2110" i="2"/>
  <c r="E2109" i="2"/>
  <c r="C2109" i="2"/>
  <c r="E2108" i="2"/>
  <c r="C2108" i="2"/>
  <c r="E2107" i="2"/>
  <c r="C2107" i="2"/>
  <c r="E2106" i="2"/>
  <c r="C2106" i="2"/>
  <c r="E2105" i="2"/>
  <c r="C2105" i="2"/>
  <c r="E2104" i="2"/>
  <c r="C2104" i="2"/>
  <c r="E2103" i="2"/>
  <c r="C2103" i="2"/>
  <c r="E2102" i="2"/>
  <c r="C2102" i="2"/>
  <c r="E2101" i="2"/>
  <c r="C2101" i="2"/>
  <c r="E2100" i="2"/>
  <c r="C2100" i="2"/>
  <c r="E2099" i="2"/>
  <c r="C2099" i="2"/>
  <c r="E2098" i="2"/>
  <c r="C2098" i="2"/>
  <c r="E2097" i="2"/>
  <c r="C2097" i="2"/>
  <c r="E2096" i="2"/>
  <c r="C2096" i="2"/>
  <c r="E2095" i="2"/>
  <c r="C2095" i="2"/>
  <c r="E2094" i="2"/>
  <c r="C2094" i="2"/>
  <c r="E2093" i="2"/>
  <c r="C2093" i="2"/>
  <c r="E2092" i="2"/>
  <c r="C2092" i="2"/>
  <c r="E2091" i="2"/>
  <c r="C2091" i="2"/>
  <c r="E2090" i="2"/>
  <c r="C2090" i="2"/>
  <c r="E2089" i="2"/>
  <c r="C2089" i="2"/>
  <c r="E2088" i="2"/>
  <c r="C2088" i="2"/>
  <c r="E2087" i="2"/>
  <c r="C2087" i="2"/>
  <c r="E2086" i="2"/>
  <c r="C2086" i="2"/>
  <c r="E2085" i="2"/>
  <c r="C2085" i="2"/>
  <c r="E2084" i="2"/>
  <c r="C2084" i="2"/>
  <c r="E2083" i="2"/>
  <c r="C2083" i="2"/>
  <c r="E2082" i="2"/>
  <c r="C2082" i="2"/>
  <c r="E2081" i="2"/>
  <c r="C2081" i="2"/>
  <c r="E2080" i="2"/>
  <c r="C2080" i="2"/>
  <c r="E2079" i="2"/>
  <c r="C2079" i="2"/>
  <c r="E2078" i="2"/>
  <c r="C2078" i="2"/>
  <c r="E2077" i="2"/>
  <c r="C2077" i="2"/>
  <c r="E2076" i="2"/>
  <c r="C2076" i="2"/>
  <c r="E2075" i="2"/>
  <c r="C2075" i="2"/>
  <c r="E2074" i="2"/>
  <c r="C2074" i="2"/>
  <c r="E2073" i="2"/>
  <c r="C2073" i="2"/>
  <c r="E2072" i="2"/>
  <c r="C2072" i="2"/>
  <c r="E2071" i="2"/>
  <c r="C2071" i="2"/>
  <c r="E2070" i="2"/>
  <c r="C2070" i="2"/>
  <c r="E2069" i="2"/>
  <c r="C2069" i="2"/>
  <c r="E2068" i="2"/>
  <c r="C2068" i="2"/>
  <c r="E2067" i="2"/>
  <c r="C2067" i="2"/>
  <c r="E2066" i="2"/>
  <c r="C2066" i="2"/>
  <c r="E2065" i="2"/>
  <c r="C2065" i="2"/>
  <c r="E2064" i="2"/>
  <c r="C2064" i="2"/>
  <c r="E2063" i="2"/>
  <c r="C2063" i="2"/>
  <c r="E2062" i="2"/>
  <c r="C2062" i="2"/>
  <c r="E2061" i="2"/>
  <c r="C2061" i="2"/>
  <c r="E2060" i="2"/>
  <c r="C2060" i="2"/>
  <c r="E2059" i="2"/>
  <c r="C2059" i="2"/>
  <c r="E2058" i="2"/>
  <c r="C2058" i="2"/>
  <c r="E2057" i="2"/>
  <c r="C2057" i="2"/>
  <c r="E2056" i="2"/>
  <c r="C2056" i="2"/>
  <c r="E2055" i="2"/>
  <c r="C2055" i="2"/>
  <c r="E2054" i="2"/>
  <c r="C2054" i="2"/>
  <c r="E2053" i="2"/>
  <c r="C2053" i="2"/>
  <c r="E2052" i="2"/>
  <c r="C2052" i="2"/>
  <c r="E2051" i="2"/>
  <c r="C2051" i="2"/>
  <c r="E2050" i="2"/>
  <c r="C2050" i="2"/>
  <c r="E2049" i="2"/>
  <c r="C2049" i="2"/>
  <c r="E2048" i="2"/>
  <c r="C2048" i="2"/>
  <c r="E2047" i="2"/>
  <c r="C2047" i="2"/>
  <c r="E2046" i="2"/>
  <c r="C2046" i="2"/>
  <c r="E2045" i="2"/>
  <c r="C2045" i="2"/>
  <c r="E2044" i="2"/>
  <c r="C2044" i="2"/>
  <c r="E2043" i="2"/>
  <c r="C2043" i="2"/>
  <c r="E2042" i="2"/>
  <c r="C2042" i="2"/>
  <c r="E2041" i="2"/>
  <c r="C2041" i="2"/>
  <c r="E2040" i="2"/>
  <c r="C2040" i="2"/>
  <c r="E2039" i="2"/>
  <c r="C2039" i="2"/>
  <c r="E2038" i="2"/>
  <c r="C2038" i="2"/>
  <c r="E2037" i="2"/>
  <c r="C2037" i="2"/>
  <c r="E2036" i="2"/>
  <c r="C2036" i="2"/>
  <c r="E2035" i="2"/>
  <c r="C2035" i="2"/>
  <c r="E2034" i="2"/>
  <c r="C2034" i="2"/>
  <c r="E2033" i="2"/>
  <c r="C2033" i="2"/>
  <c r="E2032" i="2"/>
  <c r="C2032" i="2"/>
  <c r="E2031" i="2"/>
  <c r="C2031" i="2"/>
  <c r="E2030" i="2"/>
  <c r="C2030" i="2"/>
  <c r="E2029" i="2"/>
  <c r="C2029" i="2"/>
  <c r="E2028" i="2"/>
  <c r="C2028" i="2"/>
  <c r="E2027" i="2"/>
  <c r="C2027" i="2"/>
  <c r="E2026" i="2"/>
  <c r="C2026" i="2"/>
  <c r="E2025" i="2"/>
  <c r="C2025" i="2"/>
  <c r="E2024" i="2"/>
  <c r="C2024" i="2"/>
  <c r="E2023" i="2"/>
  <c r="C2023" i="2"/>
  <c r="E2022" i="2"/>
  <c r="C2022" i="2"/>
  <c r="E2021" i="2"/>
  <c r="C2021" i="2"/>
  <c r="E2020" i="2"/>
  <c r="C2020" i="2"/>
  <c r="E2019" i="2"/>
  <c r="C2019" i="2"/>
  <c r="E2018" i="2"/>
  <c r="C2018" i="2"/>
  <c r="E2017" i="2"/>
  <c r="C2017" i="2"/>
  <c r="E2016" i="2"/>
  <c r="C2016" i="2"/>
  <c r="E2015" i="2"/>
  <c r="C2015" i="2"/>
  <c r="E2014" i="2"/>
  <c r="C2014" i="2"/>
  <c r="E2013" i="2"/>
  <c r="C2013" i="2"/>
  <c r="E2012" i="2"/>
  <c r="C2012" i="2"/>
  <c r="E2011" i="2"/>
  <c r="C2011" i="2"/>
  <c r="E2010" i="2"/>
  <c r="C2010" i="2"/>
  <c r="E2009" i="2"/>
  <c r="C2009" i="2"/>
  <c r="E2008" i="2"/>
  <c r="C2008" i="2"/>
  <c r="E2007" i="2"/>
  <c r="C2007" i="2"/>
  <c r="E2006" i="2"/>
  <c r="C2006" i="2"/>
  <c r="E2005" i="2"/>
  <c r="C2005" i="2"/>
  <c r="E2004" i="2"/>
  <c r="C2004" i="2"/>
  <c r="E2003" i="2"/>
  <c r="C2003" i="2"/>
  <c r="E2002" i="2"/>
  <c r="C2002" i="2"/>
  <c r="E2001" i="2"/>
  <c r="C2001" i="2"/>
  <c r="E2000" i="2"/>
  <c r="C2000" i="2"/>
  <c r="E1999" i="2"/>
  <c r="C1999" i="2"/>
  <c r="E1998" i="2"/>
  <c r="C1998" i="2"/>
  <c r="E1997" i="2"/>
  <c r="C1997" i="2"/>
  <c r="E1996" i="2"/>
  <c r="C1996" i="2"/>
  <c r="E1995" i="2"/>
  <c r="C1995" i="2"/>
  <c r="E1994" i="2"/>
  <c r="C1994" i="2"/>
  <c r="E1993" i="2"/>
  <c r="C1993" i="2"/>
  <c r="E1992" i="2"/>
  <c r="C1992" i="2"/>
  <c r="E1991" i="2"/>
  <c r="C1991" i="2"/>
  <c r="E1990" i="2"/>
  <c r="C1990" i="2"/>
  <c r="E1989" i="2"/>
  <c r="C1989" i="2"/>
  <c r="E1988" i="2"/>
  <c r="C1988" i="2"/>
  <c r="E1987" i="2"/>
  <c r="C1987" i="2"/>
  <c r="E1986" i="2"/>
  <c r="C1986" i="2"/>
  <c r="E1985" i="2"/>
  <c r="C1985" i="2"/>
  <c r="E1984" i="2"/>
  <c r="C1984" i="2"/>
  <c r="E1983" i="2"/>
  <c r="C1983" i="2"/>
  <c r="E1982" i="2"/>
  <c r="C1982" i="2"/>
  <c r="E1981" i="2"/>
  <c r="C1981" i="2"/>
  <c r="E1980" i="2"/>
  <c r="C1980" i="2"/>
  <c r="E1979" i="2"/>
  <c r="C1979" i="2"/>
  <c r="E1978" i="2"/>
  <c r="C1978" i="2"/>
  <c r="E1977" i="2"/>
  <c r="C1977" i="2"/>
  <c r="E1976" i="2"/>
  <c r="C1976" i="2"/>
  <c r="E1975" i="2"/>
  <c r="C1975" i="2"/>
  <c r="E1974" i="2"/>
  <c r="C1974" i="2"/>
  <c r="E1973" i="2"/>
  <c r="C1973" i="2"/>
  <c r="E1972" i="2"/>
  <c r="C1972" i="2"/>
  <c r="E1971" i="2"/>
  <c r="C1971" i="2"/>
  <c r="E1970" i="2"/>
  <c r="C1970" i="2"/>
  <c r="E1969" i="2"/>
  <c r="C1969" i="2"/>
  <c r="E1968" i="2"/>
  <c r="C1968" i="2"/>
  <c r="E1967" i="2"/>
  <c r="C1967" i="2"/>
  <c r="E1966" i="2"/>
  <c r="C1966" i="2"/>
  <c r="E1965" i="2"/>
  <c r="C1965" i="2"/>
  <c r="E1964" i="2"/>
  <c r="C1964" i="2"/>
  <c r="E1963" i="2"/>
  <c r="C1963" i="2"/>
  <c r="E1962" i="2"/>
  <c r="C1962" i="2"/>
  <c r="E1961" i="2"/>
  <c r="C1961" i="2"/>
  <c r="E1960" i="2"/>
  <c r="C1960" i="2"/>
  <c r="E1959" i="2"/>
  <c r="C1959" i="2"/>
  <c r="E1958" i="2"/>
  <c r="C1958" i="2"/>
  <c r="E1957" i="2"/>
  <c r="C1957" i="2"/>
  <c r="E1956" i="2"/>
  <c r="C1956" i="2"/>
  <c r="E1955" i="2"/>
  <c r="C1955" i="2"/>
  <c r="E1954" i="2"/>
  <c r="C1954" i="2"/>
  <c r="E1953" i="2"/>
  <c r="C1953" i="2"/>
  <c r="E1952" i="2"/>
  <c r="C1952" i="2"/>
  <c r="E1951" i="2"/>
  <c r="C1951" i="2"/>
  <c r="E1950" i="2"/>
  <c r="C1950" i="2"/>
  <c r="E1949" i="2"/>
  <c r="C1949" i="2"/>
  <c r="E1948" i="2"/>
  <c r="C1948" i="2"/>
  <c r="E1947" i="2"/>
  <c r="C1947" i="2"/>
  <c r="E1946" i="2"/>
  <c r="C1946" i="2"/>
  <c r="E1945" i="2"/>
  <c r="C1945" i="2"/>
  <c r="E1944" i="2"/>
  <c r="C1944" i="2"/>
  <c r="E1943" i="2"/>
  <c r="C1943" i="2"/>
  <c r="E1942" i="2"/>
  <c r="C1942" i="2"/>
  <c r="E1941" i="2"/>
  <c r="C1941" i="2"/>
  <c r="E1940" i="2"/>
  <c r="C1940" i="2"/>
  <c r="E1939" i="2"/>
  <c r="C1939" i="2"/>
  <c r="E1938" i="2"/>
  <c r="C1938" i="2"/>
  <c r="E1937" i="2"/>
  <c r="C1937" i="2"/>
  <c r="E1936" i="2"/>
  <c r="C1936" i="2"/>
  <c r="E1935" i="2"/>
  <c r="C1935" i="2"/>
  <c r="E1934" i="2"/>
  <c r="C1934" i="2"/>
  <c r="E1933" i="2"/>
  <c r="C1933" i="2"/>
  <c r="E1932" i="2"/>
  <c r="C1932" i="2"/>
  <c r="E1931" i="2"/>
  <c r="C1931" i="2"/>
  <c r="E1930" i="2"/>
  <c r="C1930" i="2"/>
  <c r="E1929" i="2"/>
  <c r="C1929" i="2"/>
  <c r="E1928" i="2"/>
  <c r="C1928" i="2"/>
  <c r="E1927" i="2"/>
  <c r="C1927" i="2"/>
  <c r="E1926" i="2"/>
  <c r="C1926" i="2"/>
  <c r="E1925" i="2"/>
  <c r="C1925" i="2"/>
  <c r="E1924" i="2"/>
  <c r="C1924" i="2"/>
  <c r="E1923" i="2"/>
  <c r="C1923" i="2"/>
  <c r="E1922" i="2"/>
  <c r="C1922" i="2"/>
  <c r="E1921" i="2"/>
  <c r="C1921" i="2"/>
  <c r="E1920" i="2"/>
  <c r="C1920" i="2"/>
  <c r="E1919" i="2"/>
  <c r="C1919" i="2"/>
  <c r="E1918" i="2"/>
  <c r="C1918" i="2"/>
  <c r="E1917" i="2"/>
  <c r="C1917" i="2"/>
  <c r="E1916" i="2"/>
  <c r="C1916" i="2"/>
  <c r="E1915" i="2"/>
  <c r="C1915" i="2"/>
  <c r="E1914" i="2"/>
  <c r="C1914" i="2"/>
  <c r="E1913" i="2"/>
  <c r="C1913" i="2"/>
  <c r="E1912" i="2"/>
  <c r="C1912" i="2"/>
  <c r="E1911" i="2"/>
  <c r="C1911" i="2"/>
  <c r="E1910" i="2"/>
  <c r="C1910" i="2"/>
  <c r="E1909" i="2"/>
  <c r="C1909" i="2"/>
  <c r="E1908" i="2"/>
  <c r="C1908" i="2"/>
  <c r="E1907" i="2"/>
  <c r="C1907" i="2"/>
  <c r="E1906" i="2"/>
  <c r="C1906" i="2"/>
  <c r="E1905" i="2"/>
  <c r="C1905" i="2"/>
  <c r="E1904" i="2"/>
  <c r="C1904" i="2"/>
  <c r="E1903" i="2"/>
  <c r="C1903" i="2"/>
  <c r="E1902" i="2"/>
  <c r="C1902" i="2"/>
  <c r="E1901" i="2"/>
  <c r="C1901" i="2"/>
  <c r="E1900" i="2"/>
  <c r="C1900" i="2"/>
  <c r="E1899" i="2"/>
  <c r="C1899" i="2"/>
  <c r="E1898" i="2"/>
  <c r="C1898" i="2"/>
  <c r="E1897" i="2"/>
  <c r="C1897" i="2"/>
  <c r="E1896" i="2"/>
  <c r="C1896" i="2"/>
  <c r="E1895" i="2"/>
  <c r="C1895" i="2"/>
  <c r="E1894" i="2"/>
  <c r="C1894" i="2"/>
  <c r="E1893" i="2"/>
  <c r="C1893" i="2"/>
  <c r="E1892" i="2"/>
  <c r="C1892" i="2"/>
  <c r="E1891" i="2"/>
  <c r="C1891" i="2"/>
  <c r="E1890" i="2"/>
  <c r="C1890" i="2"/>
  <c r="E1889" i="2"/>
  <c r="C1889" i="2"/>
  <c r="E1888" i="2"/>
  <c r="C1888" i="2"/>
  <c r="E1887" i="2"/>
  <c r="C1887" i="2"/>
  <c r="E1886" i="2"/>
  <c r="C1886" i="2"/>
  <c r="E1885" i="2"/>
  <c r="C1885" i="2"/>
  <c r="E1884" i="2"/>
  <c r="C1884" i="2"/>
  <c r="E1883" i="2"/>
  <c r="C1883" i="2"/>
  <c r="E1882" i="2"/>
  <c r="C1882" i="2"/>
  <c r="E1881" i="2"/>
  <c r="C1881" i="2"/>
  <c r="E1880" i="2"/>
  <c r="C1880" i="2"/>
  <c r="E1879" i="2"/>
  <c r="C1879" i="2"/>
  <c r="E1878" i="2"/>
  <c r="C1878" i="2"/>
  <c r="E1877" i="2"/>
  <c r="C1877" i="2"/>
  <c r="E1876" i="2"/>
  <c r="C1876" i="2"/>
  <c r="E1875" i="2"/>
  <c r="C1875" i="2"/>
  <c r="E1874" i="2"/>
  <c r="C1874" i="2"/>
  <c r="E1873" i="2"/>
  <c r="C1873" i="2"/>
  <c r="E1872" i="2"/>
  <c r="C1872" i="2"/>
  <c r="E1871" i="2"/>
  <c r="C1871" i="2"/>
  <c r="E1870" i="2"/>
  <c r="C1870" i="2"/>
  <c r="E1869" i="2"/>
  <c r="C1869" i="2"/>
  <c r="E1868" i="2"/>
  <c r="C1868" i="2"/>
  <c r="E1867" i="2"/>
  <c r="C1867" i="2"/>
  <c r="E1866" i="2"/>
  <c r="C1866" i="2"/>
  <c r="E1865" i="2"/>
  <c r="C1865" i="2"/>
  <c r="E1864" i="2"/>
  <c r="C1864" i="2"/>
  <c r="E1863" i="2"/>
  <c r="C1863" i="2"/>
  <c r="E1862" i="2"/>
  <c r="C1862" i="2"/>
  <c r="E1861" i="2"/>
  <c r="C1861" i="2"/>
  <c r="E1860" i="2"/>
  <c r="C1860" i="2"/>
  <c r="E1859" i="2"/>
  <c r="C1859" i="2"/>
  <c r="E1858" i="2"/>
  <c r="C1858" i="2"/>
  <c r="E1857" i="2"/>
  <c r="C1857" i="2"/>
  <c r="E1856" i="2"/>
  <c r="C1856" i="2"/>
  <c r="E1855" i="2"/>
  <c r="C1855" i="2"/>
  <c r="E1854" i="2"/>
  <c r="C1854" i="2"/>
  <c r="E1853" i="2"/>
  <c r="C1853" i="2"/>
  <c r="E1852" i="2"/>
  <c r="C1852" i="2"/>
  <c r="E1851" i="2"/>
  <c r="C1851" i="2"/>
  <c r="E1850" i="2"/>
  <c r="C1850" i="2"/>
  <c r="E1849" i="2"/>
  <c r="C1849" i="2"/>
  <c r="E1848" i="2"/>
  <c r="C1848" i="2"/>
  <c r="E1847" i="2"/>
  <c r="C1847" i="2"/>
  <c r="E1846" i="2"/>
  <c r="C1846" i="2"/>
  <c r="E1845" i="2"/>
  <c r="C1845" i="2"/>
  <c r="E1844" i="2"/>
  <c r="C1844" i="2"/>
  <c r="E1843" i="2"/>
  <c r="C1843" i="2"/>
  <c r="E1842" i="2"/>
  <c r="C1842" i="2"/>
  <c r="E1841" i="2"/>
  <c r="C1841" i="2"/>
  <c r="E1840" i="2"/>
  <c r="C1840" i="2"/>
  <c r="E1839" i="2"/>
  <c r="C1839" i="2"/>
  <c r="E1838" i="2"/>
  <c r="C1838" i="2"/>
  <c r="E1837" i="2"/>
  <c r="C1837" i="2"/>
  <c r="E1836" i="2"/>
  <c r="C1836" i="2"/>
  <c r="E1835" i="2"/>
  <c r="C1835" i="2"/>
  <c r="E1834" i="2"/>
  <c r="C1834" i="2"/>
  <c r="E1833" i="2"/>
  <c r="C1833" i="2"/>
  <c r="E1832" i="2"/>
  <c r="C1832" i="2"/>
  <c r="E1831" i="2"/>
  <c r="C1831" i="2"/>
  <c r="E1830" i="2"/>
  <c r="C1830" i="2"/>
  <c r="E1829" i="2"/>
  <c r="C1829" i="2"/>
  <c r="E1828" i="2"/>
  <c r="C1828" i="2"/>
  <c r="E1827" i="2"/>
  <c r="C1827" i="2"/>
  <c r="E1826" i="2"/>
  <c r="C1826" i="2"/>
  <c r="E1825" i="2"/>
  <c r="C1825" i="2"/>
  <c r="E1824" i="2"/>
  <c r="C1824" i="2"/>
  <c r="E1823" i="2"/>
  <c r="C1823" i="2"/>
  <c r="E1822" i="2"/>
  <c r="C1822" i="2"/>
  <c r="E1821" i="2"/>
  <c r="C1821" i="2"/>
  <c r="E1820" i="2"/>
  <c r="C1820" i="2"/>
  <c r="E1819" i="2"/>
  <c r="C1819" i="2"/>
  <c r="E1818" i="2"/>
  <c r="C1818" i="2"/>
  <c r="E1817" i="2"/>
  <c r="C1817" i="2"/>
  <c r="E1816" i="2"/>
  <c r="C1816" i="2"/>
  <c r="E1815" i="2"/>
  <c r="C1815" i="2"/>
  <c r="E1814" i="2"/>
  <c r="C1814" i="2"/>
  <c r="E1813" i="2"/>
  <c r="C1813" i="2"/>
  <c r="E1812" i="2"/>
  <c r="C1812" i="2"/>
  <c r="E1811" i="2"/>
  <c r="C1811" i="2"/>
  <c r="E1810" i="2"/>
  <c r="C1810" i="2"/>
  <c r="E1809" i="2"/>
  <c r="C1809" i="2"/>
  <c r="E1808" i="2"/>
  <c r="C1808" i="2"/>
  <c r="E1807" i="2"/>
  <c r="C1807" i="2"/>
  <c r="E1806" i="2"/>
  <c r="C1806" i="2"/>
  <c r="E1805" i="2"/>
  <c r="C1805" i="2"/>
  <c r="E1804" i="2"/>
  <c r="C1804" i="2"/>
  <c r="E1803" i="2"/>
  <c r="C1803" i="2"/>
  <c r="E1802" i="2"/>
  <c r="C1802" i="2"/>
  <c r="E1801" i="2"/>
  <c r="C1801" i="2"/>
  <c r="E1800" i="2"/>
  <c r="C1800" i="2"/>
  <c r="E1799" i="2"/>
  <c r="C1799" i="2"/>
  <c r="E1798" i="2"/>
  <c r="C1798" i="2"/>
  <c r="E1797" i="2"/>
  <c r="C1797" i="2"/>
  <c r="E1796" i="2"/>
  <c r="C1796" i="2"/>
  <c r="E1795" i="2"/>
  <c r="C1795" i="2"/>
  <c r="E1794" i="2"/>
  <c r="C1794" i="2"/>
  <c r="E1793" i="2"/>
  <c r="C1793" i="2"/>
  <c r="E1792" i="2"/>
  <c r="C1792" i="2"/>
  <c r="E1791" i="2"/>
  <c r="C1791" i="2"/>
  <c r="E1790" i="2"/>
  <c r="C1790" i="2"/>
  <c r="E1789" i="2"/>
  <c r="C1789" i="2"/>
  <c r="E1788" i="2"/>
  <c r="C1788" i="2"/>
  <c r="E1787" i="2"/>
  <c r="C1787" i="2"/>
  <c r="E1786" i="2"/>
  <c r="C1786" i="2"/>
  <c r="E1785" i="2"/>
  <c r="C1785" i="2"/>
  <c r="E1784" i="2"/>
  <c r="C1784" i="2"/>
  <c r="E1783" i="2"/>
  <c r="C1783" i="2"/>
  <c r="E1782" i="2"/>
  <c r="C1782" i="2"/>
  <c r="E1781" i="2"/>
  <c r="C1781" i="2"/>
  <c r="E1780" i="2"/>
  <c r="C1780" i="2"/>
  <c r="E1779" i="2"/>
  <c r="C1779" i="2"/>
  <c r="E1778" i="2"/>
  <c r="C1778" i="2"/>
  <c r="E1777" i="2"/>
  <c r="C1777" i="2"/>
  <c r="E1776" i="2"/>
  <c r="C1776" i="2"/>
  <c r="E1775" i="2"/>
  <c r="C1775" i="2"/>
  <c r="E1774" i="2"/>
  <c r="C1774" i="2"/>
  <c r="E1773" i="2"/>
  <c r="C1773" i="2"/>
  <c r="E1772" i="2"/>
  <c r="C1772" i="2"/>
  <c r="E1771" i="2"/>
  <c r="C1771" i="2"/>
  <c r="E1770" i="2"/>
  <c r="C1770" i="2"/>
  <c r="E1769" i="2"/>
  <c r="C1769" i="2"/>
  <c r="E1768" i="2"/>
  <c r="C1768" i="2"/>
  <c r="E1767" i="2"/>
  <c r="C1767" i="2"/>
  <c r="E1766" i="2"/>
  <c r="C1766" i="2"/>
  <c r="E1765" i="2"/>
  <c r="C1765" i="2"/>
  <c r="E1764" i="2"/>
  <c r="C1764" i="2"/>
  <c r="E1763" i="2"/>
  <c r="C1763" i="2"/>
  <c r="E1762" i="2"/>
  <c r="C1762" i="2"/>
  <c r="E1761" i="2"/>
  <c r="C1761" i="2"/>
  <c r="E1760" i="2"/>
  <c r="C1760" i="2"/>
  <c r="E1759" i="2"/>
  <c r="C1759" i="2"/>
  <c r="E1758" i="2"/>
  <c r="C1758" i="2"/>
  <c r="E1757" i="2"/>
  <c r="C1757" i="2"/>
  <c r="E1756" i="2"/>
  <c r="C1756" i="2"/>
  <c r="E1755" i="2"/>
  <c r="C1755" i="2"/>
  <c r="E1754" i="2"/>
  <c r="C1754" i="2"/>
  <c r="E1753" i="2"/>
  <c r="C1753" i="2"/>
  <c r="E1752" i="2"/>
  <c r="C1752" i="2"/>
  <c r="E1751" i="2"/>
  <c r="C1751" i="2"/>
  <c r="E1750" i="2"/>
  <c r="C1750" i="2"/>
  <c r="E1749" i="2"/>
  <c r="C1749" i="2"/>
  <c r="E1748" i="2"/>
  <c r="C1748" i="2"/>
  <c r="E1747" i="2"/>
  <c r="C1747" i="2"/>
  <c r="E1746" i="2"/>
  <c r="C1746" i="2"/>
  <c r="E1745" i="2"/>
  <c r="C1745" i="2"/>
  <c r="E1744" i="2"/>
  <c r="C1744" i="2"/>
  <c r="E1743" i="2"/>
  <c r="C1743" i="2"/>
  <c r="E1742" i="2"/>
  <c r="C1742" i="2"/>
  <c r="E1741" i="2"/>
  <c r="C1741" i="2"/>
  <c r="E1740" i="2"/>
  <c r="C1740" i="2"/>
  <c r="E1739" i="2"/>
  <c r="C1739" i="2"/>
  <c r="E1738" i="2"/>
  <c r="C1738" i="2"/>
  <c r="E1737" i="2"/>
  <c r="C1737" i="2"/>
  <c r="E1736" i="2"/>
  <c r="C1736" i="2"/>
  <c r="E1735" i="2"/>
  <c r="C1735" i="2"/>
  <c r="E1734" i="2"/>
  <c r="C1734" i="2"/>
  <c r="E1733" i="2"/>
  <c r="C1733" i="2"/>
  <c r="E1732" i="2"/>
  <c r="C1732" i="2"/>
  <c r="E1731" i="2"/>
  <c r="C1731" i="2"/>
  <c r="E1730" i="2"/>
  <c r="C1730" i="2"/>
  <c r="E1729" i="2"/>
  <c r="C1729" i="2"/>
  <c r="E1728" i="2"/>
  <c r="C1728" i="2"/>
  <c r="E1727" i="2"/>
  <c r="C1727" i="2"/>
  <c r="E1726" i="2"/>
  <c r="C1726" i="2"/>
  <c r="E1725" i="2"/>
  <c r="C1725" i="2"/>
  <c r="E1724" i="2"/>
  <c r="C1724" i="2"/>
  <c r="E1723" i="2"/>
  <c r="C1723" i="2"/>
  <c r="E1722" i="2"/>
  <c r="C1722" i="2"/>
  <c r="E1721" i="2"/>
  <c r="C1721" i="2"/>
  <c r="E1720" i="2"/>
  <c r="C1720" i="2"/>
  <c r="E1719" i="2"/>
  <c r="C1719" i="2"/>
  <c r="E1718" i="2"/>
  <c r="C1718" i="2"/>
  <c r="E1717" i="2"/>
  <c r="C1717" i="2"/>
  <c r="E1716" i="2"/>
  <c r="C1716" i="2"/>
  <c r="E1715" i="2"/>
  <c r="C1715" i="2"/>
  <c r="E1714" i="2"/>
  <c r="C1714" i="2"/>
  <c r="E1713" i="2"/>
  <c r="C1713" i="2"/>
  <c r="E1712" i="2"/>
  <c r="C1712" i="2"/>
  <c r="E1711" i="2"/>
  <c r="C1711" i="2"/>
  <c r="E1710" i="2"/>
  <c r="C1710" i="2"/>
  <c r="E1709" i="2"/>
  <c r="C1709" i="2"/>
  <c r="E1708" i="2"/>
  <c r="C1708" i="2"/>
  <c r="E1707" i="2"/>
  <c r="C1707" i="2"/>
  <c r="E1706" i="2"/>
  <c r="C1706" i="2"/>
  <c r="E1705" i="2"/>
  <c r="C1705" i="2"/>
  <c r="E1704" i="2"/>
  <c r="C1704" i="2"/>
  <c r="E1703" i="2"/>
  <c r="C1703" i="2"/>
  <c r="E1702" i="2"/>
  <c r="C1702" i="2"/>
  <c r="E1701" i="2"/>
  <c r="C1701" i="2"/>
  <c r="E1700" i="2"/>
  <c r="C1700" i="2"/>
  <c r="E1699" i="2"/>
  <c r="C1699" i="2"/>
  <c r="E1698" i="2"/>
  <c r="C1698" i="2"/>
  <c r="E1697" i="2"/>
  <c r="C1697" i="2"/>
  <c r="E1696" i="2"/>
  <c r="C1696" i="2"/>
  <c r="E1695" i="2"/>
  <c r="C1695" i="2"/>
  <c r="E1694" i="2"/>
  <c r="C1694" i="2"/>
  <c r="E1693" i="2"/>
  <c r="C1693" i="2"/>
  <c r="E1692" i="2"/>
  <c r="C1692" i="2"/>
  <c r="E1691" i="2"/>
  <c r="C1691" i="2"/>
  <c r="E1690" i="2"/>
  <c r="C1690" i="2"/>
  <c r="E1689" i="2"/>
  <c r="C1689" i="2"/>
  <c r="E1688" i="2"/>
  <c r="C1688" i="2"/>
  <c r="E1687" i="2"/>
  <c r="C1687" i="2"/>
  <c r="E1686" i="2"/>
  <c r="C1686" i="2"/>
  <c r="E1685" i="2"/>
  <c r="C1685" i="2"/>
  <c r="E1684" i="2"/>
  <c r="C1684" i="2"/>
  <c r="E1683" i="2"/>
  <c r="C1683" i="2"/>
  <c r="E1682" i="2"/>
  <c r="C1682" i="2"/>
  <c r="E1681" i="2"/>
  <c r="C1681" i="2"/>
  <c r="E1680" i="2"/>
  <c r="C1680" i="2"/>
  <c r="E1679" i="2"/>
  <c r="C1679" i="2"/>
  <c r="E1678" i="2"/>
  <c r="C1678" i="2"/>
  <c r="E1677" i="2"/>
  <c r="C1677" i="2"/>
  <c r="E1676" i="2"/>
  <c r="C1676" i="2"/>
  <c r="E1675" i="2"/>
  <c r="C1675" i="2"/>
  <c r="E1674" i="2"/>
  <c r="C1674" i="2"/>
  <c r="E1673" i="2"/>
  <c r="C1673" i="2"/>
  <c r="E1672" i="2"/>
  <c r="C1672" i="2"/>
  <c r="E1671" i="2"/>
  <c r="C1671" i="2"/>
  <c r="E1670" i="2"/>
  <c r="C1670" i="2"/>
  <c r="E1669" i="2"/>
  <c r="C1669" i="2"/>
  <c r="E1668" i="2"/>
  <c r="C1668" i="2"/>
  <c r="E1667" i="2"/>
  <c r="C1667" i="2"/>
  <c r="E1666" i="2"/>
  <c r="C1666" i="2"/>
  <c r="E1665" i="2"/>
  <c r="C1665" i="2"/>
  <c r="E1664" i="2"/>
  <c r="C1664" i="2"/>
  <c r="E1663" i="2"/>
  <c r="C1663" i="2"/>
  <c r="E1662" i="2"/>
  <c r="C1662" i="2"/>
  <c r="E1661" i="2"/>
  <c r="C1661" i="2"/>
  <c r="E1660" i="2"/>
  <c r="C1660" i="2"/>
  <c r="E1659" i="2"/>
  <c r="C1659" i="2"/>
  <c r="E1658" i="2"/>
  <c r="C1658" i="2"/>
  <c r="E1657" i="2"/>
  <c r="C1657" i="2"/>
  <c r="E1656" i="2"/>
  <c r="C1656" i="2"/>
  <c r="E1655" i="2"/>
  <c r="C1655" i="2"/>
  <c r="E1654" i="2"/>
  <c r="C1654" i="2"/>
  <c r="E1653" i="2"/>
  <c r="C1653" i="2"/>
  <c r="E1652" i="2"/>
  <c r="C1652" i="2"/>
  <c r="E1651" i="2"/>
  <c r="C1651" i="2"/>
  <c r="E1650" i="2"/>
  <c r="C1650" i="2"/>
  <c r="E1649" i="2"/>
  <c r="C1649" i="2"/>
  <c r="E1648" i="2"/>
  <c r="C1648" i="2"/>
  <c r="E1647" i="2"/>
  <c r="C1647" i="2"/>
  <c r="E1646" i="2"/>
  <c r="C1646" i="2"/>
  <c r="E1645" i="2"/>
  <c r="C1645" i="2"/>
  <c r="E1644" i="2"/>
  <c r="C1644" i="2"/>
  <c r="E1643" i="2"/>
  <c r="C1643" i="2"/>
  <c r="E1642" i="2"/>
  <c r="C1642" i="2"/>
  <c r="E1641" i="2"/>
  <c r="C1641" i="2"/>
  <c r="E1640" i="2"/>
  <c r="C1640" i="2"/>
  <c r="E1639" i="2"/>
  <c r="C1639" i="2"/>
  <c r="E1638" i="2"/>
  <c r="C1638" i="2"/>
  <c r="E1637" i="2"/>
  <c r="C1637" i="2"/>
  <c r="E1636" i="2"/>
  <c r="C1636" i="2"/>
  <c r="E1635" i="2"/>
  <c r="C1635" i="2"/>
  <c r="E1634" i="2"/>
  <c r="C1634" i="2"/>
  <c r="E1633" i="2"/>
  <c r="C1633" i="2"/>
  <c r="E1632" i="2"/>
  <c r="C1632" i="2"/>
  <c r="E1631" i="2"/>
  <c r="C1631" i="2"/>
  <c r="E1630" i="2"/>
  <c r="C1630" i="2"/>
  <c r="E1629" i="2"/>
  <c r="C1629" i="2"/>
  <c r="E1628" i="2"/>
  <c r="C1628" i="2"/>
  <c r="E1627" i="2"/>
  <c r="C1627" i="2"/>
  <c r="E1626" i="2"/>
  <c r="C1626" i="2"/>
  <c r="E1625" i="2"/>
  <c r="C1625" i="2"/>
  <c r="E1624" i="2"/>
  <c r="C1624" i="2"/>
  <c r="E1623" i="2"/>
  <c r="C1623" i="2"/>
  <c r="E1622" i="2"/>
  <c r="C1622" i="2"/>
  <c r="E1621" i="2"/>
  <c r="C1621" i="2"/>
  <c r="E1620" i="2"/>
  <c r="C1620" i="2"/>
  <c r="E1619" i="2"/>
  <c r="C1619" i="2"/>
  <c r="E1618" i="2"/>
  <c r="C1618" i="2"/>
  <c r="E1617" i="2"/>
  <c r="C1617" i="2"/>
  <c r="E1616" i="2"/>
  <c r="C1616" i="2"/>
  <c r="E1615" i="2"/>
  <c r="C1615" i="2"/>
  <c r="E1614" i="2"/>
  <c r="C1614" i="2"/>
  <c r="E1613" i="2"/>
  <c r="C1613" i="2"/>
  <c r="E1612" i="2"/>
  <c r="C1612" i="2"/>
  <c r="E1611" i="2"/>
  <c r="C1611" i="2"/>
  <c r="E1610" i="2"/>
  <c r="C1610" i="2"/>
  <c r="E1609" i="2"/>
  <c r="C1609" i="2"/>
  <c r="E1608" i="2"/>
  <c r="C1608" i="2"/>
  <c r="E1607" i="2"/>
  <c r="C1607" i="2"/>
  <c r="E1606" i="2"/>
  <c r="C1606" i="2"/>
  <c r="E1605" i="2"/>
  <c r="C1605" i="2"/>
  <c r="E1604" i="2"/>
  <c r="C1604" i="2"/>
  <c r="E1603" i="2"/>
  <c r="C1603" i="2"/>
  <c r="E1602" i="2"/>
  <c r="C1602" i="2"/>
  <c r="E1601" i="2"/>
  <c r="C1601" i="2"/>
  <c r="E1600" i="2"/>
  <c r="C1600" i="2"/>
  <c r="E1599" i="2"/>
  <c r="C1599" i="2"/>
  <c r="E1598" i="2"/>
  <c r="C1598" i="2"/>
  <c r="E1597" i="2"/>
  <c r="C1597" i="2"/>
  <c r="E1596" i="2"/>
  <c r="C1596" i="2"/>
  <c r="E1595" i="2"/>
  <c r="C1595" i="2"/>
  <c r="E1594" i="2"/>
  <c r="C1594" i="2"/>
  <c r="E1593" i="2"/>
  <c r="C1593" i="2"/>
  <c r="E1592" i="2"/>
  <c r="C1592" i="2"/>
  <c r="E1591" i="2"/>
  <c r="C1591" i="2"/>
  <c r="E1590" i="2"/>
  <c r="C1590" i="2"/>
  <c r="E1589" i="2"/>
  <c r="C1589" i="2"/>
  <c r="E1588" i="2"/>
  <c r="C1588" i="2"/>
  <c r="E1587" i="2"/>
  <c r="C1587" i="2"/>
  <c r="E1586" i="2"/>
  <c r="C1586" i="2"/>
  <c r="E1585" i="2"/>
  <c r="C1585" i="2"/>
  <c r="E1584" i="2"/>
  <c r="C1584" i="2"/>
  <c r="E1583" i="2"/>
  <c r="C1583" i="2"/>
  <c r="E1582" i="2"/>
  <c r="C1582" i="2"/>
  <c r="E1581" i="2"/>
  <c r="C1581" i="2"/>
  <c r="E1580" i="2"/>
  <c r="C1580" i="2"/>
  <c r="E1579" i="2"/>
  <c r="C1579" i="2"/>
  <c r="E1578" i="2"/>
  <c r="C1578" i="2"/>
  <c r="E1577" i="2"/>
  <c r="C1577" i="2"/>
  <c r="E1576" i="2"/>
  <c r="C1576" i="2"/>
  <c r="E1575" i="2"/>
  <c r="C1575" i="2"/>
  <c r="E1574" i="2"/>
  <c r="C1574" i="2"/>
  <c r="E1573" i="2"/>
  <c r="C1573" i="2"/>
  <c r="E1572" i="2"/>
  <c r="C1572" i="2"/>
  <c r="E1571" i="2"/>
  <c r="C1571" i="2"/>
  <c r="E1570" i="2"/>
  <c r="C1570" i="2"/>
  <c r="E1569" i="2"/>
  <c r="C1569" i="2"/>
  <c r="E1568" i="2"/>
  <c r="C1568" i="2"/>
  <c r="E1567" i="2"/>
  <c r="C1567" i="2"/>
  <c r="E1566" i="2"/>
  <c r="C1566" i="2"/>
  <c r="E1565" i="2"/>
  <c r="C1565" i="2"/>
  <c r="E1564" i="2"/>
  <c r="C1564" i="2"/>
  <c r="E1563" i="2"/>
  <c r="C1563" i="2"/>
  <c r="E1562" i="2"/>
  <c r="C1562" i="2"/>
  <c r="E1561" i="2"/>
  <c r="C1561" i="2"/>
  <c r="E1560" i="2"/>
  <c r="C1560" i="2"/>
  <c r="E1559" i="2"/>
  <c r="C1559" i="2"/>
  <c r="E1558" i="2"/>
  <c r="C1558" i="2"/>
  <c r="E1557" i="2"/>
  <c r="C1557" i="2"/>
  <c r="E1556" i="2"/>
  <c r="C1556" i="2"/>
  <c r="E1555" i="2"/>
  <c r="C1555" i="2"/>
  <c r="E1554" i="2"/>
  <c r="C1554" i="2"/>
  <c r="E1553" i="2"/>
  <c r="C1553" i="2"/>
  <c r="E1552" i="2"/>
  <c r="C1552" i="2"/>
  <c r="E1551" i="2"/>
  <c r="C1551" i="2"/>
  <c r="E1550" i="2"/>
  <c r="C1550" i="2"/>
  <c r="E1549" i="2"/>
  <c r="C1549" i="2"/>
  <c r="E1548" i="2"/>
  <c r="C1548" i="2"/>
  <c r="E1547" i="2"/>
  <c r="C1547" i="2"/>
  <c r="E1546" i="2"/>
  <c r="C1546" i="2"/>
  <c r="E1545" i="2"/>
  <c r="C1545" i="2"/>
  <c r="E1544" i="2"/>
  <c r="C1544" i="2"/>
  <c r="E1543" i="2"/>
  <c r="C1543" i="2"/>
  <c r="E1542" i="2"/>
  <c r="C1542" i="2"/>
  <c r="E1541" i="2"/>
  <c r="C1541" i="2"/>
  <c r="E1540" i="2"/>
  <c r="C1540" i="2"/>
  <c r="E1539" i="2"/>
  <c r="C1539" i="2"/>
  <c r="E1538" i="2"/>
  <c r="C1538" i="2"/>
  <c r="E1537" i="2"/>
  <c r="C1537" i="2"/>
  <c r="E1536" i="2"/>
  <c r="C1536" i="2"/>
  <c r="E1535" i="2"/>
  <c r="C1535" i="2"/>
  <c r="E1534" i="2"/>
  <c r="C1534" i="2"/>
  <c r="E1533" i="2"/>
  <c r="C1533" i="2"/>
  <c r="E1532" i="2"/>
  <c r="C1532" i="2"/>
  <c r="E1531" i="2"/>
  <c r="C1531" i="2"/>
  <c r="E1530" i="2"/>
  <c r="C1530" i="2"/>
  <c r="E1529" i="2"/>
  <c r="C1529" i="2"/>
  <c r="E1528" i="2"/>
  <c r="C1528" i="2"/>
  <c r="E1527" i="2"/>
  <c r="C1527" i="2"/>
  <c r="E1526" i="2"/>
  <c r="C1526" i="2"/>
  <c r="E1525" i="2"/>
  <c r="C1525" i="2"/>
  <c r="E1524" i="2"/>
  <c r="C1524" i="2"/>
  <c r="E1523" i="2"/>
  <c r="C1523" i="2"/>
  <c r="E1522" i="2"/>
  <c r="C1522" i="2"/>
  <c r="E1521" i="2"/>
  <c r="C1521" i="2"/>
  <c r="E1520" i="2"/>
  <c r="C1520" i="2"/>
  <c r="E1519" i="2"/>
  <c r="C1519" i="2"/>
  <c r="E1518" i="2"/>
  <c r="C1518" i="2"/>
  <c r="E1517" i="2"/>
  <c r="C1517" i="2"/>
  <c r="E1516" i="2"/>
  <c r="C1516" i="2"/>
  <c r="E1515" i="2"/>
  <c r="C1515" i="2"/>
  <c r="E1514" i="2"/>
  <c r="C1514" i="2"/>
  <c r="E1513" i="2"/>
  <c r="C1513" i="2"/>
  <c r="E1512" i="2"/>
  <c r="C1512" i="2"/>
  <c r="E1511" i="2"/>
  <c r="C1511" i="2"/>
  <c r="E1510" i="2"/>
  <c r="C1510" i="2"/>
  <c r="E1509" i="2"/>
  <c r="C1509" i="2"/>
  <c r="E1508" i="2"/>
  <c r="C1508" i="2"/>
  <c r="E1507" i="2"/>
  <c r="C1507" i="2"/>
  <c r="E1506" i="2"/>
  <c r="C1506" i="2"/>
  <c r="E1505" i="2"/>
  <c r="C1505" i="2"/>
  <c r="E1504" i="2"/>
  <c r="C1504" i="2"/>
  <c r="E1503" i="2"/>
  <c r="C1503" i="2"/>
  <c r="E1502" i="2"/>
  <c r="C1502" i="2"/>
  <c r="E1501" i="2"/>
  <c r="C1501" i="2"/>
  <c r="E1500" i="2"/>
  <c r="C1500" i="2"/>
  <c r="E1499" i="2"/>
  <c r="C1499" i="2"/>
  <c r="E1498" i="2"/>
  <c r="C1498" i="2"/>
  <c r="E1497" i="2"/>
  <c r="C1497" i="2"/>
  <c r="E1496" i="2"/>
  <c r="C1496" i="2"/>
  <c r="E1495" i="2"/>
  <c r="C1495" i="2"/>
  <c r="E1494" i="2"/>
  <c r="C1494" i="2"/>
  <c r="E1493" i="2"/>
  <c r="C1493" i="2"/>
  <c r="E1492" i="2"/>
  <c r="C1492" i="2"/>
  <c r="E1491" i="2"/>
  <c r="C1491" i="2"/>
  <c r="E1490" i="2"/>
  <c r="C1490" i="2"/>
  <c r="E1489" i="2"/>
  <c r="C1489" i="2"/>
  <c r="E1488" i="2"/>
  <c r="C1488" i="2"/>
  <c r="E1487" i="2"/>
  <c r="C1487" i="2"/>
  <c r="E1486" i="2"/>
  <c r="C1486" i="2"/>
  <c r="E1485" i="2"/>
  <c r="C1485" i="2"/>
  <c r="E1484" i="2"/>
  <c r="C1484" i="2"/>
  <c r="E1483" i="2"/>
  <c r="C1483" i="2"/>
  <c r="E1482" i="2"/>
  <c r="C1482" i="2"/>
  <c r="E1481" i="2"/>
  <c r="C1481" i="2"/>
  <c r="E1480" i="2"/>
  <c r="C1480" i="2"/>
  <c r="E1479" i="2"/>
  <c r="C1479" i="2"/>
  <c r="E1478" i="2"/>
  <c r="C1478" i="2"/>
  <c r="E1477" i="2"/>
  <c r="C1477" i="2"/>
  <c r="E1476" i="2"/>
  <c r="C1476" i="2"/>
  <c r="E1475" i="2"/>
  <c r="C1475" i="2"/>
  <c r="E1474" i="2"/>
  <c r="C1474" i="2"/>
  <c r="E1473" i="2"/>
  <c r="C1473" i="2"/>
  <c r="E1472" i="2"/>
  <c r="C1472" i="2"/>
  <c r="E1471" i="2"/>
  <c r="C1471" i="2"/>
  <c r="E1470" i="2"/>
  <c r="C1470" i="2"/>
  <c r="E1469" i="2"/>
  <c r="C1469" i="2"/>
  <c r="E1468" i="2"/>
  <c r="C1468" i="2"/>
  <c r="E1467" i="2"/>
  <c r="C1467" i="2"/>
  <c r="E1466" i="2"/>
  <c r="C1466" i="2"/>
  <c r="E1465" i="2"/>
  <c r="C1465" i="2"/>
  <c r="E1464" i="2"/>
  <c r="C1464" i="2"/>
  <c r="E1463" i="2"/>
  <c r="C1463" i="2"/>
  <c r="E1462" i="2"/>
  <c r="C1462" i="2"/>
  <c r="E1461" i="2"/>
  <c r="C1461" i="2"/>
  <c r="E1460" i="2"/>
  <c r="C1460" i="2"/>
  <c r="E1459" i="2"/>
  <c r="C1459" i="2"/>
  <c r="E1458" i="2"/>
  <c r="C1458" i="2"/>
  <c r="E1457" i="2"/>
  <c r="C1457" i="2"/>
  <c r="E1456" i="2"/>
  <c r="C1456" i="2"/>
  <c r="E1455" i="2"/>
  <c r="C1455" i="2"/>
  <c r="E1454" i="2"/>
  <c r="C1454" i="2"/>
  <c r="E1453" i="2"/>
  <c r="C1453" i="2"/>
  <c r="E1452" i="2"/>
  <c r="C1452" i="2"/>
  <c r="E1451" i="2"/>
  <c r="C1451" i="2"/>
  <c r="E1450" i="2"/>
  <c r="C1450" i="2"/>
  <c r="E1449" i="2"/>
  <c r="C1449" i="2"/>
  <c r="E1448" i="2"/>
  <c r="C1448" i="2"/>
  <c r="E1447" i="2"/>
  <c r="C1447" i="2"/>
  <c r="E1446" i="2"/>
  <c r="C1446" i="2"/>
  <c r="E1445" i="2"/>
  <c r="C1445" i="2"/>
  <c r="E1444" i="2"/>
  <c r="C1444" i="2"/>
  <c r="E1443" i="2"/>
  <c r="C1443" i="2"/>
  <c r="E1442" i="2"/>
  <c r="C1442" i="2"/>
  <c r="E1441" i="2"/>
  <c r="C1441" i="2"/>
  <c r="E1440" i="2"/>
  <c r="C1440" i="2"/>
  <c r="E1439" i="2"/>
  <c r="C1439" i="2"/>
  <c r="E1438" i="2"/>
  <c r="C1438" i="2"/>
  <c r="E1437" i="2"/>
  <c r="C1437" i="2"/>
  <c r="E1436" i="2"/>
  <c r="C1436" i="2"/>
  <c r="E1435" i="2"/>
  <c r="C1435" i="2"/>
  <c r="E1434" i="2"/>
  <c r="C1434" i="2"/>
  <c r="E1433" i="2"/>
  <c r="C1433" i="2"/>
  <c r="E1432" i="2"/>
  <c r="C1432" i="2"/>
  <c r="E1431" i="2"/>
  <c r="C1431" i="2"/>
  <c r="E1430" i="2"/>
  <c r="C1430" i="2"/>
  <c r="E1429" i="2"/>
  <c r="C1429" i="2"/>
  <c r="E1428" i="2"/>
  <c r="C1428" i="2"/>
  <c r="E1427" i="2"/>
  <c r="C1427" i="2"/>
  <c r="E1426" i="2"/>
  <c r="C1426" i="2"/>
  <c r="E1425" i="2"/>
  <c r="C1425" i="2"/>
  <c r="E1424" i="2"/>
  <c r="C1424" i="2"/>
  <c r="E1423" i="2"/>
  <c r="C1423" i="2"/>
  <c r="E1422" i="2"/>
  <c r="C1422" i="2"/>
  <c r="E1421" i="2"/>
  <c r="C1421" i="2"/>
  <c r="E1420" i="2"/>
  <c r="C1420" i="2"/>
  <c r="E1419" i="2"/>
  <c r="C1419" i="2"/>
  <c r="E1418" i="2"/>
  <c r="C1418" i="2"/>
  <c r="E1417" i="2"/>
  <c r="C1417" i="2"/>
  <c r="E1416" i="2"/>
  <c r="C1416" i="2"/>
  <c r="E1415" i="2"/>
  <c r="C1415" i="2"/>
  <c r="E1414" i="2"/>
  <c r="C1414" i="2"/>
  <c r="E1413" i="2"/>
  <c r="C1413" i="2"/>
  <c r="E1412" i="2"/>
  <c r="C1412" i="2"/>
  <c r="E1411" i="2"/>
  <c r="C1411" i="2"/>
  <c r="E1410" i="2"/>
  <c r="C1410" i="2"/>
  <c r="E1409" i="2"/>
  <c r="C1409" i="2"/>
  <c r="E1408" i="2"/>
  <c r="C1408" i="2"/>
  <c r="E1407" i="2"/>
  <c r="C1407" i="2"/>
  <c r="E1406" i="2"/>
  <c r="C1406" i="2"/>
  <c r="E1405" i="2"/>
  <c r="C1405" i="2"/>
  <c r="E1404" i="2"/>
  <c r="C1404" i="2"/>
  <c r="E1403" i="2"/>
  <c r="C1403" i="2"/>
  <c r="E1402" i="2"/>
  <c r="C1402" i="2"/>
  <c r="E1401" i="2"/>
  <c r="C1401" i="2"/>
  <c r="E1400" i="2"/>
  <c r="C1400" i="2"/>
  <c r="E1399" i="2"/>
  <c r="C1399" i="2"/>
  <c r="E1398" i="2"/>
  <c r="C1398" i="2"/>
  <c r="E1397" i="2"/>
  <c r="C1397" i="2"/>
  <c r="E1396" i="2"/>
  <c r="C1396" i="2"/>
  <c r="E1395" i="2"/>
  <c r="C1395" i="2"/>
  <c r="E1394" i="2"/>
  <c r="C1394" i="2"/>
  <c r="E1393" i="2"/>
  <c r="C1393" i="2"/>
  <c r="E1392" i="2"/>
  <c r="C1392" i="2"/>
  <c r="E1391" i="2"/>
  <c r="C1391" i="2"/>
  <c r="E1390" i="2"/>
  <c r="C1390" i="2"/>
  <c r="E1389" i="2"/>
  <c r="C1389" i="2"/>
  <c r="E1388" i="2"/>
  <c r="C1388" i="2"/>
  <c r="E1387" i="2"/>
  <c r="C1387" i="2"/>
  <c r="E1386" i="2"/>
  <c r="C1386" i="2"/>
  <c r="E1385" i="2"/>
  <c r="C1385" i="2"/>
  <c r="E1384" i="2"/>
  <c r="C1384" i="2"/>
  <c r="E1383" i="2"/>
  <c r="C1383" i="2"/>
  <c r="E1382" i="2"/>
  <c r="C1382" i="2"/>
  <c r="E1381" i="2"/>
  <c r="C1381" i="2"/>
  <c r="E1380" i="2"/>
  <c r="C1380" i="2"/>
  <c r="E1379" i="2"/>
  <c r="C1379" i="2"/>
  <c r="E1378" i="2"/>
  <c r="C1378" i="2"/>
  <c r="E1377" i="2"/>
  <c r="C1377" i="2"/>
  <c r="E1376" i="2"/>
  <c r="C1376" i="2"/>
  <c r="E1375" i="2"/>
  <c r="C1375" i="2"/>
  <c r="E1374" i="2"/>
  <c r="C1374" i="2"/>
  <c r="E1373" i="2"/>
  <c r="C1373" i="2"/>
  <c r="E1372" i="2"/>
  <c r="C1372" i="2"/>
  <c r="E1371" i="2"/>
  <c r="C1371" i="2"/>
  <c r="E1370" i="2"/>
  <c r="C1370" i="2"/>
  <c r="E1369" i="2"/>
  <c r="C1369" i="2"/>
  <c r="E1368" i="2"/>
  <c r="C1368" i="2"/>
  <c r="E1367" i="2"/>
  <c r="C1367" i="2"/>
  <c r="E1366" i="2"/>
  <c r="C1366" i="2"/>
  <c r="E1365" i="2"/>
  <c r="C1365" i="2"/>
  <c r="E1364" i="2"/>
  <c r="C1364" i="2"/>
  <c r="E1363" i="2"/>
  <c r="C1363" i="2"/>
  <c r="E1362" i="2"/>
  <c r="C1362" i="2"/>
  <c r="E1361" i="2"/>
  <c r="C1361" i="2"/>
  <c r="E1360" i="2"/>
  <c r="C1360" i="2"/>
  <c r="E1359" i="2"/>
  <c r="C1359" i="2"/>
  <c r="E1358" i="2"/>
  <c r="C1358" i="2"/>
  <c r="E1357" i="2"/>
  <c r="C1357" i="2"/>
  <c r="E1356" i="2"/>
  <c r="C1356" i="2"/>
  <c r="E1355" i="2"/>
  <c r="C1355" i="2"/>
  <c r="E1354" i="2"/>
  <c r="C1354" i="2"/>
  <c r="E1353" i="2"/>
  <c r="C1353" i="2"/>
  <c r="E1352" i="2"/>
  <c r="C1352" i="2"/>
  <c r="E1351" i="2"/>
  <c r="C1351" i="2"/>
  <c r="E1350" i="2"/>
  <c r="C1350" i="2"/>
  <c r="E1349" i="2"/>
  <c r="C1349" i="2"/>
  <c r="E1348" i="2"/>
  <c r="C1348" i="2"/>
  <c r="E1347" i="2"/>
  <c r="C1347" i="2"/>
  <c r="E1346" i="2"/>
  <c r="C1346" i="2"/>
  <c r="E1345" i="2"/>
  <c r="C1345" i="2"/>
  <c r="E1344" i="2"/>
  <c r="C1344" i="2"/>
  <c r="E1343" i="2"/>
  <c r="C1343" i="2"/>
  <c r="E1342" i="2"/>
  <c r="C1342" i="2"/>
  <c r="E1341" i="2"/>
  <c r="C1341" i="2"/>
  <c r="E1340" i="2"/>
  <c r="C1340" i="2"/>
  <c r="E1339" i="2"/>
  <c r="C1339" i="2"/>
  <c r="E1338" i="2"/>
  <c r="C1338" i="2"/>
  <c r="E1337" i="2"/>
  <c r="C1337" i="2"/>
  <c r="E1336" i="2"/>
  <c r="C1336" i="2"/>
  <c r="E1335" i="2"/>
  <c r="C1335" i="2"/>
  <c r="E1334" i="2"/>
  <c r="C1334" i="2"/>
  <c r="E1333" i="2"/>
  <c r="C1333" i="2"/>
  <c r="E1332" i="2"/>
  <c r="C1332" i="2"/>
  <c r="E1331" i="2"/>
  <c r="C1331" i="2"/>
  <c r="E1330" i="2"/>
  <c r="C1330" i="2"/>
  <c r="E1329" i="2"/>
  <c r="C1329" i="2"/>
  <c r="E1328" i="2"/>
  <c r="C1328" i="2"/>
  <c r="E1327" i="2"/>
  <c r="C1327" i="2"/>
  <c r="E1326" i="2"/>
  <c r="C1326" i="2"/>
  <c r="E1325" i="2"/>
  <c r="C1325" i="2"/>
  <c r="E1324" i="2"/>
  <c r="C1324" i="2"/>
  <c r="E1323" i="2"/>
  <c r="C1323" i="2"/>
  <c r="E1322" i="2"/>
  <c r="C1322" i="2"/>
  <c r="E1321" i="2"/>
  <c r="C1321" i="2"/>
  <c r="E1320" i="2"/>
  <c r="C1320" i="2"/>
  <c r="E1319" i="2"/>
  <c r="C1319" i="2"/>
  <c r="E1318" i="2"/>
  <c r="C1318" i="2"/>
  <c r="E1317" i="2"/>
  <c r="C1317" i="2"/>
  <c r="E1316" i="2"/>
  <c r="C1316" i="2"/>
  <c r="E1315" i="2"/>
  <c r="C1315" i="2"/>
  <c r="E1314" i="2"/>
  <c r="C1314" i="2"/>
  <c r="E1313" i="2"/>
  <c r="C1313" i="2"/>
  <c r="E1312" i="2"/>
  <c r="C1312" i="2"/>
  <c r="E1311" i="2"/>
  <c r="C1311" i="2"/>
  <c r="E1310" i="2"/>
  <c r="C1310" i="2"/>
  <c r="E1309" i="2"/>
  <c r="C1309" i="2"/>
  <c r="E1308" i="2"/>
  <c r="C1308" i="2"/>
  <c r="E1307" i="2"/>
  <c r="C1307" i="2"/>
  <c r="E1306" i="2"/>
  <c r="C1306" i="2"/>
  <c r="E1305" i="2"/>
  <c r="C1305" i="2"/>
  <c r="E1304" i="2"/>
  <c r="C1304" i="2"/>
  <c r="E1303" i="2"/>
  <c r="C1303" i="2"/>
  <c r="E1302" i="2"/>
  <c r="C1302" i="2"/>
  <c r="E1301" i="2"/>
  <c r="C1301" i="2"/>
  <c r="E1300" i="2"/>
  <c r="C1300" i="2"/>
  <c r="E1299" i="2"/>
  <c r="C1299" i="2"/>
  <c r="E1298" i="2"/>
  <c r="C1298" i="2"/>
  <c r="E1297" i="2"/>
  <c r="C1297" i="2"/>
  <c r="E1296" i="2"/>
  <c r="C1296" i="2"/>
  <c r="E1295" i="2"/>
  <c r="C1295" i="2"/>
  <c r="E1294" i="2"/>
  <c r="C1294" i="2"/>
  <c r="E1293" i="2"/>
  <c r="C1293" i="2"/>
  <c r="E1292" i="2"/>
  <c r="C1292" i="2"/>
  <c r="E1291" i="2"/>
  <c r="C1291" i="2"/>
  <c r="E1290" i="2"/>
  <c r="C1290" i="2"/>
  <c r="E1289" i="2"/>
  <c r="C1289" i="2"/>
  <c r="E1288" i="2"/>
  <c r="C1288" i="2"/>
  <c r="E1287" i="2"/>
  <c r="C1287" i="2"/>
  <c r="E1286" i="2"/>
  <c r="C1286" i="2"/>
  <c r="E1285" i="2"/>
  <c r="C1285" i="2"/>
  <c r="E1284" i="2"/>
  <c r="C1284" i="2"/>
  <c r="E1283" i="2"/>
  <c r="C1283" i="2"/>
  <c r="E1282" i="2"/>
  <c r="C1282" i="2"/>
  <c r="E1281" i="2"/>
  <c r="C1281" i="2"/>
  <c r="E1280" i="2"/>
  <c r="C1280" i="2"/>
  <c r="E1279" i="2"/>
  <c r="C1279" i="2"/>
  <c r="E1278" i="2"/>
  <c r="C1278" i="2"/>
  <c r="E1277" i="2"/>
  <c r="C1277" i="2"/>
  <c r="E1276" i="2"/>
  <c r="C1276" i="2"/>
  <c r="E1275" i="2"/>
  <c r="C1275" i="2"/>
  <c r="E1274" i="2"/>
  <c r="C1274" i="2"/>
  <c r="E1273" i="2"/>
  <c r="C1273" i="2"/>
  <c r="E1272" i="2"/>
  <c r="C1272" i="2"/>
  <c r="E1271" i="2"/>
  <c r="C1271" i="2"/>
  <c r="E1270" i="2"/>
  <c r="C1270" i="2"/>
  <c r="E1269" i="2"/>
  <c r="C1269" i="2"/>
  <c r="E1268" i="2"/>
  <c r="C1268" i="2"/>
  <c r="E1267" i="2"/>
  <c r="C1267" i="2"/>
  <c r="E1266" i="2"/>
  <c r="C1266" i="2"/>
  <c r="E1265" i="2"/>
  <c r="C1265" i="2"/>
  <c r="E1264" i="2"/>
  <c r="C1264" i="2"/>
  <c r="E1263" i="2"/>
  <c r="C1263" i="2"/>
  <c r="E1262" i="2"/>
  <c r="C1262" i="2"/>
  <c r="E1261" i="2"/>
  <c r="C1261" i="2"/>
  <c r="E1260" i="2"/>
  <c r="C1260" i="2"/>
  <c r="E1259" i="2"/>
  <c r="C1259" i="2"/>
  <c r="E1258" i="2"/>
  <c r="C1258" i="2"/>
  <c r="E1257" i="2"/>
  <c r="C1257" i="2"/>
  <c r="E1256" i="2"/>
  <c r="C1256" i="2"/>
  <c r="E1255" i="2"/>
  <c r="C1255" i="2"/>
  <c r="E1254" i="2"/>
  <c r="C1254" i="2"/>
  <c r="E1253" i="2"/>
  <c r="C1253" i="2"/>
  <c r="E1252" i="2"/>
  <c r="C1252" i="2"/>
  <c r="E1251" i="2"/>
  <c r="C1251" i="2"/>
  <c r="E1250" i="2"/>
  <c r="C1250" i="2"/>
  <c r="E1249" i="2"/>
  <c r="C1249" i="2"/>
  <c r="E1248" i="2"/>
  <c r="C1248" i="2"/>
  <c r="E1247" i="2"/>
  <c r="C1247" i="2"/>
  <c r="E1246" i="2"/>
  <c r="C1246" i="2"/>
  <c r="E1245" i="2"/>
  <c r="C1245" i="2"/>
  <c r="E1244" i="2"/>
  <c r="C1244" i="2"/>
  <c r="E1243" i="2"/>
  <c r="C1243" i="2"/>
  <c r="E1242" i="2"/>
  <c r="C1242" i="2"/>
  <c r="E1241" i="2"/>
  <c r="C1241" i="2"/>
  <c r="E1240" i="2"/>
  <c r="C1240" i="2"/>
  <c r="E1239" i="2"/>
  <c r="C1239" i="2"/>
  <c r="E1238" i="2"/>
  <c r="C1238" i="2"/>
  <c r="E1237" i="2"/>
  <c r="C1237" i="2"/>
  <c r="E1236" i="2"/>
  <c r="C1236" i="2"/>
  <c r="E1235" i="2"/>
  <c r="C1235" i="2"/>
  <c r="E1234" i="2"/>
  <c r="C1234" i="2"/>
  <c r="E1233" i="2"/>
  <c r="C1233" i="2"/>
  <c r="E1232" i="2"/>
  <c r="C1232" i="2"/>
  <c r="E1231" i="2"/>
  <c r="C1231" i="2"/>
  <c r="E1230" i="2"/>
  <c r="C1230" i="2"/>
  <c r="E1229" i="2"/>
  <c r="C1229" i="2"/>
  <c r="E1228" i="2"/>
  <c r="C1228" i="2"/>
  <c r="E1227" i="2"/>
  <c r="C1227" i="2"/>
  <c r="E1226" i="2"/>
  <c r="C1226" i="2"/>
  <c r="E1225" i="2"/>
  <c r="C1225" i="2"/>
  <c r="E1224" i="2"/>
  <c r="C1224" i="2"/>
  <c r="E1223" i="2"/>
  <c r="C1223" i="2"/>
  <c r="E1222" i="2"/>
  <c r="C1222" i="2"/>
  <c r="E1221" i="2"/>
  <c r="C1221" i="2"/>
  <c r="E1220" i="2"/>
  <c r="C1220" i="2"/>
  <c r="E1219" i="2"/>
  <c r="C1219" i="2"/>
  <c r="E1218" i="2"/>
  <c r="C1218" i="2"/>
  <c r="E1217" i="2"/>
  <c r="C1217" i="2"/>
  <c r="E1216" i="2"/>
  <c r="C1216" i="2"/>
  <c r="E1215" i="2"/>
  <c r="C1215" i="2"/>
  <c r="E1214" i="2"/>
  <c r="C1214" i="2"/>
  <c r="E1213" i="2"/>
  <c r="C1213" i="2"/>
  <c r="E1212" i="2"/>
  <c r="C1212" i="2"/>
  <c r="E1211" i="2"/>
  <c r="C1211" i="2"/>
  <c r="E1210" i="2"/>
  <c r="C1210" i="2"/>
  <c r="E1209" i="2"/>
  <c r="C1209" i="2"/>
  <c r="E1208" i="2"/>
  <c r="C1208" i="2"/>
  <c r="E1207" i="2"/>
  <c r="C1207" i="2"/>
  <c r="E1206" i="2"/>
  <c r="C1206" i="2"/>
  <c r="E1205" i="2"/>
  <c r="C1205" i="2"/>
  <c r="E1204" i="2"/>
  <c r="C1204" i="2"/>
  <c r="E1203" i="2"/>
  <c r="C1203" i="2"/>
  <c r="E1202" i="2"/>
  <c r="C1202" i="2"/>
  <c r="E1201" i="2"/>
  <c r="C1201" i="2"/>
  <c r="E1200" i="2"/>
  <c r="C1200" i="2"/>
  <c r="E1199" i="2"/>
  <c r="C1199" i="2"/>
  <c r="E1198" i="2"/>
  <c r="C1198" i="2"/>
  <c r="E1197" i="2"/>
  <c r="C1197" i="2"/>
  <c r="E1196" i="2"/>
  <c r="C1196" i="2"/>
  <c r="E1195" i="2"/>
  <c r="C1195" i="2"/>
  <c r="E1194" i="2"/>
  <c r="C1194" i="2"/>
  <c r="E1193" i="2"/>
  <c r="C1193" i="2"/>
  <c r="E1192" i="2"/>
  <c r="C1192" i="2"/>
  <c r="E1191" i="2"/>
  <c r="C1191" i="2"/>
  <c r="E1190" i="2"/>
  <c r="C1190" i="2"/>
  <c r="E1189" i="2"/>
  <c r="C1189" i="2"/>
  <c r="E1188" i="2"/>
  <c r="C1188" i="2"/>
  <c r="E1187" i="2"/>
  <c r="C1187" i="2"/>
  <c r="E1186" i="2"/>
  <c r="C1186" i="2"/>
  <c r="E1185" i="2"/>
  <c r="C1185" i="2"/>
  <c r="E1184" i="2"/>
  <c r="C1184" i="2"/>
  <c r="E1183" i="2"/>
  <c r="C1183" i="2"/>
  <c r="E1182" i="2"/>
  <c r="C1182" i="2"/>
  <c r="E1181" i="2"/>
  <c r="C1181" i="2"/>
  <c r="E1180" i="2"/>
  <c r="C1180" i="2"/>
  <c r="E1179" i="2"/>
  <c r="C1179" i="2"/>
  <c r="E1178" i="2"/>
  <c r="C1178" i="2"/>
  <c r="E1177" i="2"/>
  <c r="C1177" i="2"/>
  <c r="E1176" i="2"/>
  <c r="C1176" i="2"/>
  <c r="E1175" i="2"/>
  <c r="C1175" i="2"/>
  <c r="E1174" i="2"/>
  <c r="C1174" i="2"/>
  <c r="E1173" i="2"/>
  <c r="C1173" i="2"/>
  <c r="E1172" i="2"/>
  <c r="C1172" i="2"/>
  <c r="E1171" i="2"/>
  <c r="C1171" i="2"/>
  <c r="E1170" i="2"/>
  <c r="C1170" i="2"/>
  <c r="E1169" i="2"/>
  <c r="C1169" i="2"/>
  <c r="E1168" i="2"/>
  <c r="C1168" i="2"/>
  <c r="E1167" i="2"/>
  <c r="C1167" i="2"/>
  <c r="E1166" i="2"/>
  <c r="C1166" i="2"/>
  <c r="E1165" i="2"/>
  <c r="C1165" i="2"/>
  <c r="E1164" i="2"/>
  <c r="C1164" i="2"/>
  <c r="E1163" i="2"/>
  <c r="C1163" i="2"/>
  <c r="E1162" i="2"/>
  <c r="C1162" i="2"/>
  <c r="E1161" i="2"/>
  <c r="C1161" i="2"/>
  <c r="E1160" i="2"/>
  <c r="C1160" i="2"/>
  <c r="E1159" i="2"/>
  <c r="C1159" i="2"/>
  <c r="E1158" i="2"/>
  <c r="C1158" i="2"/>
  <c r="E1157" i="2"/>
  <c r="C1157" i="2"/>
  <c r="E1156" i="2"/>
  <c r="C1156" i="2"/>
  <c r="E1155" i="2"/>
  <c r="C1155" i="2"/>
  <c r="E1154" i="2"/>
  <c r="C1154" i="2"/>
  <c r="E1153" i="2"/>
  <c r="C1153" i="2"/>
  <c r="E1152" i="2"/>
  <c r="C1152" i="2"/>
  <c r="E1151" i="2"/>
  <c r="C1151" i="2"/>
  <c r="E1150" i="2"/>
  <c r="C1150" i="2"/>
  <c r="E1149" i="2"/>
  <c r="C1149" i="2"/>
  <c r="E1148" i="2"/>
  <c r="C1148" i="2"/>
  <c r="E1147" i="2"/>
  <c r="C1147" i="2"/>
  <c r="E1146" i="2"/>
  <c r="C1146" i="2"/>
  <c r="E1145" i="2"/>
  <c r="C1145" i="2"/>
  <c r="E1144" i="2"/>
  <c r="C1144" i="2"/>
  <c r="E1143" i="2"/>
  <c r="C1143" i="2"/>
  <c r="E1142" i="2"/>
  <c r="C1142" i="2"/>
  <c r="E1141" i="2"/>
  <c r="C1141" i="2"/>
  <c r="E1140" i="2"/>
  <c r="C1140" i="2"/>
  <c r="E1139" i="2"/>
  <c r="C1139" i="2"/>
  <c r="E1138" i="2"/>
  <c r="C1138" i="2"/>
  <c r="E1137" i="2"/>
  <c r="C1137" i="2"/>
  <c r="E1136" i="2"/>
  <c r="C1136" i="2"/>
  <c r="E1135" i="2"/>
  <c r="C1135" i="2"/>
  <c r="E1134" i="2"/>
  <c r="C1134" i="2"/>
  <c r="E1133" i="2"/>
  <c r="C1133" i="2"/>
  <c r="E1132" i="2"/>
  <c r="C1132" i="2"/>
  <c r="E1131" i="2"/>
  <c r="C1131" i="2"/>
  <c r="E1130" i="2"/>
  <c r="C1130" i="2"/>
  <c r="E1129" i="2"/>
  <c r="C1129" i="2"/>
  <c r="E1128" i="2"/>
  <c r="C1128" i="2"/>
  <c r="E1127" i="2"/>
  <c r="C1127" i="2"/>
  <c r="E1126" i="2"/>
  <c r="C1126" i="2"/>
  <c r="E1125" i="2"/>
  <c r="C1125" i="2"/>
  <c r="E1124" i="2"/>
  <c r="C1124" i="2"/>
  <c r="E1123" i="2"/>
  <c r="C1123" i="2"/>
  <c r="E1122" i="2"/>
  <c r="C1122" i="2"/>
  <c r="E1121" i="2"/>
  <c r="C1121" i="2"/>
  <c r="E1120" i="2"/>
  <c r="C1120" i="2"/>
  <c r="E1119" i="2"/>
  <c r="C1119" i="2"/>
  <c r="E1118" i="2"/>
  <c r="C1118" i="2"/>
  <c r="E1117" i="2"/>
  <c r="C1117" i="2"/>
  <c r="E1116" i="2"/>
  <c r="C1116" i="2"/>
  <c r="E1115" i="2"/>
  <c r="C1115" i="2"/>
  <c r="E1114" i="2"/>
  <c r="C1114" i="2"/>
  <c r="E1113" i="2"/>
  <c r="C1113" i="2"/>
  <c r="E1112" i="2"/>
  <c r="C1112" i="2"/>
  <c r="E1111" i="2"/>
  <c r="C1111" i="2"/>
  <c r="E1110" i="2"/>
  <c r="C1110" i="2"/>
  <c r="E1109" i="2"/>
  <c r="C1109" i="2"/>
  <c r="E1108" i="2"/>
  <c r="C1108" i="2"/>
  <c r="E1107" i="2"/>
  <c r="C1107" i="2"/>
  <c r="E1106" i="2"/>
  <c r="C1106" i="2"/>
  <c r="E1105" i="2"/>
  <c r="C1105" i="2"/>
  <c r="E1104" i="2"/>
  <c r="C1104" i="2"/>
  <c r="E1103" i="2"/>
  <c r="C1103" i="2"/>
  <c r="E1102" i="2"/>
  <c r="C1102" i="2"/>
  <c r="E1101" i="2"/>
  <c r="C1101" i="2"/>
  <c r="E1100" i="2"/>
  <c r="C1100" i="2"/>
  <c r="E1099" i="2"/>
  <c r="C1099" i="2"/>
  <c r="E1098" i="2"/>
  <c r="C1098" i="2"/>
  <c r="E1097" i="2"/>
  <c r="C1097" i="2"/>
  <c r="E1096" i="2"/>
  <c r="C1096" i="2"/>
  <c r="E1095" i="2"/>
  <c r="C1095" i="2"/>
  <c r="E1094" i="2"/>
  <c r="C1094" i="2"/>
  <c r="E1093" i="2"/>
  <c r="C1093" i="2"/>
  <c r="E1092" i="2"/>
  <c r="C1092" i="2"/>
  <c r="E1091" i="2"/>
  <c r="C1091" i="2"/>
  <c r="E1090" i="2"/>
  <c r="C1090" i="2"/>
  <c r="E1089" i="2"/>
  <c r="C1089" i="2"/>
  <c r="E1088" i="2"/>
  <c r="C1088" i="2"/>
  <c r="E1087" i="2"/>
  <c r="C1087" i="2"/>
  <c r="E1086" i="2"/>
  <c r="C1086" i="2"/>
  <c r="E1085" i="2"/>
  <c r="C1085" i="2"/>
  <c r="E1084" i="2"/>
  <c r="C1084" i="2"/>
  <c r="E1083" i="2"/>
  <c r="C1083" i="2"/>
  <c r="E1082" i="2"/>
  <c r="C1082" i="2"/>
  <c r="E1081" i="2"/>
  <c r="C1081" i="2"/>
  <c r="E1080" i="2"/>
  <c r="C1080" i="2"/>
  <c r="E1079" i="2"/>
  <c r="C1079" i="2"/>
  <c r="E1078" i="2"/>
  <c r="C1078" i="2"/>
  <c r="E1077" i="2"/>
  <c r="C1077" i="2"/>
  <c r="E1076" i="2"/>
  <c r="C1076" i="2"/>
  <c r="E1075" i="2"/>
  <c r="C1075" i="2"/>
  <c r="E1074" i="2"/>
  <c r="C1074" i="2"/>
  <c r="E1073" i="2"/>
  <c r="C1073" i="2"/>
  <c r="E1072" i="2"/>
  <c r="C1072" i="2"/>
  <c r="E1071" i="2"/>
  <c r="C1071" i="2"/>
  <c r="E1070" i="2"/>
  <c r="C1070" i="2"/>
  <c r="E1069" i="2"/>
  <c r="C1069" i="2"/>
  <c r="E1068" i="2"/>
  <c r="C1068" i="2"/>
  <c r="E1067" i="2"/>
  <c r="C1067" i="2"/>
  <c r="E1066" i="2"/>
  <c r="C1066" i="2"/>
  <c r="E1065" i="2"/>
  <c r="C1065" i="2"/>
  <c r="E1064" i="2"/>
  <c r="C1064" i="2"/>
  <c r="E1063" i="2"/>
  <c r="C1063" i="2"/>
  <c r="E1062" i="2"/>
  <c r="C1062" i="2"/>
  <c r="E1061" i="2"/>
  <c r="C1061" i="2"/>
  <c r="E1060" i="2"/>
  <c r="C1060" i="2"/>
  <c r="E1059" i="2"/>
  <c r="C1059" i="2"/>
  <c r="E1058" i="2"/>
  <c r="C1058" i="2"/>
  <c r="E1057" i="2"/>
  <c r="C1057" i="2"/>
  <c r="E1056" i="2"/>
  <c r="C1056" i="2"/>
  <c r="E1055" i="2"/>
  <c r="C1055" i="2"/>
  <c r="E1054" i="2"/>
  <c r="C1054" i="2"/>
  <c r="E1053" i="2"/>
  <c r="C1053" i="2"/>
  <c r="E1052" i="2"/>
  <c r="C1052" i="2"/>
  <c r="E1051" i="2"/>
  <c r="C1051" i="2"/>
  <c r="E1050" i="2"/>
  <c r="C1050" i="2"/>
  <c r="E1049" i="2"/>
  <c r="C1049" i="2"/>
  <c r="E1048" i="2"/>
  <c r="C1048" i="2"/>
  <c r="E1047" i="2"/>
  <c r="C1047" i="2"/>
  <c r="E1046" i="2"/>
  <c r="C1046" i="2"/>
  <c r="E1045" i="2"/>
  <c r="C1045" i="2"/>
  <c r="E1044" i="2"/>
  <c r="C1044" i="2"/>
  <c r="E1043" i="2"/>
  <c r="C1043" i="2"/>
  <c r="E1042" i="2"/>
  <c r="C1042" i="2"/>
  <c r="E1041" i="2"/>
  <c r="C1041" i="2"/>
  <c r="E1040" i="2"/>
  <c r="C1040" i="2"/>
  <c r="E1039" i="2"/>
  <c r="C1039" i="2"/>
  <c r="E1038" i="2"/>
  <c r="C1038" i="2"/>
  <c r="E1037" i="2"/>
  <c r="C1037" i="2"/>
  <c r="E1036" i="2"/>
  <c r="C1036" i="2"/>
  <c r="E1035" i="2"/>
  <c r="C1035" i="2"/>
  <c r="E1034" i="2"/>
  <c r="C1034" i="2"/>
  <c r="E1033" i="2"/>
  <c r="C1033" i="2"/>
  <c r="E1032" i="2"/>
  <c r="C1032" i="2"/>
  <c r="E1031" i="2"/>
  <c r="C1031" i="2"/>
  <c r="E1030" i="2"/>
  <c r="C1030" i="2"/>
  <c r="E1029" i="2"/>
  <c r="C1029" i="2"/>
  <c r="E1028" i="2"/>
  <c r="C1028" i="2"/>
  <c r="E1027" i="2"/>
  <c r="C1027" i="2"/>
  <c r="E1026" i="2"/>
  <c r="C1026" i="2"/>
  <c r="E1025" i="2"/>
  <c r="C1025" i="2"/>
  <c r="E1024" i="2"/>
  <c r="C1024" i="2"/>
  <c r="E1023" i="2"/>
  <c r="C1023" i="2"/>
  <c r="E1022" i="2"/>
  <c r="C1022" i="2"/>
  <c r="E1021" i="2"/>
  <c r="C1021" i="2"/>
  <c r="E1020" i="2"/>
  <c r="C1020" i="2"/>
  <c r="E1019" i="2"/>
  <c r="C1019" i="2"/>
  <c r="E1018" i="2"/>
  <c r="C1018" i="2"/>
  <c r="E1017" i="2"/>
  <c r="C1017" i="2"/>
  <c r="E1016" i="2"/>
  <c r="C1016" i="2"/>
  <c r="E1015" i="2"/>
  <c r="C1015" i="2"/>
  <c r="E1014" i="2"/>
  <c r="C1014" i="2"/>
  <c r="E1013" i="2"/>
  <c r="C1013" i="2"/>
  <c r="E1012" i="2"/>
  <c r="C1012" i="2"/>
  <c r="E1011" i="2"/>
  <c r="C1011" i="2"/>
  <c r="E1010" i="2"/>
  <c r="C1010" i="2"/>
  <c r="E1009" i="2"/>
  <c r="C1009" i="2"/>
  <c r="E1008" i="2"/>
  <c r="C1008" i="2"/>
  <c r="E1007" i="2"/>
  <c r="C1007" i="2"/>
  <c r="E1006" i="2"/>
  <c r="C1006" i="2"/>
  <c r="E1005" i="2"/>
  <c r="C1005" i="2"/>
  <c r="E1004" i="2"/>
  <c r="C1004" i="2"/>
  <c r="E1003" i="2"/>
  <c r="C1003" i="2"/>
  <c r="E1002" i="2"/>
  <c r="C1002" i="2"/>
  <c r="E1001" i="2"/>
  <c r="C1001" i="2"/>
  <c r="E1000" i="2"/>
  <c r="C1000" i="2"/>
  <c r="E999" i="2"/>
  <c r="C999" i="2"/>
  <c r="E998" i="2"/>
  <c r="C998" i="2"/>
  <c r="E997" i="2"/>
  <c r="C997" i="2"/>
  <c r="E996" i="2"/>
  <c r="C996" i="2"/>
  <c r="E995" i="2"/>
  <c r="C995" i="2"/>
  <c r="E994" i="2"/>
  <c r="C994" i="2"/>
  <c r="E993" i="2"/>
  <c r="C993" i="2"/>
  <c r="E992" i="2"/>
  <c r="C992" i="2"/>
  <c r="E991" i="2"/>
  <c r="C991" i="2"/>
  <c r="E990" i="2"/>
  <c r="C990" i="2"/>
  <c r="E989" i="2"/>
  <c r="C989" i="2"/>
  <c r="E988" i="2"/>
  <c r="C988" i="2"/>
  <c r="E987" i="2"/>
  <c r="C987" i="2"/>
  <c r="E986" i="2"/>
  <c r="C986" i="2"/>
  <c r="E985" i="2"/>
  <c r="C985" i="2"/>
  <c r="E984" i="2"/>
  <c r="C984" i="2"/>
  <c r="E983" i="2"/>
  <c r="C983" i="2"/>
  <c r="E982" i="2"/>
  <c r="C982" i="2"/>
  <c r="E981" i="2"/>
  <c r="C981" i="2"/>
  <c r="E980" i="2"/>
  <c r="C980" i="2"/>
  <c r="E979" i="2"/>
  <c r="C979" i="2"/>
  <c r="E978" i="2"/>
  <c r="C978" i="2"/>
  <c r="E977" i="2"/>
  <c r="C977" i="2"/>
  <c r="E976" i="2"/>
  <c r="C976" i="2"/>
  <c r="E975" i="2"/>
  <c r="C975" i="2"/>
  <c r="E974" i="2"/>
  <c r="C974" i="2"/>
  <c r="E973" i="2"/>
  <c r="C973" i="2"/>
  <c r="E972" i="2"/>
  <c r="C972" i="2"/>
  <c r="E971" i="2"/>
  <c r="C971" i="2"/>
  <c r="E970" i="2"/>
  <c r="C970" i="2"/>
  <c r="E969" i="2"/>
  <c r="C969" i="2"/>
  <c r="E968" i="2"/>
  <c r="C968" i="2"/>
  <c r="E967" i="2"/>
  <c r="C967" i="2"/>
  <c r="E966" i="2"/>
  <c r="C966" i="2"/>
  <c r="E965" i="2"/>
  <c r="C965" i="2"/>
  <c r="E964" i="2"/>
  <c r="C964" i="2"/>
  <c r="E963" i="2"/>
  <c r="C963" i="2"/>
  <c r="E962" i="2"/>
  <c r="C962" i="2"/>
  <c r="E961" i="2"/>
  <c r="C961" i="2"/>
  <c r="E960" i="2"/>
  <c r="C960" i="2"/>
  <c r="E959" i="2"/>
  <c r="C959" i="2"/>
  <c r="E958" i="2"/>
  <c r="C958" i="2"/>
  <c r="E957" i="2"/>
  <c r="C957" i="2"/>
  <c r="E956" i="2"/>
  <c r="C956" i="2"/>
  <c r="E955" i="2"/>
  <c r="C955" i="2"/>
  <c r="E954" i="2"/>
  <c r="C954" i="2"/>
  <c r="E953" i="2"/>
  <c r="C953" i="2"/>
  <c r="E952" i="2"/>
  <c r="C952" i="2"/>
  <c r="E951" i="2"/>
  <c r="C951" i="2"/>
  <c r="E950" i="2"/>
  <c r="C950" i="2"/>
  <c r="E949" i="2"/>
  <c r="C949" i="2"/>
  <c r="E948" i="2"/>
  <c r="C948" i="2"/>
  <c r="E947" i="2"/>
  <c r="C947" i="2"/>
  <c r="E946" i="2"/>
  <c r="C946" i="2"/>
  <c r="E945" i="2"/>
  <c r="C945" i="2"/>
  <c r="E944" i="2"/>
  <c r="C944" i="2"/>
  <c r="E943" i="2"/>
  <c r="C943" i="2"/>
  <c r="E942" i="2"/>
  <c r="C942" i="2"/>
  <c r="E941" i="2"/>
  <c r="C941" i="2"/>
  <c r="E940" i="2"/>
  <c r="C940" i="2"/>
  <c r="E939" i="2"/>
  <c r="C939" i="2"/>
  <c r="E938" i="2"/>
  <c r="C938" i="2"/>
  <c r="E937" i="2"/>
  <c r="C937" i="2"/>
  <c r="E936" i="2"/>
  <c r="C936" i="2"/>
  <c r="E935" i="2"/>
  <c r="C935" i="2"/>
  <c r="E934" i="2"/>
  <c r="C934" i="2"/>
  <c r="E933" i="2"/>
  <c r="C933" i="2"/>
  <c r="E932" i="2"/>
  <c r="C932" i="2"/>
  <c r="E931" i="2"/>
  <c r="C931" i="2"/>
  <c r="E930" i="2"/>
  <c r="C930" i="2"/>
  <c r="E929" i="2"/>
  <c r="C929" i="2"/>
  <c r="E928" i="2"/>
  <c r="C928" i="2"/>
  <c r="E927" i="2"/>
  <c r="C927" i="2"/>
  <c r="E926" i="2"/>
  <c r="C926" i="2"/>
  <c r="E925" i="2"/>
  <c r="C925" i="2"/>
  <c r="E924" i="2"/>
  <c r="C924" i="2"/>
  <c r="E923" i="2"/>
  <c r="C923" i="2"/>
  <c r="E922" i="2"/>
  <c r="C922" i="2"/>
  <c r="E921" i="2"/>
  <c r="C921" i="2"/>
  <c r="E920" i="2"/>
  <c r="C920" i="2"/>
  <c r="E919" i="2"/>
  <c r="C919" i="2"/>
  <c r="E918" i="2"/>
  <c r="C918" i="2"/>
  <c r="E917" i="2"/>
  <c r="C917" i="2"/>
  <c r="E916" i="2"/>
  <c r="C916" i="2"/>
  <c r="E915" i="2"/>
  <c r="C915" i="2"/>
  <c r="E914" i="2"/>
  <c r="C914" i="2"/>
  <c r="E913" i="2"/>
  <c r="C913" i="2"/>
  <c r="E912" i="2"/>
  <c r="C912" i="2"/>
  <c r="E911" i="2"/>
  <c r="C911" i="2"/>
  <c r="E910" i="2"/>
  <c r="C910" i="2"/>
  <c r="E909" i="2"/>
  <c r="C909" i="2"/>
  <c r="E908" i="2"/>
  <c r="C908" i="2"/>
  <c r="E907" i="2"/>
  <c r="C907" i="2"/>
  <c r="E906" i="2"/>
  <c r="C906" i="2"/>
  <c r="E905" i="2"/>
  <c r="C905" i="2"/>
  <c r="E904" i="2"/>
  <c r="C904" i="2"/>
  <c r="E903" i="2"/>
  <c r="C903" i="2"/>
  <c r="E902" i="2"/>
  <c r="C902" i="2"/>
  <c r="E901" i="2"/>
  <c r="C901" i="2"/>
  <c r="E900" i="2"/>
  <c r="C900" i="2"/>
  <c r="E899" i="2"/>
  <c r="C899" i="2"/>
  <c r="E898" i="2"/>
  <c r="C898" i="2"/>
  <c r="E897" i="2"/>
  <c r="C897" i="2"/>
  <c r="E896" i="2"/>
  <c r="C896" i="2"/>
  <c r="E895" i="2"/>
  <c r="C895" i="2"/>
  <c r="E894" i="2"/>
  <c r="C894" i="2"/>
  <c r="E893" i="2"/>
  <c r="C893" i="2"/>
  <c r="E892" i="2"/>
  <c r="C892" i="2"/>
  <c r="E891" i="2"/>
  <c r="C891" i="2"/>
  <c r="E890" i="2"/>
  <c r="C890" i="2"/>
  <c r="E889" i="2"/>
  <c r="C889" i="2"/>
  <c r="E888" i="2"/>
  <c r="C888" i="2"/>
  <c r="E887" i="2"/>
  <c r="C887" i="2"/>
  <c r="E886" i="2"/>
  <c r="C886" i="2"/>
  <c r="E885" i="2"/>
  <c r="C885" i="2"/>
  <c r="E884" i="2"/>
  <c r="C884" i="2"/>
  <c r="E883" i="2"/>
  <c r="C883" i="2"/>
  <c r="E882" i="2"/>
  <c r="C882" i="2"/>
  <c r="E881" i="2"/>
  <c r="C881" i="2"/>
  <c r="E880" i="2"/>
  <c r="C880" i="2"/>
  <c r="E879" i="2"/>
  <c r="C879" i="2"/>
  <c r="E878" i="2"/>
  <c r="C878" i="2"/>
  <c r="E877" i="2"/>
  <c r="C877" i="2"/>
  <c r="E876" i="2"/>
  <c r="C876" i="2"/>
  <c r="E875" i="2"/>
  <c r="C875" i="2"/>
  <c r="E874" i="2"/>
  <c r="C874" i="2"/>
  <c r="E873" i="2"/>
  <c r="C873" i="2"/>
  <c r="E872" i="2"/>
  <c r="C872" i="2"/>
  <c r="E871" i="2"/>
  <c r="C871" i="2"/>
  <c r="E870" i="2"/>
  <c r="C870" i="2"/>
  <c r="E869" i="2"/>
  <c r="C869" i="2"/>
  <c r="E868" i="2"/>
  <c r="C868" i="2"/>
  <c r="E867" i="2"/>
  <c r="C867" i="2"/>
  <c r="E866" i="2"/>
  <c r="C866" i="2"/>
  <c r="E865" i="2"/>
  <c r="C865" i="2"/>
  <c r="E864" i="2"/>
  <c r="C864" i="2"/>
  <c r="E863" i="2"/>
  <c r="C863" i="2"/>
  <c r="E862" i="2"/>
  <c r="C862" i="2"/>
  <c r="E861" i="2"/>
  <c r="C861" i="2"/>
  <c r="E860" i="2"/>
  <c r="C860" i="2"/>
  <c r="E859" i="2"/>
  <c r="C859" i="2"/>
  <c r="E858" i="2"/>
  <c r="C858" i="2"/>
  <c r="E857" i="2"/>
  <c r="C857" i="2"/>
  <c r="E856" i="2"/>
  <c r="C856" i="2"/>
  <c r="E855" i="2"/>
  <c r="C855" i="2"/>
  <c r="E854" i="2"/>
  <c r="C854" i="2"/>
  <c r="E853" i="2"/>
  <c r="C853" i="2"/>
  <c r="E852" i="2"/>
  <c r="C852" i="2"/>
  <c r="E851" i="2"/>
  <c r="C851" i="2"/>
  <c r="E850" i="2"/>
  <c r="C850" i="2"/>
  <c r="E849" i="2"/>
  <c r="C849" i="2"/>
  <c r="E848" i="2"/>
  <c r="C848" i="2"/>
  <c r="E847" i="2"/>
  <c r="C847" i="2"/>
  <c r="E846" i="2"/>
  <c r="C846" i="2"/>
  <c r="E845" i="2"/>
  <c r="C845" i="2"/>
  <c r="E844" i="2"/>
  <c r="C844" i="2"/>
  <c r="E843" i="2"/>
  <c r="C843" i="2"/>
  <c r="E842" i="2"/>
  <c r="C842" i="2"/>
  <c r="E841" i="2"/>
  <c r="C841" i="2"/>
  <c r="E840" i="2"/>
  <c r="C840" i="2"/>
  <c r="E839" i="2"/>
  <c r="C839" i="2"/>
  <c r="E838" i="2"/>
  <c r="C838" i="2"/>
  <c r="E837" i="2"/>
  <c r="C837" i="2"/>
  <c r="E836" i="2"/>
  <c r="C836" i="2"/>
  <c r="E835" i="2"/>
  <c r="C835" i="2"/>
  <c r="E834" i="2"/>
  <c r="C834" i="2"/>
  <c r="E833" i="2"/>
  <c r="C833" i="2"/>
  <c r="E832" i="2"/>
  <c r="C832" i="2"/>
  <c r="E831" i="2"/>
  <c r="C831" i="2"/>
  <c r="E830" i="2"/>
  <c r="C830" i="2"/>
  <c r="E829" i="2"/>
  <c r="C829" i="2"/>
  <c r="E828" i="2"/>
  <c r="C828" i="2"/>
  <c r="E827" i="2"/>
  <c r="C827" i="2"/>
  <c r="E826" i="2"/>
  <c r="C826" i="2"/>
  <c r="E825" i="2"/>
  <c r="C825" i="2"/>
  <c r="E824" i="2"/>
  <c r="C824" i="2"/>
  <c r="E823" i="2"/>
  <c r="C823" i="2"/>
  <c r="E822" i="2"/>
  <c r="C822" i="2"/>
  <c r="E821" i="2"/>
  <c r="C821" i="2"/>
  <c r="E820" i="2"/>
  <c r="C820" i="2"/>
  <c r="E819" i="2"/>
  <c r="C819" i="2"/>
  <c r="E818" i="2"/>
  <c r="C818" i="2"/>
  <c r="E817" i="2"/>
  <c r="C817" i="2"/>
  <c r="E816" i="2"/>
  <c r="C816" i="2"/>
  <c r="E815" i="2"/>
  <c r="C815" i="2"/>
  <c r="E814" i="2"/>
  <c r="C814" i="2"/>
  <c r="E813" i="2"/>
  <c r="C813" i="2"/>
  <c r="E812" i="2"/>
  <c r="C812" i="2"/>
  <c r="E811" i="2"/>
  <c r="C811" i="2"/>
  <c r="E810" i="2"/>
  <c r="C810" i="2"/>
  <c r="E809" i="2"/>
  <c r="C809" i="2"/>
  <c r="E808" i="2"/>
  <c r="C808" i="2"/>
  <c r="E807" i="2"/>
  <c r="C807" i="2"/>
  <c r="E806" i="2"/>
  <c r="C806" i="2"/>
  <c r="E805" i="2"/>
  <c r="C805" i="2"/>
  <c r="E804" i="2"/>
  <c r="C804" i="2"/>
  <c r="E803" i="2"/>
  <c r="C803" i="2"/>
  <c r="E802" i="2"/>
  <c r="C802" i="2"/>
  <c r="E801" i="2"/>
  <c r="C801" i="2"/>
  <c r="E800" i="2"/>
  <c r="C800" i="2"/>
  <c r="E799" i="2"/>
  <c r="C799" i="2"/>
  <c r="E798" i="2"/>
  <c r="C798" i="2"/>
  <c r="E797" i="2"/>
  <c r="C797" i="2"/>
  <c r="E796" i="2"/>
  <c r="C796" i="2"/>
  <c r="E795" i="2"/>
  <c r="C795" i="2"/>
  <c r="E794" i="2"/>
  <c r="C794" i="2"/>
  <c r="E793" i="2"/>
  <c r="C793" i="2"/>
  <c r="E792" i="2"/>
  <c r="C792" i="2"/>
  <c r="E791" i="2"/>
  <c r="C791" i="2"/>
  <c r="E790" i="2"/>
  <c r="C790" i="2"/>
  <c r="E789" i="2"/>
  <c r="C789" i="2"/>
  <c r="E788" i="2"/>
  <c r="C788" i="2"/>
  <c r="E787" i="2"/>
  <c r="C787" i="2"/>
  <c r="E786" i="2"/>
  <c r="C786" i="2"/>
  <c r="E785" i="2"/>
  <c r="C785" i="2"/>
  <c r="E784" i="2"/>
  <c r="C784" i="2"/>
  <c r="E783" i="2"/>
  <c r="C783" i="2"/>
  <c r="E782" i="2"/>
  <c r="C782" i="2"/>
  <c r="E781" i="2"/>
  <c r="C781" i="2"/>
  <c r="E780" i="2"/>
  <c r="C780" i="2"/>
  <c r="E779" i="2"/>
  <c r="C779" i="2"/>
  <c r="E778" i="2"/>
  <c r="C778" i="2"/>
  <c r="E777" i="2"/>
  <c r="C777" i="2"/>
  <c r="E776" i="2"/>
  <c r="C776" i="2"/>
  <c r="E775" i="2"/>
  <c r="C775" i="2"/>
  <c r="E774" i="2"/>
  <c r="C774" i="2"/>
  <c r="E773" i="2"/>
  <c r="C773" i="2"/>
  <c r="E772" i="2"/>
  <c r="C772" i="2"/>
  <c r="E771" i="2"/>
  <c r="C771" i="2"/>
  <c r="E770" i="2"/>
  <c r="C770" i="2"/>
  <c r="E769" i="2"/>
  <c r="C769" i="2"/>
  <c r="E768" i="2"/>
  <c r="C768" i="2"/>
  <c r="E767" i="2"/>
  <c r="C767" i="2"/>
  <c r="E766" i="2"/>
  <c r="C766" i="2"/>
  <c r="E765" i="2"/>
  <c r="C765" i="2"/>
  <c r="E764" i="2"/>
  <c r="C764" i="2"/>
  <c r="E763" i="2"/>
  <c r="C763" i="2"/>
  <c r="E762" i="2"/>
  <c r="C762" i="2"/>
  <c r="E761" i="2"/>
  <c r="C761" i="2"/>
  <c r="E760" i="2"/>
  <c r="C760" i="2"/>
  <c r="E759" i="2"/>
  <c r="C759" i="2"/>
  <c r="E758" i="2"/>
  <c r="C758" i="2"/>
  <c r="E757" i="2"/>
  <c r="C757" i="2"/>
  <c r="E756" i="2"/>
  <c r="C756" i="2"/>
  <c r="E755" i="2"/>
  <c r="C755" i="2"/>
  <c r="E754" i="2"/>
  <c r="C754" i="2"/>
  <c r="E753" i="2"/>
  <c r="C753" i="2"/>
  <c r="E752" i="2"/>
  <c r="C752" i="2"/>
  <c r="E751" i="2"/>
  <c r="C751" i="2"/>
  <c r="E750" i="2"/>
  <c r="C750" i="2"/>
  <c r="E749" i="2"/>
  <c r="C749" i="2"/>
  <c r="E748" i="2"/>
  <c r="C748" i="2"/>
  <c r="E747" i="2"/>
  <c r="C747" i="2"/>
  <c r="E746" i="2"/>
  <c r="C746" i="2"/>
  <c r="E745" i="2"/>
  <c r="C745" i="2"/>
  <c r="E744" i="2"/>
  <c r="C744" i="2"/>
  <c r="E743" i="2"/>
  <c r="C743" i="2"/>
  <c r="E742" i="2"/>
  <c r="C742" i="2"/>
  <c r="E741" i="2"/>
  <c r="C741" i="2"/>
  <c r="E740" i="2"/>
  <c r="C740" i="2"/>
  <c r="E739" i="2"/>
  <c r="C739" i="2"/>
  <c r="E738" i="2"/>
  <c r="C738" i="2"/>
  <c r="E737" i="2"/>
  <c r="C737" i="2"/>
  <c r="E736" i="2"/>
  <c r="C736" i="2"/>
  <c r="E735" i="2"/>
  <c r="C735" i="2"/>
  <c r="E734" i="2"/>
  <c r="C734" i="2"/>
  <c r="E733" i="2"/>
  <c r="C733" i="2"/>
  <c r="E732" i="2"/>
  <c r="C732" i="2"/>
  <c r="E731" i="2"/>
  <c r="C731" i="2"/>
  <c r="E730" i="2"/>
  <c r="C730" i="2"/>
  <c r="E729" i="2"/>
  <c r="C729" i="2"/>
  <c r="E728" i="2"/>
  <c r="C728" i="2"/>
  <c r="E727" i="2"/>
  <c r="C727" i="2"/>
  <c r="E726" i="2"/>
  <c r="C726" i="2"/>
  <c r="E725" i="2"/>
  <c r="C725" i="2"/>
  <c r="E724" i="2"/>
  <c r="C724" i="2"/>
  <c r="E723" i="2"/>
  <c r="C723" i="2"/>
  <c r="E722" i="2"/>
  <c r="C722" i="2"/>
  <c r="E721" i="2"/>
  <c r="C721" i="2"/>
  <c r="E720" i="2"/>
  <c r="C720" i="2"/>
  <c r="E719" i="2"/>
  <c r="C719" i="2"/>
  <c r="E718" i="2"/>
  <c r="C718" i="2"/>
  <c r="E717" i="2"/>
  <c r="C717" i="2"/>
  <c r="E716" i="2"/>
  <c r="C716" i="2"/>
  <c r="E715" i="2"/>
  <c r="C715" i="2"/>
  <c r="E714" i="2"/>
  <c r="C714" i="2"/>
  <c r="E713" i="2"/>
  <c r="C713" i="2"/>
  <c r="E712" i="2"/>
  <c r="C712" i="2"/>
  <c r="E711" i="2"/>
  <c r="C711" i="2"/>
  <c r="E710" i="2"/>
  <c r="C710" i="2"/>
  <c r="E709" i="2"/>
  <c r="C709" i="2"/>
  <c r="E708" i="2"/>
  <c r="C708" i="2"/>
  <c r="E707" i="2"/>
  <c r="C707" i="2"/>
  <c r="E706" i="2"/>
  <c r="C706" i="2"/>
  <c r="E705" i="2"/>
  <c r="C705" i="2"/>
  <c r="E704" i="2"/>
  <c r="C704" i="2"/>
  <c r="E703" i="2"/>
  <c r="C703" i="2"/>
  <c r="E702" i="2"/>
  <c r="C702" i="2"/>
  <c r="E701" i="2"/>
  <c r="C701" i="2"/>
  <c r="E700" i="2"/>
  <c r="C700" i="2"/>
  <c r="E699" i="2"/>
  <c r="C699" i="2"/>
  <c r="E698" i="2"/>
  <c r="C698" i="2"/>
  <c r="E697" i="2"/>
  <c r="C697" i="2"/>
  <c r="E696" i="2"/>
  <c r="C696" i="2"/>
  <c r="E695" i="2"/>
  <c r="C695" i="2"/>
  <c r="E694" i="2"/>
  <c r="C694" i="2"/>
  <c r="E693" i="2"/>
  <c r="C693" i="2"/>
  <c r="E692" i="2"/>
  <c r="C692" i="2"/>
  <c r="E691" i="2"/>
  <c r="C691" i="2"/>
  <c r="E690" i="2"/>
  <c r="C690" i="2"/>
  <c r="E689" i="2"/>
  <c r="C689" i="2"/>
  <c r="E688" i="2"/>
  <c r="C688" i="2"/>
  <c r="E687" i="2"/>
  <c r="C687" i="2"/>
  <c r="E686" i="2"/>
  <c r="C686" i="2"/>
  <c r="E685" i="2"/>
  <c r="C685" i="2"/>
  <c r="E684" i="2"/>
  <c r="C684" i="2"/>
  <c r="E683" i="2"/>
  <c r="C683" i="2"/>
  <c r="E682" i="2"/>
  <c r="C682" i="2"/>
  <c r="E681" i="2"/>
  <c r="C681" i="2"/>
  <c r="E680" i="2"/>
  <c r="C680" i="2"/>
  <c r="E679" i="2"/>
  <c r="C679" i="2"/>
  <c r="E678" i="2"/>
  <c r="C678" i="2"/>
  <c r="E677" i="2"/>
  <c r="C677" i="2"/>
  <c r="E676" i="2"/>
  <c r="C676" i="2"/>
  <c r="E675" i="2"/>
  <c r="C675" i="2"/>
  <c r="E674" i="2"/>
  <c r="C674" i="2"/>
  <c r="E673" i="2"/>
  <c r="C673" i="2"/>
  <c r="E672" i="2"/>
  <c r="C672" i="2"/>
  <c r="E671" i="2"/>
  <c r="C671" i="2"/>
  <c r="E670" i="2"/>
  <c r="C670" i="2"/>
  <c r="E669" i="2"/>
  <c r="C669" i="2"/>
  <c r="E668" i="2"/>
  <c r="C668" i="2"/>
  <c r="E667" i="2"/>
  <c r="C667" i="2"/>
  <c r="E666" i="2"/>
  <c r="C666" i="2"/>
  <c r="E665" i="2"/>
  <c r="C665" i="2"/>
  <c r="E664" i="2"/>
  <c r="C664" i="2"/>
  <c r="E663" i="2"/>
  <c r="C663" i="2"/>
  <c r="E662" i="2"/>
  <c r="C662" i="2"/>
  <c r="E661" i="2"/>
  <c r="C661" i="2"/>
  <c r="E660" i="2"/>
  <c r="C660" i="2"/>
  <c r="E659" i="2"/>
  <c r="C659" i="2"/>
  <c r="E658" i="2"/>
  <c r="C658" i="2"/>
  <c r="E657" i="2"/>
  <c r="C657" i="2"/>
  <c r="E656" i="2"/>
  <c r="C656" i="2"/>
  <c r="E655" i="2"/>
  <c r="C655" i="2"/>
  <c r="E654" i="2"/>
  <c r="C654" i="2"/>
  <c r="E653" i="2"/>
  <c r="C653" i="2"/>
  <c r="E652" i="2"/>
  <c r="C652" i="2"/>
  <c r="E651" i="2"/>
  <c r="C651" i="2"/>
  <c r="E650" i="2"/>
  <c r="C650" i="2"/>
  <c r="E649" i="2"/>
  <c r="C649" i="2"/>
  <c r="E648" i="2"/>
  <c r="C648" i="2"/>
  <c r="E647" i="2"/>
  <c r="C647" i="2"/>
  <c r="E646" i="2"/>
  <c r="C646" i="2"/>
  <c r="E645" i="2"/>
  <c r="C645" i="2"/>
  <c r="E644" i="2"/>
  <c r="C644" i="2"/>
  <c r="E643" i="2"/>
  <c r="C643" i="2"/>
  <c r="E642" i="2"/>
  <c r="C642" i="2"/>
  <c r="E641" i="2"/>
  <c r="C641" i="2"/>
  <c r="E640" i="2"/>
  <c r="C640" i="2"/>
  <c r="E639" i="2"/>
  <c r="C639" i="2"/>
  <c r="E638" i="2"/>
  <c r="C638" i="2"/>
  <c r="E637" i="2"/>
  <c r="C637" i="2"/>
  <c r="E636" i="2"/>
  <c r="C636" i="2"/>
  <c r="E635" i="2"/>
  <c r="C635" i="2"/>
  <c r="E634" i="2"/>
  <c r="C634" i="2"/>
  <c r="E633" i="2"/>
  <c r="C633" i="2"/>
  <c r="E632" i="2"/>
  <c r="C632" i="2"/>
  <c r="E631" i="2"/>
  <c r="C631" i="2"/>
  <c r="E630" i="2"/>
  <c r="C630" i="2"/>
  <c r="E629" i="2"/>
  <c r="C629" i="2"/>
  <c r="E628" i="2"/>
  <c r="C628" i="2"/>
  <c r="E627" i="2"/>
  <c r="C627" i="2"/>
  <c r="E626" i="2"/>
  <c r="C626" i="2"/>
  <c r="E625" i="2"/>
  <c r="C625" i="2"/>
  <c r="E624" i="2"/>
  <c r="C624" i="2"/>
  <c r="E623" i="2"/>
  <c r="C623" i="2"/>
  <c r="E622" i="2"/>
  <c r="C622" i="2"/>
  <c r="E621" i="2"/>
  <c r="C621" i="2"/>
  <c r="E620" i="2"/>
  <c r="C620" i="2"/>
  <c r="E619" i="2"/>
  <c r="C619" i="2"/>
  <c r="E618" i="2"/>
  <c r="C618" i="2"/>
  <c r="E617" i="2"/>
  <c r="C617" i="2"/>
  <c r="E616" i="2"/>
  <c r="C616" i="2"/>
  <c r="E615" i="2"/>
  <c r="C615" i="2"/>
  <c r="E614" i="2"/>
  <c r="C614" i="2"/>
  <c r="E613" i="2"/>
  <c r="C613" i="2"/>
  <c r="E612" i="2"/>
  <c r="C612" i="2"/>
  <c r="E611" i="2"/>
  <c r="C611" i="2"/>
  <c r="E610" i="2"/>
  <c r="C610" i="2"/>
  <c r="E609" i="2"/>
  <c r="C609" i="2"/>
  <c r="E608" i="2"/>
  <c r="C608" i="2"/>
  <c r="E607" i="2"/>
  <c r="C607" i="2"/>
  <c r="E606" i="2"/>
  <c r="C606" i="2"/>
  <c r="E605" i="2"/>
  <c r="C605" i="2"/>
  <c r="E604" i="2"/>
  <c r="C604" i="2"/>
  <c r="E603" i="2"/>
  <c r="C603" i="2"/>
  <c r="E602" i="2"/>
  <c r="C602" i="2"/>
  <c r="E601" i="2"/>
  <c r="C601" i="2"/>
  <c r="E600" i="2"/>
  <c r="C600" i="2"/>
  <c r="E599" i="2"/>
  <c r="C599" i="2"/>
  <c r="E598" i="2"/>
  <c r="C598" i="2"/>
  <c r="E597" i="2"/>
  <c r="C597" i="2"/>
  <c r="E596" i="2"/>
  <c r="C596" i="2"/>
  <c r="E595" i="2"/>
  <c r="C595" i="2"/>
  <c r="E594" i="2"/>
  <c r="C594" i="2"/>
  <c r="E593" i="2"/>
  <c r="C593" i="2"/>
  <c r="E592" i="2"/>
  <c r="C592" i="2"/>
  <c r="E591" i="2"/>
  <c r="C591" i="2"/>
  <c r="E590" i="2"/>
  <c r="C590" i="2"/>
  <c r="E589" i="2"/>
  <c r="C589" i="2"/>
  <c r="E588" i="2"/>
  <c r="C588" i="2"/>
  <c r="E587" i="2"/>
  <c r="C587" i="2"/>
  <c r="E586" i="2"/>
  <c r="C586" i="2"/>
  <c r="E585" i="2"/>
  <c r="C585" i="2"/>
  <c r="E584" i="2"/>
  <c r="C584" i="2"/>
  <c r="E583" i="2"/>
  <c r="C583" i="2"/>
  <c r="E582" i="2"/>
  <c r="C582" i="2"/>
  <c r="E581" i="2"/>
  <c r="C581" i="2"/>
  <c r="E580" i="2"/>
  <c r="C580" i="2"/>
  <c r="E579" i="2"/>
  <c r="C579" i="2"/>
  <c r="E578" i="2"/>
  <c r="C578" i="2"/>
  <c r="E577" i="2"/>
  <c r="C577" i="2"/>
  <c r="E576" i="2"/>
  <c r="C576" i="2"/>
  <c r="E575" i="2"/>
  <c r="C575" i="2"/>
  <c r="E574" i="2"/>
  <c r="C574" i="2"/>
  <c r="E573" i="2"/>
  <c r="C573" i="2"/>
  <c r="E572" i="2"/>
  <c r="C572" i="2"/>
  <c r="E571" i="2"/>
  <c r="C571" i="2"/>
  <c r="E570" i="2"/>
  <c r="C570" i="2"/>
  <c r="E569" i="2"/>
  <c r="C569" i="2"/>
  <c r="E568" i="2"/>
  <c r="C568" i="2"/>
  <c r="E567" i="2"/>
  <c r="C567" i="2"/>
  <c r="E566" i="2"/>
  <c r="C566" i="2"/>
  <c r="E565" i="2"/>
  <c r="C565" i="2"/>
  <c r="E564" i="2"/>
  <c r="C564" i="2"/>
  <c r="E563" i="2"/>
  <c r="C563" i="2"/>
  <c r="E562" i="2"/>
  <c r="C562" i="2"/>
  <c r="E561" i="2"/>
  <c r="C561" i="2"/>
  <c r="E560" i="2"/>
  <c r="C560" i="2"/>
  <c r="E559" i="2"/>
  <c r="C559" i="2"/>
  <c r="E558" i="2"/>
  <c r="C558" i="2"/>
  <c r="E557" i="2"/>
  <c r="C557" i="2"/>
  <c r="E556" i="2"/>
  <c r="C556" i="2"/>
  <c r="E555" i="2"/>
  <c r="C555" i="2"/>
  <c r="E554" i="2"/>
  <c r="C554" i="2"/>
  <c r="E553" i="2"/>
  <c r="C553" i="2"/>
  <c r="E552" i="2"/>
  <c r="C552" i="2"/>
  <c r="E551" i="2"/>
  <c r="C551" i="2"/>
  <c r="E550" i="2"/>
  <c r="C550" i="2"/>
  <c r="E549" i="2"/>
  <c r="C549" i="2"/>
  <c r="E548" i="2"/>
  <c r="C548" i="2"/>
  <c r="E547" i="2"/>
  <c r="C547" i="2"/>
  <c r="E546" i="2"/>
  <c r="C546" i="2"/>
  <c r="E545" i="2"/>
  <c r="C545" i="2"/>
  <c r="E544" i="2"/>
  <c r="C544" i="2"/>
  <c r="E543" i="2"/>
  <c r="C543" i="2"/>
  <c r="E542" i="2"/>
  <c r="C542" i="2"/>
  <c r="E541" i="2"/>
  <c r="C541" i="2"/>
  <c r="E540" i="2"/>
  <c r="C540" i="2"/>
  <c r="E539" i="2"/>
  <c r="C539" i="2"/>
  <c r="E538" i="2"/>
  <c r="C538" i="2"/>
  <c r="E537" i="2"/>
  <c r="C537" i="2"/>
  <c r="E536" i="2"/>
  <c r="C536" i="2"/>
  <c r="E535" i="2"/>
  <c r="C535" i="2"/>
  <c r="E534" i="2"/>
  <c r="C534" i="2"/>
  <c r="E533" i="2"/>
  <c r="C533" i="2"/>
  <c r="E532" i="2"/>
  <c r="C532" i="2"/>
  <c r="E531" i="2"/>
  <c r="C531" i="2"/>
  <c r="E530" i="2"/>
  <c r="C530" i="2"/>
  <c r="E529" i="2"/>
  <c r="C529" i="2"/>
  <c r="E528" i="2"/>
  <c r="C528" i="2"/>
  <c r="E527" i="2"/>
  <c r="C527" i="2"/>
  <c r="E526" i="2"/>
  <c r="C526" i="2"/>
  <c r="E525" i="2"/>
  <c r="C525" i="2"/>
  <c r="E524" i="2"/>
  <c r="C524" i="2"/>
  <c r="E523" i="2"/>
  <c r="C523" i="2"/>
  <c r="E522" i="2"/>
  <c r="C522" i="2"/>
  <c r="E521" i="2"/>
  <c r="C521" i="2"/>
  <c r="E520" i="2"/>
  <c r="C520" i="2"/>
  <c r="E519" i="2"/>
  <c r="C519" i="2"/>
  <c r="E518" i="2"/>
  <c r="C518" i="2"/>
  <c r="E517" i="2"/>
  <c r="C517" i="2"/>
  <c r="E516" i="2"/>
  <c r="C516" i="2"/>
  <c r="E515" i="2"/>
  <c r="C515" i="2"/>
  <c r="E514" i="2"/>
  <c r="C514" i="2"/>
  <c r="E513" i="2"/>
  <c r="C513" i="2"/>
  <c r="E512" i="2"/>
  <c r="C512" i="2"/>
  <c r="E511" i="2"/>
  <c r="C511" i="2"/>
  <c r="E510" i="2"/>
  <c r="C510" i="2"/>
  <c r="E509" i="2"/>
  <c r="C509" i="2"/>
  <c r="E508" i="2"/>
  <c r="C508" i="2"/>
  <c r="E507" i="2"/>
  <c r="C507" i="2"/>
  <c r="E506" i="2"/>
  <c r="C506" i="2"/>
  <c r="E505" i="2"/>
  <c r="C505" i="2"/>
  <c r="E504" i="2"/>
  <c r="C504" i="2"/>
  <c r="E503" i="2"/>
  <c r="C503" i="2"/>
  <c r="E502" i="2"/>
  <c r="C502" i="2"/>
  <c r="E501" i="2"/>
  <c r="C501" i="2"/>
  <c r="E500" i="2"/>
  <c r="C500" i="2"/>
  <c r="E499" i="2"/>
  <c r="C499" i="2"/>
  <c r="E498" i="2"/>
  <c r="C498" i="2"/>
  <c r="E497" i="2"/>
  <c r="C497" i="2"/>
  <c r="E496" i="2"/>
  <c r="C496" i="2"/>
  <c r="E495" i="2"/>
  <c r="C495" i="2"/>
  <c r="E494" i="2"/>
  <c r="C494" i="2"/>
  <c r="E493" i="2"/>
  <c r="C493" i="2"/>
  <c r="E492" i="2"/>
  <c r="C492" i="2"/>
  <c r="E491" i="2"/>
  <c r="C491" i="2"/>
  <c r="E490" i="2"/>
  <c r="C490" i="2"/>
  <c r="E489" i="2"/>
  <c r="C489" i="2"/>
  <c r="E488" i="2"/>
  <c r="C488" i="2"/>
  <c r="E487" i="2"/>
  <c r="C487" i="2"/>
  <c r="E486" i="2"/>
  <c r="C486" i="2"/>
  <c r="E485" i="2"/>
  <c r="C485" i="2"/>
  <c r="E484" i="2"/>
  <c r="C484" i="2"/>
  <c r="E483" i="2"/>
  <c r="C483" i="2"/>
  <c r="E482" i="2"/>
  <c r="C482" i="2"/>
  <c r="E481" i="2"/>
  <c r="C481" i="2"/>
  <c r="E480" i="2"/>
  <c r="C480" i="2"/>
  <c r="E479" i="2"/>
  <c r="C479" i="2"/>
  <c r="E478" i="2"/>
  <c r="C478" i="2"/>
  <c r="E477" i="2"/>
  <c r="C477" i="2"/>
  <c r="E476" i="2"/>
  <c r="C476" i="2"/>
  <c r="E475" i="2"/>
  <c r="C475" i="2"/>
  <c r="E474" i="2"/>
  <c r="C474" i="2"/>
  <c r="E473" i="2"/>
  <c r="C473" i="2"/>
  <c r="E472" i="2"/>
  <c r="C472" i="2"/>
  <c r="E471" i="2"/>
  <c r="C471" i="2"/>
  <c r="E470" i="2"/>
  <c r="C470" i="2"/>
  <c r="E469" i="2"/>
  <c r="C469" i="2"/>
  <c r="E468" i="2"/>
  <c r="C468" i="2"/>
  <c r="E467" i="2"/>
  <c r="C467" i="2"/>
  <c r="E466" i="2"/>
  <c r="C466" i="2"/>
  <c r="E465" i="2"/>
  <c r="C465" i="2"/>
  <c r="E464" i="2"/>
  <c r="C464" i="2"/>
  <c r="E463" i="2"/>
  <c r="C463" i="2"/>
  <c r="E462" i="2"/>
  <c r="C462" i="2"/>
  <c r="E461" i="2"/>
  <c r="C461" i="2"/>
  <c r="E460" i="2"/>
  <c r="C460" i="2"/>
  <c r="E459" i="2"/>
  <c r="C459" i="2"/>
  <c r="E458" i="2"/>
  <c r="C458" i="2"/>
  <c r="E457" i="2"/>
  <c r="C457" i="2"/>
  <c r="E456" i="2"/>
  <c r="C456" i="2"/>
  <c r="E455" i="2"/>
  <c r="C455" i="2"/>
  <c r="E454" i="2"/>
  <c r="C454" i="2"/>
  <c r="E453" i="2"/>
  <c r="C453" i="2"/>
  <c r="E452" i="2"/>
  <c r="C452" i="2"/>
  <c r="E451" i="2"/>
  <c r="C451" i="2"/>
  <c r="E450" i="2"/>
  <c r="C450" i="2"/>
  <c r="E449" i="2"/>
  <c r="C449" i="2"/>
  <c r="E448" i="2"/>
  <c r="C448" i="2"/>
  <c r="E447" i="2"/>
  <c r="C447" i="2"/>
  <c r="E446" i="2"/>
  <c r="C446" i="2"/>
  <c r="E445" i="2"/>
  <c r="C445" i="2"/>
  <c r="E444" i="2"/>
  <c r="C444" i="2"/>
  <c r="E443" i="2"/>
  <c r="C443" i="2"/>
  <c r="E442" i="2"/>
  <c r="C442" i="2"/>
  <c r="E441" i="2"/>
  <c r="C441" i="2"/>
  <c r="E440" i="2"/>
  <c r="C440" i="2"/>
  <c r="E439" i="2"/>
  <c r="C439" i="2"/>
  <c r="E438" i="2"/>
  <c r="C438" i="2"/>
  <c r="E437" i="2"/>
  <c r="C437" i="2"/>
  <c r="E436" i="2"/>
  <c r="C436" i="2"/>
  <c r="E435" i="2"/>
  <c r="C435" i="2"/>
  <c r="E434" i="2"/>
  <c r="C434" i="2"/>
  <c r="E433" i="2"/>
  <c r="C433" i="2"/>
  <c r="E432" i="2"/>
  <c r="C432" i="2"/>
  <c r="E431" i="2"/>
  <c r="C431" i="2"/>
  <c r="E430" i="2"/>
  <c r="C430" i="2"/>
  <c r="E429" i="2"/>
  <c r="C429" i="2"/>
  <c r="E428" i="2"/>
  <c r="C428" i="2"/>
  <c r="E427" i="2"/>
  <c r="C427" i="2"/>
  <c r="E426" i="2"/>
  <c r="C426" i="2"/>
  <c r="E425" i="2"/>
  <c r="C425" i="2"/>
  <c r="E424" i="2"/>
  <c r="C424" i="2"/>
  <c r="E423" i="2"/>
  <c r="C423" i="2"/>
  <c r="E422" i="2"/>
  <c r="C422" i="2"/>
  <c r="E421" i="2"/>
  <c r="C421" i="2"/>
  <c r="E420" i="2"/>
  <c r="C420" i="2"/>
  <c r="E419" i="2"/>
  <c r="C419" i="2"/>
  <c r="E418" i="2"/>
  <c r="C418" i="2"/>
  <c r="E417" i="2"/>
  <c r="C417" i="2"/>
  <c r="E416" i="2"/>
  <c r="C416" i="2"/>
  <c r="E415" i="2"/>
  <c r="C415" i="2"/>
  <c r="E414" i="2"/>
  <c r="C414" i="2"/>
  <c r="E413" i="2"/>
  <c r="C413" i="2"/>
  <c r="E412" i="2"/>
  <c r="C412" i="2"/>
  <c r="E411" i="2"/>
  <c r="C411" i="2"/>
  <c r="E410" i="2"/>
  <c r="C410" i="2"/>
  <c r="E409" i="2"/>
  <c r="C409" i="2"/>
  <c r="E408" i="2"/>
  <c r="C408" i="2"/>
  <c r="E407" i="2"/>
  <c r="C407" i="2"/>
  <c r="E406" i="2"/>
  <c r="C406" i="2"/>
  <c r="E405" i="2"/>
  <c r="C405" i="2"/>
  <c r="E404" i="2"/>
  <c r="C404" i="2"/>
  <c r="E403" i="2"/>
  <c r="C403" i="2"/>
  <c r="E402" i="2"/>
  <c r="C402" i="2"/>
  <c r="E401" i="2"/>
  <c r="C401" i="2"/>
  <c r="E400" i="2"/>
  <c r="C400" i="2"/>
  <c r="E399" i="2"/>
  <c r="C399" i="2"/>
  <c r="E398" i="2"/>
  <c r="C398" i="2"/>
  <c r="E397" i="2"/>
  <c r="C397" i="2"/>
  <c r="E396" i="2"/>
  <c r="C396" i="2"/>
  <c r="E395" i="2"/>
  <c r="C395" i="2"/>
  <c r="E394" i="2"/>
  <c r="C394" i="2"/>
  <c r="E393" i="2"/>
  <c r="C393" i="2"/>
  <c r="E392" i="2"/>
  <c r="C392" i="2"/>
  <c r="E391" i="2"/>
  <c r="C391" i="2"/>
  <c r="E390" i="2"/>
  <c r="C390" i="2"/>
  <c r="E389" i="2"/>
  <c r="C389" i="2"/>
  <c r="E388" i="2"/>
  <c r="C388" i="2"/>
  <c r="E387" i="2"/>
  <c r="C387" i="2"/>
  <c r="E386" i="2"/>
  <c r="C386" i="2"/>
  <c r="E385" i="2"/>
  <c r="C385" i="2"/>
  <c r="E384" i="2"/>
  <c r="C384" i="2"/>
  <c r="E383" i="2"/>
  <c r="C383" i="2"/>
  <c r="E382" i="2"/>
  <c r="C382" i="2"/>
  <c r="E381" i="2"/>
  <c r="C381" i="2"/>
  <c r="E380" i="2"/>
  <c r="C380" i="2"/>
  <c r="E379" i="2"/>
  <c r="C379" i="2"/>
  <c r="E378" i="2"/>
  <c r="C378" i="2"/>
  <c r="E377" i="2"/>
  <c r="C377" i="2"/>
  <c r="E376" i="2"/>
  <c r="C376" i="2"/>
  <c r="E375" i="2"/>
  <c r="C375" i="2"/>
  <c r="E374" i="2"/>
  <c r="C374" i="2"/>
  <c r="E373" i="2"/>
  <c r="C373" i="2"/>
  <c r="E372" i="2"/>
  <c r="C372" i="2"/>
  <c r="E371" i="2"/>
  <c r="C371" i="2"/>
  <c r="E370" i="2"/>
  <c r="C370" i="2"/>
  <c r="E369" i="2"/>
  <c r="C369" i="2"/>
  <c r="E368" i="2"/>
  <c r="C368" i="2"/>
  <c r="E367" i="2"/>
  <c r="C367" i="2"/>
  <c r="E366" i="2"/>
  <c r="C366" i="2"/>
  <c r="E365" i="2"/>
  <c r="C365" i="2"/>
  <c r="E364" i="2"/>
  <c r="C364" i="2"/>
  <c r="E363" i="2"/>
  <c r="C363" i="2"/>
  <c r="E362" i="2"/>
  <c r="C362" i="2"/>
  <c r="E361" i="2"/>
  <c r="C361" i="2"/>
  <c r="E360" i="2"/>
  <c r="C360" i="2"/>
  <c r="E359" i="2"/>
  <c r="C359" i="2"/>
  <c r="E358" i="2"/>
  <c r="C358" i="2"/>
  <c r="E357" i="2"/>
  <c r="C357" i="2"/>
  <c r="E356" i="2"/>
  <c r="C356" i="2"/>
  <c r="E355" i="2"/>
  <c r="C355" i="2"/>
  <c r="E354" i="2"/>
  <c r="C354" i="2"/>
  <c r="E353" i="2"/>
  <c r="C353" i="2"/>
  <c r="E352" i="2"/>
  <c r="C352" i="2"/>
  <c r="E351" i="2"/>
  <c r="C351" i="2"/>
  <c r="E350" i="2"/>
  <c r="C350" i="2"/>
  <c r="E349" i="2"/>
  <c r="C349" i="2"/>
  <c r="E348" i="2"/>
  <c r="C348" i="2"/>
  <c r="E347" i="2"/>
  <c r="C347" i="2"/>
  <c r="E346" i="2"/>
  <c r="C346" i="2"/>
  <c r="E345" i="2"/>
  <c r="C345" i="2"/>
  <c r="E344" i="2"/>
  <c r="C344" i="2"/>
  <c r="E343" i="2"/>
  <c r="C343" i="2"/>
  <c r="E342" i="2"/>
  <c r="C342" i="2"/>
  <c r="E341" i="2"/>
  <c r="C341" i="2"/>
  <c r="E340" i="2"/>
  <c r="C340" i="2"/>
  <c r="E339" i="2"/>
  <c r="C339" i="2"/>
  <c r="E338" i="2"/>
  <c r="C338" i="2"/>
  <c r="E337" i="2"/>
  <c r="C337" i="2"/>
  <c r="E336" i="2"/>
  <c r="C336" i="2"/>
  <c r="E335" i="2"/>
  <c r="C335" i="2"/>
  <c r="E334" i="2"/>
  <c r="C334" i="2"/>
  <c r="E333" i="2"/>
  <c r="C333" i="2"/>
  <c r="E332" i="2"/>
  <c r="C332" i="2"/>
  <c r="E331" i="2"/>
  <c r="C331" i="2"/>
  <c r="E330" i="2"/>
  <c r="C330" i="2"/>
  <c r="E329" i="2"/>
  <c r="C329" i="2"/>
  <c r="E328" i="2"/>
  <c r="C328" i="2"/>
  <c r="E327" i="2"/>
  <c r="C327" i="2"/>
  <c r="E326" i="2"/>
  <c r="C326" i="2"/>
  <c r="E325" i="2"/>
  <c r="C325" i="2"/>
  <c r="E324" i="2"/>
  <c r="C324" i="2"/>
  <c r="E323" i="2"/>
  <c r="C323" i="2"/>
  <c r="E322" i="2"/>
  <c r="C322" i="2"/>
  <c r="E321" i="2"/>
  <c r="C321" i="2"/>
  <c r="E320" i="2"/>
  <c r="C320" i="2"/>
  <c r="E319" i="2"/>
  <c r="C319" i="2"/>
  <c r="E318" i="2"/>
  <c r="C318" i="2"/>
  <c r="E317" i="2"/>
  <c r="C317" i="2"/>
  <c r="E316" i="2"/>
  <c r="C316" i="2"/>
  <c r="E315" i="2"/>
  <c r="C315" i="2"/>
  <c r="E314" i="2"/>
  <c r="C314" i="2"/>
  <c r="E313" i="2"/>
  <c r="C313" i="2"/>
  <c r="E312" i="2"/>
  <c r="C312" i="2"/>
  <c r="E311" i="2"/>
  <c r="C311" i="2"/>
  <c r="E310" i="2"/>
  <c r="C310" i="2"/>
  <c r="E309" i="2"/>
  <c r="C309" i="2"/>
  <c r="E308" i="2"/>
  <c r="C308" i="2"/>
  <c r="E307" i="2"/>
  <c r="C307" i="2"/>
  <c r="E306" i="2"/>
  <c r="C306" i="2"/>
  <c r="E305" i="2"/>
  <c r="C305" i="2"/>
  <c r="E304" i="2"/>
  <c r="C304" i="2"/>
  <c r="E303" i="2"/>
  <c r="C303" i="2"/>
  <c r="E302" i="2"/>
  <c r="C302" i="2"/>
  <c r="E301" i="2"/>
  <c r="C301" i="2"/>
  <c r="E300" i="2"/>
  <c r="C300" i="2"/>
  <c r="E299" i="2"/>
  <c r="C299" i="2"/>
  <c r="E298" i="2"/>
  <c r="C298" i="2"/>
  <c r="E297" i="2"/>
  <c r="C297" i="2"/>
  <c r="E296" i="2"/>
  <c r="C296" i="2"/>
  <c r="E295" i="2"/>
  <c r="C295" i="2"/>
  <c r="E294" i="2"/>
  <c r="C294" i="2"/>
  <c r="E293" i="2"/>
  <c r="C293" i="2"/>
  <c r="E292" i="2"/>
  <c r="C292" i="2"/>
  <c r="E291" i="2"/>
  <c r="C291" i="2"/>
  <c r="E290" i="2"/>
  <c r="C290" i="2"/>
  <c r="E289" i="2"/>
  <c r="C289" i="2"/>
  <c r="E288" i="2"/>
  <c r="C288" i="2"/>
  <c r="E287" i="2"/>
  <c r="C287" i="2"/>
  <c r="E286" i="2"/>
  <c r="C286" i="2"/>
  <c r="E285" i="2"/>
  <c r="C285" i="2"/>
  <c r="E284" i="2"/>
  <c r="C284" i="2"/>
  <c r="E283" i="2"/>
  <c r="C283" i="2"/>
  <c r="E282" i="2"/>
  <c r="C282" i="2"/>
  <c r="E281" i="2"/>
  <c r="C281" i="2"/>
  <c r="E280" i="2"/>
  <c r="C280" i="2"/>
  <c r="E279" i="2"/>
  <c r="C279" i="2"/>
  <c r="E278" i="2"/>
  <c r="C278" i="2"/>
  <c r="E277" i="2"/>
  <c r="C277" i="2"/>
  <c r="E276" i="2"/>
  <c r="C276" i="2"/>
  <c r="E275" i="2"/>
  <c r="C275" i="2"/>
  <c r="E274" i="2"/>
  <c r="C274" i="2"/>
  <c r="E273" i="2"/>
  <c r="C273" i="2"/>
  <c r="E272" i="2"/>
  <c r="C272" i="2"/>
  <c r="E271" i="2"/>
  <c r="C271" i="2"/>
  <c r="E270" i="2"/>
  <c r="C270" i="2"/>
  <c r="E269" i="2"/>
  <c r="C269" i="2"/>
  <c r="E268" i="2"/>
  <c r="C268" i="2"/>
  <c r="E267" i="2"/>
  <c r="C267" i="2"/>
  <c r="E266" i="2"/>
  <c r="C266" i="2"/>
  <c r="E265" i="2"/>
  <c r="C265" i="2"/>
  <c r="E264" i="2"/>
  <c r="C264" i="2"/>
  <c r="E263" i="2"/>
  <c r="C263" i="2"/>
  <c r="E262" i="2"/>
  <c r="C262" i="2"/>
  <c r="E261" i="2"/>
  <c r="C261" i="2"/>
  <c r="E260" i="2"/>
  <c r="C260" i="2"/>
  <c r="E259" i="2"/>
  <c r="C259" i="2"/>
  <c r="E258" i="2"/>
  <c r="C258" i="2"/>
  <c r="E257" i="2"/>
  <c r="C257" i="2"/>
  <c r="E256" i="2"/>
  <c r="C256" i="2"/>
  <c r="E255" i="2"/>
  <c r="C255" i="2"/>
  <c r="E254" i="2"/>
  <c r="C254" i="2"/>
  <c r="E253" i="2"/>
  <c r="C253" i="2"/>
  <c r="E252" i="2"/>
  <c r="C252" i="2"/>
  <c r="E251" i="2"/>
  <c r="C251" i="2"/>
  <c r="E250" i="2"/>
  <c r="C250" i="2"/>
  <c r="E249" i="2"/>
  <c r="C249" i="2"/>
  <c r="E248" i="2"/>
  <c r="C248" i="2"/>
  <c r="E247" i="2"/>
  <c r="C247" i="2"/>
  <c r="E246" i="2"/>
  <c r="C246" i="2"/>
  <c r="E245" i="2"/>
  <c r="C245" i="2"/>
  <c r="E244" i="2"/>
  <c r="C244" i="2"/>
  <c r="E243" i="2"/>
  <c r="C243" i="2"/>
  <c r="E242" i="2"/>
  <c r="C242" i="2"/>
  <c r="E241" i="2"/>
  <c r="C241" i="2"/>
  <c r="E240" i="2"/>
  <c r="C240" i="2"/>
  <c r="E239" i="2"/>
  <c r="C239" i="2"/>
  <c r="E238" i="2"/>
  <c r="C238" i="2"/>
  <c r="E237" i="2"/>
  <c r="C237" i="2"/>
  <c r="E236" i="2"/>
  <c r="C236" i="2"/>
  <c r="E235" i="2"/>
  <c r="C235" i="2"/>
  <c r="E234" i="2"/>
  <c r="C234" i="2"/>
  <c r="E233" i="2"/>
  <c r="C233" i="2"/>
  <c r="E232" i="2"/>
  <c r="C232" i="2"/>
  <c r="E231" i="2"/>
  <c r="C231" i="2"/>
  <c r="E230" i="2"/>
  <c r="C230" i="2"/>
  <c r="E229" i="2"/>
  <c r="C229" i="2"/>
  <c r="E228" i="2"/>
  <c r="C228" i="2"/>
  <c r="E227" i="2"/>
  <c r="C227" i="2"/>
  <c r="E226" i="2"/>
  <c r="C226" i="2"/>
  <c r="E225" i="2"/>
  <c r="C225" i="2"/>
  <c r="E224" i="2"/>
  <c r="C224" i="2"/>
  <c r="E223" i="2"/>
  <c r="C223" i="2"/>
  <c r="E222" i="2"/>
  <c r="C222" i="2"/>
  <c r="E221" i="2"/>
  <c r="C221" i="2"/>
  <c r="E220" i="2"/>
  <c r="C220" i="2"/>
  <c r="E219" i="2"/>
  <c r="C219" i="2"/>
  <c r="E218" i="2"/>
  <c r="C218" i="2"/>
  <c r="E217" i="2"/>
  <c r="C217" i="2"/>
  <c r="E216" i="2"/>
  <c r="C216" i="2"/>
  <c r="E215" i="2"/>
  <c r="C215" i="2"/>
  <c r="E214" i="2"/>
  <c r="C214" i="2"/>
  <c r="E213" i="2"/>
  <c r="C213" i="2"/>
  <c r="E212" i="2"/>
  <c r="C212" i="2"/>
  <c r="E211" i="2"/>
  <c r="C211" i="2"/>
  <c r="E210" i="2"/>
  <c r="C210" i="2"/>
  <c r="E209" i="2"/>
  <c r="C209" i="2"/>
  <c r="E208" i="2"/>
  <c r="C208" i="2"/>
  <c r="E207" i="2"/>
  <c r="C207" i="2"/>
  <c r="E206" i="2"/>
  <c r="C206" i="2"/>
  <c r="E205" i="2"/>
  <c r="C205" i="2"/>
  <c r="E204" i="2"/>
  <c r="C204" i="2"/>
  <c r="E203" i="2"/>
  <c r="C203" i="2"/>
  <c r="E202" i="2"/>
  <c r="C202" i="2"/>
  <c r="E201" i="2"/>
  <c r="C201" i="2"/>
  <c r="E200" i="2"/>
  <c r="C200" i="2"/>
  <c r="E199" i="2"/>
  <c r="C199" i="2"/>
  <c r="E198" i="2"/>
  <c r="C198" i="2"/>
  <c r="E197" i="2"/>
  <c r="C197" i="2"/>
  <c r="E196" i="2"/>
  <c r="C196" i="2"/>
  <c r="E195" i="2"/>
  <c r="C195" i="2"/>
  <c r="E194" i="2"/>
  <c r="C194" i="2"/>
  <c r="E193" i="2"/>
  <c r="C193" i="2"/>
  <c r="E192" i="2"/>
  <c r="C192" i="2"/>
  <c r="E191" i="2"/>
  <c r="C191" i="2"/>
  <c r="E190" i="2"/>
  <c r="C190" i="2"/>
  <c r="E189" i="2"/>
  <c r="C189" i="2"/>
  <c r="E188" i="2"/>
  <c r="C188" i="2"/>
  <c r="E187" i="2"/>
  <c r="C187" i="2"/>
  <c r="E186" i="2"/>
  <c r="C186" i="2"/>
  <c r="E185" i="2"/>
  <c r="C185" i="2"/>
  <c r="E184" i="2"/>
  <c r="C184" i="2"/>
  <c r="E183" i="2"/>
  <c r="C183" i="2"/>
  <c r="E182" i="2"/>
  <c r="C182" i="2"/>
  <c r="E181" i="2"/>
  <c r="C181" i="2"/>
  <c r="E180" i="2"/>
  <c r="C180" i="2"/>
  <c r="E179" i="2"/>
  <c r="C179" i="2"/>
  <c r="E178" i="2"/>
  <c r="C178" i="2"/>
  <c r="E177" i="2"/>
  <c r="C177" i="2"/>
  <c r="E176" i="2"/>
  <c r="C176" i="2"/>
  <c r="E175" i="2"/>
  <c r="C175" i="2"/>
  <c r="E174" i="2"/>
  <c r="C174" i="2"/>
  <c r="E173" i="2"/>
  <c r="C173" i="2"/>
  <c r="E172" i="2"/>
  <c r="C172" i="2"/>
  <c r="E171" i="2"/>
  <c r="C171" i="2"/>
  <c r="E170" i="2"/>
  <c r="C170" i="2"/>
  <c r="E169" i="2"/>
  <c r="C169" i="2"/>
  <c r="E168" i="2"/>
  <c r="C168" i="2"/>
  <c r="E167" i="2"/>
  <c r="C167" i="2"/>
  <c r="E166" i="2"/>
  <c r="C166" i="2"/>
  <c r="E165" i="2"/>
  <c r="C165" i="2"/>
  <c r="E164" i="2"/>
  <c r="C164" i="2"/>
  <c r="E163" i="2"/>
  <c r="C163" i="2"/>
  <c r="E162" i="2"/>
  <c r="C162" i="2"/>
  <c r="E161" i="2"/>
  <c r="C161" i="2"/>
  <c r="E160" i="2"/>
  <c r="C160" i="2"/>
  <c r="E159" i="2"/>
  <c r="C159" i="2"/>
  <c r="E158" i="2"/>
  <c r="C158" i="2"/>
  <c r="E157" i="2"/>
  <c r="C157" i="2"/>
  <c r="E156" i="2"/>
  <c r="C156" i="2"/>
  <c r="E155" i="2"/>
  <c r="C155" i="2"/>
  <c r="E154" i="2"/>
  <c r="C154" i="2"/>
  <c r="E153" i="2"/>
  <c r="C153" i="2"/>
  <c r="E152" i="2"/>
  <c r="C152" i="2"/>
  <c r="E151" i="2"/>
  <c r="C151" i="2"/>
  <c r="E150" i="2"/>
  <c r="C150" i="2"/>
  <c r="E149" i="2"/>
  <c r="C149" i="2"/>
  <c r="E148" i="2"/>
  <c r="C148" i="2"/>
  <c r="E147" i="2"/>
  <c r="C147" i="2"/>
  <c r="E146" i="2"/>
  <c r="C146" i="2"/>
  <c r="E145" i="2"/>
  <c r="C145" i="2"/>
  <c r="E144" i="2"/>
  <c r="C144" i="2"/>
  <c r="E143" i="2"/>
  <c r="C143" i="2"/>
  <c r="E142" i="2"/>
  <c r="C142" i="2"/>
  <c r="E141" i="2"/>
  <c r="C141" i="2"/>
  <c r="E140" i="2"/>
  <c r="C140" i="2"/>
  <c r="E139" i="2"/>
  <c r="C139" i="2"/>
  <c r="E138" i="2"/>
  <c r="C138" i="2"/>
  <c r="E137" i="2"/>
  <c r="C137" i="2"/>
  <c r="E136" i="2"/>
  <c r="C136" i="2"/>
  <c r="E135" i="2"/>
  <c r="C135" i="2"/>
  <c r="E134" i="2"/>
  <c r="C134" i="2"/>
  <c r="E133" i="2"/>
  <c r="C133" i="2"/>
  <c r="E132" i="2"/>
  <c r="C132" i="2"/>
  <c r="E131" i="2"/>
  <c r="C131" i="2"/>
  <c r="E130" i="2"/>
  <c r="C130" i="2"/>
  <c r="E129" i="2"/>
  <c r="C129" i="2"/>
  <c r="E128" i="2"/>
  <c r="C128" i="2"/>
  <c r="E127" i="2"/>
  <c r="C127" i="2"/>
  <c r="E126" i="2"/>
  <c r="C126" i="2"/>
  <c r="E125" i="2"/>
  <c r="C125" i="2"/>
  <c r="E124" i="2"/>
  <c r="C124" i="2"/>
  <c r="E123" i="2"/>
  <c r="C123" i="2"/>
  <c r="E122" i="2"/>
  <c r="C122" i="2"/>
  <c r="E121" i="2"/>
  <c r="C121" i="2"/>
  <c r="E120" i="2"/>
  <c r="C120" i="2"/>
  <c r="E119" i="2"/>
  <c r="C119" i="2"/>
  <c r="E118" i="2"/>
  <c r="C118" i="2"/>
  <c r="E117" i="2"/>
  <c r="C117" i="2"/>
  <c r="E116" i="2"/>
  <c r="C116" i="2"/>
  <c r="E115" i="2"/>
  <c r="C115" i="2"/>
  <c r="E114" i="2"/>
  <c r="C114" i="2"/>
  <c r="E113" i="2"/>
  <c r="C113" i="2"/>
  <c r="E112" i="2"/>
  <c r="C112" i="2"/>
  <c r="E111" i="2"/>
  <c r="C111" i="2"/>
  <c r="E110" i="2"/>
  <c r="C110" i="2"/>
  <c r="E109" i="2"/>
  <c r="C109" i="2"/>
  <c r="E108" i="2"/>
  <c r="C108" i="2"/>
  <c r="E107" i="2"/>
  <c r="C107" i="2"/>
  <c r="E106" i="2"/>
  <c r="C106" i="2"/>
  <c r="E105" i="2"/>
  <c r="C105" i="2"/>
  <c r="E104" i="2"/>
  <c r="C104" i="2"/>
  <c r="E103" i="2"/>
  <c r="C103" i="2"/>
  <c r="E102" i="2"/>
  <c r="C102" i="2"/>
  <c r="E101" i="2"/>
  <c r="C101" i="2"/>
  <c r="E100" i="2"/>
  <c r="C100" i="2"/>
  <c r="E99" i="2"/>
  <c r="C99" i="2"/>
  <c r="E98" i="2"/>
  <c r="C98" i="2"/>
  <c r="E97" i="2"/>
  <c r="C97" i="2"/>
  <c r="E96" i="2"/>
  <c r="C96" i="2"/>
  <c r="E95" i="2"/>
  <c r="C95" i="2"/>
  <c r="E94" i="2"/>
  <c r="C94" i="2"/>
  <c r="E93" i="2"/>
  <c r="C93" i="2"/>
  <c r="E92" i="2"/>
  <c r="C92" i="2"/>
  <c r="E91" i="2"/>
  <c r="C91" i="2"/>
  <c r="E90" i="2"/>
  <c r="C90" i="2"/>
  <c r="E89" i="2"/>
  <c r="C89" i="2"/>
  <c r="E88" i="2"/>
  <c r="C88" i="2"/>
  <c r="E87" i="2"/>
  <c r="C87" i="2"/>
  <c r="E86" i="2"/>
  <c r="C86" i="2"/>
  <c r="E85" i="2"/>
  <c r="C85" i="2"/>
  <c r="E84" i="2"/>
  <c r="C84" i="2"/>
  <c r="E83" i="2"/>
  <c r="C83" i="2"/>
  <c r="E82" i="2"/>
  <c r="C82" i="2"/>
  <c r="E81" i="2"/>
  <c r="C81" i="2"/>
  <c r="E80" i="2"/>
  <c r="C80" i="2"/>
  <c r="E79" i="2"/>
  <c r="C79" i="2"/>
  <c r="E78" i="2"/>
  <c r="C78" i="2"/>
  <c r="E77" i="2"/>
  <c r="C77" i="2"/>
  <c r="E76" i="2"/>
  <c r="C76" i="2"/>
  <c r="E75" i="2"/>
  <c r="C75" i="2"/>
  <c r="E74" i="2"/>
  <c r="C74" i="2"/>
  <c r="E73" i="2"/>
  <c r="C73" i="2"/>
  <c r="E72" i="2"/>
  <c r="C72" i="2"/>
  <c r="E71" i="2"/>
  <c r="C71" i="2"/>
  <c r="E70" i="2"/>
  <c r="C70" i="2"/>
  <c r="E69" i="2"/>
  <c r="C69" i="2"/>
  <c r="E68" i="2"/>
  <c r="C68" i="2"/>
  <c r="E67" i="2"/>
  <c r="C67" i="2"/>
  <c r="E66" i="2"/>
  <c r="C66" i="2"/>
  <c r="E65" i="2"/>
  <c r="C65" i="2"/>
  <c r="E64" i="2"/>
  <c r="C64" i="2"/>
  <c r="E63" i="2"/>
  <c r="C63" i="2"/>
  <c r="E62" i="2"/>
  <c r="C62" i="2"/>
  <c r="E61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</calcChain>
</file>

<file path=xl/sharedStrings.xml><?xml version="1.0" encoding="utf-8"?>
<sst xmlns="http://schemas.openxmlformats.org/spreadsheetml/2006/main" count="37060" uniqueCount="11720">
  <si>
    <t>County</t>
  </si>
  <si>
    <t>LEA Name</t>
  </si>
  <si>
    <t>CDS Code</t>
  </si>
  <si>
    <t>Expenditures - Federal</t>
  </si>
  <si>
    <t>Expenditures - State &amp; Local</t>
  </si>
  <si>
    <t>Expenditures - Excluded</t>
  </si>
  <si>
    <t>Alameda</t>
  </si>
  <si>
    <t>Achieve Academy</t>
  </si>
  <si>
    <t>AIMS College Prep High</t>
  </si>
  <si>
    <t>AIMS College Prep Middle</t>
  </si>
  <si>
    <t>Alameda Community Learning Center</t>
  </si>
  <si>
    <t>Alameda County Office of Education</t>
  </si>
  <si>
    <t>Alameda Unified</t>
  </si>
  <si>
    <t>Albany City Unified</t>
  </si>
  <si>
    <t>Alternatives in Action</t>
  </si>
  <si>
    <t>American Indian Public Charter II</t>
  </si>
  <si>
    <t>ARISE High</t>
  </si>
  <si>
    <t>ASCEND</t>
  </si>
  <si>
    <t>Aspire Berkley Maynard Academy</t>
  </si>
  <si>
    <t>Aspire College Academy</t>
  </si>
  <si>
    <t>Aspire ERES Academy</t>
  </si>
  <si>
    <t>Aspire Golden State College Preparatory Academy</t>
  </si>
  <si>
    <t>Aspire Lionel Wilson College Preparatory Academy</t>
  </si>
  <si>
    <t>Aspire Monarch Academy</t>
  </si>
  <si>
    <t>Aspire Triumph Technology Academy</t>
  </si>
  <si>
    <t>Aurum Preparatory Academy</t>
  </si>
  <si>
    <t>Bay Area Technology</t>
  </si>
  <si>
    <t>Berkeley Unified</t>
  </si>
  <si>
    <t>Castro Valley Unified</t>
  </si>
  <si>
    <t>Civicorps Corpsmember Academy</t>
  </si>
  <si>
    <t>DNR</t>
  </si>
  <si>
    <t>Community School for Creative Education</t>
  </si>
  <si>
    <t>Connecting Waters Charter - East Bay</t>
  </si>
  <si>
    <t>Conservatory of Vocal/Instrumental Arts High</t>
  </si>
  <si>
    <t>Cox Academy</t>
  </si>
  <si>
    <t>Downtown Charter Academy</t>
  </si>
  <si>
    <t>Dublin Unified</t>
  </si>
  <si>
    <t>East Bay Innovation Academy</t>
  </si>
  <si>
    <t>Emery Unified</t>
  </si>
  <si>
    <t>Envision Academy for Arts &amp; Technology</t>
  </si>
  <si>
    <t>Francophone Charter School of Oakland</t>
  </si>
  <si>
    <t>Fremont Unified</t>
  </si>
  <si>
    <t>Golden Oak Montessori of Hayward</t>
  </si>
  <si>
    <t>Hayward Collegiate Charter</t>
  </si>
  <si>
    <t>Hayward Twin Oaks Montessori</t>
  </si>
  <si>
    <t>Hayward Unified</t>
  </si>
  <si>
    <t>Impact Academy of Arts &amp; Technology</t>
  </si>
  <si>
    <t>KIPP Bridge Academy</t>
  </si>
  <si>
    <t>KIPP King Collegiate High</t>
  </si>
  <si>
    <t>KIPP Summit Academy</t>
  </si>
  <si>
    <t>Knowledge Enlightens You (KEY) Academy</t>
  </si>
  <si>
    <t>Latitude 37.8 High</t>
  </si>
  <si>
    <t>Lazear Charter Academy</t>
  </si>
  <si>
    <t>Leadership Public Schools - Hayward</t>
  </si>
  <si>
    <t>Learning Without Limits</t>
  </si>
  <si>
    <t>Lighthouse Community Charter</t>
  </si>
  <si>
    <t>Lighthouse Community Charter High</t>
  </si>
  <si>
    <t>Livermore Valley Joint Unified</t>
  </si>
  <si>
    <t>Lodestar: A Lighthouse Community Charter Public</t>
  </si>
  <si>
    <t>LPS Oakland R &amp; D Campus</t>
  </si>
  <si>
    <t>Mission Valley ROC/P</t>
  </si>
  <si>
    <t>Mountain House Elementary</t>
  </si>
  <si>
    <t>Nea Community Learning Center</t>
  </si>
  <si>
    <t>New Haven Unified</t>
  </si>
  <si>
    <t>Newark Unified</t>
  </si>
  <si>
    <t>North Oakland Community Charter</t>
  </si>
  <si>
    <t>Oakland Charter Academy</t>
  </si>
  <si>
    <t>Oakland Charter High</t>
  </si>
  <si>
    <t>Oakland Military Institute, College Preparatory Academy</t>
  </si>
  <si>
    <t>Oakland School for the Arts</t>
  </si>
  <si>
    <t>Oakland Unified</t>
  </si>
  <si>
    <t>Oakland Unity High</t>
  </si>
  <si>
    <t>Oakland Unity Middle</t>
  </si>
  <si>
    <t>Piedmont City Unified</t>
  </si>
  <si>
    <t>Pleasanton Unified</t>
  </si>
  <si>
    <t>San Leandro Unified</t>
  </si>
  <si>
    <t>San Lorenzo Unified</t>
  </si>
  <si>
    <t>Sunol Glen Unified</t>
  </si>
  <si>
    <t>The Academy of Alameda</t>
  </si>
  <si>
    <t>The Academy of Alameda Elementary</t>
  </si>
  <si>
    <t>Urban Montessori Charter</t>
  </si>
  <si>
    <t>Vincent Academy</t>
  </si>
  <si>
    <t>Yu Ming Charter</t>
  </si>
  <si>
    <t>Alpine</t>
  </si>
  <si>
    <t>Alpine County Office of Education</t>
  </si>
  <si>
    <t>Alpine County Unified</t>
  </si>
  <si>
    <t>Amador</t>
  </si>
  <si>
    <t>Amador County Office of Education</t>
  </si>
  <si>
    <t>Amador County Unified</t>
  </si>
  <si>
    <t>Butte</t>
  </si>
  <si>
    <t>Achieve Charter School of Paradise Inc.</t>
  </si>
  <si>
    <t>Bangor Union Elementary</t>
  </si>
  <si>
    <t>Biggs Unified</t>
  </si>
  <si>
    <t>Blue Oak Charter</t>
  </si>
  <si>
    <t>Butte County Office of Education</t>
  </si>
  <si>
    <t>Chico Country Day</t>
  </si>
  <si>
    <t>Chico Unified</t>
  </si>
  <si>
    <t>Children's Community Charter</t>
  </si>
  <si>
    <t>CORE Butte Charter</t>
  </si>
  <si>
    <t>Durham Unified</t>
  </si>
  <si>
    <t>Forest Ranch Charter</t>
  </si>
  <si>
    <t>Golden Feather Union Elementary</t>
  </si>
  <si>
    <t>Gridley Unified</t>
  </si>
  <si>
    <t>HomeTech Charter</t>
  </si>
  <si>
    <t>Inspire School of Arts and Sciences</t>
  </si>
  <si>
    <t>Ipakanni Early College Charter</t>
  </si>
  <si>
    <t>Manzanita Elementary</t>
  </si>
  <si>
    <t>Nord Country</t>
  </si>
  <si>
    <t>Oroville City Elementary</t>
  </si>
  <si>
    <t>Oroville Union High</t>
  </si>
  <si>
    <t>Palermo Union Elementary</t>
  </si>
  <si>
    <t>Paradise Charter Middle</t>
  </si>
  <si>
    <t>Paradise Unified</t>
  </si>
  <si>
    <t>Pioneer Union Elementary</t>
  </si>
  <si>
    <t>Pivot Charter School North Valley II</t>
  </si>
  <si>
    <t>Sherwood Montessori</t>
  </si>
  <si>
    <t>STREAM Charter</t>
  </si>
  <si>
    <t>Thermalito Union Elementary</t>
  </si>
  <si>
    <t>Wildflower Open Classroom</t>
  </si>
  <si>
    <t>Calaveras</t>
  </si>
  <si>
    <t>Bret Harte Union High</t>
  </si>
  <si>
    <t>Calaveras County Office of Education</t>
  </si>
  <si>
    <t>Calaveras Unified</t>
  </si>
  <si>
    <t>Mark Twain Union Elementary</t>
  </si>
  <si>
    <t>Vallecito Union</t>
  </si>
  <si>
    <t>Colusa</t>
  </si>
  <si>
    <t>Colusa County Office of Education</t>
  </si>
  <si>
    <t>Colusa Unified</t>
  </si>
  <si>
    <t>Maxwell Unified</t>
  </si>
  <si>
    <t>Pierce Joint Unified</t>
  </si>
  <si>
    <t>Williams Unified</t>
  </si>
  <si>
    <t>Contra Costa</t>
  </si>
  <si>
    <t>Acalanes Union High</t>
  </si>
  <si>
    <t>Antioch Charter Academy</t>
  </si>
  <si>
    <t>Antioch Charter Academy II</t>
  </si>
  <si>
    <t>Antioch Unified</t>
  </si>
  <si>
    <t>Aspire Richmond Ca. College Preparatory Academy</t>
  </si>
  <si>
    <t>Aspire Richmond Technology Academy</t>
  </si>
  <si>
    <t>Brentwood Union Elementary</t>
  </si>
  <si>
    <t>Byron Union Elementary</t>
  </si>
  <si>
    <t>Caliber: Beta Academy</t>
  </si>
  <si>
    <t>Canyon Elementary</t>
  </si>
  <si>
    <t>Clayton Valley Charter High</t>
  </si>
  <si>
    <t>Contra Costa County Office of Education</t>
  </si>
  <si>
    <t>Contra Costa School of Performing Arts</t>
  </si>
  <si>
    <t>Invictus Academy of Richmond</t>
  </si>
  <si>
    <t>John Henry High</t>
  </si>
  <si>
    <t>John Swett Unified</t>
  </si>
  <si>
    <t>Knightsen Elementary</t>
  </si>
  <si>
    <t>Lafayette Elementary</t>
  </si>
  <si>
    <t>Leadership Public Schools: Richmond</t>
  </si>
  <si>
    <t>Liberty Union High</t>
  </si>
  <si>
    <t>Making Waves Academy</t>
  </si>
  <si>
    <t>Manzanita Middle</t>
  </si>
  <si>
    <t>Martinez Unified</t>
  </si>
  <si>
    <t>Moraga Elementary</t>
  </si>
  <si>
    <t>Mt. Diablo Unified</t>
  </si>
  <si>
    <t>Oakley Union Elementary</t>
  </si>
  <si>
    <t>Orinda Union Elementary</t>
  </si>
  <si>
    <t>Pittsburg Unified</t>
  </si>
  <si>
    <t>Richmond Charter Academy</t>
  </si>
  <si>
    <t>Richmond Charter Elementary-Benito Juarez</t>
  </si>
  <si>
    <t>Richmond College Preparatory</t>
  </si>
  <si>
    <t>Rocketship Delta Prep</t>
  </si>
  <si>
    <t>Rocketship Futuro Academy</t>
  </si>
  <si>
    <t>San Ramon Valley Unified</t>
  </si>
  <si>
    <t>Summit Public School K2</t>
  </si>
  <si>
    <t>Summit Public School: Tamalpais</t>
  </si>
  <si>
    <t>Vista Oaks Charter</t>
  </si>
  <si>
    <t>Voices College-Bound Language Academy at West Contra Costa County</t>
  </si>
  <si>
    <t>Walnut Creek Elementary</t>
  </si>
  <si>
    <t>West Contra Costa Unified</t>
  </si>
  <si>
    <t>Del Norte</t>
  </si>
  <si>
    <t>Del Norte County Office of Education</t>
  </si>
  <si>
    <t>Del Norte County Unified</t>
  </si>
  <si>
    <t>Uncharted Shores Academy</t>
  </si>
  <si>
    <t>El Dorado</t>
  </si>
  <si>
    <t>Black Oak Mine Unified</t>
  </si>
  <si>
    <t>Buckeye Union Elementary</t>
  </si>
  <si>
    <t>California Montessori Project-Shingle Springs Campus</t>
  </si>
  <si>
    <t>Camino Polytechnic</t>
  </si>
  <si>
    <t>Camino Union Elementary</t>
  </si>
  <si>
    <t>Clarksville Charter</t>
  </si>
  <si>
    <t>Cottonwood</t>
  </si>
  <si>
    <t>El Dorado County Office of Education</t>
  </si>
  <si>
    <t>El Dorado Union High</t>
  </si>
  <si>
    <t>Gold Oak Union Elementary</t>
  </si>
  <si>
    <t>Gold Trail Union Elementary</t>
  </si>
  <si>
    <t>Indian Diggings Elementary</t>
  </si>
  <si>
    <t>John Adams Academy - El Dorado Hills</t>
  </si>
  <si>
    <t>Lake Tahoe Unified</t>
  </si>
  <si>
    <t>Latrobe</t>
  </si>
  <si>
    <t>Mother Lode Union Elementary</t>
  </si>
  <si>
    <t>Placerville Union Elementary</t>
  </si>
  <si>
    <t>Pollock Pines Elementary</t>
  </si>
  <si>
    <t>Rescue Union Elementary</t>
  </si>
  <si>
    <t>Rising Sun Montessori</t>
  </si>
  <si>
    <t>Silver Fork Elementary</t>
  </si>
  <si>
    <t>Fresno</t>
  </si>
  <si>
    <t>Alvina Elementary</t>
  </si>
  <si>
    <t>Ambassador Phillip V. Sanchez II Public Charter</t>
  </si>
  <si>
    <t>Aspen Meadow Public</t>
  </si>
  <si>
    <t>Aspen Valley Prep Academy</t>
  </si>
  <si>
    <t>Big Creek Elementary</t>
  </si>
  <si>
    <t>Big Picture Educational Academy</t>
  </si>
  <si>
    <t>Burrel Union Elementary</t>
  </si>
  <si>
    <t>California Virtual Academy at Fresno</t>
  </si>
  <si>
    <t>Career Technical Education Charter</t>
  </si>
  <si>
    <t>Carter G. Woodson Public Charter</t>
  </si>
  <si>
    <t>Caruthers Unified</t>
  </si>
  <si>
    <t>Central Unified</t>
  </si>
  <si>
    <t>Clay Joint Elementary</t>
  </si>
  <si>
    <t>Clovis Global Academy</t>
  </si>
  <si>
    <t>Clovis Unified</t>
  </si>
  <si>
    <t>Coalinga-Huron Unified</t>
  </si>
  <si>
    <t>Crescent View South II</t>
  </si>
  <si>
    <t>Crescent View West Public Charter</t>
  </si>
  <si>
    <t>Edison-Bethune Charter Academy</t>
  </si>
  <si>
    <t>Endeavor Charter</t>
  </si>
  <si>
    <t>Firebaugh-Las Deltas Unified</t>
  </si>
  <si>
    <t>Fowler Unified</t>
  </si>
  <si>
    <t>Fresno County Office of Education</t>
  </si>
  <si>
    <t>Fresno Unified</t>
  </si>
  <si>
    <t>Golden Plains Unified</t>
  </si>
  <si>
    <t>Hume Lake Charter</t>
  </si>
  <si>
    <t>Kepler Neighborhood</t>
  </si>
  <si>
    <t>Kerman Unified</t>
  </si>
  <si>
    <t>Kings Canyon Joint Unified</t>
  </si>
  <si>
    <t>Kingsburg Elementary Charter</t>
  </si>
  <si>
    <t>Kingsburg Joint Union High</t>
  </si>
  <si>
    <t>Laton Joint Unified</t>
  </si>
  <si>
    <t>Mendota Unified</t>
  </si>
  <si>
    <t>Monroe Elementary</t>
  </si>
  <si>
    <t>Orange Center</t>
  </si>
  <si>
    <t>Pacific Union Elementary</t>
  </si>
  <si>
    <t>Parlier Unified</t>
  </si>
  <si>
    <t>Pine Ridge Elementary</t>
  </si>
  <si>
    <t>Raisin City Elementary</t>
  </si>
  <si>
    <t>Riverdale Joint Unified</t>
  </si>
  <si>
    <t>Sanger Unified</t>
  </si>
  <si>
    <t>School of Unlimited Learning</t>
  </si>
  <si>
    <t>Selma Unified</t>
  </si>
  <si>
    <t>Sierra Charter</t>
  </si>
  <si>
    <t>Sierra Unified</t>
  </si>
  <si>
    <t>University High</t>
  </si>
  <si>
    <t>W.E.B. DuBois Public Charter</t>
  </si>
  <si>
    <t>Washington Colony Elementary</t>
  </si>
  <si>
    <t>Washington Unified</t>
  </si>
  <si>
    <t>West Park Elementary</t>
  </si>
  <si>
    <t>Westside Elementary</t>
  </si>
  <si>
    <t>Yosemite Valley Charter</t>
  </si>
  <si>
    <t>Glenn</t>
  </si>
  <si>
    <t>Capay Joint Union Elementary</t>
  </si>
  <si>
    <t>Glenn County Office of Education</t>
  </si>
  <si>
    <t>Hamilton Unified</t>
  </si>
  <si>
    <t>Lake Elementary</t>
  </si>
  <si>
    <t>Lake View Charter</t>
  </si>
  <si>
    <t>Orland Joint Unified</t>
  </si>
  <si>
    <t>Plaza Elementary</t>
  </si>
  <si>
    <t>Princeton Joint Unified</t>
  </si>
  <si>
    <t>Stony Creek Joint Unified</t>
  </si>
  <si>
    <t>Walden Academy</t>
  </si>
  <si>
    <t>Willows Unified</t>
  </si>
  <si>
    <t>Humboldt</t>
  </si>
  <si>
    <t>Agnes J. Johnson Charter</t>
  </si>
  <si>
    <t>Alder Grove Charter School 2</t>
  </si>
  <si>
    <t>Arcata Elementary</t>
  </si>
  <si>
    <t>Big Lagoon Union Elementary</t>
  </si>
  <si>
    <t>Blue Lake Union Elementary</t>
  </si>
  <si>
    <t>Bridgeville Elementary</t>
  </si>
  <si>
    <t>Coastal Grove Charter</t>
  </si>
  <si>
    <t>Cuddeback Union Elementary</t>
  </si>
  <si>
    <t>Cutten Elementary</t>
  </si>
  <si>
    <t>Eureka City Schools</t>
  </si>
  <si>
    <t>Ferndale Unified</t>
  </si>
  <si>
    <t>Fieldbrook Elementary</t>
  </si>
  <si>
    <t>Fortuna Elementary</t>
  </si>
  <si>
    <t>Fortuna Union High</t>
  </si>
  <si>
    <t>Freshwater Elementary</t>
  </si>
  <si>
    <t>Fuente Nueva Charter</t>
  </si>
  <si>
    <t>Garfield Elementary</t>
  </si>
  <si>
    <t>Green Point Elementary</t>
  </si>
  <si>
    <t>Humboldt County Office of Education</t>
  </si>
  <si>
    <t>Hydesville Elementary</t>
  </si>
  <si>
    <t>Jacoby Creek Elementary</t>
  </si>
  <si>
    <t>Klamath-Trinity Joint Unified</t>
  </si>
  <si>
    <t>Kneeland Elementary</t>
  </si>
  <si>
    <t>Laurel Tree Charter</t>
  </si>
  <si>
    <t>Loleta Union Elementary</t>
  </si>
  <si>
    <t>Maple Creek Elementary</t>
  </si>
  <si>
    <t>Mattole Unified</t>
  </si>
  <si>
    <t>McKinleyville Union Elementary</t>
  </si>
  <si>
    <t>Northcoast Preparatory and Performing Arts Academy</t>
  </si>
  <si>
    <t>Northern Humboldt Union High</t>
  </si>
  <si>
    <t>Northern United - Humboldt Charter</t>
  </si>
  <si>
    <t>Orick Elementary</t>
  </si>
  <si>
    <t>Pacific View Charter 2.0</t>
  </si>
  <si>
    <t>Peninsula Union</t>
  </si>
  <si>
    <t>Redwood Coast Montessori</t>
  </si>
  <si>
    <t>Redwood Preparatory Charter</t>
  </si>
  <si>
    <t>Rio Dell Elementary</t>
  </si>
  <si>
    <t>Scotia Union Elementary</t>
  </si>
  <si>
    <t>South Bay Union Elementary</t>
  </si>
  <si>
    <t>Southern Humboldt Joint Unified</t>
  </si>
  <si>
    <t>Trinidad Union Elementary</t>
  </si>
  <si>
    <t>Union Street Charter</t>
  </si>
  <si>
    <t>Imperial</t>
  </si>
  <si>
    <t>Ballington Academy for the Arts and Sciences</t>
  </si>
  <si>
    <t>Brawley Elementary</t>
  </si>
  <si>
    <t>Brawley Union High</t>
  </si>
  <si>
    <t>Calexico Unified</t>
  </si>
  <si>
    <t>Calipatria Unified</t>
  </si>
  <si>
    <t>Central Union High</t>
  </si>
  <si>
    <t>El Centro Elementary</t>
  </si>
  <si>
    <t>Heber Elementary</t>
  </si>
  <si>
    <t>Holtville Unified</t>
  </si>
  <si>
    <t>Imperial County Office of Education</t>
  </si>
  <si>
    <t>Imperial Unified</t>
  </si>
  <si>
    <t>Magnolia Union Elementary</t>
  </si>
  <si>
    <t>McCabe Union Elementary</t>
  </si>
  <si>
    <t>Meadows Union Elementary</t>
  </si>
  <si>
    <t>Mulberry Elementary</t>
  </si>
  <si>
    <t>San Pasqual Valley Unified</t>
  </si>
  <si>
    <t>Seeley Union Elementary</t>
  </si>
  <si>
    <t>Westmorland Union Elementary</t>
  </si>
  <si>
    <t>Inyo</t>
  </si>
  <si>
    <t>Big Pine Unified</t>
  </si>
  <si>
    <t>Bishop Unified</t>
  </si>
  <si>
    <t>College Bridge Academy</t>
  </si>
  <si>
    <t>Death Valley Unified</t>
  </si>
  <si>
    <t>Inyo County Office of Education</t>
  </si>
  <si>
    <t>Lone Pine Unified</t>
  </si>
  <si>
    <t>Owens Valley Unified</t>
  </si>
  <si>
    <t>Round Valley Joint Elementary</t>
  </si>
  <si>
    <t>The Education Corps</t>
  </si>
  <si>
    <t>YouthBuild Charter School of California</t>
  </si>
  <si>
    <t>Kern</t>
  </si>
  <si>
    <t>Arvin Union</t>
  </si>
  <si>
    <t>Bakersfield City</t>
  </si>
  <si>
    <t>Beardsley Elementary</t>
  </si>
  <si>
    <t>Blake Elementary</t>
  </si>
  <si>
    <t>Blue Ridge Academy</t>
  </si>
  <si>
    <t>Buttonwillow Union Elementary</t>
  </si>
  <si>
    <t>Caliente Union Elementary</t>
  </si>
  <si>
    <t>California Virtual Academy at Maricopa</t>
  </si>
  <si>
    <t>Delano Joint Union High</t>
  </si>
  <si>
    <t>Delano Union Elementary</t>
  </si>
  <si>
    <t>Di Giorgio Elementary</t>
  </si>
  <si>
    <t>Edison Elementary</t>
  </si>
  <si>
    <t>El Tejon Unified</t>
  </si>
  <si>
    <t>Elk Hills Elementary</t>
  </si>
  <si>
    <t>Fairfax Elementary</t>
  </si>
  <si>
    <t>Fruitvale Elementary</t>
  </si>
  <si>
    <t>General Shafter Elementary</t>
  </si>
  <si>
    <t>Greenfield Union</t>
  </si>
  <si>
    <t>Grow Academy Arvin</t>
  </si>
  <si>
    <t>Grow Academy Shafter</t>
  </si>
  <si>
    <t>Heartland Charter</t>
  </si>
  <si>
    <t>Insight School of California</t>
  </si>
  <si>
    <t>Kern County Office of Education</t>
  </si>
  <si>
    <t>Kern High</t>
  </si>
  <si>
    <t>Kern High ROC</t>
  </si>
  <si>
    <t>Kernville Union Elementary</t>
  </si>
  <si>
    <t>Lakeside Union</t>
  </si>
  <si>
    <t>Lamont Elementary</t>
  </si>
  <si>
    <t>Linns Valley-Poso Flat Union</t>
  </si>
  <si>
    <t>Lost Hills Union Elementary</t>
  </si>
  <si>
    <t>Maple Elementary</t>
  </si>
  <si>
    <t>Maricopa Unified</t>
  </si>
  <si>
    <t>McFarland Unified</t>
  </si>
  <si>
    <t>McKittrick Elementary</t>
  </si>
  <si>
    <t>Midway Elementary</t>
  </si>
  <si>
    <t>Mojave Unified</t>
  </si>
  <si>
    <t>Muroc Joint Unified</t>
  </si>
  <si>
    <t>Norris Elementary</t>
  </si>
  <si>
    <t>Panama-Buena Vista Union</t>
  </si>
  <si>
    <t>Peak to Peak Mountain Charter</t>
  </si>
  <si>
    <t>Pond Union Elementary</t>
  </si>
  <si>
    <t>Richland Union Elementary</t>
  </si>
  <si>
    <t>Ridgecrest Elementary Academy for Language, Music, and Science</t>
  </si>
  <si>
    <t>Rio Bravo-Greeley Union Elementary</t>
  </si>
  <si>
    <t>Rosedale Union Elementary</t>
  </si>
  <si>
    <t>Sierra Sands Unified</t>
  </si>
  <si>
    <t>South Fork Union</t>
  </si>
  <si>
    <t>Southern Kern Unified</t>
  </si>
  <si>
    <t>Standard Elementary</t>
  </si>
  <si>
    <t>Taft City</t>
  </si>
  <si>
    <t>Taft Union High</t>
  </si>
  <si>
    <t>Tehachapi Unified</t>
  </si>
  <si>
    <t>Vineland Elementary</t>
  </si>
  <si>
    <t>Wasco Union Elementary</t>
  </si>
  <si>
    <t>Wasco Union High</t>
  </si>
  <si>
    <t>Wonderful College Prep Academy</t>
  </si>
  <si>
    <t>Wonderful College Prep Academy - Lost Hills</t>
  </si>
  <si>
    <t>Kings</t>
  </si>
  <si>
    <t>Armona Union Elementary</t>
  </si>
  <si>
    <t>California Virtual Academy at Kings</t>
  </si>
  <si>
    <t>Central Union Elementary</t>
  </si>
  <si>
    <t>Corcoran Joint Unified</t>
  </si>
  <si>
    <t>Hanford Elementary</t>
  </si>
  <si>
    <t>Hanford Joint Union High</t>
  </si>
  <si>
    <t>Island Union Elementary</t>
  </si>
  <si>
    <t>Kings County Office of Education</t>
  </si>
  <si>
    <t>Kings River-Hardwick Union Elementary</t>
  </si>
  <si>
    <t>Kings Valley Academy II</t>
  </si>
  <si>
    <t>Kit Carson Union Elementary</t>
  </si>
  <si>
    <t>Lakeside Union Elementary</t>
  </si>
  <si>
    <t>Lemoore Middle College High</t>
  </si>
  <si>
    <t>Lemoore Online College Preparatory High</t>
  </si>
  <si>
    <t>Lemoore Union Elementary</t>
  </si>
  <si>
    <t>Lemoore Union High</t>
  </si>
  <si>
    <t>Reef-Sunset Unified</t>
  </si>
  <si>
    <t>Lake</t>
  </si>
  <si>
    <t>California Connections Academy North Bay</t>
  </si>
  <si>
    <t>Kelseyville Unified</t>
  </si>
  <si>
    <t>Konocti Unified</t>
  </si>
  <si>
    <t>Lake County International Charter</t>
  </si>
  <si>
    <t>Lake County Office of Education</t>
  </si>
  <si>
    <t>Lakeport Unified</t>
  </si>
  <si>
    <t>Lucerne Elementary</t>
  </si>
  <si>
    <t>Middletown Unified</t>
  </si>
  <si>
    <t>Upper Lake Unified</t>
  </si>
  <si>
    <t>Lassen</t>
  </si>
  <si>
    <t>Big Valley Joint Unified</t>
  </si>
  <si>
    <t>Fort Sage Unified</t>
  </si>
  <si>
    <t>Janesville Union Elementary</t>
  </si>
  <si>
    <t>Johnstonville Elementary</t>
  </si>
  <si>
    <t>Lassen County Office of Education</t>
  </si>
  <si>
    <t>Lassen Union High</t>
  </si>
  <si>
    <t>Long Valley</t>
  </si>
  <si>
    <t>Ravendale-Termo Elementary</t>
  </si>
  <si>
    <t>Richmond Elementary</t>
  </si>
  <si>
    <t>Shaffer Union Elementary</t>
  </si>
  <si>
    <t>Susanville Elementary</t>
  </si>
  <si>
    <t>Thompson Peak Charter</t>
  </si>
  <si>
    <t>Westwood Unified</t>
  </si>
  <si>
    <t>Los Angeles</t>
  </si>
  <si>
    <t>ABC Unified</t>
  </si>
  <si>
    <t>Academia Avance Charter</t>
  </si>
  <si>
    <t>Academia Moderna</t>
  </si>
  <si>
    <t>Academy of Media Arts</t>
  </si>
  <si>
    <t>Accelerated</t>
  </si>
  <si>
    <t>Accelerated Charter Elementary</t>
  </si>
  <si>
    <t>Acton-Agua Dulce Unified</t>
  </si>
  <si>
    <t>Alain Leroy Locke College Preparatory Academy</t>
  </si>
  <si>
    <t>Alhambra Unified</t>
  </si>
  <si>
    <t>Alliance Alice M. Baxter College-Ready High</t>
  </si>
  <si>
    <t>Alliance Cindy and Bill Simon Technology Academy High</t>
  </si>
  <si>
    <t>Alliance College-Ready Middle Academy 12</t>
  </si>
  <si>
    <t>Alliance College-Ready Middle Academy 4</t>
  </si>
  <si>
    <t>Alliance College-Ready Middle Academy 5</t>
  </si>
  <si>
    <t>Alliance College-Ready Middle Academy 8</t>
  </si>
  <si>
    <t>Alliance Collins Family College-Ready High</t>
  </si>
  <si>
    <t>Alliance Dr. Olga Mohan High</t>
  </si>
  <si>
    <t>Alliance Gertz-Ressler Richard Merkin 6-12 Complex</t>
  </si>
  <si>
    <t>Alliance Jack H. Skirball Middle</t>
  </si>
  <si>
    <t>Alliance Judy Ivie Burton Technology Academy High</t>
  </si>
  <si>
    <t>Alliance Kory Hunter Middle</t>
  </si>
  <si>
    <t>Alliance Leichtman-Levine Family Foundation Environmental Science High</t>
  </si>
  <si>
    <t>Alliance Marc &amp; Eva Stern Math and Science</t>
  </si>
  <si>
    <t>Alliance Margaret M. Bloomfield Technology Academy High</t>
  </si>
  <si>
    <t>Alliance Marine - Innovation and Technology 6-12 Complex</t>
  </si>
  <si>
    <t>Alliance Morgan McKinzie High</t>
  </si>
  <si>
    <t>Alliance Ouchi-O'Donovan 6-12 Complex</t>
  </si>
  <si>
    <t>Alliance Patti And Peter Neuwirth Leadership Academy</t>
  </si>
  <si>
    <t>Alliance Piera Barbaglia Shaheen Health Services Academy</t>
  </si>
  <si>
    <t>Alliance Renee and Meyer Luskin Academy High</t>
  </si>
  <si>
    <t>Alliance Susan and Eric Smidt Technology High</t>
  </si>
  <si>
    <t>Alliance Ted K. Tajima High</t>
  </si>
  <si>
    <t>Alliance Tennenbaum Family Technology High</t>
  </si>
  <si>
    <t>Alliance Virgil Roberts Leadership Academy</t>
  </si>
  <si>
    <t>Alma Fuerte Public</t>
  </si>
  <si>
    <t>Anahuacalmecac International University Preparatory of North America</t>
  </si>
  <si>
    <t>Animo City of Champions Charter High</t>
  </si>
  <si>
    <t>Animo Compton Charter</t>
  </si>
  <si>
    <t>Animo Ellen Ochoa Charter Middle</t>
  </si>
  <si>
    <t>Animo Florence-Firestone Charter Middle</t>
  </si>
  <si>
    <t>Animo Inglewood Charter High</t>
  </si>
  <si>
    <t>Animo Jackie Robinson High</t>
  </si>
  <si>
    <t>Animo James B. Taylor Charter Middle</t>
  </si>
  <si>
    <t>Animo Jefferson Charter Middle</t>
  </si>
  <si>
    <t>Animo Leadership High</t>
  </si>
  <si>
    <t>Animo Legacy Charter Middle</t>
  </si>
  <si>
    <t>Animo Mae Jemison Charter Middle</t>
  </si>
  <si>
    <t>Animo Pat Brown</t>
  </si>
  <si>
    <t>Animo Ralph Bunche Charter High</t>
  </si>
  <si>
    <t>Animo South Los Angeles Charter</t>
  </si>
  <si>
    <t>Animo Venice Charter High</t>
  </si>
  <si>
    <t>Animo Watts College Preparatory Academy</t>
  </si>
  <si>
    <t>Animo Westside Charter Middle</t>
  </si>
  <si>
    <t>Antelope Valley Learning Academy</t>
  </si>
  <si>
    <t>Antelope Valley Union High</t>
  </si>
  <si>
    <t>APEX Academy</t>
  </si>
  <si>
    <t>Ararat Charter</t>
  </si>
  <si>
    <t>Arcadia Unified</t>
  </si>
  <si>
    <t>Arts In Action Community Charter</t>
  </si>
  <si>
    <t>Arts in Action Community Middle</t>
  </si>
  <si>
    <t>Aspire Antonio Maria Lugo Academy</t>
  </si>
  <si>
    <t>Aspire Centennial College Preparatory Academy</t>
  </si>
  <si>
    <t>Aspire Firestone Academy Charter</t>
  </si>
  <si>
    <t>Aspire Gateway Academy Charter</t>
  </si>
  <si>
    <t>Aspire Inskeep Academy Charter</t>
  </si>
  <si>
    <t>Aspire Juanita Tate Academy Charter</t>
  </si>
  <si>
    <t>Aspire Junior Collegiate Academy</t>
  </si>
  <si>
    <t>Aspire Ollin University Preparatory Academy</t>
  </si>
  <si>
    <t>Aspire Pacific Academy</t>
  </si>
  <si>
    <t>Aspire Slauson Academy Charter</t>
  </si>
  <si>
    <t>Aspire Titan Academy</t>
  </si>
  <si>
    <t>Assurance Learning Academy</t>
  </si>
  <si>
    <t>Aveson Global Leadership Academy</t>
  </si>
  <si>
    <t>Aveson School of Leaders</t>
  </si>
  <si>
    <t>Azusa Unified</t>
  </si>
  <si>
    <t>Baldwin Park Unified</t>
  </si>
  <si>
    <t>Barack Obama Charter</t>
  </si>
  <si>
    <t>Bassett Unified</t>
  </si>
  <si>
    <t>Bellflower Unified</t>
  </si>
  <si>
    <t>Bert Corona Charter</t>
  </si>
  <si>
    <t>Bert Corona Charter High</t>
  </si>
  <si>
    <t>Beverly Hills Unified</t>
  </si>
  <si>
    <t>Birmingham Community Charter High</t>
  </si>
  <si>
    <t>Bonita Unified</t>
  </si>
  <si>
    <t>Bright Star Secondary Charter Academy</t>
  </si>
  <si>
    <t>Burbank Unified</t>
  </si>
  <si>
    <t>California Advancing Pathways for Students in Los Angeles County ROC/P</t>
  </si>
  <si>
    <t>California Collegiate Charter</t>
  </si>
  <si>
    <t>California Pacific Charter- Los Angeles</t>
  </si>
  <si>
    <t>California School of the Arts - San Gabriel Valley</t>
  </si>
  <si>
    <t>California Virtual Academy @ Los Angeles</t>
  </si>
  <si>
    <t>Camino Nuevo Charter Academy</t>
  </si>
  <si>
    <t>Camino Nuevo Charter Academy #2</t>
  </si>
  <si>
    <t>Camino Nuevo Charter Academy #4</t>
  </si>
  <si>
    <t>Camino Nuevo Charter High</t>
  </si>
  <si>
    <t>Camino Nuevo Elementary #3</t>
  </si>
  <si>
    <t>Camino Nuevo High #2</t>
  </si>
  <si>
    <t>Castaic Union</t>
  </si>
  <si>
    <t>CATCH Prep Charter High, Inc.</t>
  </si>
  <si>
    <t>Center for Advanced Learning</t>
  </si>
  <si>
    <t>Centinela Valley Union High</t>
  </si>
  <si>
    <t>Central City Value</t>
  </si>
  <si>
    <t>Century Community Charter</t>
  </si>
  <si>
    <t>CHAMPS - Charter HS of Arts-Multimedia &amp; Performing</t>
  </si>
  <si>
    <t>Charter Oak Unified</t>
  </si>
  <si>
    <t>CHIME Institute's Schwarzenegger Community</t>
  </si>
  <si>
    <t>Citizens of the World Charter School 5</t>
  </si>
  <si>
    <t>Citizens of the World Charter School Hollywood</t>
  </si>
  <si>
    <t>Citizens of the World Charter School Mar Vista</t>
  </si>
  <si>
    <t>Citizens of the World Charter School Silver Lake</t>
  </si>
  <si>
    <t>City Language Immersion Charter</t>
  </si>
  <si>
    <t>Claremont Unified</t>
  </si>
  <si>
    <t>Clear Passage Educational Center</t>
  </si>
  <si>
    <t>Collegiate Charter High School of Los Angeles</t>
  </si>
  <si>
    <t>Compass Charter Schools of Los Angeles</t>
  </si>
  <si>
    <t>Compton Unified</t>
  </si>
  <si>
    <t>Covina-Valley Unified</t>
  </si>
  <si>
    <t>Crete Academy</t>
  </si>
  <si>
    <t>Crown Preparatory Academy</t>
  </si>
  <si>
    <t>Culver City Unified</t>
  </si>
  <si>
    <t>Da Vinci Communications</t>
  </si>
  <si>
    <t>Da Vinci Connect</t>
  </si>
  <si>
    <t>Da Vinci Design</t>
  </si>
  <si>
    <t>Da Vinci RISE High</t>
  </si>
  <si>
    <t>Da Vinci Science</t>
  </si>
  <si>
    <t>Desert Sands Charter</t>
  </si>
  <si>
    <t>Discovery Charter Preparatory #2</t>
  </si>
  <si>
    <t>Downey Unified</t>
  </si>
  <si>
    <t>Downtown Value</t>
  </si>
  <si>
    <t>Duarte Unified</t>
  </si>
  <si>
    <t>East Whittier City Elementary</t>
  </si>
  <si>
    <t>Eastside Union Elementary</t>
  </si>
  <si>
    <t>Ednovate - Brio College Prep</t>
  </si>
  <si>
    <t>Ednovate - East College Prep</t>
  </si>
  <si>
    <t>Ednovate - Esperanza College Prep</t>
  </si>
  <si>
    <t>Ednovate - South LA College Prep</t>
  </si>
  <si>
    <t>Ednovate - USC Hybrid High College Prep</t>
  </si>
  <si>
    <t>El Camino Real Charter High</t>
  </si>
  <si>
    <t>El Monte City</t>
  </si>
  <si>
    <t>El Monte Union High</t>
  </si>
  <si>
    <t>El Rancho Unified</t>
  </si>
  <si>
    <t>El Rio Community</t>
  </si>
  <si>
    <t>El Segundo Unified</t>
  </si>
  <si>
    <t>Empower Generations</t>
  </si>
  <si>
    <t>Environmental Charter High - Lawndale</t>
  </si>
  <si>
    <t>Environmental Charter Middle</t>
  </si>
  <si>
    <t>Environmental Charter Middle - Inglewood</t>
  </si>
  <si>
    <t>Equitas Academy #2</t>
  </si>
  <si>
    <t>Equitas Academy #3 Charter</t>
  </si>
  <si>
    <t>Equitas Academy 4</t>
  </si>
  <si>
    <t>Equitas Academy 5</t>
  </si>
  <si>
    <t>Equitas Academy 6</t>
  </si>
  <si>
    <t>Equitas Academy Charter</t>
  </si>
  <si>
    <t>Everest Value</t>
  </si>
  <si>
    <t>Extera Public</t>
  </si>
  <si>
    <t>Extera Public School No. 2</t>
  </si>
  <si>
    <t>Family First Charter</t>
  </si>
  <si>
    <t>Fenton Avenue Charter</t>
  </si>
  <si>
    <t>Fenton Charter Leadership Academy</t>
  </si>
  <si>
    <t>Fenton Primary Center</t>
  </si>
  <si>
    <t>Fenton STEM Academy: Elementary Center for Science Technology Engineering and Mathematics</t>
  </si>
  <si>
    <t>Gabriella Charter</t>
  </si>
  <si>
    <t>Gabriella Charter 2</t>
  </si>
  <si>
    <t>Garvey Elementary</t>
  </si>
  <si>
    <t>Girls Athletic Leadership School Los Angeles</t>
  </si>
  <si>
    <t>Glendale Unified</t>
  </si>
  <si>
    <t>Glendora Unified</t>
  </si>
  <si>
    <t>Global Education Academy</t>
  </si>
  <si>
    <t>Global Education Academy 2</t>
  </si>
  <si>
    <t>Goethe International Charter</t>
  </si>
  <si>
    <t>Gorman Joint</t>
  </si>
  <si>
    <t>Gorman Learning Center</t>
  </si>
  <si>
    <t>Grace Hopper STEM Academy</t>
  </si>
  <si>
    <t>Granada Hills Charter</t>
  </si>
  <si>
    <t>Hacienda la Puente Unified</t>
  </si>
  <si>
    <t>Hawthorne</t>
  </si>
  <si>
    <t>Hermosa Beach City Elementary</t>
  </si>
  <si>
    <t>High Tech LA</t>
  </si>
  <si>
    <t>High Tech LA Middle</t>
  </si>
  <si>
    <t>Hughes-Elizabeth Lakes Union Elementary</t>
  </si>
  <si>
    <t>ICEF Inglewood Elementary Charter Academy</t>
  </si>
  <si>
    <t>ICEF Innovation Los Angeles Charter</t>
  </si>
  <si>
    <t>ICEF View Park Preparatory Elementary</t>
  </si>
  <si>
    <t>ICEF View Park Preparatory High</t>
  </si>
  <si>
    <t>ICEF View Park Preparatory Middle</t>
  </si>
  <si>
    <t>ICEF Vista Elementary Academy</t>
  </si>
  <si>
    <t>ICEF Vista Middle Academy</t>
  </si>
  <si>
    <t>iLead Agua Dulce</t>
  </si>
  <si>
    <t>iLEAD Hybrid</t>
  </si>
  <si>
    <t>iLEAD Lancaster Charter</t>
  </si>
  <si>
    <t>iLEAD Online</t>
  </si>
  <si>
    <t>Ingenium Charter</t>
  </si>
  <si>
    <t>Ingenium Charter Middle</t>
  </si>
  <si>
    <t>Ingenium Clarion Charter Middle</t>
  </si>
  <si>
    <t>Inglewood Unified</t>
  </si>
  <si>
    <t>Intellectual Virtues Academy</t>
  </si>
  <si>
    <t>Intellectual Virtues Academy of Long Beach</t>
  </si>
  <si>
    <t>Invictus Leadership Academy</t>
  </si>
  <si>
    <t>iQ Academy California-Los Angeles</t>
  </si>
  <si>
    <t>ISANA Achernar Academy</t>
  </si>
  <si>
    <t>ISANA Cardinal Academy</t>
  </si>
  <si>
    <t>ISANA Himalia Academy</t>
  </si>
  <si>
    <t>ISANA Nascent Academy</t>
  </si>
  <si>
    <t>ISANA Octavia Academy</t>
  </si>
  <si>
    <t>ISANA Palmati Academy</t>
  </si>
  <si>
    <t>Ivy Academia</t>
  </si>
  <si>
    <t>Ivy Bound Academy Math, Science, and Technology Charter Middle 2</t>
  </si>
  <si>
    <t>Ivy Bound Academy of Math, Science, and Technology Charter Middle</t>
  </si>
  <si>
    <t>James Jordan Middle</t>
  </si>
  <si>
    <t>Jardin de la Infancia</t>
  </si>
  <si>
    <t>Keppel Union Elementary</t>
  </si>
  <si>
    <t>KIPP Academy of Innovation</t>
  </si>
  <si>
    <t>KIPP Academy of Opportunity</t>
  </si>
  <si>
    <t>KIPP Comienza Community Prep</t>
  </si>
  <si>
    <t>KIPP Compton Community</t>
  </si>
  <si>
    <t>KIPP Corazon Academy</t>
  </si>
  <si>
    <t>KIPP Empower Academy</t>
  </si>
  <si>
    <t>KIPP Endeavor College Preparatory Charter</t>
  </si>
  <si>
    <t>KIPP Ignite Academy</t>
  </si>
  <si>
    <t>KIPP Iluminar Academy</t>
  </si>
  <si>
    <t>KIPP Los Angeles College Preparatory</t>
  </si>
  <si>
    <t>KIPP Philosophers Academy</t>
  </si>
  <si>
    <t>KIPP Promesa Prep</t>
  </si>
  <si>
    <t>KIPP Pueblo Unido</t>
  </si>
  <si>
    <t>KIPP Raices Academy</t>
  </si>
  <si>
    <t>KIPP Scholar Academy</t>
  </si>
  <si>
    <t>KIPP Sol Academy</t>
  </si>
  <si>
    <t>KIPP Vida Preparatory Academy</t>
  </si>
  <si>
    <t>La Canada Unified</t>
  </si>
  <si>
    <t>Lancaster Elementary</t>
  </si>
  <si>
    <t>Larchmont Charter</t>
  </si>
  <si>
    <t>Las Virgenes Unified</t>
  </si>
  <si>
    <t>Lashon Academy</t>
  </si>
  <si>
    <t>Lashon Academy City</t>
  </si>
  <si>
    <t>Lawndale Elementary</t>
  </si>
  <si>
    <t>Learning by Design Charter</t>
  </si>
  <si>
    <t>Learning Works</t>
  </si>
  <si>
    <t>Lennox</t>
  </si>
  <si>
    <t>Lennox Mathematics, Science and Technology Academy</t>
  </si>
  <si>
    <t>Libertas College Preparatory Charter</t>
  </si>
  <si>
    <t>Life Source International Charter</t>
  </si>
  <si>
    <t>Lifeline Education Charter</t>
  </si>
  <si>
    <t>Little Lake City Elementary</t>
  </si>
  <si>
    <t>Long Beach Unified</t>
  </si>
  <si>
    <t>Los Angeles Academy of Arts and Enterprise</t>
  </si>
  <si>
    <t>Los Angeles College Prep Academy</t>
  </si>
  <si>
    <t>Los Angeles County Office of Education</t>
  </si>
  <si>
    <t>Los Angeles Leadership Academy</t>
  </si>
  <si>
    <t>Los Angeles Leadership Primary Academy</t>
  </si>
  <si>
    <t>Los Angeles Unified</t>
  </si>
  <si>
    <t>Los Angeles Unified ROCP</t>
  </si>
  <si>
    <t>Los Feliz Charter Middle School for the Arts</t>
  </si>
  <si>
    <t>Los Feliz Charter School for the Arts</t>
  </si>
  <si>
    <t>Los Nietos</t>
  </si>
  <si>
    <t>Lynwood Unified</t>
  </si>
  <si>
    <t>Magnolia Science Academy</t>
  </si>
  <si>
    <t>Magnolia Science Academy 2</t>
  </si>
  <si>
    <t>Magnolia Science Academy 3</t>
  </si>
  <si>
    <t>Magnolia Science Academy 4</t>
  </si>
  <si>
    <t>Magnolia Science Academy 5</t>
  </si>
  <si>
    <t>Magnolia Science Academy 6</t>
  </si>
  <si>
    <t>Magnolia Science Academy 7</t>
  </si>
  <si>
    <t>Magnolia Science Academy Bell</t>
  </si>
  <si>
    <t>Manhattan Beach Unified</t>
  </si>
  <si>
    <t>Math and Science College Preparatory</t>
  </si>
  <si>
    <t>Matrix for Success Academy</t>
  </si>
  <si>
    <t>Method Schools, LA</t>
  </si>
  <si>
    <t>Mission Academy</t>
  </si>
  <si>
    <t>Mission View Public</t>
  </si>
  <si>
    <t>Monrovia Unified</t>
  </si>
  <si>
    <t>Monsenor Oscar Romero Charter Middle</t>
  </si>
  <si>
    <t>Montague Charter Academy</t>
  </si>
  <si>
    <t>Montebello Unified</t>
  </si>
  <si>
    <t>Mountain View Elementary</t>
  </si>
  <si>
    <t>Multicultural Learning Center</t>
  </si>
  <si>
    <t>N.E.W. Academy Canoga Park</t>
  </si>
  <si>
    <t>N.E.W. Academy of Science and Arts</t>
  </si>
  <si>
    <t>New Designs Charter</t>
  </si>
  <si>
    <t>New Designs Charter School-Watts</t>
  </si>
  <si>
    <t>New Heights Charter</t>
  </si>
  <si>
    <t>New Horizons Charter Academy</t>
  </si>
  <si>
    <t>New Los Angeles Charter</t>
  </si>
  <si>
    <t>New Los Angeles Charter Elementary</t>
  </si>
  <si>
    <t>New Millennium Secondary</t>
  </si>
  <si>
    <t>New Opportunities Charter</t>
  </si>
  <si>
    <t>New Village Girls Academy</t>
  </si>
  <si>
    <t>New West Charter</t>
  </si>
  <si>
    <t>Newhall</t>
  </si>
  <si>
    <t>North Valley Military Institute College Preparatory Academy</t>
  </si>
  <si>
    <t>Norwalk-La Mirada Unified</t>
  </si>
  <si>
    <t>Ocean Charter</t>
  </si>
  <si>
    <t>OCS - South</t>
  </si>
  <si>
    <t>Odyssey Charter</t>
  </si>
  <si>
    <t>Opportunities for Learning - Baldwin Park</t>
  </si>
  <si>
    <t>Opportunities for Learning - Duarte</t>
  </si>
  <si>
    <t>Opportunities for Learning - Santa Clarita</t>
  </si>
  <si>
    <t>Optimist Charter</t>
  </si>
  <si>
    <t>Options For Youth - Duarte, Inc</t>
  </si>
  <si>
    <t>Options for Youth San Gabriel</t>
  </si>
  <si>
    <t>Options for Youth-Acton</t>
  </si>
  <si>
    <t>Oscar De La Hoya Animo Charter High</t>
  </si>
  <si>
    <t>Our Community Charter</t>
  </si>
  <si>
    <t>Pacoima Charter Elementary</t>
  </si>
  <si>
    <t>Palisades Charter High</t>
  </si>
  <si>
    <t>Palmdale Aerospace Academy</t>
  </si>
  <si>
    <t>Palmdale Elementary</t>
  </si>
  <si>
    <t>Palos Verdes Peninsula Unified</t>
  </si>
  <si>
    <t>Para Los Niños - Evelyn Thurman Gratts Primary</t>
  </si>
  <si>
    <t>Para Los Niños Charter</t>
  </si>
  <si>
    <t>Para Los Niños Middle</t>
  </si>
  <si>
    <t>Paramount Unified</t>
  </si>
  <si>
    <t>Pasadena Rosebud Academy</t>
  </si>
  <si>
    <t>Pasadena Unified</t>
  </si>
  <si>
    <t>Pathways Academy Charter Adult Education</t>
  </si>
  <si>
    <t>Pomona Unified</t>
  </si>
  <si>
    <t>Port of Los Angeles High</t>
  </si>
  <si>
    <t>PREPA TEC - Los Angeles</t>
  </si>
  <si>
    <t>Prepa Tec Los Angeles High</t>
  </si>
  <si>
    <t>Public Policy Charter</t>
  </si>
  <si>
    <t>PUC CALS Middle School and Early College High</t>
  </si>
  <si>
    <t>PUC Community Charter Elementary</t>
  </si>
  <si>
    <t>PUC Community Charter Middle and PUC Community Charter Early College High</t>
  </si>
  <si>
    <t>PUC Early College Academy for Leaders and Scholars (ECALS)</t>
  </si>
  <si>
    <t>PUC Excel Charter Academy</t>
  </si>
  <si>
    <t>PUC Inspire Charter Academy</t>
  </si>
  <si>
    <t>PUC Lakeview Charter Academy</t>
  </si>
  <si>
    <t>PUC Lakeview Charter High</t>
  </si>
  <si>
    <t>PUC Milagro Charter</t>
  </si>
  <si>
    <t>PUC Nueva Esperanza Charter Academy</t>
  </si>
  <si>
    <t>PUC Triumph Charter Academy and PUC Triumph Charter High</t>
  </si>
  <si>
    <t>Puente Charter</t>
  </si>
  <si>
    <t>Redondo Beach Unified</t>
  </si>
  <si>
    <t>Renaissance Arts Academy</t>
  </si>
  <si>
    <t>Resolute Academy Charter</t>
  </si>
  <si>
    <t>Rise Kohyang Elementary</t>
  </si>
  <si>
    <t>Rise Kohyang High</t>
  </si>
  <si>
    <t>Rise Kohyang Middle</t>
  </si>
  <si>
    <t>Rosemead Elementary</t>
  </si>
  <si>
    <t>Rowland Unified</t>
  </si>
  <si>
    <t>Russell Westbrook Why Not? High</t>
  </si>
  <si>
    <t>Russell Westbrook Why Not? Middle</t>
  </si>
  <si>
    <t>Sage Oak Charter School- Keppel</t>
  </si>
  <si>
    <t>San Gabriel Unified</t>
  </si>
  <si>
    <t>San Jose Charter Academy</t>
  </si>
  <si>
    <t>San Marino Unified</t>
  </si>
  <si>
    <t>Santa Clarita Valley International</t>
  </si>
  <si>
    <t>Santa Monica Boulevard Community Charter</t>
  </si>
  <si>
    <t>Santa Monica-Malibu Unified</t>
  </si>
  <si>
    <t>Saugus Union</t>
  </si>
  <si>
    <t>Scholarship Prep - South Bay</t>
  </si>
  <si>
    <t>School of Arts and Enterprise</t>
  </si>
  <si>
    <t>SIATech Academy South</t>
  </si>
  <si>
    <t>Soleil Academy Charter</t>
  </si>
  <si>
    <t>South Pasadena Unified</t>
  </si>
  <si>
    <t>South Whittier Elementary</t>
  </si>
  <si>
    <t>Southern California ROC</t>
  </si>
  <si>
    <t>Stella Elementary Charter Academy</t>
  </si>
  <si>
    <t>Stella Middle Charter Academy</t>
  </si>
  <si>
    <t>STEM Preparatory Elementary</t>
  </si>
  <si>
    <t>Sulphur Springs Union</t>
  </si>
  <si>
    <t>Synergy Charter Academy</t>
  </si>
  <si>
    <t>Synergy Kinetic Academy</t>
  </si>
  <si>
    <t>Synergy Quantum Academy</t>
  </si>
  <si>
    <t>TEACH Academy of Technologies</t>
  </si>
  <si>
    <t>TEACH Preparatory Mildred S. Cunningham &amp; Edith H. Morris Elementary</t>
  </si>
  <si>
    <t>TEACH Tech Charter High</t>
  </si>
  <si>
    <t>Temple City Unified</t>
  </si>
  <si>
    <t>The City</t>
  </si>
  <si>
    <t>Today's Fresh Start-Compton</t>
  </si>
  <si>
    <t>Torrance Unified</t>
  </si>
  <si>
    <t>University Preparatory Value High</t>
  </si>
  <si>
    <t>Valiente College Preparatory Charter</t>
  </si>
  <si>
    <t>Valle Lindo Elementary</t>
  </si>
  <si>
    <t>Valley Charter Elementary</t>
  </si>
  <si>
    <t>Valley Charter Middle</t>
  </si>
  <si>
    <t>Valley International Preparatory High</t>
  </si>
  <si>
    <t>Valor Academy Elementary</t>
  </si>
  <si>
    <t>Valor Academy High</t>
  </si>
  <si>
    <t>Valor Academy Middle</t>
  </si>
  <si>
    <t>Vaughn Next Century Learning Center</t>
  </si>
  <si>
    <t>Village Charter Academy</t>
  </si>
  <si>
    <t>Vista Charter Middle</t>
  </si>
  <si>
    <t>Vista Horizon Global Academy</t>
  </si>
  <si>
    <t>Vox Collegiate of Los Angeles</t>
  </si>
  <si>
    <t>Wallis Annenberg High</t>
  </si>
  <si>
    <t>Walnut Valley Unified</t>
  </si>
  <si>
    <t>Watts Learning Center</t>
  </si>
  <si>
    <t>Watts Learning Center Charter Middle</t>
  </si>
  <si>
    <t>We the People High</t>
  </si>
  <si>
    <t>West Covina Unified</t>
  </si>
  <si>
    <t>Westside Union Elementary</t>
  </si>
  <si>
    <t>Whittier City Elementary</t>
  </si>
  <si>
    <t>Whittier Union High</t>
  </si>
  <si>
    <t>Wilder's Preparatory Academy Charter</t>
  </si>
  <si>
    <t>Wilder's Preparatory Academy Charter Middle</t>
  </si>
  <si>
    <t>William S. Hart Union High</t>
  </si>
  <si>
    <t>Wilsona Elementary</t>
  </si>
  <si>
    <t>Wiseburn Unified</t>
  </si>
  <si>
    <t>WISH Academy High</t>
  </si>
  <si>
    <t>WISH Community</t>
  </si>
  <si>
    <t>Madera</t>
  </si>
  <si>
    <t>Alview-Dairyland Union Elementary</t>
  </si>
  <si>
    <t>Bass Lake Joint Union Elementary</t>
  </si>
  <si>
    <t>Chawanakee Unified</t>
  </si>
  <si>
    <t>Chowchilla Elementary</t>
  </si>
  <si>
    <t>Chowchilla Union High</t>
  </si>
  <si>
    <t>Ezequiel Tafoya Alvarado Academy</t>
  </si>
  <si>
    <t>Glacier High School Charter</t>
  </si>
  <si>
    <t>Golden Valley Unified</t>
  </si>
  <si>
    <t>Madera County Superintendent of Schools</t>
  </si>
  <si>
    <t>Madera Unified</t>
  </si>
  <si>
    <t>Mountain Home Charter (Alternative)</t>
  </si>
  <si>
    <t>Raymond-Knowles Union Elementary</t>
  </si>
  <si>
    <t>Sherman Thomas Charter</t>
  </si>
  <si>
    <t>Sherman Thomas Charter High</t>
  </si>
  <si>
    <t>Sherman Thomas STEM Academy</t>
  </si>
  <si>
    <t>Yosemite Unified</t>
  </si>
  <si>
    <t>Yosemite-Wawona Elementary Charter</t>
  </si>
  <si>
    <t>Marin</t>
  </si>
  <si>
    <t>Bolinas-Stinson Union</t>
  </si>
  <si>
    <t>Kentfield Elementary</t>
  </si>
  <si>
    <t>Laguna Joint Elementary</t>
  </si>
  <si>
    <t>Lagunitas Elementary</t>
  </si>
  <si>
    <t>Larkspur-Corte Madera</t>
  </si>
  <si>
    <t>Marin County Office of Education</t>
  </si>
  <si>
    <t>Mill Valley Elementary</t>
  </si>
  <si>
    <t>Miller Creek Elementary</t>
  </si>
  <si>
    <t>Nicasio</t>
  </si>
  <si>
    <t>Novato Charter</t>
  </si>
  <si>
    <t>Novato Unified</t>
  </si>
  <si>
    <t>Reed Union Elementary</t>
  </si>
  <si>
    <t>Ross Elementary</t>
  </si>
  <si>
    <t>Ross Valley Charter</t>
  </si>
  <si>
    <t>Ross Valley Elementary</t>
  </si>
  <si>
    <t>San Rafael City Elementary</t>
  </si>
  <si>
    <t>San Rafael City High</t>
  </si>
  <si>
    <t>Sausalito Marin City</t>
  </si>
  <si>
    <t>Shoreline Unified</t>
  </si>
  <si>
    <t>Tamalpais Union High</t>
  </si>
  <si>
    <t>Willow Creek Academy Charter</t>
  </si>
  <si>
    <t>Mariposa</t>
  </si>
  <si>
    <t>Mariposa County Office of Education</t>
  </si>
  <si>
    <t>Mariposa County Unified</t>
  </si>
  <si>
    <t>Sierra Foothill Charter</t>
  </si>
  <si>
    <t>Mendocino</t>
  </si>
  <si>
    <t>Accelerated Achievement Academy</t>
  </si>
  <si>
    <t>Anderson Valley Unified</t>
  </si>
  <si>
    <t>Arena Union Elementary</t>
  </si>
  <si>
    <t>Eel River Charter</t>
  </si>
  <si>
    <t>Fort Bragg Unified</t>
  </si>
  <si>
    <t>La Vida Charter</t>
  </si>
  <si>
    <t>Laytonville Unified</t>
  </si>
  <si>
    <t>Leggett Valley Unified</t>
  </si>
  <si>
    <t>Manchester Union Elementary</t>
  </si>
  <si>
    <t>Mendocino County Office of Education</t>
  </si>
  <si>
    <t>Mendocino Unified</t>
  </si>
  <si>
    <t>Pacific Community Charter</t>
  </si>
  <si>
    <t>Point Arena Joint Union High</t>
  </si>
  <si>
    <t>Potter Valley Community Unified</t>
  </si>
  <si>
    <t>Redwood Academy of Ukiah</t>
  </si>
  <si>
    <t>River Oak Charter</t>
  </si>
  <si>
    <t>Round Valley Unified</t>
  </si>
  <si>
    <t>Three Rivers Charter</t>
  </si>
  <si>
    <t>Tree of Life Charter</t>
  </si>
  <si>
    <t>Ukiah Unified</t>
  </si>
  <si>
    <t>Willits Charter</t>
  </si>
  <si>
    <t>Willits Elementary Charter</t>
  </si>
  <si>
    <t>Willits Unified</t>
  </si>
  <si>
    <t>Merced</t>
  </si>
  <si>
    <t>Atwater Elementary</t>
  </si>
  <si>
    <t>Ballico-Cressey Elementary</t>
  </si>
  <si>
    <t>Delhi Unified</t>
  </si>
  <si>
    <t>Dos Palos Oro Loma Joint Unified</t>
  </si>
  <si>
    <t>El Nido Elementary</t>
  </si>
  <si>
    <t>Gustine Unified</t>
  </si>
  <si>
    <t>Hilmar Unified</t>
  </si>
  <si>
    <t>Le Grand Union Elementary</t>
  </si>
  <si>
    <t>Le Grand Union High</t>
  </si>
  <si>
    <t>Livingston Union</t>
  </si>
  <si>
    <t>Los Banos Unified</t>
  </si>
  <si>
    <t>McSwain Union Elementary</t>
  </si>
  <si>
    <t>Merced City Elementary</t>
  </si>
  <si>
    <t>Merced County Office of Education</t>
  </si>
  <si>
    <t>Merced River Union Elementary</t>
  </si>
  <si>
    <t>Merced Union High</t>
  </si>
  <si>
    <t>Plainsburg Union Elementary</t>
  </si>
  <si>
    <t>Planada Elementary</t>
  </si>
  <si>
    <t>Snelling-Merced Falls Union Elementary</t>
  </si>
  <si>
    <t>Weaver Union</t>
  </si>
  <si>
    <t>Winton</t>
  </si>
  <si>
    <t>Modoc</t>
  </si>
  <si>
    <t>Modoc County Office of Education</t>
  </si>
  <si>
    <t>Modoc Joint Unified</t>
  </si>
  <si>
    <t>Surprise Valley Joint Unified</t>
  </si>
  <si>
    <t>Tulelake Basin Joint Unified</t>
  </si>
  <si>
    <t>Mono</t>
  </si>
  <si>
    <t>Eastern Sierra Unified</t>
  </si>
  <si>
    <t>Mammoth Unified</t>
  </si>
  <si>
    <t>Mono County Office of Education</t>
  </si>
  <si>
    <t>Monterey</t>
  </si>
  <si>
    <t>Alisal Union</t>
  </si>
  <si>
    <t>Bay View Academy</t>
  </si>
  <si>
    <t>Big Sur Charter</t>
  </si>
  <si>
    <t>Big Sur Unified</t>
  </si>
  <si>
    <t>Bradley Union Elementary</t>
  </si>
  <si>
    <t>Carmel Unified</t>
  </si>
  <si>
    <t>Chualar Union</t>
  </si>
  <si>
    <t>Gonzales Unified</t>
  </si>
  <si>
    <t>Graves Elementary</t>
  </si>
  <si>
    <t>Greenfield Union Elementary</t>
  </si>
  <si>
    <t>International School of Monterey</t>
  </si>
  <si>
    <t>King City Union</t>
  </si>
  <si>
    <t>Lagunita Elementary</t>
  </si>
  <si>
    <t>Learning for Life Charter</t>
  </si>
  <si>
    <t>Mission Union Elementary</t>
  </si>
  <si>
    <t>Monterey Bay Charter</t>
  </si>
  <si>
    <t>Monterey County Office of Education</t>
  </si>
  <si>
    <t>Monterey Peninsula Unified</t>
  </si>
  <si>
    <t>North Monterey County Unified</t>
  </si>
  <si>
    <t>Oasis Charter Public</t>
  </si>
  <si>
    <t>Open Door Charter</t>
  </si>
  <si>
    <t>Pacific Grove Unified</t>
  </si>
  <si>
    <t>Salinas City Elementary</t>
  </si>
  <si>
    <t>Salinas Union High</t>
  </si>
  <si>
    <t>San Antonio Union Elementary</t>
  </si>
  <si>
    <t>San Ardo Union Elementary</t>
  </si>
  <si>
    <t>San Lucas Union Elementary</t>
  </si>
  <si>
    <t>Santa Rita Union Elementary</t>
  </si>
  <si>
    <t>Soledad Unified</t>
  </si>
  <si>
    <t>South Monterey County Joint Union High</t>
  </si>
  <si>
    <t>Spreckels Union Elementary</t>
  </si>
  <si>
    <t>Virtual Preparatory Academy at Monterey</t>
  </si>
  <si>
    <t>Washington Union Elementary</t>
  </si>
  <si>
    <t>Napa</t>
  </si>
  <si>
    <t>Calistoga Joint Unified</t>
  </si>
  <si>
    <t>Howell Mountain Elementary</t>
  </si>
  <si>
    <t>Napa County Office of Education</t>
  </si>
  <si>
    <t>Napa Valley Unified</t>
  </si>
  <si>
    <t>Pope Valley Union Elementary</t>
  </si>
  <si>
    <t>Saint Helena Unified</t>
  </si>
  <si>
    <t>Stone Bridge</t>
  </si>
  <si>
    <t>Nevada</t>
  </si>
  <si>
    <t>Chicago Park Elementary</t>
  </si>
  <si>
    <t>Clear Creek Elementary</t>
  </si>
  <si>
    <t>EPIC de Cesar Chavez</t>
  </si>
  <si>
    <t>Grass Valley Elementary</t>
  </si>
  <si>
    <t>John Muir Charter</t>
  </si>
  <si>
    <t>Nevada City Elementary</t>
  </si>
  <si>
    <t>Nevada City School of the Arts</t>
  </si>
  <si>
    <t>Nevada County Office of Education</t>
  </si>
  <si>
    <t>Nevada Joint Union High</t>
  </si>
  <si>
    <t>Penn Valley Union Elementary</t>
  </si>
  <si>
    <t>Pleasant Ridge Union Elementary</t>
  </si>
  <si>
    <t>Sierra Academy of Expeditionary Learning</t>
  </si>
  <si>
    <t>Twin Ridges Elementary</t>
  </si>
  <si>
    <t>Union Hill Elementary</t>
  </si>
  <si>
    <t>Yuba River Charter</t>
  </si>
  <si>
    <t>Orange</t>
  </si>
  <si>
    <t>Anaheim Elementary</t>
  </si>
  <si>
    <t>Anaheim Union High</t>
  </si>
  <si>
    <t>Brea-Olinda Unified</t>
  </si>
  <si>
    <t>Buena Park Elementary</t>
  </si>
  <si>
    <t>California Connections Academy Southern California</t>
  </si>
  <si>
    <t>Capistrano Unified</t>
  </si>
  <si>
    <t>Central Orange County CTE Partnership (CTEp)</t>
  </si>
  <si>
    <t>Centralia Elementary</t>
  </si>
  <si>
    <t>Citrus Springs Charter</t>
  </si>
  <si>
    <t>College and Career Advantage</t>
  </si>
  <si>
    <t>Community Roots Academy</t>
  </si>
  <si>
    <t>Cypress Elementary</t>
  </si>
  <si>
    <t>Ednovate - Legacy College Prep.</t>
  </si>
  <si>
    <t>Edward B. Cole Academy</t>
  </si>
  <si>
    <t>El Sol Santa Ana Science and Arts Academy</t>
  </si>
  <si>
    <t>EPIC Charter (Excellence Performance Innovation Citizenship)</t>
  </si>
  <si>
    <t>Fountain Valley Elementary</t>
  </si>
  <si>
    <t>Fullerton Elementary</t>
  </si>
  <si>
    <t>Fullerton Joint Union High</t>
  </si>
  <si>
    <t>Garden Grove Unified</t>
  </si>
  <si>
    <t>Huntington Beach City Elementary</t>
  </si>
  <si>
    <t>Huntington Beach Union High</t>
  </si>
  <si>
    <t>International School for Science and Culture</t>
  </si>
  <si>
    <t>Irvine Unified</t>
  </si>
  <si>
    <t>Journey</t>
  </si>
  <si>
    <t>Kinetic Academy</t>
  </si>
  <si>
    <t>La Habra City Elementary</t>
  </si>
  <si>
    <t>Laguna Beach Unified</t>
  </si>
  <si>
    <t>Los Alamitos Unified</t>
  </si>
  <si>
    <t>Lowell Joint</t>
  </si>
  <si>
    <t>Magnolia Elementary</t>
  </si>
  <si>
    <t>Magnolia Science Academy Santa Ana</t>
  </si>
  <si>
    <t>Newport-Mesa Unified</t>
  </si>
  <si>
    <t>Nova Academy Early College High</t>
  </si>
  <si>
    <t>OCASA College Prep</t>
  </si>
  <si>
    <t>Ocean View</t>
  </si>
  <si>
    <t>OCSA</t>
  </si>
  <si>
    <t>Opportunities for Learning - Capistrano</t>
  </si>
  <si>
    <t>Orange County Academy of Sciences and Arts</t>
  </si>
  <si>
    <t>Orange County Classical Academy</t>
  </si>
  <si>
    <t>Orange County Department of Education</t>
  </si>
  <si>
    <t>Orange County Educational Arts Academy</t>
  </si>
  <si>
    <t>Orange County Workforce Innovation High</t>
  </si>
  <si>
    <t>Orange Unified</t>
  </si>
  <si>
    <t>Oxford Preparatory Academy - Saddleback Valley</t>
  </si>
  <si>
    <t>Oxford Preparatory Academy - South Orange County</t>
  </si>
  <si>
    <t>Palm Lane Elementary Charter</t>
  </si>
  <si>
    <t>Placentia-Yorba Linda Unified</t>
  </si>
  <si>
    <t>Saddleback Valley Unified</t>
  </si>
  <si>
    <t>Samueli Academy</t>
  </si>
  <si>
    <t>Santa Ana Unified</t>
  </si>
  <si>
    <t>Santiago Middle</t>
  </si>
  <si>
    <t>Savanna Elementary</t>
  </si>
  <si>
    <t>Scholarship Prep - Orange County</t>
  </si>
  <si>
    <t>Suncoast Preparatory Academy</t>
  </si>
  <si>
    <t>Sycamore Creek Community Charter</t>
  </si>
  <si>
    <t>Tomorrow's Leadership Collaborative (TLC) Charter</t>
  </si>
  <si>
    <t>Tustin Unified</t>
  </si>
  <si>
    <t>Unity Middle College High</t>
  </si>
  <si>
    <t>Vibrant Minds Charter</t>
  </si>
  <si>
    <t>Vista Condor Global Academy</t>
  </si>
  <si>
    <t>Vista Heritage Global Academy</t>
  </si>
  <si>
    <t>Westminster</t>
  </si>
  <si>
    <t>Placer</t>
  </si>
  <si>
    <t>Ackerman Charter</t>
  </si>
  <si>
    <t>Alta-Dutch Flat Union Elementary</t>
  </si>
  <si>
    <t>Auburn Union Elementary</t>
  </si>
  <si>
    <t>Colfax Elementary</t>
  </si>
  <si>
    <t>Creekside Charter</t>
  </si>
  <si>
    <t>Dry Creek Joint Elementary</t>
  </si>
  <si>
    <t>Eureka Union</t>
  </si>
  <si>
    <t>Foresthill Union Elementary</t>
  </si>
  <si>
    <t>Golden Valley Tahoe</t>
  </si>
  <si>
    <t>Harvest Ridge Cooperative Charter</t>
  </si>
  <si>
    <t>Horizon Charter</t>
  </si>
  <si>
    <t>John Adams Academy - Lincoln</t>
  </si>
  <si>
    <t>John Adams Academy - Roseville</t>
  </si>
  <si>
    <t>Loomis Union Elementary</t>
  </si>
  <si>
    <t>Maria Montessori Charter Academy</t>
  </si>
  <si>
    <t>Newcastle Elementary</t>
  </si>
  <si>
    <t>Placer Academy Charter</t>
  </si>
  <si>
    <t>Placer County Office of Education</t>
  </si>
  <si>
    <t>Placer Hills Union Elementary</t>
  </si>
  <si>
    <t>Placer Union High</t>
  </si>
  <si>
    <t>Rocklin Academy</t>
  </si>
  <si>
    <t>Rocklin Academy at Meyers Street</t>
  </si>
  <si>
    <t>Rocklin Academy Gateway</t>
  </si>
  <si>
    <t>Rocklin Unified</t>
  </si>
  <si>
    <t>Roseville City Elementary</t>
  </si>
  <si>
    <t>Roseville Joint Union High</t>
  </si>
  <si>
    <t>Sierra Expeditionary Learning</t>
  </si>
  <si>
    <t>Tahoe-Truckee Unified</t>
  </si>
  <si>
    <t>Western Placer Unified</t>
  </si>
  <si>
    <t>Western Sierra Collegiate Academy</t>
  </si>
  <si>
    <t>Plumas</t>
  </si>
  <si>
    <t>Plumas Charter</t>
  </si>
  <si>
    <t>Plumas County Office of Education</t>
  </si>
  <si>
    <t>Plumas Unified</t>
  </si>
  <si>
    <t>Riverside</t>
  </si>
  <si>
    <t>Alvord Unified</t>
  </si>
  <si>
    <t>Banning Unified</t>
  </si>
  <si>
    <t>Beaumont Unified</t>
  </si>
  <si>
    <t>Coachella Valley Unified</t>
  </si>
  <si>
    <t>Corona-Norco Unified</t>
  </si>
  <si>
    <t>Desert Center Unified</t>
  </si>
  <si>
    <t>Desert Sands Unified</t>
  </si>
  <si>
    <t>Excelsior Charter School Corona-Norco</t>
  </si>
  <si>
    <t>Garvey/Allen Visual &amp; Performing Arts Academy for STEM</t>
  </si>
  <si>
    <t>Gateway College and Career Academy</t>
  </si>
  <si>
    <t>Hemet Unified</t>
  </si>
  <si>
    <t>Highland Academy</t>
  </si>
  <si>
    <t>Imagine Schools, Riverside County</t>
  </si>
  <si>
    <t>JCS - Pine Hills</t>
  </si>
  <si>
    <t>Julia Lee Performing Arts Academy</t>
  </si>
  <si>
    <t>Jurupa Unified</t>
  </si>
  <si>
    <t>Lake Elsinore Unified</t>
  </si>
  <si>
    <t>Leadership Military Academy</t>
  </si>
  <si>
    <t>Menifee Union Elementary</t>
  </si>
  <si>
    <t>Mission Vista Academy</t>
  </si>
  <si>
    <t>Moreno Valley Unified</t>
  </si>
  <si>
    <t>Murrieta Valley Unified</t>
  </si>
  <si>
    <t>NOVA Academy - Coachella</t>
  </si>
  <si>
    <t>Nuview Union</t>
  </si>
  <si>
    <t>Palm Springs Unified</t>
  </si>
  <si>
    <t>Palo Verde Unified</t>
  </si>
  <si>
    <t>Perris Elementary</t>
  </si>
  <si>
    <t>Perris Union High</t>
  </si>
  <si>
    <t>Pivot Charter School Riverside</t>
  </si>
  <si>
    <t>REACH Leadership STEM Academy</t>
  </si>
  <si>
    <t>River Springs Charter</t>
  </si>
  <si>
    <t>Riverside County Office of Education</t>
  </si>
  <si>
    <t>Riverside Unified</t>
  </si>
  <si>
    <t>Romoland Elementary</t>
  </si>
  <si>
    <t>San Jacinto Unified</t>
  </si>
  <si>
    <t>San Jacinto Valley Academy</t>
  </si>
  <si>
    <t>Santa Rosa Academy</t>
  </si>
  <si>
    <t>Scale Leadership Academy - East</t>
  </si>
  <si>
    <t>Sycamore Academy of Science and Cultural Arts</t>
  </si>
  <si>
    <t>Temecula International Academy</t>
  </si>
  <si>
    <t>Temecula Preparatory</t>
  </si>
  <si>
    <t>Temecula Valley Charter</t>
  </si>
  <si>
    <t>Temecula Valley Unified</t>
  </si>
  <si>
    <t>Val Verde Unified</t>
  </si>
  <si>
    <t>Sacramento</t>
  </si>
  <si>
    <t>American River Collegiate Academy</t>
  </si>
  <si>
    <t>Arcohe Union Elementary</t>
  </si>
  <si>
    <t>Aspire Alexander Twilight College Preparatory Academy</t>
  </si>
  <si>
    <t>Aspire Alexander Twilight Secondary Academy</t>
  </si>
  <si>
    <t>Aspire Capitol Heights Academy</t>
  </si>
  <si>
    <t>California Education Authority (CEA) Headquarters</t>
  </si>
  <si>
    <t>California Innovative Career Academy</t>
  </si>
  <si>
    <t>California Montessori Project - Capitol Campus</t>
  </si>
  <si>
    <t>California Montessori Project - Elk Grove Campus</t>
  </si>
  <si>
    <t>California Montessori Project-San Juan Campuses</t>
  </si>
  <si>
    <t>Capitol Collegiate Academy</t>
  </si>
  <si>
    <t>Center Joint Unified</t>
  </si>
  <si>
    <t>Community Collaborative Charter</t>
  </si>
  <si>
    <t>Community Outreach Academy</t>
  </si>
  <si>
    <t>Delta Elementary Charter</t>
  </si>
  <si>
    <t>Elk Grove Unified</t>
  </si>
  <si>
    <t>Elverta Joint Elementary</t>
  </si>
  <si>
    <t>Folsom-Cordova Unified</t>
  </si>
  <si>
    <t>Fortune</t>
  </si>
  <si>
    <t>Futures High</t>
  </si>
  <si>
    <t>Galt Joint Union Elementary</t>
  </si>
  <si>
    <t>Galt Joint Union High</t>
  </si>
  <si>
    <t>Gateway International</t>
  </si>
  <si>
    <t>Golden Valley Orchard</t>
  </si>
  <si>
    <t>Golden Valley River</t>
  </si>
  <si>
    <t>Growth Public</t>
  </si>
  <si>
    <t>Heritage Peak Charter</t>
  </si>
  <si>
    <t>Higher Learning Academy</t>
  </si>
  <si>
    <t>Highlands Community Charter</t>
  </si>
  <si>
    <t>Marconi Learning Academy</t>
  </si>
  <si>
    <t>Natomas Charter</t>
  </si>
  <si>
    <t>Natomas Unified</t>
  </si>
  <si>
    <t>Options for Youth-San Juan</t>
  </si>
  <si>
    <t>Paseo Grande Charter</t>
  </si>
  <si>
    <t>River Delta Joint Unified</t>
  </si>
  <si>
    <t>Robla Elementary</t>
  </si>
  <si>
    <t>Sacramento Charter High</t>
  </si>
  <si>
    <t>Sacramento City Unified</t>
  </si>
  <si>
    <t>Sacramento County Office of Education</t>
  </si>
  <si>
    <t>San Juan Unified</t>
  </si>
  <si>
    <t>SAVA - Sacramento Academic and Vocational Academy</t>
  </si>
  <si>
    <t>SAVA - Sacramento Academic and Vocational Academy - EGUSD</t>
  </si>
  <si>
    <t>SAVA - Sacramento Academic and Vocational Academy - SCUSD</t>
  </si>
  <si>
    <t>Sol Aureus College Preparatory</t>
  </si>
  <si>
    <t>St. HOPE Public School 7</t>
  </si>
  <si>
    <t>The Language Academy of Sacramento</t>
  </si>
  <si>
    <t>Twin Rivers Unified</t>
  </si>
  <si>
    <t>Visions In Education</t>
  </si>
  <si>
    <t>Yav Pem Suab Academy - Preparing for the Future Charter</t>
  </si>
  <si>
    <t>San Benito</t>
  </si>
  <si>
    <t>Aromas - San Juan Unified</t>
  </si>
  <si>
    <t>Bitterwater-Tully Elementary</t>
  </si>
  <si>
    <t>Cienega Union Elementary</t>
  </si>
  <si>
    <t>Hollister</t>
  </si>
  <si>
    <t>Hollister Prep</t>
  </si>
  <si>
    <t>Jefferson Elementary</t>
  </si>
  <si>
    <t>North County Joint Union Elementary</t>
  </si>
  <si>
    <t>Panoche Elementary</t>
  </si>
  <si>
    <t>San Benito County Office of Education</t>
  </si>
  <si>
    <t>San Benito High</t>
  </si>
  <si>
    <t>Southside Elementary</t>
  </si>
  <si>
    <t>Tres Pinos Union Elementary</t>
  </si>
  <si>
    <t>Willow Grove Union Elementary</t>
  </si>
  <si>
    <t>San Bernardino</t>
  </si>
  <si>
    <t>Academy for Academic Excellence</t>
  </si>
  <si>
    <t>Adelanto Elementary</t>
  </si>
  <si>
    <t>Allegiance STEAM Academy - Thrive</t>
  </si>
  <si>
    <t>Alta Loma Elementary</t>
  </si>
  <si>
    <t>Alta Vista Innovation High</t>
  </si>
  <si>
    <t>Apple Valley Unified</t>
  </si>
  <si>
    <t>ASA Charter</t>
  </si>
  <si>
    <t>Baker Valley Unified</t>
  </si>
  <si>
    <t>Ballington Academy for the Arts and Sciences - San Bernardino</t>
  </si>
  <si>
    <t>Barstow Unified</t>
  </si>
  <si>
    <t>Bear Valley Unified</t>
  </si>
  <si>
    <t>Central Elementary</t>
  </si>
  <si>
    <t>Chaffey Joint Union High</t>
  </si>
  <si>
    <t>Chino Valley Unified</t>
  </si>
  <si>
    <t>Colton Joint Unified</t>
  </si>
  <si>
    <t>Cucamonga Elementary</t>
  </si>
  <si>
    <t>Desert Trails Preparatory Academy</t>
  </si>
  <si>
    <t>Elite Academic Academy - Lucerne</t>
  </si>
  <si>
    <t>Empire Springs Charter</t>
  </si>
  <si>
    <t>Encore Jr./Sr. High School for the Performing and Visual Arts</t>
  </si>
  <si>
    <t>Entrepreneur High</t>
  </si>
  <si>
    <t>Etiwanda Elementary</t>
  </si>
  <si>
    <t>Excel Academy Charter</t>
  </si>
  <si>
    <t>Excelsior Charter</t>
  </si>
  <si>
    <t>Fontana Unified</t>
  </si>
  <si>
    <t>Gorman Learning Center San Bernardino/Santa Clarita</t>
  </si>
  <si>
    <t>Granite Mountain Charter</t>
  </si>
  <si>
    <t>Grove</t>
  </si>
  <si>
    <t>Hardy Brown College Prep</t>
  </si>
  <si>
    <t>Helendale Elementary</t>
  </si>
  <si>
    <t>Hesperia Unified</t>
  </si>
  <si>
    <t>iEmpire Academy</t>
  </si>
  <si>
    <t>Inland Leaders Charter</t>
  </si>
  <si>
    <t>LaVerne Elementary Preparatory Academy</t>
  </si>
  <si>
    <t>Lucerne Valley Unified</t>
  </si>
  <si>
    <t>Mirus Secondary</t>
  </si>
  <si>
    <t>Mojave River Academy - Gold Canyon</t>
  </si>
  <si>
    <t>Mojave River Academy - Marble City</t>
  </si>
  <si>
    <t>Mojave River Academy - National Trails</t>
  </si>
  <si>
    <t>Mojave River Academy - Oro Grande</t>
  </si>
  <si>
    <t>Mojave River Academy - Rockview Park</t>
  </si>
  <si>
    <t>Mojave River Academy - Route 66</t>
  </si>
  <si>
    <t>Mojave River Academy - Silver Mountain</t>
  </si>
  <si>
    <t>Morongo Unified</t>
  </si>
  <si>
    <t>Mt. Baldy Joint Elementary</t>
  </si>
  <si>
    <t>Needles Unified</t>
  </si>
  <si>
    <t>New Vision Middle</t>
  </si>
  <si>
    <t>Norton Science and Language Academy</t>
  </si>
  <si>
    <t>Ontario-Montclair</t>
  </si>
  <si>
    <t>Options for Youth-San Bernardino</t>
  </si>
  <si>
    <t>Options for Youth-Victorville Charter</t>
  </si>
  <si>
    <t>Oro Grande</t>
  </si>
  <si>
    <t>Pathways to College K8</t>
  </si>
  <si>
    <t>Provisional Accelerated Learning Academy</t>
  </si>
  <si>
    <t>Public Safety Academy</t>
  </si>
  <si>
    <t>Redlands Unified</t>
  </si>
  <si>
    <t>Rialto Unified</t>
  </si>
  <si>
    <t>Rim of the World Unified</t>
  </si>
  <si>
    <t>Riverside Preparatory</t>
  </si>
  <si>
    <t>Sage Oak Charter</t>
  </si>
  <si>
    <t>San Bernardino City Unified</t>
  </si>
  <si>
    <t>San Bernardino County Office of Education</t>
  </si>
  <si>
    <t>Savant Preparatory Academy of Business</t>
  </si>
  <si>
    <t>Silver Valley Unified</t>
  </si>
  <si>
    <t>Sky Mountain Charter</t>
  </si>
  <si>
    <t>Snowline Joint Unified</t>
  </si>
  <si>
    <t>SOAR Charter Academy</t>
  </si>
  <si>
    <t>Summit Leadership Academy-High Desert</t>
  </si>
  <si>
    <t>Sycamore Academy of Science and Cultural Arts - Chino Valley</t>
  </si>
  <si>
    <t>Taylion High Desert Academy/Adelanto</t>
  </si>
  <si>
    <t>Trona Joint Unified</t>
  </si>
  <si>
    <t>Upland Unified</t>
  </si>
  <si>
    <t>Victor Elementary</t>
  </si>
  <si>
    <t>Victor Valley Union High</t>
  </si>
  <si>
    <t>Virtual Preparatory Academy at Lucerne</t>
  </si>
  <si>
    <t>Vista Norte Public Charter</t>
  </si>
  <si>
    <t>Woodward Leadership Academy</t>
  </si>
  <si>
    <t>Yucaipa-Calimesa Joint Unified</t>
  </si>
  <si>
    <t>San Diego</t>
  </si>
  <si>
    <t>Albert Einstein Academies</t>
  </si>
  <si>
    <t>Albert Einstein Academy Charter Elementary</t>
  </si>
  <si>
    <t>All Tribes Charter</t>
  </si>
  <si>
    <t>All Tribes Elementary Charter</t>
  </si>
  <si>
    <t>Alpine Union Elementary</t>
  </si>
  <si>
    <t>America's Finest Charter</t>
  </si>
  <si>
    <t>Arroyo Vista Charter</t>
  </si>
  <si>
    <t>Audeo Charter</t>
  </si>
  <si>
    <t>Audeo Charter II</t>
  </si>
  <si>
    <t>Audeo Charter School III</t>
  </si>
  <si>
    <t>Barona Indian Charter</t>
  </si>
  <si>
    <t>Baypoint Preparatory Academy - San Diego</t>
  </si>
  <si>
    <t>Bella Mente Montessori Academy</t>
  </si>
  <si>
    <t>Bonsall Unified</t>
  </si>
  <si>
    <t>Borrego Springs Unified</t>
  </si>
  <si>
    <t>Brookfield Engineering Science Technology Academy</t>
  </si>
  <si>
    <t>Cabrillo Point Academy</t>
  </si>
  <si>
    <t>Cajon Valley Union</t>
  </si>
  <si>
    <t>California Pacific Charter - San Diego</t>
  </si>
  <si>
    <t>California Virtual Academy @ San Diego</t>
  </si>
  <si>
    <t>Cardiff Elementary</t>
  </si>
  <si>
    <t>Carlsbad Unified</t>
  </si>
  <si>
    <t>Charter School of San Diego</t>
  </si>
  <si>
    <t>Chula Vista Elementary</t>
  </si>
  <si>
    <t>Chula Vista Learning Community Charter</t>
  </si>
  <si>
    <t>City Heights Preparatory Charter</t>
  </si>
  <si>
    <t>Classical Academy</t>
  </si>
  <si>
    <t>Classical Academy High</t>
  </si>
  <si>
    <t>Classical Academy Vista</t>
  </si>
  <si>
    <t>Coastal Academy Charter</t>
  </si>
  <si>
    <t>College Preparatory Middle</t>
  </si>
  <si>
    <t>Community Montessori</t>
  </si>
  <si>
    <t>Compass Charter Schools of San Diego</t>
  </si>
  <si>
    <t>Coronado Unified</t>
  </si>
  <si>
    <t>Darnall Charter</t>
  </si>
  <si>
    <t>Dehesa Elementary</t>
  </si>
  <si>
    <t>Del Mar Union Elementary</t>
  </si>
  <si>
    <t>Diego Hills Central Public Charter</t>
  </si>
  <si>
    <t>Diego Valley East Public Charter</t>
  </si>
  <si>
    <t>Dimensions Collaborative</t>
  </si>
  <si>
    <t>Discovery Charter</t>
  </si>
  <si>
    <t>Dual Language Immersion North County</t>
  </si>
  <si>
    <t>e3 Civic High</t>
  </si>
  <si>
    <t>EJE Elementary Academy Charter</t>
  </si>
  <si>
    <t>EJE Middle Academy</t>
  </si>
  <si>
    <t>Elevate</t>
  </si>
  <si>
    <t>Elite Academic Academy - Mountain Empire</t>
  </si>
  <si>
    <t>Empower Language Academy</t>
  </si>
  <si>
    <t>Encinitas Union Elementary</t>
  </si>
  <si>
    <t>Epiphany Prep Charter</t>
  </si>
  <si>
    <t>Escondido Charter High</t>
  </si>
  <si>
    <t>Escondido Union</t>
  </si>
  <si>
    <t>Escondido Union High</t>
  </si>
  <si>
    <t>Fallbrook Union Elementary</t>
  </si>
  <si>
    <t>Fallbrook Union High</t>
  </si>
  <si>
    <t>Feaster (Mae L.) Charter</t>
  </si>
  <si>
    <t>Gompers Preparatory Academy</t>
  </si>
  <si>
    <t>Greater San Diego Academy</t>
  </si>
  <si>
    <t>Grossmont Secondary</t>
  </si>
  <si>
    <t>Grossmont Union High</t>
  </si>
  <si>
    <t>Guajome Learning Center</t>
  </si>
  <si>
    <t>Guajome Park Academy Charter</t>
  </si>
  <si>
    <t>Harbor Springs Charter</t>
  </si>
  <si>
    <t>Harriet Tubman Village Charter</t>
  </si>
  <si>
    <t>Hawking S.T.E.A.M. Charter</t>
  </si>
  <si>
    <t>Health Sciences High and Middle College</t>
  </si>
  <si>
    <t>Helix High</t>
  </si>
  <si>
    <t>Heritage K-8 Charter</t>
  </si>
  <si>
    <t>High Tech Elementary</t>
  </si>
  <si>
    <t>High Tech Elementary Chula Vista</t>
  </si>
  <si>
    <t>High Tech Elementary Explorer</t>
  </si>
  <si>
    <t>High Tech Elementary Mesa</t>
  </si>
  <si>
    <t>High Tech Elementary North County</t>
  </si>
  <si>
    <t>High Tech High</t>
  </si>
  <si>
    <t>High Tech High Chula Vista</t>
  </si>
  <si>
    <t>High Tech High International</t>
  </si>
  <si>
    <t>High Tech High Media Arts</t>
  </si>
  <si>
    <t>High Tech High Mesa</t>
  </si>
  <si>
    <t>High Tech High North County</t>
  </si>
  <si>
    <t>High Tech Middle</t>
  </si>
  <si>
    <t>High Tech Middle Chula Vista</t>
  </si>
  <si>
    <t>High Tech Middle Media Arts</t>
  </si>
  <si>
    <t>High Tech Middle Mesa</t>
  </si>
  <si>
    <t>High Tech Middle North County</t>
  </si>
  <si>
    <t>Holly Drive Leadership Academy</t>
  </si>
  <si>
    <t>Howard Gardner Community Charter</t>
  </si>
  <si>
    <t>Iftin Charter</t>
  </si>
  <si>
    <t>Ingenuity Charter</t>
  </si>
  <si>
    <t>Innovations Academy</t>
  </si>
  <si>
    <t>Insight @ San Diego</t>
  </si>
  <si>
    <t>Integrity Charter</t>
  </si>
  <si>
    <t>Jamul-Dulzura Union Elementary</t>
  </si>
  <si>
    <t>JCS - Cedar Cove</t>
  </si>
  <si>
    <t>JCS - Manzanita</t>
  </si>
  <si>
    <t>JCS - Mountain Oaks</t>
  </si>
  <si>
    <t>JCS - Pine Valley</t>
  </si>
  <si>
    <t>Julian Charter</t>
  </si>
  <si>
    <t>Julian Union Elementary</t>
  </si>
  <si>
    <t>Julian Union High</t>
  </si>
  <si>
    <t>Kavod Charter</t>
  </si>
  <si>
    <t>Keiller Leadership Academy</t>
  </si>
  <si>
    <t>Kidinnu Academy</t>
  </si>
  <si>
    <t>King-Chavez Academy of Excellence</t>
  </si>
  <si>
    <t>King-Chavez Arts and Athletics Academy</t>
  </si>
  <si>
    <t>King-Chavez Community High</t>
  </si>
  <si>
    <t>King-Chavez Preparatory Academy</t>
  </si>
  <si>
    <t>King-Chavez Primary Academy</t>
  </si>
  <si>
    <t>KIPP Adelante Preparatory Academy</t>
  </si>
  <si>
    <t>La Mesa-Spring Valley</t>
  </si>
  <si>
    <t>Learning Choice Academy</t>
  </si>
  <si>
    <t>Learning Choice Academy - Chula Vista</t>
  </si>
  <si>
    <t>Lemon Grove</t>
  </si>
  <si>
    <t>Leonardo da Vinci Health Sciences Charter</t>
  </si>
  <si>
    <t>Literacy First Charter</t>
  </si>
  <si>
    <t>MAAC Community Charter</t>
  </si>
  <si>
    <t>Magnolia Science Academy San Diego</t>
  </si>
  <si>
    <t>McGill School of Success</t>
  </si>
  <si>
    <t>MethodSchools</t>
  </si>
  <si>
    <t>Motivated Youth Academy</t>
  </si>
  <si>
    <t>Mountain Empire Unified</t>
  </si>
  <si>
    <t>Mueller Charter (Robert L.)</t>
  </si>
  <si>
    <t>Museum</t>
  </si>
  <si>
    <t>National Elementary</t>
  </si>
  <si>
    <t>North County Trade Tech High</t>
  </si>
  <si>
    <t>Oceanside Unified</t>
  </si>
  <si>
    <t>Old Town Academy K-8 Charter</t>
  </si>
  <si>
    <t>Pacific Coast Academy</t>
  </si>
  <si>
    <t>Pacific Springs Charter</t>
  </si>
  <si>
    <t>Pacific View Charter</t>
  </si>
  <si>
    <t>Pathways Academy Charter - Adult Education</t>
  </si>
  <si>
    <t>Pivot Charter School - San Diego II</t>
  </si>
  <si>
    <t>Poway Unified</t>
  </si>
  <si>
    <t>Preuss School UCSD</t>
  </si>
  <si>
    <t>Ramona City Unified</t>
  </si>
  <si>
    <t>Rancho Santa Fe Elementary</t>
  </si>
  <si>
    <t>River Valley Charter</t>
  </si>
  <si>
    <t>Sage Oak Charter School - South</t>
  </si>
  <si>
    <t>San Diego Cooperative Charter</t>
  </si>
  <si>
    <t>San Diego County Office of Education</t>
  </si>
  <si>
    <t>San Diego Global Vision Academy</t>
  </si>
  <si>
    <t>San Diego Mission Academy</t>
  </si>
  <si>
    <t>San Diego Unified</t>
  </si>
  <si>
    <t>San Diego Virtual</t>
  </si>
  <si>
    <t>San Diego Workforce Innovation High</t>
  </si>
  <si>
    <t>San Dieguito Union High</t>
  </si>
  <si>
    <t>San Marcos Unified</t>
  </si>
  <si>
    <t>San Pasqual Union Elementary</t>
  </si>
  <si>
    <t>San Ysidro Elementary</t>
  </si>
  <si>
    <t>Santee</t>
  </si>
  <si>
    <t>Scholarship Prep - Oceanside</t>
  </si>
  <si>
    <t>School for Entrepreneurship and Technology</t>
  </si>
  <si>
    <t>SIATech</t>
  </si>
  <si>
    <t>Solana Beach Elementary</t>
  </si>
  <si>
    <t>South Bay Union</t>
  </si>
  <si>
    <t>Sparrow Academy</t>
  </si>
  <si>
    <t>Spencer Valley Elementary</t>
  </si>
  <si>
    <t>Steele Canyon High</t>
  </si>
  <si>
    <t>Suncoast STEAM Academy</t>
  </si>
  <si>
    <t>Sweetwater Secondary</t>
  </si>
  <si>
    <t>Sweetwater Union High</t>
  </si>
  <si>
    <t>The Heights Charter</t>
  </si>
  <si>
    <t>The Learning Choice Academy - East County</t>
  </si>
  <si>
    <t>The O'Farrell Charter</t>
  </si>
  <si>
    <t>Urban Discovery Academy Charter</t>
  </si>
  <si>
    <t>Vallecitos Elementary</t>
  </si>
  <si>
    <t>Valley Center-Pauma Unified</t>
  </si>
  <si>
    <t>Vista Springs Charter</t>
  </si>
  <si>
    <t>Vista Unified</t>
  </si>
  <si>
    <t>Warner Unified</t>
  </si>
  <si>
    <t>San Francisco</t>
  </si>
  <si>
    <t>City Arts and Tech High</t>
  </si>
  <si>
    <t>Creative Arts Charter</t>
  </si>
  <si>
    <t>Five Keys Adult School (SF Sheriff's)</t>
  </si>
  <si>
    <t>Five Keys Charter (SF Sheriff's)</t>
  </si>
  <si>
    <t>Five Keys Independence HS (SF Sheriff's)</t>
  </si>
  <si>
    <t>Gateway High</t>
  </si>
  <si>
    <t>Gateway Middle</t>
  </si>
  <si>
    <t>KIPP Bayview Academy</t>
  </si>
  <si>
    <t>KIPP Bayview Elementary</t>
  </si>
  <si>
    <t>KIPP San Francisco Bay Academy</t>
  </si>
  <si>
    <t>KIPP San Francisco College Preparatory</t>
  </si>
  <si>
    <t>Leadership High</t>
  </si>
  <si>
    <t>Life Learning Academy Charter</t>
  </si>
  <si>
    <t>Mission Preparatory</t>
  </si>
  <si>
    <t>San Francisco County Office of Education</t>
  </si>
  <si>
    <t>San Francisco Unified</t>
  </si>
  <si>
    <t>The New School of San Francisco</t>
  </si>
  <si>
    <t>Thomas Edison Charter Academy</t>
  </si>
  <si>
    <t>San Joaquin</t>
  </si>
  <si>
    <t>Aspire APEX Academy</t>
  </si>
  <si>
    <t>Aspire Benjamin Holt College Preparatory Academy</t>
  </si>
  <si>
    <t>Aspire Benjamin Holt Middle</t>
  </si>
  <si>
    <t>Aspire Langston Hughes Academy</t>
  </si>
  <si>
    <t>Aspire Port City Academy</t>
  </si>
  <si>
    <t>Aspire River Oaks Charter</t>
  </si>
  <si>
    <t>Aspire Rosa Parks Academy</t>
  </si>
  <si>
    <t>Aspire Stockton 6-12 Secondary Academy</t>
  </si>
  <si>
    <t>Aspire Stockton TK-5 Elementary Academy</t>
  </si>
  <si>
    <t>Aspire Vincent Shalvey Academy</t>
  </si>
  <si>
    <t>Banta Charter</t>
  </si>
  <si>
    <t>Banta Unified</t>
  </si>
  <si>
    <t>California Connections Academy @ Ripon</t>
  </si>
  <si>
    <t>California Virtual Academy @ San Joaquin</t>
  </si>
  <si>
    <t>Dr. Lewis Dolphin Stallworth Sr. Charter</t>
  </si>
  <si>
    <t>Escalon Charter Academy</t>
  </si>
  <si>
    <t>Escalon Unified</t>
  </si>
  <si>
    <t>Humphreys College Academy of Business, Law and Education</t>
  </si>
  <si>
    <t>Insight @ San Joaquin</t>
  </si>
  <si>
    <t>Lammersville Joint Unified</t>
  </si>
  <si>
    <t>Lincoln Unified</t>
  </si>
  <si>
    <t>Linden Unified</t>
  </si>
  <si>
    <t>Lodi Unified</t>
  </si>
  <si>
    <t>Manteca Unified</t>
  </si>
  <si>
    <t>Millennium Charter</t>
  </si>
  <si>
    <t>New Hope Elementary</t>
  </si>
  <si>
    <t>New Jerusalem Elementary</t>
  </si>
  <si>
    <t>NextGeneration STEAM Academy</t>
  </si>
  <si>
    <t>Oak View Union Elementary</t>
  </si>
  <si>
    <t>one.Charter</t>
  </si>
  <si>
    <t>Primary Charter</t>
  </si>
  <si>
    <t>Rio Valley Charter</t>
  </si>
  <si>
    <t>Ripon Unified</t>
  </si>
  <si>
    <t>River Islands Technology Academy II</t>
  </si>
  <si>
    <t>San Joaquin County Office of Education</t>
  </si>
  <si>
    <t>San Joaquin County ROP</t>
  </si>
  <si>
    <t>Stockton Collegiate International Elementary</t>
  </si>
  <si>
    <t>Stockton Collegiate International Secondary</t>
  </si>
  <si>
    <t>Stockton Unified</t>
  </si>
  <si>
    <t>TEAM Charter</t>
  </si>
  <si>
    <t>Team Charter Academy</t>
  </si>
  <si>
    <t>Tracy Joint Unified</t>
  </si>
  <si>
    <t>Valley View Charter Prep</t>
  </si>
  <si>
    <t>Venture Academy</t>
  </si>
  <si>
    <t>Vision Quest &amp; Career Pathway</t>
  </si>
  <si>
    <t>Voices College Bound Language Academy at Stockton</t>
  </si>
  <si>
    <t>San Luis Obispo</t>
  </si>
  <si>
    <t>Almond Acres Charter Academy</t>
  </si>
  <si>
    <t>Atascadero Unified</t>
  </si>
  <si>
    <t>Bellevue-Santa Fe Charter</t>
  </si>
  <si>
    <t>Cayucos Elementary</t>
  </si>
  <si>
    <t>Coast Unified</t>
  </si>
  <si>
    <t>Lucia Mar Unified</t>
  </si>
  <si>
    <t>Paso Robles Joint Unified</t>
  </si>
  <si>
    <t>Pleasant Valley Joint Union Elementary</t>
  </si>
  <si>
    <t>San Luis Coastal Unified</t>
  </si>
  <si>
    <t>San Luis Obispo County Office of Education</t>
  </si>
  <si>
    <t>San Miguel Joint Union</t>
  </si>
  <si>
    <t>Shandon Joint Unified</t>
  </si>
  <si>
    <t>Templeton Unified</t>
  </si>
  <si>
    <t>San Mateo</t>
  </si>
  <si>
    <t>Aspire East Palo Alto Charter</t>
  </si>
  <si>
    <t>Bayshore Elementary</t>
  </si>
  <si>
    <t>Belmont-Redwood Shores Elementary</t>
  </si>
  <si>
    <t>Brisbane Elementary</t>
  </si>
  <si>
    <t>Burlingame Elementary</t>
  </si>
  <si>
    <t>Cabrillo Unified</t>
  </si>
  <si>
    <t>California Virtual Academy San Mateo</t>
  </si>
  <si>
    <t>Connect Community Charter</t>
  </si>
  <si>
    <t>Design Tech High</t>
  </si>
  <si>
    <t>East Palo Alto Academy</t>
  </si>
  <si>
    <t>Everest Public High</t>
  </si>
  <si>
    <t>Hillsborough City Elementary</t>
  </si>
  <si>
    <t>Jefferson Union High</t>
  </si>
  <si>
    <t>KIPP Esperanza High</t>
  </si>
  <si>
    <t>KIPP Excelencia Community Preparatory</t>
  </si>
  <si>
    <t>KIPP Valiant Community Prep</t>
  </si>
  <si>
    <t>La Honda-Pescadero Unified</t>
  </si>
  <si>
    <t>Las Lomitas Elementary</t>
  </si>
  <si>
    <t>Menlo Park City Elementary</t>
  </si>
  <si>
    <t>Millbrae Elementary</t>
  </si>
  <si>
    <t>Oxford Day Academy</t>
  </si>
  <si>
    <t>Pacifica</t>
  </si>
  <si>
    <t>Portola Valley Elementary</t>
  </si>
  <si>
    <t>Ravenswood City Elementary</t>
  </si>
  <si>
    <t>Redwood City Elementary</t>
  </si>
  <si>
    <t>Rocketship Redwood City</t>
  </si>
  <si>
    <t>San Bruno Park Elementary</t>
  </si>
  <si>
    <t>San Carlos Charter Learning Center</t>
  </si>
  <si>
    <t>San Carlos Elementary</t>
  </si>
  <si>
    <t>San Mateo County Office of Education</t>
  </si>
  <si>
    <t>San Mateo Union High</t>
  </si>
  <si>
    <t>San Mateo-Foster City</t>
  </si>
  <si>
    <t>Sequoia Union High</t>
  </si>
  <si>
    <t>South San Francisco Unified</t>
  </si>
  <si>
    <t>Summit Preparatory Charter High</t>
  </si>
  <si>
    <t>Summit Public School: Shasta</t>
  </si>
  <si>
    <t>Woodside Elementary</t>
  </si>
  <si>
    <t>Santa Barbara</t>
  </si>
  <si>
    <t>Adelante Charter</t>
  </si>
  <si>
    <t>Ballard Elementary</t>
  </si>
  <si>
    <t>Blochman Union Elementary</t>
  </si>
  <si>
    <t>Buellton Union Elementary</t>
  </si>
  <si>
    <t>California Connections Academy Central Coast</t>
  </si>
  <si>
    <t>Carpinteria Unified</t>
  </si>
  <si>
    <t>Cold Spring Elementary</t>
  </si>
  <si>
    <t>College Elementary</t>
  </si>
  <si>
    <t>Cuyama Joint Unified</t>
  </si>
  <si>
    <t>Family Partnership Charter</t>
  </si>
  <si>
    <t>Goleta Union Elementary</t>
  </si>
  <si>
    <t>Guadalupe Union Elementary</t>
  </si>
  <si>
    <t>Hope Elementary</t>
  </si>
  <si>
    <t>Lompoc Unified</t>
  </si>
  <si>
    <t>Los Olivos Elementary</t>
  </si>
  <si>
    <t>Manzanita Public Charter</t>
  </si>
  <si>
    <t>Montecito Union Elementary</t>
  </si>
  <si>
    <t>Olive Grove Charter - Buellton</t>
  </si>
  <si>
    <t>Olive Grove Charter - Lompoc</t>
  </si>
  <si>
    <t>Olive Grove Charter - Orcutt/Santa Maria</t>
  </si>
  <si>
    <t>Olive Grove Charter - Santa Barbara</t>
  </si>
  <si>
    <t>Orcutt Union Elementary</t>
  </si>
  <si>
    <t>Peabody Charter</t>
  </si>
  <si>
    <t>Santa Barbara County Office of Education</t>
  </si>
  <si>
    <t>Santa Barbara Unified</t>
  </si>
  <si>
    <t>Santa Maria Joint Union High</t>
  </si>
  <si>
    <t>Santa Maria-Bonita</t>
  </si>
  <si>
    <t>Santa Ynez Valley Charter</t>
  </si>
  <si>
    <t>Santa Ynez Valley Union High</t>
  </si>
  <si>
    <t>Solvang Elementary</t>
  </si>
  <si>
    <t>Trivium Charter</t>
  </si>
  <si>
    <t>Trivium Charter School Adventure</t>
  </si>
  <si>
    <t>Trivium Charter School Voyage</t>
  </si>
  <si>
    <t>Vista del Mar Union</t>
  </si>
  <si>
    <t>Santa Clara</t>
  </si>
  <si>
    <t>ACE Charter High</t>
  </si>
  <si>
    <t>ACE Empower Academy</t>
  </si>
  <si>
    <t>ACE Esperanza Middle</t>
  </si>
  <si>
    <t>ACE Inspire Academy</t>
  </si>
  <si>
    <t>Alpha Cindy Avitia High</t>
  </si>
  <si>
    <t>Alpha: Blanca Alvarado</t>
  </si>
  <si>
    <t>Alpha: Cornerstone Academy Preparatory</t>
  </si>
  <si>
    <t>Alpha: Jose Hernandez</t>
  </si>
  <si>
    <t>Alum Rock Union Elementary</t>
  </si>
  <si>
    <t>B. Roberto Cruz Leadership Academy</t>
  </si>
  <si>
    <t>Berryessa Union Elementary</t>
  </si>
  <si>
    <t>Bullis Charter</t>
  </si>
  <si>
    <t>Cambrian</t>
  </si>
  <si>
    <t>Campbell Union</t>
  </si>
  <si>
    <t>Campbell Union High</t>
  </si>
  <si>
    <t>Charter School of Morgan Hill</t>
  </si>
  <si>
    <t>Cupertino Union</t>
  </si>
  <si>
    <t>Discovery Charter II</t>
  </si>
  <si>
    <t>Downtown College Prep - Alum Rock</t>
  </si>
  <si>
    <t>Downtown College Preparatory</t>
  </si>
  <si>
    <t>Downtown College Preparatory Middle</t>
  </si>
  <si>
    <t>East Side Union High</t>
  </si>
  <si>
    <t>Escuela Popular Accelerated Family Learning</t>
  </si>
  <si>
    <t>Escuela Popular/Center for Training and Careers, Family Learning</t>
  </si>
  <si>
    <t>Evergreen Elementary</t>
  </si>
  <si>
    <t>Franklin-McKinley Elementary</t>
  </si>
  <si>
    <t>Fremont Union High</t>
  </si>
  <si>
    <t>Gilroy Prep (a Navigator School)</t>
  </si>
  <si>
    <t>Gilroy Unified</t>
  </si>
  <si>
    <t>KIPP Heartwood Academy</t>
  </si>
  <si>
    <t>KIPP Heritage Academy</t>
  </si>
  <si>
    <t>KIPP Navigate College Prep</t>
  </si>
  <si>
    <t>Kipp Prize Preparatory Academy</t>
  </si>
  <si>
    <t>KIPP San Jose Collegiate</t>
  </si>
  <si>
    <t>Lakeside Joint</t>
  </si>
  <si>
    <t>Latino College Preparatory Academy</t>
  </si>
  <si>
    <t>Loma Prieta Joint Union Elementary</t>
  </si>
  <si>
    <t>Los Altos Elementary</t>
  </si>
  <si>
    <t>Los Gatos Union Elementary</t>
  </si>
  <si>
    <t>Los Gatos-Saratoga Union High</t>
  </si>
  <si>
    <t>Luis Valdez Leadership Academy</t>
  </si>
  <si>
    <t>Luther Burbank</t>
  </si>
  <si>
    <t>Metro Education</t>
  </si>
  <si>
    <t>Milpitas Unified</t>
  </si>
  <si>
    <t>Moreland</t>
  </si>
  <si>
    <t>Morgan Hill Unified</t>
  </si>
  <si>
    <t>Mount Pleasant Elementary</t>
  </si>
  <si>
    <t>Mountain View Whisman</t>
  </si>
  <si>
    <t>Mountain View-Los Altos Union High</t>
  </si>
  <si>
    <t>North County Regional Occupational Center/Program (ROC/P)</t>
  </si>
  <si>
    <t>Oak Grove Elementary</t>
  </si>
  <si>
    <t>Orchard Elementary</t>
  </si>
  <si>
    <t>Palo Alto Unified</t>
  </si>
  <si>
    <t>Perseverance Preparatory</t>
  </si>
  <si>
    <t>Rocketship Academy Brilliant Minds</t>
  </si>
  <si>
    <t>Rocketship Alma Academy</t>
  </si>
  <si>
    <t>Rocketship Discovery Prep</t>
  </si>
  <si>
    <t>Rocketship Fuerza Community Prep</t>
  </si>
  <si>
    <t>Rocketship Los Suenos Academy</t>
  </si>
  <si>
    <t>Rocketship Mateo Sheedy Elementary</t>
  </si>
  <si>
    <t>Rocketship Mosaic Elementary</t>
  </si>
  <si>
    <t>Rocketship Rising Stars</t>
  </si>
  <si>
    <t>Rocketship Si Se Puede Academy</t>
  </si>
  <si>
    <t>Rocketship Spark Academy</t>
  </si>
  <si>
    <t>San Jose Conservation Corps Charter</t>
  </si>
  <si>
    <t>San Jose Unified</t>
  </si>
  <si>
    <t>Santa Clara County Office of Education</t>
  </si>
  <si>
    <t>Santa Clara Unified</t>
  </si>
  <si>
    <t>Saratoga Union Elementary</t>
  </si>
  <si>
    <t>Summit Public School: Denali</t>
  </si>
  <si>
    <t>Summit Public School: Tahoma</t>
  </si>
  <si>
    <t>Sunnyvale</t>
  </si>
  <si>
    <t>Sunrise Middle</t>
  </si>
  <si>
    <t>Union Elementary</t>
  </si>
  <si>
    <t>University Preparatory Academy Charter</t>
  </si>
  <si>
    <t>Voices College-Bound Language Academy</t>
  </si>
  <si>
    <t>Voices College-Bound Language Academy at Morgan Hill</t>
  </si>
  <si>
    <t>Voices College-Bound Language Academy at Mt. Pleasant</t>
  </si>
  <si>
    <t>Santa Cruz</t>
  </si>
  <si>
    <t>Bonny Doon Union Elementary</t>
  </si>
  <si>
    <t>California Connections Academy Monterey Bay</t>
  </si>
  <si>
    <t>Ceiba College Preparatory Academy</t>
  </si>
  <si>
    <t>Happy Valley Elementary</t>
  </si>
  <si>
    <t>Live Oak Elementary</t>
  </si>
  <si>
    <t>Mountain Elementary</t>
  </si>
  <si>
    <t>Ocean Grove Charter</t>
  </si>
  <si>
    <t>Pacific Collegiate Charter</t>
  </si>
  <si>
    <t>Pacific Elementary</t>
  </si>
  <si>
    <t>Pajaro Valley Unified</t>
  </si>
  <si>
    <t>San Lorenzo Valley Unified</t>
  </si>
  <si>
    <t>Santa Cruz City Elementary</t>
  </si>
  <si>
    <t>Santa Cruz City High</t>
  </si>
  <si>
    <t>Santa Cruz County Office of Education</t>
  </si>
  <si>
    <t>Scotts Valley Unified</t>
  </si>
  <si>
    <t>Soquel Union Elementary</t>
  </si>
  <si>
    <t>Watsonville Prep</t>
  </si>
  <si>
    <t>Shasta</t>
  </si>
  <si>
    <t>Anderson Union High</t>
  </si>
  <si>
    <t>Bella Vista Elementary</t>
  </si>
  <si>
    <t>Black Butte Union Elementary</t>
  </si>
  <si>
    <t>Cascade Union Elementary</t>
  </si>
  <si>
    <t>Castle Rock Union Elementary</t>
  </si>
  <si>
    <t>Chrysalis Charter</t>
  </si>
  <si>
    <t>Columbia Elementary</t>
  </si>
  <si>
    <t>Cottonwood Creek Charter</t>
  </si>
  <si>
    <t>Cottonwood Union Elementary</t>
  </si>
  <si>
    <t>Enterprise Elementary</t>
  </si>
  <si>
    <t>Fall River Joint Unified</t>
  </si>
  <si>
    <t>French Gulch-Whiskeytown Elementary</t>
  </si>
  <si>
    <t>Gateway Unified</t>
  </si>
  <si>
    <t>Grant Elementary</t>
  </si>
  <si>
    <t>Happy Valley Union Elementary</t>
  </si>
  <si>
    <t>Igo, Ono, Platina Union Elementary</t>
  </si>
  <si>
    <t>Indian Springs Elementary</t>
  </si>
  <si>
    <t>Junction Elementary</t>
  </si>
  <si>
    <t>Millville Elementary</t>
  </si>
  <si>
    <t>Monarch Learning Center</t>
  </si>
  <si>
    <t>Mountain Union Elementary</t>
  </si>
  <si>
    <t>New Day Academy</t>
  </si>
  <si>
    <t>North Cow Creek Elementary</t>
  </si>
  <si>
    <t>Northern Summit Academy Shasta</t>
  </si>
  <si>
    <t>Oak Run Elementary</t>
  </si>
  <si>
    <t>Pacheco Union Elementary</t>
  </si>
  <si>
    <t>Phoenix Charter Academy</t>
  </si>
  <si>
    <t>Redding Elementary</t>
  </si>
  <si>
    <t>Redding School of the Arts</t>
  </si>
  <si>
    <t>Redding STEM Academy</t>
  </si>
  <si>
    <t>Rocky Point Charter</t>
  </si>
  <si>
    <t>Shasta Charter Academy</t>
  </si>
  <si>
    <t>Shasta County Office of Education</t>
  </si>
  <si>
    <t>Shasta Union Elementary</t>
  </si>
  <si>
    <t>Shasta Union High</t>
  </si>
  <si>
    <t>Shasta View Academy</t>
  </si>
  <si>
    <t>Tree of Life International Charter</t>
  </si>
  <si>
    <t>University Preparatory</t>
  </si>
  <si>
    <t>Whitmore Union Elementary</t>
  </si>
  <si>
    <t>Sierra</t>
  </si>
  <si>
    <t>Sierra County Office of Education</t>
  </si>
  <si>
    <t>Sierra-Plumas Joint Unified</t>
  </si>
  <si>
    <t>Siskiyou</t>
  </si>
  <si>
    <t>Big Springs Union Elementary</t>
  </si>
  <si>
    <t>Bogus Elementary</t>
  </si>
  <si>
    <t>Butte Valley Unified</t>
  </si>
  <si>
    <t>Butteville Union Elementary</t>
  </si>
  <si>
    <t>Delphic Elementary</t>
  </si>
  <si>
    <t>Dunsmuir Elementary</t>
  </si>
  <si>
    <t>Dunsmuir Joint Union High</t>
  </si>
  <si>
    <t>Forks of Salmon Elementary</t>
  </si>
  <si>
    <t>Gazelle Union Elementary</t>
  </si>
  <si>
    <t>Golden Eagle Charter</t>
  </si>
  <si>
    <t>Grenada Elementary</t>
  </si>
  <si>
    <t>Happy Camp Union Elementary</t>
  </si>
  <si>
    <t>Hornbrook Elementary</t>
  </si>
  <si>
    <t>Klamath River Union Elementary</t>
  </si>
  <si>
    <t>Little Shasta Elementary</t>
  </si>
  <si>
    <t>McCloud Union Elementary</t>
  </si>
  <si>
    <t>Montague Elementary</t>
  </si>
  <si>
    <t>Mt. Shasta Union Elementary</t>
  </si>
  <si>
    <t>Northern United - Siskiyou Charter</t>
  </si>
  <si>
    <t>Scott Valley Unified</t>
  </si>
  <si>
    <t>Seiad Elementary</t>
  </si>
  <si>
    <t>Siskiyou County Office of Education</t>
  </si>
  <si>
    <t>Siskiyou Union High</t>
  </si>
  <si>
    <t>Weed Union Elementary</t>
  </si>
  <si>
    <t>Willow Creek Elementary</t>
  </si>
  <si>
    <t>Yreka Union Elementary</t>
  </si>
  <si>
    <t>Yreka Union High</t>
  </si>
  <si>
    <t>Solano</t>
  </si>
  <si>
    <t>Benicia Unified</t>
  </si>
  <si>
    <t>Caliber: ChangeMakers Academy</t>
  </si>
  <si>
    <t>Dixon Montessori Charter</t>
  </si>
  <si>
    <t>Dixon Unified</t>
  </si>
  <si>
    <t>Elite Public</t>
  </si>
  <si>
    <t>Fairfield-Suisun Unified</t>
  </si>
  <si>
    <t>Griffin Academy High</t>
  </si>
  <si>
    <t>Kairos Public School Vacaville Academy</t>
  </si>
  <si>
    <t>Mare Island Technology Academy</t>
  </si>
  <si>
    <t>MIT Academy</t>
  </si>
  <si>
    <t>MIT Griffin Academy Middle</t>
  </si>
  <si>
    <t>Solano County Office of Education</t>
  </si>
  <si>
    <t>Travis Unified</t>
  </si>
  <si>
    <t>Vacaville Unified</t>
  </si>
  <si>
    <t>Vallejo City Unified</t>
  </si>
  <si>
    <t>Sonoma</t>
  </si>
  <si>
    <t>Alexander Valley Union Elementary</t>
  </si>
  <si>
    <t>Bellevue Union</t>
  </si>
  <si>
    <t>Bennett Valley Union Elementary</t>
  </si>
  <si>
    <t>California Pacific Charter - Sonoma</t>
  </si>
  <si>
    <t>California Virtual Academy @ Sonoma</t>
  </si>
  <si>
    <t>Cinnabar Elementary</t>
  </si>
  <si>
    <t>Cloverdale Unified</t>
  </si>
  <si>
    <t>Cotati-Rohnert Park Unified</t>
  </si>
  <si>
    <t>Credo High</t>
  </si>
  <si>
    <t>Dunham Elementary</t>
  </si>
  <si>
    <t>Forestville Union Elementary</t>
  </si>
  <si>
    <t>Fort Ross Elementary</t>
  </si>
  <si>
    <t>Geyserville Unified</t>
  </si>
  <si>
    <t>Gravenstein Union Elementary</t>
  </si>
  <si>
    <t>Guerneville Elementary</t>
  </si>
  <si>
    <t>Harmony Union Elementary</t>
  </si>
  <si>
    <t>Healdsburg Unified</t>
  </si>
  <si>
    <t>Heartwood Charter</t>
  </si>
  <si>
    <t>Horicon Elementary</t>
  </si>
  <si>
    <t>Kashia Elementary</t>
  </si>
  <si>
    <t>Kenwood</t>
  </si>
  <si>
    <t>Kid Street Learning Center Charter</t>
  </si>
  <si>
    <t>Liberty Elementary</t>
  </si>
  <si>
    <t>Live Oak Charter</t>
  </si>
  <si>
    <t>Mark West Union Elementary</t>
  </si>
  <si>
    <t>Monte Rio Union Elementary</t>
  </si>
  <si>
    <t>Montgomery Elementary</t>
  </si>
  <si>
    <t>Morrice Schaefer Charter</t>
  </si>
  <si>
    <t>Northwest Prep Charter</t>
  </si>
  <si>
    <t>Oak Grove Union Elementary</t>
  </si>
  <si>
    <t>Old Adobe Union</t>
  </si>
  <si>
    <t>Olivet Elementary Charter</t>
  </si>
  <si>
    <t>Pathways Charter</t>
  </si>
  <si>
    <t>Petaluma City Elementary</t>
  </si>
  <si>
    <t>Petaluma Joint Union High</t>
  </si>
  <si>
    <t>Piner-Olivet Charter</t>
  </si>
  <si>
    <t>Piner-Olivet Union Elementary</t>
  </si>
  <si>
    <t>Pivot Charter School - North Bay</t>
  </si>
  <si>
    <t>REACH</t>
  </si>
  <si>
    <t>Rincon Valley Union Elementary</t>
  </si>
  <si>
    <t>River Montessori Elementary Charter</t>
  </si>
  <si>
    <t>Roseland</t>
  </si>
  <si>
    <t>Roseland Charter</t>
  </si>
  <si>
    <t>Santa Rosa Elementary</t>
  </si>
  <si>
    <t>Santa Rosa High</t>
  </si>
  <si>
    <t>Sebastopol Independent Charter</t>
  </si>
  <si>
    <t>Sebastopol Union Elementary</t>
  </si>
  <si>
    <t>Sonoma Charter</t>
  </si>
  <si>
    <t>Sonoma County Office of Education</t>
  </si>
  <si>
    <t>Sonoma Valley Unified</t>
  </si>
  <si>
    <t>Twin Hills Union Elementary</t>
  </si>
  <si>
    <t>Two Rock Union</t>
  </si>
  <si>
    <t>Village Charter</t>
  </si>
  <si>
    <t>Waugh Elementary</t>
  </si>
  <si>
    <t>West Side Union Elementary</t>
  </si>
  <si>
    <t>West Sonoma County Union High</t>
  </si>
  <si>
    <t>Wilmar Union Elementary</t>
  </si>
  <si>
    <t>Windsor Unified</t>
  </si>
  <si>
    <t>Woodland Star Charter</t>
  </si>
  <si>
    <t>Wright Elementary</t>
  </si>
  <si>
    <t>Stanislaus</t>
  </si>
  <si>
    <t>Aspire Summit Charter Academy</t>
  </si>
  <si>
    <t>Aspire University Charter</t>
  </si>
  <si>
    <t>Aspire Vanguard College Preparatory Academy</t>
  </si>
  <si>
    <t>Ceres Unified</t>
  </si>
  <si>
    <t>Chatom Union</t>
  </si>
  <si>
    <t>Connecting Waters Charter</t>
  </si>
  <si>
    <t>Connecting Waters Charter School - Central Valley</t>
  </si>
  <si>
    <t>Denair Unified</t>
  </si>
  <si>
    <t>eCademy Charter at Crane</t>
  </si>
  <si>
    <t>Empire Union Elementary</t>
  </si>
  <si>
    <t>Fusion Charter</t>
  </si>
  <si>
    <t>Gratton Elementary</t>
  </si>
  <si>
    <t>Great Valley Academy</t>
  </si>
  <si>
    <t>Great Valley Academy - Salida</t>
  </si>
  <si>
    <t>Hart-Ransom Union Elementary</t>
  </si>
  <si>
    <t>Hickman Community Charter</t>
  </si>
  <si>
    <t>Hughson Unified</t>
  </si>
  <si>
    <t>Keyes Union</t>
  </si>
  <si>
    <t>Knights Ferry Elementary</t>
  </si>
  <si>
    <t>Modesto City Elementary</t>
  </si>
  <si>
    <t>Modesto City High</t>
  </si>
  <si>
    <t>Newman-Crows Landing Unified</t>
  </si>
  <si>
    <t>Oakdale Joint Unified</t>
  </si>
  <si>
    <t>Paradise Elementary</t>
  </si>
  <si>
    <t>Patterson Joint Unified</t>
  </si>
  <si>
    <t>Riverbank Unified</t>
  </si>
  <si>
    <t>Roberts Ferry Union Elementary</t>
  </si>
  <si>
    <t>Salida Union Elementary</t>
  </si>
  <si>
    <t>Shiloh Elementary</t>
  </si>
  <si>
    <t>Stanislaus Alternative Charter</t>
  </si>
  <si>
    <t>Stanislaus County Office of Education</t>
  </si>
  <si>
    <t>Stanislaus Union Elementary</t>
  </si>
  <si>
    <t>Sylvan Union Elementary</t>
  </si>
  <si>
    <t>Turlock Unified</t>
  </si>
  <si>
    <t>Valley College High</t>
  </si>
  <si>
    <t>Valley Home Joint Elementary</t>
  </si>
  <si>
    <t>Waterford Unified</t>
  </si>
  <si>
    <t>Sutter</t>
  </si>
  <si>
    <t>AeroSTEM Academy</t>
  </si>
  <si>
    <t>Brittan Elementary</t>
  </si>
  <si>
    <t>Browns Elementary</t>
  </si>
  <si>
    <t>California Virtual Academy at Sutter</t>
  </si>
  <si>
    <t>East Nicolaus Joint Union High</t>
  </si>
  <si>
    <t>Feather River Charter</t>
  </si>
  <si>
    <t>Franklin Elementary</t>
  </si>
  <si>
    <t>Live Oak Unified</t>
  </si>
  <si>
    <t>Marcum-Illinois Union Elementary</t>
  </si>
  <si>
    <t>Meridian Elementary</t>
  </si>
  <si>
    <t>Nuestro Elementary</t>
  </si>
  <si>
    <t>Pleasant Grove Joint Union</t>
  </si>
  <si>
    <t>South Sutter Charter</t>
  </si>
  <si>
    <t>Sutter County Office of Education</t>
  </si>
  <si>
    <t>Sutter Peak Charter Academy</t>
  </si>
  <si>
    <t>Sutter Union High</t>
  </si>
  <si>
    <t>Twin Rivers Charter</t>
  </si>
  <si>
    <t>Winship Community</t>
  </si>
  <si>
    <t>Winship-Robbins</t>
  </si>
  <si>
    <t>Yuba City Charter</t>
  </si>
  <si>
    <t>Yuba City Unified</t>
  </si>
  <si>
    <t>Tehama</t>
  </si>
  <si>
    <t>Antelope Elementary</t>
  </si>
  <si>
    <t>Corning Union Elementary</t>
  </si>
  <si>
    <t>Corning Union High</t>
  </si>
  <si>
    <t>Evergreen Union</t>
  </si>
  <si>
    <t>Flournoy Union Elementary</t>
  </si>
  <si>
    <t>Gerber Union Elementary</t>
  </si>
  <si>
    <t>Kirkwood Elementary</t>
  </si>
  <si>
    <t>Lassen View Union Elementary</t>
  </si>
  <si>
    <t>Los Molinos Unified</t>
  </si>
  <si>
    <t>Red Bluff Joint Union High</t>
  </si>
  <si>
    <t>Red Bluff Union Elementary</t>
  </si>
  <si>
    <t>Reeds Creek Elementary</t>
  </si>
  <si>
    <t>Richfield Elementary</t>
  </si>
  <si>
    <t>Tehama County Department of Education</t>
  </si>
  <si>
    <t>Tehama eLearning Academy</t>
  </si>
  <si>
    <t>Trinity</t>
  </si>
  <si>
    <t>Burnt Ranch Elementary</t>
  </si>
  <si>
    <t>California Heritage Youthbuild Academy II</t>
  </si>
  <si>
    <t>Coffee Creek Elementary</t>
  </si>
  <si>
    <t>Douglas City Elementary</t>
  </si>
  <si>
    <t>Junction City Elementary</t>
  </si>
  <si>
    <t>Lewiston Elementary</t>
  </si>
  <si>
    <t>Mountain Valley Unified</t>
  </si>
  <si>
    <t>Southern Trinity Joint Unified</t>
  </si>
  <si>
    <t>Trinity Alps Unified</t>
  </si>
  <si>
    <t>Trinity Center Elementary</t>
  </si>
  <si>
    <t>Trinity County Office of Education</t>
  </si>
  <si>
    <t>Tulare</t>
  </si>
  <si>
    <t>Allensworth Elementary</t>
  </si>
  <si>
    <t>Alpaugh Unified</t>
  </si>
  <si>
    <t>Alta Vista Elementary</t>
  </si>
  <si>
    <t>Blue Oak Academy</t>
  </si>
  <si>
    <t>Buena Vista Elementary</t>
  </si>
  <si>
    <t>Burton Elementary</t>
  </si>
  <si>
    <t>California Connections Academy@Central</t>
  </si>
  <si>
    <t>Columbine Elementary</t>
  </si>
  <si>
    <t>Crescent Valley Public Charter II</t>
  </si>
  <si>
    <t>Cutler-Orosi Joint Unified</t>
  </si>
  <si>
    <t>Dinuba Unified</t>
  </si>
  <si>
    <t>Ducor Union Elementary</t>
  </si>
  <si>
    <t>Earlimart Elementary</t>
  </si>
  <si>
    <t>Eleanor Roosevelt Community Learning Center</t>
  </si>
  <si>
    <t>Exeter Unified</t>
  </si>
  <si>
    <t>Farmersville Unified</t>
  </si>
  <si>
    <t>Hot Springs Elementary</t>
  </si>
  <si>
    <t>Kings River Union Elementary</t>
  </si>
  <si>
    <t>Lindsay Unified</t>
  </si>
  <si>
    <t>Monarch River Academy</t>
  </si>
  <si>
    <t>Monson-Sultana Joint Union Elementary</t>
  </si>
  <si>
    <t>Oak Valley Union Elementary</t>
  </si>
  <si>
    <t>Outside Creek Elementary</t>
  </si>
  <si>
    <t>Palo Verde Union Elementary</t>
  </si>
  <si>
    <t>Pixley Union Elementary</t>
  </si>
  <si>
    <t>Pleasant View Elementary</t>
  </si>
  <si>
    <t>Porterville Unified</t>
  </si>
  <si>
    <t>Richgrove Elementary</t>
  </si>
  <si>
    <t>Rockford Elementary</t>
  </si>
  <si>
    <t>Saucelito Elementary</t>
  </si>
  <si>
    <t>Sequoia Union Elementary</t>
  </si>
  <si>
    <t>Springville Union Elementary</t>
  </si>
  <si>
    <t>Stone Corral Elementary</t>
  </si>
  <si>
    <t>Strathmore Union Elementary</t>
  </si>
  <si>
    <t>Sundale Union Elementary</t>
  </si>
  <si>
    <t>Sunnyside Union Elementary</t>
  </si>
  <si>
    <t>Sycamore Valley Academy</t>
  </si>
  <si>
    <t>Terra Bella Union Elementary</t>
  </si>
  <si>
    <t>Three Rivers Union Elementary</t>
  </si>
  <si>
    <t>Tipton Elementary</t>
  </si>
  <si>
    <t>Traver Joint Elementary</t>
  </si>
  <si>
    <t>Tulare City</t>
  </si>
  <si>
    <t>Tulare County Office of Education</t>
  </si>
  <si>
    <t>Tulare Joint Union High</t>
  </si>
  <si>
    <t>Valley Life Charter</t>
  </si>
  <si>
    <t>Visalia Unified</t>
  </si>
  <si>
    <t>Waukena Joint Union Elementary</t>
  </si>
  <si>
    <t>Woodlake Unified</t>
  </si>
  <si>
    <t>Woodville Union Elementary</t>
  </si>
  <si>
    <t>Tuolumne</t>
  </si>
  <si>
    <t>Belleview Elementary</t>
  </si>
  <si>
    <t>Big Oak Flat-Groveland Unified</t>
  </si>
  <si>
    <t>Columbia Union</t>
  </si>
  <si>
    <t>Curtis Creek Elementary</t>
  </si>
  <si>
    <t>Gold Rush Charter</t>
  </si>
  <si>
    <t>Jamestown Elementary</t>
  </si>
  <si>
    <t>Sonora Elementary</t>
  </si>
  <si>
    <t>Sonora Union High</t>
  </si>
  <si>
    <t>Soulsbyville Elementary</t>
  </si>
  <si>
    <t>Summerville Elementary</t>
  </si>
  <si>
    <t>Summerville Union High</t>
  </si>
  <si>
    <t>Tuolumne County Superintendent of Schools</t>
  </si>
  <si>
    <t>Twain Harte</t>
  </si>
  <si>
    <t>Ventura</t>
  </si>
  <si>
    <t>Architecture, Construction &amp; Engineering Charter High (ACE)</t>
  </si>
  <si>
    <t>BRIDGES Charter</t>
  </si>
  <si>
    <t>Briggs Elementary</t>
  </si>
  <si>
    <t>Camarillo Academy of Progressive Education</t>
  </si>
  <si>
    <t>Conejo Valley Unified</t>
  </si>
  <si>
    <t>Fillmore Unified</t>
  </si>
  <si>
    <t>Golden Valley Charter</t>
  </si>
  <si>
    <t>Hueneme Elementary</t>
  </si>
  <si>
    <t>IvyTech Charter</t>
  </si>
  <si>
    <t>Meadows Arts and Technology Elementary</t>
  </si>
  <si>
    <t>Mesa Union Elementary</t>
  </si>
  <si>
    <t>Moorpark Unified</t>
  </si>
  <si>
    <t>Mupu Elementary</t>
  </si>
  <si>
    <t>Oak Park Unified</t>
  </si>
  <si>
    <t>Ojai Unified</t>
  </si>
  <si>
    <t>Oxnard</t>
  </si>
  <si>
    <t>Oxnard Union High</t>
  </si>
  <si>
    <t>Peak Prep Pleasant Valley</t>
  </si>
  <si>
    <t>Pleasant Valley</t>
  </si>
  <si>
    <t>Rio Elementary</t>
  </si>
  <si>
    <t>River Oaks Academy</t>
  </si>
  <si>
    <t>Santa Clara Elementary</t>
  </si>
  <si>
    <t>Santa Paula Unified</t>
  </si>
  <si>
    <t>Simi Valley Unified</t>
  </si>
  <si>
    <t>Somis Union</t>
  </si>
  <si>
    <t>University Preparation Charter School at CSU Channel Islands</t>
  </si>
  <si>
    <t>Valley Oak Charter</t>
  </si>
  <si>
    <t>Ventura Charter School of Arts and Global Education</t>
  </si>
  <si>
    <t>Ventura County Office of Education</t>
  </si>
  <si>
    <t>Ventura County ROP</t>
  </si>
  <si>
    <t>Ventura Unified</t>
  </si>
  <si>
    <t>Vista Real Charter High</t>
  </si>
  <si>
    <t>Yolo</t>
  </si>
  <si>
    <t>Compass Charter School of Yolo</t>
  </si>
  <si>
    <t>Davis Joint Unified</t>
  </si>
  <si>
    <t>Empowering Possibilities International Charter</t>
  </si>
  <si>
    <t>Esparto Unified</t>
  </si>
  <si>
    <t>River Charter Schools Lighthouse Charter</t>
  </si>
  <si>
    <t>Sacramento Valley Charter</t>
  </si>
  <si>
    <t>Winters Joint Unified</t>
  </si>
  <si>
    <t>Woodland Joint Unified</t>
  </si>
  <si>
    <t>Yolo County Office of Education</t>
  </si>
  <si>
    <t>Yuba</t>
  </si>
  <si>
    <t>Camptonville Elementary</t>
  </si>
  <si>
    <t>CORE Charter</t>
  </si>
  <si>
    <t>Marysville Joint Unified</t>
  </si>
  <si>
    <t>Paragon Collegiate Academy</t>
  </si>
  <si>
    <t>Plumas Lake Elementary</t>
  </si>
  <si>
    <t>Wheatland</t>
  </si>
  <si>
    <t>Wheatland Union High</t>
  </si>
  <si>
    <t>Yuba County Office of Education</t>
  </si>
  <si>
    <t>Yuba Environmental Science Charter Academy</t>
  </si>
  <si>
    <t>LEA CDS Code</t>
  </si>
  <si>
    <t>School Name</t>
  </si>
  <si>
    <t>School CDS Code</t>
  </si>
  <si>
    <t>School Expenditures - Federal</t>
  </si>
  <si>
    <t>School Expenditures - State &amp; Local</t>
  </si>
  <si>
    <t>Central Expenditures - Federal</t>
  </si>
  <si>
    <t>Central Expenditures - State &amp; Local</t>
  </si>
  <si>
    <t>Alameda County Juvenile Hall/Court</t>
  </si>
  <si>
    <t>Alameda County Community</t>
  </si>
  <si>
    <t>Alameda County Special Education</t>
  </si>
  <si>
    <t>Opportunity Academy</t>
  </si>
  <si>
    <t>Epic Charter</t>
  </si>
  <si>
    <t>Island High (Continuation)</t>
  </si>
  <si>
    <t>William G. Paden Elementary</t>
  </si>
  <si>
    <t>Ruby Bridges Elementary</t>
  </si>
  <si>
    <t>Encinal Junior/Senior High</t>
  </si>
  <si>
    <t>Will C. Wood Middle</t>
  </si>
  <si>
    <t>Maya Lin</t>
  </si>
  <si>
    <t>Frank Otis Elementary</t>
  </si>
  <si>
    <t>Bay Farm</t>
  </si>
  <si>
    <t>Lincoln Middle</t>
  </si>
  <si>
    <t>Love Elementary</t>
  </si>
  <si>
    <t>Alameda High</t>
  </si>
  <si>
    <t>Amelia Earhart Elementary</t>
  </si>
  <si>
    <t>Alameda Science and Technology Institute</t>
  </si>
  <si>
    <t>MacGregor High (Continuation)</t>
  </si>
  <si>
    <t>Ocean View Elementary</t>
  </si>
  <si>
    <t>Albany Middle</t>
  </si>
  <si>
    <t>Cornell Elementary</t>
  </si>
  <si>
    <t>Albany High</t>
  </si>
  <si>
    <t>Marin Elementary</t>
  </si>
  <si>
    <t>Berkeley Technology Academy</t>
  </si>
  <si>
    <t>Oxford Elementary at West Campus</t>
  </si>
  <si>
    <t>Cragmont Elementary</t>
  </si>
  <si>
    <t>Thousand Oaks Elementary</t>
  </si>
  <si>
    <t>Longfellow Arts and Technology Middle</t>
  </si>
  <si>
    <t>Emerson Elementary</t>
  </si>
  <si>
    <t>Malcolm X Elementary</t>
  </si>
  <si>
    <t>Sylvia Mendez Elementary</t>
  </si>
  <si>
    <t>John Muir Elementary</t>
  </si>
  <si>
    <t>Washington Elementary</t>
  </si>
  <si>
    <t>Willard Middle</t>
  </si>
  <si>
    <t>Rosa Parks Environmental Science</t>
  </si>
  <si>
    <t>Berkeley Arts Magnet at Whittier</t>
  </si>
  <si>
    <t>Martin Luther King Middle</t>
  </si>
  <si>
    <t>Ruth Acty Elementary</t>
  </si>
  <si>
    <t>Berkeley High</t>
  </si>
  <si>
    <t>Roy A. Johnson High</t>
  </si>
  <si>
    <t>Redwood Continuation High</t>
  </si>
  <si>
    <t>Palomares Elementary</t>
  </si>
  <si>
    <t>Castro Valley Virtual Academy</t>
  </si>
  <si>
    <t>Canyon Middle</t>
  </si>
  <si>
    <t>Stanton Elementary</t>
  </si>
  <si>
    <t>Castro Valley Elementary</t>
  </si>
  <si>
    <t>Vannoy Elementary</t>
  </si>
  <si>
    <t>Jensen Ranch Elementary</t>
  </si>
  <si>
    <t>Marshall Elementary</t>
  </si>
  <si>
    <t>Castro Valley High</t>
  </si>
  <si>
    <t>Creekside Middle</t>
  </si>
  <si>
    <t>Proctor Elementary</t>
  </si>
  <si>
    <t>Chabot Elementary</t>
  </si>
  <si>
    <t>Independent Elementary</t>
  </si>
  <si>
    <t>Valley High (Continuation)</t>
  </si>
  <si>
    <t>Wells Middle</t>
  </si>
  <si>
    <t>Murray Elementary</t>
  </si>
  <si>
    <t>Dublin Elementary</t>
  </si>
  <si>
    <t>Dublin High</t>
  </si>
  <si>
    <t>Frederiksen Elementary</t>
  </si>
  <si>
    <t>John Green Elementary</t>
  </si>
  <si>
    <t>Harold William Kolb</t>
  </si>
  <si>
    <t>James Dougherty Elementary</t>
  </si>
  <si>
    <t>Eleanor Murray Fallon</t>
  </si>
  <si>
    <t>Cottonwood Creek</t>
  </si>
  <si>
    <t>J. M. Amador Elementary</t>
  </si>
  <si>
    <t>Dublin Unified Transition Program</t>
  </si>
  <si>
    <t>Emery Secondary</t>
  </si>
  <si>
    <t>Anna Yates Elementary</t>
  </si>
  <si>
    <t>Robertson High (Continuation)</t>
  </si>
  <si>
    <t>Glankler Early Learning Center</t>
  </si>
  <si>
    <t>Vista Alternative</t>
  </si>
  <si>
    <t>Young Adult Program</t>
  </si>
  <si>
    <t>Circle of Independent Learning</t>
  </si>
  <si>
    <t>Cabrillo Elementary</t>
  </si>
  <si>
    <t>John F. Kennedy High</t>
  </si>
  <si>
    <t>John G. Mattos Elementary</t>
  </si>
  <si>
    <t>John Blacow Elementary</t>
  </si>
  <si>
    <t>O. N. Hirsch Elementary</t>
  </si>
  <si>
    <t>G. M. Walters Middle</t>
  </si>
  <si>
    <t>Mission Valley Elementary</t>
  </si>
  <si>
    <t>E. M. Grimmer Elementary</t>
  </si>
  <si>
    <t>Steven Millard Elementary</t>
  </si>
  <si>
    <t>Mission San Jose Elementary</t>
  </si>
  <si>
    <t>Washington High</t>
  </si>
  <si>
    <t>James Leitch Elementary</t>
  </si>
  <si>
    <t>Joshua Chadbourne Elementary</t>
  </si>
  <si>
    <t>Mission San Jose High</t>
  </si>
  <si>
    <t>William Hopkins Junior High</t>
  </si>
  <si>
    <t>Harvey Green Elementary</t>
  </si>
  <si>
    <t>John Gomes Elementary</t>
  </si>
  <si>
    <t>Centerville Junior High</t>
  </si>
  <si>
    <t>Brookvale Elementary</t>
  </si>
  <si>
    <t>Tom Maloney Elementary</t>
  </si>
  <si>
    <t>Irvington High</t>
  </si>
  <si>
    <t>Glenmoor Elementary</t>
  </si>
  <si>
    <t>Fred E. Weibel Elementary</t>
  </si>
  <si>
    <t>John M. Horner Middle</t>
  </si>
  <si>
    <t>Oliveira Elementary</t>
  </si>
  <si>
    <t>Niles Elementary</t>
  </si>
  <si>
    <t>American High</t>
  </si>
  <si>
    <t>Brier Elementary</t>
  </si>
  <si>
    <t>Warm Springs Elementary</t>
  </si>
  <si>
    <t>Patterson Elementary</t>
  </si>
  <si>
    <t>Warwick Elementary</t>
  </si>
  <si>
    <t>Vallejo Mill Elementary</t>
  </si>
  <si>
    <t>Ardenwood Elementary</t>
  </si>
  <si>
    <t>Parkmont Elementary</t>
  </si>
  <si>
    <t>Thornton Junior High</t>
  </si>
  <si>
    <t>J. Haley Durham Elementary</t>
  </si>
  <si>
    <t>Forest Park Elementary</t>
  </si>
  <si>
    <t>Joseph Azevada Elementary</t>
  </si>
  <si>
    <t>Highland</t>
  </si>
  <si>
    <t>Brenkwitz High</t>
  </si>
  <si>
    <t>Bowman Elementary</t>
  </si>
  <si>
    <t>Faith Ringgold School of Arts and Science</t>
  </si>
  <si>
    <t>Cesar Chavez Middle</t>
  </si>
  <si>
    <t>Lorin A. Eden Elementary</t>
  </si>
  <si>
    <t>East Avenue Elementary</t>
  </si>
  <si>
    <t>Strobridge Elementary</t>
  </si>
  <si>
    <t>Tennyson High</t>
  </si>
  <si>
    <t>Ruus Elementary</t>
  </si>
  <si>
    <t>Eldridge Elementary</t>
  </si>
  <si>
    <t>Fairview Elementary</t>
  </si>
  <si>
    <t>Park Elementary</t>
  </si>
  <si>
    <t>Palma Ceia Elementary</t>
  </si>
  <si>
    <t>Anthony W. Ochoa Middle</t>
  </si>
  <si>
    <t>Glassbrook Elementary</t>
  </si>
  <si>
    <t>Southgate Elementary</t>
  </si>
  <si>
    <t>Harder Elementary</t>
  </si>
  <si>
    <t>Winton Middle</t>
  </si>
  <si>
    <t>Stonebrae Elementary</t>
  </si>
  <si>
    <t>Martin Luther King, Jr. Middle</t>
  </si>
  <si>
    <t>Eden Gardens Elementary</t>
  </si>
  <si>
    <t>Hayward High</t>
  </si>
  <si>
    <t>Tyrrell Elementary</t>
  </si>
  <si>
    <t>Longwood Elementary</t>
  </si>
  <si>
    <t>Mt. Eden High</t>
  </si>
  <si>
    <t>Bret Harte Middle</t>
  </si>
  <si>
    <t>Cherryland Elementary</t>
  </si>
  <si>
    <t>Schafer Park Elementary</t>
  </si>
  <si>
    <t>Burbank Elementary</t>
  </si>
  <si>
    <t>Treeview Elementary</t>
  </si>
  <si>
    <t>Del Valle Continuation High</t>
  </si>
  <si>
    <t>Vineyard Alternative</t>
  </si>
  <si>
    <t>Marylin Avenue Elementary</t>
  </si>
  <si>
    <t>Leo R. Croce Elementary</t>
  </si>
  <si>
    <t>Jackson Avenue Elementary</t>
  </si>
  <si>
    <t>Joe Michell</t>
  </si>
  <si>
    <t>Junction K-8</t>
  </si>
  <si>
    <t>Altamont Creek Elementary</t>
  </si>
  <si>
    <t>Andrew N. Christensen Middle</t>
  </si>
  <si>
    <t>East Avenue Middle</t>
  </si>
  <si>
    <t>Lawrence Elementary</t>
  </si>
  <si>
    <t>Livermore High</t>
  </si>
  <si>
    <t>Rancho Las Positas Elementary</t>
  </si>
  <si>
    <t>Granada High</t>
  </si>
  <si>
    <t>Arroyo Seco Elementary</t>
  </si>
  <si>
    <t>Sunset Elementary</t>
  </si>
  <si>
    <t>William Mendenhall Middle</t>
  </si>
  <si>
    <t>Emma C. Smith Elementary</t>
  </si>
  <si>
    <t>Mission Valley ROCP</t>
  </si>
  <si>
    <t>Alternative Learning Academy at Conley-Caraballo High</t>
  </si>
  <si>
    <t>Core Learning Academy at Conley-Caraballo High</t>
  </si>
  <si>
    <t>Hillview Crest Elementary</t>
  </si>
  <si>
    <t>Guy Jr. Emanuele Elementary</t>
  </si>
  <si>
    <t>Alvarado Elementary</t>
  </si>
  <si>
    <t>Pioneer Elementary</t>
  </si>
  <si>
    <t>Delaine Eastin Elementary</t>
  </si>
  <si>
    <t>Decoto School for Independent Study</t>
  </si>
  <si>
    <t>Tom Kitayama Elementary</t>
  </si>
  <si>
    <t>Searles Elementary</t>
  </si>
  <si>
    <t>Itliong-Vera Cruz</t>
  </si>
  <si>
    <t>James Logan High</t>
  </si>
  <si>
    <t>Bridgepoint High (Continuation)</t>
  </si>
  <si>
    <t>Crossroads High (Alternative)</t>
  </si>
  <si>
    <t>E. L. Musick Elementary</t>
  </si>
  <si>
    <t>H. A. Snow Elementary</t>
  </si>
  <si>
    <t>Coyote Hills Elementary</t>
  </si>
  <si>
    <t>August Schilling Elementary</t>
  </si>
  <si>
    <t>Newark Junior High</t>
  </si>
  <si>
    <t>Lincoln Elementary</t>
  </si>
  <si>
    <t>John F. Kennedy Elementary</t>
  </si>
  <si>
    <t>Newark Memorial High</t>
  </si>
  <si>
    <t>Birch Grove Primary</t>
  </si>
  <si>
    <t>Birch Grove Intermediate</t>
  </si>
  <si>
    <t>Community Day</t>
  </si>
  <si>
    <t>Madison Park Academy Elementary</t>
  </si>
  <si>
    <t>Ralph J. Bunche Continuation High</t>
  </si>
  <si>
    <t>Sankofa United Elementary</t>
  </si>
  <si>
    <t>Oakland International High</t>
  </si>
  <si>
    <t>Prescott Elementary</t>
  </si>
  <si>
    <t>Oakland Academy of Knowledge Elementary</t>
  </si>
  <si>
    <t>Burckhalter Elementary</t>
  </si>
  <si>
    <t>Lockwood STEAM Academy Elementary</t>
  </si>
  <si>
    <t>Independent Study, Sojourner Truth</t>
  </si>
  <si>
    <t>Dewey Academy High</t>
  </si>
  <si>
    <t>West Oakland Middle</t>
  </si>
  <si>
    <t>McClymonds High</t>
  </si>
  <si>
    <t>Westlake Middle</t>
  </si>
  <si>
    <t>Coliseum College Prep Academy</t>
  </si>
  <si>
    <t>Brookfield Elementary</t>
  </si>
  <si>
    <t>Martin Luther King, Jr. Elementary</t>
  </si>
  <si>
    <t>Castlemont High</t>
  </si>
  <si>
    <t>Futures Elementary</t>
  </si>
  <si>
    <t>Street Academy Alternative High</t>
  </si>
  <si>
    <t>Frick United Academy of Language Middle</t>
  </si>
  <si>
    <t>MetWest High</t>
  </si>
  <si>
    <t>LIFE Academy</t>
  </si>
  <si>
    <t>Markham Elementary</t>
  </si>
  <si>
    <t>Fremont High</t>
  </si>
  <si>
    <t>Allendale Elementary</t>
  </si>
  <si>
    <t>United for Success Academy Middle</t>
  </si>
  <si>
    <t>Urban Promise Academy Middle</t>
  </si>
  <si>
    <t>Parker</t>
  </si>
  <si>
    <t>Rudsdale Continuation High</t>
  </si>
  <si>
    <t>Carl B. Munck Elementary</t>
  </si>
  <si>
    <t>Elmhurst United Middle</t>
  </si>
  <si>
    <t>ACORN Woodland Elementary</t>
  </si>
  <si>
    <t>Montera Middle</t>
  </si>
  <si>
    <t>Fred T. Korematsu Discovery Academy Elementary</t>
  </si>
  <si>
    <t>Skyline High</t>
  </si>
  <si>
    <t>EnCompass Academy Elementary</t>
  </si>
  <si>
    <t>La Escuelita</t>
  </si>
  <si>
    <t>Hoover Elementary</t>
  </si>
  <si>
    <t>International Community Elementary</t>
  </si>
  <si>
    <t>Horace Mann Elementary</t>
  </si>
  <si>
    <t>East Oakland Pride Elementary</t>
  </si>
  <si>
    <t>Roosevelt Middle</t>
  </si>
  <si>
    <t>Global Family Elementary</t>
  </si>
  <si>
    <t>Oakland High</t>
  </si>
  <si>
    <t>Claremont Middle</t>
  </si>
  <si>
    <t>Piedmont Avenue Elementary</t>
  </si>
  <si>
    <t>Oakland Technical High</t>
  </si>
  <si>
    <t>Rise Community Elementary</t>
  </si>
  <si>
    <t>Laurel Elementary</t>
  </si>
  <si>
    <t>Bridges @ Melrose Academy Elementary</t>
  </si>
  <si>
    <t>Esperanza Elementary</t>
  </si>
  <si>
    <t>Sequoia Elementary</t>
  </si>
  <si>
    <t>Edna Brewer Middle</t>
  </si>
  <si>
    <t>Manzanita Community Elementary</t>
  </si>
  <si>
    <t>Think College Now Elementary</t>
  </si>
  <si>
    <t>Reach Academy Elementary</t>
  </si>
  <si>
    <t>New Highland Academy Elementary</t>
  </si>
  <si>
    <t>Cleveland Elementary</t>
  </si>
  <si>
    <t>Greenleaf</t>
  </si>
  <si>
    <t>Manzanita SEED Elementary</t>
  </si>
  <si>
    <t>Redwood Heights Elementary</t>
  </si>
  <si>
    <t>Melrose Leadership Academy</t>
  </si>
  <si>
    <t>Joaquin Miller Elementary</t>
  </si>
  <si>
    <t>Montclair Elementary</t>
  </si>
  <si>
    <t>Glenview Elementary</t>
  </si>
  <si>
    <t>Peralta Elementary</t>
  </si>
  <si>
    <t>Hillcrest</t>
  </si>
  <si>
    <t>Crocker Highlands Elementary</t>
  </si>
  <si>
    <t>Thornhill Elementary</t>
  </si>
  <si>
    <t>Gateway to College High at Laney College</t>
  </si>
  <si>
    <t>Madison Park Academy 6-12</t>
  </si>
  <si>
    <t>Home and Hospital Program</t>
  </si>
  <si>
    <t>Millennium High Alternative</t>
  </si>
  <si>
    <t>Beach Elementary</t>
  </si>
  <si>
    <t>Wildwood Elementary</t>
  </si>
  <si>
    <t>Havens Elementary</t>
  </si>
  <si>
    <t>Piedmont Middle</t>
  </si>
  <si>
    <t>Piedmont High</t>
  </si>
  <si>
    <t>Village High</t>
  </si>
  <si>
    <t>Valley View Elementary</t>
  </si>
  <si>
    <t>Amador Valley High</t>
  </si>
  <si>
    <t>Lydiksen Elementary</t>
  </si>
  <si>
    <t>Foothill High</t>
  </si>
  <si>
    <t>Thomas S. Hart Middle</t>
  </si>
  <si>
    <t>Walnut Grove Elementary</t>
  </si>
  <si>
    <t>Henry P. Mohr Elementary</t>
  </si>
  <si>
    <t>Harvest Park Middle</t>
  </si>
  <si>
    <t>Fairlands Elementary</t>
  </si>
  <si>
    <t>Phoebe Apperson Hearst Elementary</t>
  </si>
  <si>
    <t>Donlon Elementary</t>
  </si>
  <si>
    <t>Pleasanton Middle</t>
  </si>
  <si>
    <t>Vintage Hills Elementary</t>
  </si>
  <si>
    <t>Alisal Elementary</t>
  </si>
  <si>
    <t>Lincoln High (Continuation)</t>
  </si>
  <si>
    <t>John Muir Middle</t>
  </si>
  <si>
    <t>Madison Elementary</t>
  </si>
  <si>
    <t>San Leandro High</t>
  </si>
  <si>
    <t>Bancroft Middle</t>
  </si>
  <si>
    <t>Roosevelt Elementary</t>
  </si>
  <si>
    <t>Wilson Elementary</t>
  </si>
  <si>
    <t>McKinley Elementary</t>
  </si>
  <si>
    <t>Royal Sunset (Continuation)</t>
  </si>
  <si>
    <t>East Bay Arts High</t>
  </si>
  <si>
    <t>Hesperian Elementary</t>
  </si>
  <si>
    <t>Colonial Acres Elementary</t>
  </si>
  <si>
    <t>Dayton Elementary</t>
  </si>
  <si>
    <t>Edendale Middle</t>
  </si>
  <si>
    <t>San Lorenzo High</t>
  </si>
  <si>
    <t>Lorenzo Manor Elementary</t>
  </si>
  <si>
    <t>Corvallis Elementary</t>
  </si>
  <si>
    <t>Hillside Elementary</t>
  </si>
  <si>
    <t>Washington Manor Middle</t>
  </si>
  <si>
    <t>Del Rey Elementary</t>
  </si>
  <si>
    <t>Bay Elementary</t>
  </si>
  <si>
    <t>Bohannon Middle</t>
  </si>
  <si>
    <t>Arroyo High</t>
  </si>
  <si>
    <t>Sunol Glen Elementary</t>
  </si>
  <si>
    <t>Alpine County Opportunity</t>
  </si>
  <si>
    <t>Diamond Valley Elementary</t>
  </si>
  <si>
    <t>Bear Valley Elementary</t>
  </si>
  <si>
    <t>Alpine County Secondary Community Day</t>
  </si>
  <si>
    <t>Amador County Special Education</t>
  </si>
  <si>
    <t>County Community</t>
  </si>
  <si>
    <t>Independence High (Continuation)</t>
  </si>
  <si>
    <t>Plymouth Elementary</t>
  </si>
  <si>
    <t>Amador High</t>
  </si>
  <si>
    <t>Argonaut High</t>
  </si>
  <si>
    <t>Pioneer Magnet School for the Visual and Performing Arts</t>
  </si>
  <si>
    <t>Pine Grove Elementary STEM Magnet</t>
  </si>
  <si>
    <t>Sutter Creek Elementary</t>
  </si>
  <si>
    <t>Jackson Junior High</t>
  </si>
  <si>
    <t>North Star Academy</t>
  </si>
  <si>
    <t>Ione Junior High</t>
  </si>
  <si>
    <t>Ione Elementary</t>
  </si>
  <si>
    <t>Jackson Elementary</t>
  </si>
  <si>
    <t>Richvale Elementary</t>
  </si>
  <si>
    <t>Biggs High</t>
  </si>
  <si>
    <t>Biggs Elementary</t>
  </si>
  <si>
    <t>Table Mountain</t>
  </si>
  <si>
    <t>BASES Learning Center</t>
  </si>
  <si>
    <t>Butte County Special Education</t>
  </si>
  <si>
    <t>Butte County Community</t>
  </si>
  <si>
    <t>Come Back Butte Charter</t>
  </si>
  <si>
    <t>Hearthstone</t>
  </si>
  <si>
    <t>Achieve Charter High</t>
  </si>
  <si>
    <t>Academy for Change</t>
  </si>
  <si>
    <t>Fair View High (Continuation)</t>
  </si>
  <si>
    <t>Chapman Elementary</t>
  </si>
  <si>
    <t>Neal Dow Elementary</t>
  </si>
  <si>
    <t>McManus (John A.) Elementary</t>
  </si>
  <si>
    <t>Little Chico Creek Elementary</t>
  </si>
  <si>
    <t>Hooker Oak Elementary</t>
  </si>
  <si>
    <t>Marigold Elementary</t>
  </si>
  <si>
    <t>Parkview Elementary</t>
  </si>
  <si>
    <t>Citrus Avenue Elementary</t>
  </si>
  <si>
    <t>Pleasant Valley High</t>
  </si>
  <si>
    <t>Center for Alternative Learning</t>
  </si>
  <si>
    <t>Chico Junior High</t>
  </si>
  <si>
    <t>Emma Wilson Elementary</t>
  </si>
  <si>
    <t>Marsh (Harry M.) Junior High</t>
  </si>
  <si>
    <t>Shasta Elementary</t>
  </si>
  <si>
    <t>Sierra View Elementary</t>
  </si>
  <si>
    <t>Bidwell Junior High</t>
  </si>
  <si>
    <t>Chico High</t>
  </si>
  <si>
    <t>Rosedale Elementary</t>
  </si>
  <si>
    <t>Oakdale</t>
  </si>
  <si>
    <t>Loma Vista</t>
  </si>
  <si>
    <t>Durham High</t>
  </si>
  <si>
    <t>Durham Elementary</t>
  </si>
  <si>
    <t>Durham Intermediate</t>
  </si>
  <si>
    <t>Concow Elementary</t>
  </si>
  <si>
    <t>Esperanza High (Continuation)</t>
  </si>
  <si>
    <t>Gridley High</t>
  </si>
  <si>
    <t>Sycamore Middle</t>
  </si>
  <si>
    <t>Oakdale Heights Elementary</t>
  </si>
  <si>
    <t>Wyandotte Academy</t>
  </si>
  <si>
    <t>Ishi Hills Middle</t>
  </si>
  <si>
    <t>Ophir Elementary</t>
  </si>
  <si>
    <t>Stanford Avenue Elementary</t>
  </si>
  <si>
    <t>Central Middle</t>
  </si>
  <si>
    <t>Oroville High Community Day</t>
  </si>
  <si>
    <t>Prospect High (Continuation)</t>
  </si>
  <si>
    <t>Oroville High</t>
  </si>
  <si>
    <t>Las Plumas High</t>
  </si>
  <si>
    <t>Palermo Union Community Day (K-8)</t>
  </si>
  <si>
    <t>Honcut</t>
  </si>
  <si>
    <t>Golden Hills Elementary</t>
  </si>
  <si>
    <t>Helen M. Wilcox Elementary</t>
  </si>
  <si>
    <t>Palermo</t>
  </si>
  <si>
    <t>Ridgeview High (Continuation)</t>
  </si>
  <si>
    <t>Paradise Senior High</t>
  </si>
  <si>
    <t>Paradise Junior High</t>
  </si>
  <si>
    <t>Pine Ridge</t>
  </si>
  <si>
    <t>Cedarwood Elementary</t>
  </si>
  <si>
    <t>Paradise Ridge Elementary</t>
  </si>
  <si>
    <t>Paradise eLearning Academy</t>
  </si>
  <si>
    <t>Berry Creek Elementary</t>
  </si>
  <si>
    <t>Heritage Community Day</t>
  </si>
  <si>
    <t>Poplar Avenue Elementary</t>
  </si>
  <si>
    <t>Plumas Avenue Elementary</t>
  </si>
  <si>
    <t>Nelson Avenue Middle</t>
  </si>
  <si>
    <t>Sierra Avenue Elementary</t>
  </si>
  <si>
    <t>Vallecito Continuation High</t>
  </si>
  <si>
    <t>Calaveras River Academy</t>
  </si>
  <si>
    <t>Calaveras County Special Education (SELPA)</t>
  </si>
  <si>
    <t>Oakendell Community</t>
  </si>
  <si>
    <t>Mountain Oaks</t>
  </si>
  <si>
    <t>West Point Elementary</t>
  </si>
  <si>
    <t>Mokelumne Hill Elementary</t>
  </si>
  <si>
    <t>San Andreas Elementary</t>
  </si>
  <si>
    <t>Valley Springs Elementary</t>
  </si>
  <si>
    <t>Gold Strike High</t>
  </si>
  <si>
    <t>Calaveras High</t>
  </si>
  <si>
    <t>Jenny Lind Elementary</t>
  </si>
  <si>
    <t>Toyon Middle</t>
  </si>
  <si>
    <t>Calaveras Unified Alternative-Sierra Hills Education Center</t>
  </si>
  <si>
    <t>Mark Twain Elementary</t>
  </si>
  <si>
    <t>Avery Middle</t>
  </si>
  <si>
    <t>Albert A. Michelson Elementary</t>
  </si>
  <si>
    <t>Hazel Fischer Elementary</t>
  </si>
  <si>
    <t>Home School Academy (Alternative)</t>
  </si>
  <si>
    <t>Coastal Buttes Academy</t>
  </si>
  <si>
    <t>S. William Abel Academy</t>
  </si>
  <si>
    <t>Colusa Alternative Home</t>
  </si>
  <si>
    <t>Colusa High</t>
  </si>
  <si>
    <t>James M. Burchfield Primary</t>
  </si>
  <si>
    <t>George T. Egling Middle</t>
  </si>
  <si>
    <t>Colusa Alternative High (Continuation)</t>
  </si>
  <si>
    <t>Maxwell Sr High</t>
  </si>
  <si>
    <t>Maxwell Elementary</t>
  </si>
  <si>
    <t>Maxwell Middle</t>
  </si>
  <si>
    <t>Arbuckle Alternative High (Continuation)</t>
  </si>
  <si>
    <t>Grand Island Elementary</t>
  </si>
  <si>
    <t>Pierce High</t>
  </si>
  <si>
    <t>Arbuckle Elementary</t>
  </si>
  <si>
    <t>Lloyd G. Johnson Junior High</t>
  </si>
  <si>
    <t>Mid Valley High (Continuation)</t>
  </si>
  <si>
    <t>Williams Junior/Senior High</t>
  </si>
  <si>
    <t>Williams Primary Elementary</t>
  </si>
  <si>
    <t>Williams Upper Elementary</t>
  </si>
  <si>
    <t>Acalanes Center for Independent Study</t>
  </si>
  <si>
    <t>Las Lomas High</t>
  </si>
  <si>
    <t>Acalanes High</t>
  </si>
  <si>
    <t>Miramonte High</t>
  </si>
  <si>
    <t>Campolindo High</t>
  </si>
  <si>
    <t>Live Oak High (Continuation)</t>
  </si>
  <si>
    <t>Bidwell Continuation High</t>
  </si>
  <si>
    <t>Turner Elementary</t>
  </si>
  <si>
    <t>Diablo Vista Elementary</t>
  </si>
  <si>
    <t>Belshaw Elementary</t>
  </si>
  <si>
    <t>Jack London Elementary</t>
  </si>
  <si>
    <t>Fremont Elementary</t>
  </si>
  <si>
    <t>Kimball Elementary</t>
  </si>
  <si>
    <t>Carmen Dragon Elementary</t>
  </si>
  <si>
    <t>Muir (John) Elementary</t>
  </si>
  <si>
    <t>Deer Valley High</t>
  </si>
  <si>
    <t>Orchard Park</t>
  </si>
  <si>
    <t>Lone Tree Elementary</t>
  </si>
  <si>
    <t>Dallas Ranch Middle</t>
  </si>
  <si>
    <t>Sutter Elementary</t>
  </si>
  <si>
    <t>Park Middle</t>
  </si>
  <si>
    <t>Antioch High</t>
  </si>
  <si>
    <t>Mission Elementary</t>
  </si>
  <si>
    <t>Black Diamond Middle</t>
  </si>
  <si>
    <t>Antioch Middle</t>
  </si>
  <si>
    <t>Prospects High (Alternative)</t>
  </si>
  <si>
    <t>Dozier-Libbey Medical High</t>
  </si>
  <si>
    <t>Marsh Elementary</t>
  </si>
  <si>
    <t>Loma Vista Elementary</t>
  </si>
  <si>
    <t>Garin Elementary</t>
  </si>
  <si>
    <t>Ron Nunn Elementary</t>
  </si>
  <si>
    <t>Brentwood Elementary</t>
  </si>
  <si>
    <t>Mary Casey Black Elementary</t>
  </si>
  <si>
    <t>Marsh Creek Elementary</t>
  </si>
  <si>
    <t>Edna Hill Middle</t>
  </si>
  <si>
    <t>R. Paul Krey Elementary</t>
  </si>
  <si>
    <t>William B. Bristow Middle</t>
  </si>
  <si>
    <t>Adams (J. Douglas) Middle</t>
  </si>
  <si>
    <t>Excelsior Middle</t>
  </si>
  <si>
    <t>Discovery Bay Elementary</t>
  </si>
  <si>
    <t>Timber Point Elementary</t>
  </si>
  <si>
    <t>Byron Institute for Independent Study</t>
  </si>
  <si>
    <t>CCCOE Special Education Programs</t>
  </si>
  <si>
    <t>Central County Special Education Programs</t>
  </si>
  <si>
    <t>Floyd I. Marchus</t>
  </si>
  <si>
    <t>Golden Gate Community</t>
  </si>
  <si>
    <t>Mt. McKinley</t>
  </si>
  <si>
    <t>Carquinez Middle</t>
  </si>
  <si>
    <t>John Swett High</t>
  </si>
  <si>
    <t>Willow High</t>
  </si>
  <si>
    <t>Rodeo Hills Elementary</t>
  </si>
  <si>
    <t>Old River Elementary</t>
  </si>
  <si>
    <t>Springhill Elementary</t>
  </si>
  <si>
    <t>Burton Valley Elementary</t>
  </si>
  <si>
    <t>M. H. Stanley Middle</t>
  </si>
  <si>
    <t>La Paloma High (Continuation)</t>
  </si>
  <si>
    <t>Independence High</t>
  </si>
  <si>
    <t>Liberty High</t>
  </si>
  <si>
    <t>Freedom High</t>
  </si>
  <si>
    <t>Heritage High</t>
  </si>
  <si>
    <t>Vicente Martinez High</t>
  </si>
  <si>
    <t>Las Juntas Elementary</t>
  </si>
  <si>
    <t>John Swett Elementary</t>
  </si>
  <si>
    <t>Alhambra Senior High</t>
  </si>
  <si>
    <t>Morello Park Elementary</t>
  </si>
  <si>
    <t>Martinez Junior High</t>
  </si>
  <si>
    <t>Briones (Alternative)</t>
  </si>
  <si>
    <t>Camino Pablo Elementary</t>
  </si>
  <si>
    <t>Los Perales Elementary</t>
  </si>
  <si>
    <t>Donald L. Rheem Elementary</t>
  </si>
  <si>
    <t>Joaquin Moraga Intermediate</t>
  </si>
  <si>
    <t>Sunrise (Special Education)</t>
  </si>
  <si>
    <t>Crossroads High</t>
  </si>
  <si>
    <t>Diablo Community Day</t>
  </si>
  <si>
    <t>Summit High (Continuation)</t>
  </si>
  <si>
    <t>Olympic Continuation High</t>
  </si>
  <si>
    <t>Westwood Elementary</t>
  </si>
  <si>
    <t>Horizons School: Independent Study</t>
  </si>
  <si>
    <t>Fair Oaks Elementary</t>
  </si>
  <si>
    <t>El Monte Elementary</t>
  </si>
  <si>
    <t>Ygnacio Valley High</t>
  </si>
  <si>
    <t>Concord High</t>
  </si>
  <si>
    <t>Wren Avenue Elementary</t>
  </si>
  <si>
    <t>Shore Acres Elementary</t>
  </si>
  <si>
    <t>Ygnacio Valley Elementary</t>
  </si>
  <si>
    <t>Monte Gardens Elementary</t>
  </si>
  <si>
    <t>Rio Vista Elementary</t>
  </si>
  <si>
    <t>Silverwood Elementary</t>
  </si>
  <si>
    <t>Riverview Middle</t>
  </si>
  <si>
    <t>Sun Terrace Elementary</t>
  </si>
  <si>
    <t>Eagle Peak Montessori</t>
  </si>
  <si>
    <t>Pine Hollow Middle</t>
  </si>
  <si>
    <t>Oak Grove Middle</t>
  </si>
  <si>
    <t>Ayers Elementary</t>
  </si>
  <si>
    <t>Pleasant Hill Elementary</t>
  </si>
  <si>
    <t>Mt. Diablo High</t>
  </si>
  <si>
    <t>Diablo View Middle</t>
  </si>
  <si>
    <t>Meadow Homes Elementary</t>
  </si>
  <si>
    <t>El Dorado Middle</t>
  </si>
  <si>
    <t>Gregory Gardens Elementary</t>
  </si>
  <si>
    <t>Highlands Elementary</t>
  </si>
  <si>
    <t>Strandwood Elementary</t>
  </si>
  <si>
    <t>Cambridge Elementary</t>
  </si>
  <si>
    <t>Valley View Middle</t>
  </si>
  <si>
    <t>Hidden Valley Elementary</t>
  </si>
  <si>
    <t>Bel Air Elementary</t>
  </si>
  <si>
    <t>Valle Verde Elementary</t>
  </si>
  <si>
    <t>Foothill Middle</t>
  </si>
  <si>
    <t>Northgate High</t>
  </si>
  <si>
    <t>Walnut Acres Elementary</t>
  </si>
  <si>
    <t>Holbrook Language Academy</t>
  </si>
  <si>
    <t>College Park High</t>
  </si>
  <si>
    <t>Bancroft Elementary</t>
  </si>
  <si>
    <t>Pleasant Hill Middle</t>
  </si>
  <si>
    <t>Mt. Diablo Elementary</t>
  </si>
  <si>
    <t>Valhalla Elementary</t>
  </si>
  <si>
    <t>Sequoia Middle</t>
  </si>
  <si>
    <t>Delta View Elementary</t>
  </si>
  <si>
    <t>Glenbrook Academy</t>
  </si>
  <si>
    <t>Oakley Elementary</t>
  </si>
  <si>
    <t>Almond Grove Elementary</t>
  </si>
  <si>
    <t>Vintage Parkway Elementary</t>
  </si>
  <si>
    <t>Iron House Elementary</t>
  </si>
  <si>
    <t>O'Hara Park Middle</t>
  </si>
  <si>
    <t>Gehringer Elementary</t>
  </si>
  <si>
    <t>Delta Vista Middle</t>
  </si>
  <si>
    <t>Summer Lake Elementary</t>
  </si>
  <si>
    <t>Sleepy Hollow Elementary</t>
  </si>
  <si>
    <t>Wagner Ranch Elementary</t>
  </si>
  <si>
    <t>Glorietta Elementary</t>
  </si>
  <si>
    <t>Orinda Intermediate</t>
  </si>
  <si>
    <t>Black Diamond High (Continuation)</t>
  </si>
  <si>
    <t>Foothill Elementary</t>
  </si>
  <si>
    <t>Parkside Elementary</t>
  </si>
  <si>
    <t>Stoneman Elementary</t>
  </si>
  <si>
    <t>Martin Luther King Jr. Junior High</t>
  </si>
  <si>
    <t>Heights Elementary</t>
  </si>
  <si>
    <t>Los Medanos Elementary</t>
  </si>
  <si>
    <t>Hillview Junior High</t>
  </si>
  <si>
    <t>Marina Vista Elementary</t>
  </si>
  <si>
    <t>Rancho Medanos Junior High</t>
  </si>
  <si>
    <t>Willow Cove Elementary</t>
  </si>
  <si>
    <t>Pittsburg Senior High</t>
  </si>
  <si>
    <t>Del Amigo High (Continuation)</t>
  </si>
  <si>
    <t>Venture (Alternative)</t>
  </si>
  <si>
    <t>Montair Elementary</t>
  </si>
  <si>
    <t>Country Club Elementary</t>
  </si>
  <si>
    <t>Bollinger Canyon Elementary</t>
  </si>
  <si>
    <t>Creekside Elementary</t>
  </si>
  <si>
    <t>Golden View Elementary</t>
  </si>
  <si>
    <t>Stone Valley Middle</t>
  </si>
  <si>
    <t>Charlotte Wood Middle</t>
  </si>
  <si>
    <t>San Ramon Valley High</t>
  </si>
  <si>
    <t>Los Cerros Middle</t>
  </si>
  <si>
    <t>Rancho Romero Elementary</t>
  </si>
  <si>
    <t>Coyote Creek Elementary</t>
  </si>
  <si>
    <t>Iron Horse Middle</t>
  </si>
  <si>
    <t>Diablo Vista Middle</t>
  </si>
  <si>
    <t>Monte Vista High</t>
  </si>
  <si>
    <t>Alamo Elementary</t>
  </si>
  <si>
    <t>Dougherty Valley High</t>
  </si>
  <si>
    <t>Tassajara Hills Elementary</t>
  </si>
  <si>
    <t>John Baldwin Elementary</t>
  </si>
  <si>
    <t>California High</t>
  </si>
  <si>
    <t>Vista Grande Elementary</t>
  </si>
  <si>
    <t>Gale Ranch Middle</t>
  </si>
  <si>
    <t>Neil A. Armstrong Elementary</t>
  </si>
  <si>
    <t>Green Valley Elementary</t>
  </si>
  <si>
    <t>Pine Valley Middle</t>
  </si>
  <si>
    <t>Walt Disney Elementary</t>
  </si>
  <si>
    <t>Greenbrook Elementary</t>
  </si>
  <si>
    <t>Hidden Hills Elementary</t>
  </si>
  <si>
    <t>Twin Creeks Elementary</t>
  </si>
  <si>
    <t>Windemere Ranch Middle</t>
  </si>
  <si>
    <t>Sycamore Valley Elementary</t>
  </si>
  <si>
    <t>Montevideo Elementary</t>
  </si>
  <si>
    <t>Quail Run Elementary</t>
  </si>
  <si>
    <t>Murwood Elementary</t>
  </si>
  <si>
    <t>Indian Valley Elementary</t>
  </si>
  <si>
    <t>Parkmead Elementary</t>
  </si>
  <si>
    <t>Tice Creek</t>
  </si>
  <si>
    <t>Walnut Heights Elementary</t>
  </si>
  <si>
    <t>Walnut Creek Intermediate</t>
  </si>
  <si>
    <t>Collins Elementary</t>
  </si>
  <si>
    <t>Pinole Middle</t>
  </si>
  <si>
    <t>Riverside Elementary</t>
  </si>
  <si>
    <t>Lovonya DeJean Middle</t>
  </si>
  <si>
    <t>Peres Elementary</t>
  </si>
  <si>
    <t>Betty Reid Soskin Middle</t>
  </si>
  <si>
    <t>Edward M. Downer Elementary</t>
  </si>
  <si>
    <t>Shannon Elementary</t>
  </si>
  <si>
    <t>Fairmont Elementary</t>
  </si>
  <si>
    <t>Greenwood Academy</t>
  </si>
  <si>
    <t>Tara Hills Elementary</t>
  </si>
  <si>
    <t>Michelle Obama Elementary</t>
  </si>
  <si>
    <t>Helms Middle</t>
  </si>
  <si>
    <t>Murphy Elementary</t>
  </si>
  <si>
    <t>De Anza High</t>
  </si>
  <si>
    <t>Ellerhorst Elementary</t>
  </si>
  <si>
    <t>Fred T. Korematsu Middle</t>
  </si>
  <si>
    <t>Coronado Elementary</t>
  </si>
  <si>
    <t>Ford Elementary</t>
  </si>
  <si>
    <t>Richmond High</t>
  </si>
  <si>
    <t>Lupine Hills Elementary</t>
  </si>
  <si>
    <t>Montalvin Manor Elementary</t>
  </si>
  <si>
    <t>Sheldon Elementary</t>
  </si>
  <si>
    <t>Hercules Middle</t>
  </si>
  <si>
    <t>Hercules High</t>
  </si>
  <si>
    <t>Verde Elementary</t>
  </si>
  <si>
    <t>Cesar E. Chavez Elementary</t>
  </si>
  <si>
    <t>Highland Elementary</t>
  </si>
  <si>
    <t>Pinole Valley High</t>
  </si>
  <si>
    <t>Mira Vista Elementary</t>
  </si>
  <si>
    <t>Nystrom Elementary</t>
  </si>
  <si>
    <t>Harding Elementary</t>
  </si>
  <si>
    <t>El Cerrito High</t>
  </si>
  <si>
    <t>Stege Elementary</t>
  </si>
  <si>
    <t>Ohlone Elementary</t>
  </si>
  <si>
    <t>Dover Elementary</t>
  </si>
  <si>
    <t>Bayview Elementary</t>
  </si>
  <si>
    <t>Vista Independent Study / Virtual Academy</t>
  </si>
  <si>
    <t>Madera Elementary</t>
  </si>
  <si>
    <t>Hanna Ranch Elementary</t>
  </si>
  <si>
    <t>Stewart Elementary</t>
  </si>
  <si>
    <t>West County Mandarin</t>
  </si>
  <si>
    <t>Kensington Elementary</t>
  </si>
  <si>
    <t>Olinda Elementary</t>
  </si>
  <si>
    <t>Middle College High</t>
  </si>
  <si>
    <t>Harbour Way Elementary Community Day</t>
  </si>
  <si>
    <t>Elk Creek</t>
  </si>
  <si>
    <t>Del Norte Community</t>
  </si>
  <si>
    <t>Castle Rock</t>
  </si>
  <si>
    <t>Margaret Keating Elementary</t>
  </si>
  <si>
    <t>Bess Maxwell Elementary</t>
  </si>
  <si>
    <t>Smith River Elementary</t>
  </si>
  <si>
    <t>Sunset High</t>
  </si>
  <si>
    <t>Crescent Elk Middle</t>
  </si>
  <si>
    <t>Mary Peacock Elementary</t>
  </si>
  <si>
    <t>Joe Hamilton Elementary</t>
  </si>
  <si>
    <t>Del Norte High</t>
  </si>
  <si>
    <t>Redwood Elementary</t>
  </si>
  <si>
    <t>Pine Grove Elementary</t>
  </si>
  <si>
    <t>Golden Sierra Junior Senior High</t>
  </si>
  <si>
    <t>Northside Elementary</t>
  </si>
  <si>
    <t>Georgetown Elementary</t>
  </si>
  <si>
    <t>Otter Creek Elementary</t>
  </si>
  <si>
    <t>American River Charter</t>
  </si>
  <si>
    <t>Divide High</t>
  </si>
  <si>
    <t>Camerado Springs Middle</t>
  </si>
  <si>
    <t>Buckeye Elementary</t>
  </si>
  <si>
    <t>Rolling Hills Middle</t>
  </si>
  <si>
    <t>Blue Oak Elementary</t>
  </si>
  <si>
    <t>Silva Valley Elementary</t>
  </si>
  <si>
    <t>Oak Meadow Elementary</t>
  </si>
  <si>
    <t>William Brooks Elementary</t>
  </si>
  <si>
    <t>Charter Montessori Valley View Campus</t>
  </si>
  <si>
    <t>Buckeye Union Mandarin Immersion Charter</t>
  </si>
  <si>
    <t>Camino Elementary</t>
  </si>
  <si>
    <t>Special Education</t>
  </si>
  <si>
    <t>Blue Ridge</t>
  </si>
  <si>
    <t>Rite of Passage</t>
  </si>
  <si>
    <t>Charter Community School Home Study Academy</t>
  </si>
  <si>
    <t>Charter Alternative Program (CAP)</t>
  </si>
  <si>
    <t>Golden Ridge</t>
  </si>
  <si>
    <t>Independence Continuation</t>
  </si>
  <si>
    <t>El Dorado High</t>
  </si>
  <si>
    <t>Pacific Crest Academy</t>
  </si>
  <si>
    <t>Union Mine High</t>
  </si>
  <si>
    <t>Ponderosa High</t>
  </si>
  <si>
    <t>Oak Ridge High</t>
  </si>
  <si>
    <t>Pleasant Valley Middle</t>
  </si>
  <si>
    <t>Gold Oak Elementary</t>
  </si>
  <si>
    <t>Gold Trail</t>
  </si>
  <si>
    <t>Sutters Mill</t>
  </si>
  <si>
    <t>Mt. Tallac High</t>
  </si>
  <si>
    <t>Elevated Digital Learning Academy</t>
  </si>
  <si>
    <t>Tahoe Valley Elementary</t>
  </si>
  <si>
    <t>South Tahoe Middle</t>
  </si>
  <si>
    <t>South Tahoe High</t>
  </si>
  <si>
    <t>Sierra House Elementary</t>
  </si>
  <si>
    <t>Bijou Community</t>
  </si>
  <si>
    <t>Lake Tahoe Environmental Science Magnet</t>
  </si>
  <si>
    <t>Latrobe Elementary</t>
  </si>
  <si>
    <t>Miller's Hill</t>
  </si>
  <si>
    <t>Indian Creek Elementary</t>
  </si>
  <si>
    <t>Herbert C. Green Middle</t>
  </si>
  <si>
    <t>Walt Tyler Elementary</t>
  </si>
  <si>
    <t>Mountain Creek Middle</t>
  </si>
  <si>
    <t>Sierra Elementary</t>
  </si>
  <si>
    <t>Louisiana Schnell Elementary</t>
  </si>
  <si>
    <t>Edwin Markham Middle</t>
  </si>
  <si>
    <t>Pinewood Elementary</t>
  </si>
  <si>
    <t>Sierra Ridge Middle</t>
  </si>
  <si>
    <t>Rescue Elementary</t>
  </si>
  <si>
    <t>Lakeview Elementary</t>
  </si>
  <si>
    <t>Pleasant Grove Middle</t>
  </si>
  <si>
    <t>Marina Village Middle</t>
  </si>
  <si>
    <t>Lake Forest Elementary</t>
  </si>
  <si>
    <t>Alvina Elementary Charter</t>
  </si>
  <si>
    <t>Burrel Elementary</t>
  </si>
  <si>
    <t>MARC High</t>
  </si>
  <si>
    <t>Caruthers High</t>
  </si>
  <si>
    <t>Caruthers Elementary</t>
  </si>
  <si>
    <t>Pathway Community Day</t>
  </si>
  <si>
    <t>Pershing Continuation High</t>
  </si>
  <si>
    <t>Pathway Elementary Community Day</t>
  </si>
  <si>
    <t>Biola-Pershing Elementary</t>
  </si>
  <si>
    <t>Houghton-Kearney Elementary</t>
  </si>
  <si>
    <t>Central Unified Alternative/Opportunity</t>
  </si>
  <si>
    <t>Norman Liddell Elementary</t>
  </si>
  <si>
    <t>El Capitan Middle</t>
  </si>
  <si>
    <t>William Saroyan Elementary</t>
  </si>
  <si>
    <t>John Steinbeck Elementary</t>
  </si>
  <si>
    <t>Herndon-Barstow Elementary</t>
  </si>
  <si>
    <t>Central East High</t>
  </si>
  <si>
    <t>Glacier Point Middle</t>
  </si>
  <si>
    <t>Teague Elementary</t>
  </si>
  <si>
    <t>Rio Vista Middle</t>
  </si>
  <si>
    <t>James K. Polk Elementary</t>
  </si>
  <si>
    <t>Harvest Elementary</t>
  </si>
  <si>
    <t>River Bluff Elementary</t>
  </si>
  <si>
    <t>Hanh Phan Tilley Elementary</t>
  </si>
  <si>
    <t>Central Online Home</t>
  </si>
  <si>
    <t>Central High</t>
  </si>
  <si>
    <t>Clay Elementary</t>
  </si>
  <si>
    <t>Clovis Community Day Elementary</t>
  </si>
  <si>
    <t>Clovis Community Day Secondary</t>
  </si>
  <si>
    <t>Gateway High (Continuation)</t>
  </si>
  <si>
    <t>Pinedale Elementary</t>
  </si>
  <si>
    <t>Valley Oak Elementary</t>
  </si>
  <si>
    <t>Nelson Elementary</t>
  </si>
  <si>
    <t>Fort Washington Elementary</t>
  </si>
  <si>
    <t>Freedom Elementary</t>
  </si>
  <si>
    <t>Clovis West High</t>
  </si>
  <si>
    <t>Dry Creek Elementary</t>
  </si>
  <si>
    <t>Sierra Vista Elementary</t>
  </si>
  <si>
    <t>Clovis Elementary</t>
  </si>
  <si>
    <t>Clovis East High</t>
  </si>
  <si>
    <t>Miramonte Elementary</t>
  </si>
  <si>
    <t>Cole Elementary</t>
  </si>
  <si>
    <t>Clovis North High</t>
  </si>
  <si>
    <t>Tarpey Elementary</t>
  </si>
  <si>
    <t>Buchanan High</t>
  </si>
  <si>
    <t>Temperance-Kutner Elementary</t>
  </si>
  <si>
    <t>Kastner Intermediate</t>
  </si>
  <si>
    <t>Century Elementary</t>
  </si>
  <si>
    <t>Weldon Elementary</t>
  </si>
  <si>
    <t>Clovis Online Charter</t>
  </si>
  <si>
    <t>Fancher Creek Elementary</t>
  </si>
  <si>
    <t>Granite Ridge Intermediate</t>
  </si>
  <si>
    <t>Mickey Cox Elementary</t>
  </si>
  <si>
    <t>Clark Intermediate</t>
  </si>
  <si>
    <t>Alta Sierra Intermediate</t>
  </si>
  <si>
    <t>Virginia R. Boris Elementary</t>
  </si>
  <si>
    <t>Reyburn Intermediate</t>
  </si>
  <si>
    <t>Copper Hills Elementary</t>
  </si>
  <si>
    <t>Bud Rank Elementary</t>
  </si>
  <si>
    <t>Clovis High</t>
  </si>
  <si>
    <t>Janet L. Young Elementary</t>
  </si>
  <si>
    <t>Woods (Harold L.) Elementary</t>
  </si>
  <si>
    <t>Gettysburg Elementary</t>
  </si>
  <si>
    <t>Riverview Elementary</t>
  </si>
  <si>
    <t>Reagan Elementary</t>
  </si>
  <si>
    <t>James S. Fugman Elementary</t>
  </si>
  <si>
    <t>Roger S. Oraze Elementary</t>
  </si>
  <si>
    <t>Red Bank Elementary</t>
  </si>
  <si>
    <t>Enterprise Alternative</t>
  </si>
  <si>
    <t>Nell Dawson Elementary</t>
  </si>
  <si>
    <t>Henry F. Bishop Elementary</t>
  </si>
  <si>
    <t>Coalinga High</t>
  </si>
  <si>
    <t>Huron Middle</t>
  </si>
  <si>
    <t>Huron Elementary</t>
  </si>
  <si>
    <t>Coalinga Middle</t>
  </si>
  <si>
    <t>Cambridge High</t>
  </si>
  <si>
    <t>Miles W. Culwell Community Day</t>
  </si>
  <si>
    <t>Chesnut High (Continuation)</t>
  </si>
  <si>
    <t>Annie E. Cheney Kindergarten</t>
  </si>
  <si>
    <t>El Puente High</t>
  </si>
  <si>
    <t>Firebaugh Community Day</t>
  </si>
  <si>
    <t>Firebaugh High</t>
  </si>
  <si>
    <t>Firebaugh Middle</t>
  </si>
  <si>
    <t>Hazel M. Bailey Primary</t>
  </si>
  <si>
    <t>Arthur E. Mills Intermediate</t>
  </si>
  <si>
    <t>Fowler Academy Community Day</t>
  </si>
  <si>
    <t>Fowler Academy Community Day (9-12)</t>
  </si>
  <si>
    <t>Fowler Academy Continuation</t>
  </si>
  <si>
    <t>Fowler Academy Independent Study</t>
  </si>
  <si>
    <t>Malaga Elementary</t>
  </si>
  <si>
    <t>Fowler High</t>
  </si>
  <si>
    <t>John Sutter Middle</t>
  </si>
  <si>
    <t>Fresno County Special Education</t>
  </si>
  <si>
    <t>Alice M. Worsley</t>
  </si>
  <si>
    <t>Violet Heintz Education Academy</t>
  </si>
  <si>
    <t>Florence E. Rata</t>
  </si>
  <si>
    <t>Irwin O. Addicott Elementary</t>
  </si>
  <si>
    <t>Phoenix Secondary</t>
  </si>
  <si>
    <t>Fulton</t>
  </si>
  <si>
    <t>Phoenix Elementary Academy Community Day</t>
  </si>
  <si>
    <t>J. E. Young Academic Center</t>
  </si>
  <si>
    <t>Kirk Elementary</t>
  </si>
  <si>
    <t>Susan B. Anthony Elementary</t>
  </si>
  <si>
    <t>Holland Elementary</t>
  </si>
  <si>
    <t>Starr Elementary</t>
  </si>
  <si>
    <t>David L. Greenberg Elementary</t>
  </si>
  <si>
    <t>Phillip J Patino School of Entrepreneurship</t>
  </si>
  <si>
    <t>Tehipite Middle</t>
  </si>
  <si>
    <t>Elizabeth Terronez Middle</t>
  </si>
  <si>
    <t>Wolters Elementary</t>
  </si>
  <si>
    <t>Powers-Ginsburg Elementary</t>
  </si>
  <si>
    <t>Webster Elementary</t>
  </si>
  <si>
    <t>Dewolf Continuation High</t>
  </si>
  <si>
    <t>Figarden Elementary</t>
  </si>
  <si>
    <t>Wishon Elementary</t>
  </si>
  <si>
    <t>Ahwahnee Middle</t>
  </si>
  <si>
    <t>Yosemite Middle</t>
  </si>
  <si>
    <t>Robinson Elementary</t>
  </si>
  <si>
    <t>Heaton Elementary</t>
  </si>
  <si>
    <t>Lane Elementary</t>
  </si>
  <si>
    <t>Tenaya Middle</t>
  </si>
  <si>
    <t>Hamilton Elementary</t>
  </si>
  <si>
    <t>Eaton Elementary</t>
  </si>
  <si>
    <t>Herbert Hoover High</t>
  </si>
  <si>
    <t>Fort Miller Middle</t>
  </si>
  <si>
    <t>Forkner Elementary</t>
  </si>
  <si>
    <t>McLane High</t>
  </si>
  <si>
    <t>Gibson Elementary</t>
  </si>
  <si>
    <t>Ezekiel Balderas Elementary</t>
  </si>
  <si>
    <t>Pyle Elementary</t>
  </si>
  <si>
    <t>Rutherford B. Gaston Sr. Middle</t>
  </si>
  <si>
    <t>Muir Elementary</t>
  </si>
  <si>
    <t>Miguel Hidalgo Elementary</t>
  </si>
  <si>
    <t>Fresno High</t>
  </si>
  <si>
    <t>Lowell Elementary</t>
  </si>
  <si>
    <t>Birney Elementary</t>
  </si>
  <si>
    <t>McCardle Elementary</t>
  </si>
  <si>
    <t>Ewing Elementary</t>
  </si>
  <si>
    <t>Vinland Elementary</t>
  </si>
  <si>
    <t>Scandinavian Middle</t>
  </si>
  <si>
    <t>Calwa Elementary</t>
  </si>
  <si>
    <t>Wawona K-8</t>
  </si>
  <si>
    <t>Burroughs Elementary</t>
  </si>
  <si>
    <t>Del Mar Elementary</t>
  </si>
  <si>
    <t>Roosevelt High</t>
  </si>
  <si>
    <t>Tioga Middle</t>
  </si>
  <si>
    <t>Norseman Elementary</t>
  </si>
  <si>
    <t>Roeding Elementary</t>
  </si>
  <si>
    <t>Winchell Elementary</t>
  </si>
  <si>
    <t>Ericson Elementary</t>
  </si>
  <si>
    <t>Baird Middle</t>
  </si>
  <si>
    <t>Cooper Middle</t>
  </si>
  <si>
    <t>Bullard High</t>
  </si>
  <si>
    <t>Rowell Elementary</t>
  </si>
  <si>
    <t>Kratt Elementary</t>
  </si>
  <si>
    <t>Easterby Elementary</t>
  </si>
  <si>
    <t>Malloch Elementary</t>
  </si>
  <si>
    <t>Ayer Elementary</t>
  </si>
  <si>
    <t>Kings Canyon Middle</t>
  </si>
  <si>
    <t>Mayfair Elementary</t>
  </si>
  <si>
    <t>King Elementary</t>
  </si>
  <si>
    <t>Homan Elementary</t>
  </si>
  <si>
    <t>Sunnyside High</t>
  </si>
  <si>
    <t>Edith B. Storey Elementary</t>
  </si>
  <si>
    <t>Slater Elementary</t>
  </si>
  <si>
    <t>Mario G. Olmos Elementary</t>
  </si>
  <si>
    <t>Erma Duncan Polytechnical High</t>
  </si>
  <si>
    <t>Ann B. Leavenworth</t>
  </si>
  <si>
    <t>Addams Elementary</t>
  </si>
  <si>
    <t>Thomas Elementary</t>
  </si>
  <si>
    <t>Deborah A. Williams Elementary</t>
  </si>
  <si>
    <t>Edison High</t>
  </si>
  <si>
    <t>Viking Elementary</t>
  </si>
  <si>
    <t>Vang Pao Elementary</t>
  </si>
  <si>
    <t>Cambridge Continuation High</t>
  </si>
  <si>
    <t>Akira Yokomi Elementary</t>
  </si>
  <si>
    <t>Lawless Elementary</t>
  </si>
  <si>
    <t>Aynesworth Elementary</t>
  </si>
  <si>
    <t>Bullard Talent</t>
  </si>
  <si>
    <t>Design Science Middle College High</t>
  </si>
  <si>
    <t>Molly S. Bakman Elementary</t>
  </si>
  <si>
    <t>Centennial Elementary</t>
  </si>
  <si>
    <t>Edison Computech</t>
  </si>
  <si>
    <t>Morris E. Dailey Charter Elementary</t>
  </si>
  <si>
    <t>Manchester Gate</t>
  </si>
  <si>
    <t>Rio Del Rey High (Continuation)</t>
  </si>
  <si>
    <t>Tranquillity Elementary</t>
  </si>
  <si>
    <t>Helm Elementary</t>
  </si>
  <si>
    <t>Cantua Elementary</t>
  </si>
  <si>
    <t>Tranquillity High</t>
  </si>
  <si>
    <t>San Joaquin Elementary</t>
  </si>
  <si>
    <t>Enterprise High</t>
  </si>
  <si>
    <t>Kerman-Floyd Elementary</t>
  </si>
  <si>
    <t>Sun Empire Elementary</t>
  </si>
  <si>
    <t>Kerman Middle</t>
  </si>
  <si>
    <t>Goldenrod Elementary</t>
  </si>
  <si>
    <t>Kerman High</t>
  </si>
  <si>
    <t>Great Western Elementary</t>
  </si>
  <si>
    <t>Dunlap Elementary</t>
  </si>
  <si>
    <t>Kings Canyon Continuation</t>
  </si>
  <si>
    <t>Alta Elementary</t>
  </si>
  <si>
    <t>A. L. Conner Elementary</t>
  </si>
  <si>
    <t>Orange Cove High</t>
  </si>
  <si>
    <t>McCord Elementary</t>
  </si>
  <si>
    <t>Navelencia Middle</t>
  </si>
  <si>
    <t>Sheridan Elementary</t>
  </si>
  <si>
    <t>Reedley High</t>
  </si>
  <si>
    <t>General Grant Middle</t>
  </si>
  <si>
    <t>Thomas Law Reed Elementary</t>
  </si>
  <si>
    <t>Silas Bartsch</t>
  </si>
  <si>
    <t>Mountain View (Alternative)</t>
  </si>
  <si>
    <t>Citrus Middle</t>
  </si>
  <si>
    <t>Kings Canyon Online</t>
  </si>
  <si>
    <t>Reedley Middle College High</t>
  </si>
  <si>
    <t>Island Community Day</t>
  </si>
  <si>
    <t>Central Valley Home</t>
  </si>
  <si>
    <t>Rafer Johnson Junior High</t>
  </si>
  <si>
    <t>Ronald W. Reagan Elementary</t>
  </si>
  <si>
    <t>Oasis Continuation High</t>
  </si>
  <si>
    <t>Kingsburg High</t>
  </si>
  <si>
    <t>Kingsburg Independent Study High</t>
  </si>
  <si>
    <t>Laton High</t>
  </si>
  <si>
    <t>Laton Middle</t>
  </si>
  <si>
    <t>Laton Elementary</t>
  </si>
  <si>
    <t>Laton Online Academy</t>
  </si>
  <si>
    <t>Mendota Community Day</t>
  </si>
  <si>
    <t>Mendota Continuation High</t>
  </si>
  <si>
    <t>Mendota High</t>
  </si>
  <si>
    <t>Mendota Elementary</t>
  </si>
  <si>
    <t>Mendota Junior High</t>
  </si>
  <si>
    <t>McCabe Elementary</t>
  </si>
  <si>
    <t>Orange Center Elementary</t>
  </si>
  <si>
    <t>San Joaquin Valley High</t>
  </si>
  <si>
    <t>Parlier Junior High</t>
  </si>
  <si>
    <t>Cesar E Chavez Elementary</t>
  </si>
  <si>
    <t>S Ben Benavidez Elementary</t>
  </si>
  <si>
    <t>Parlier High</t>
  </si>
  <si>
    <t>John C Martinez Elementary</t>
  </si>
  <si>
    <t>Mathew J Brletic Elementary</t>
  </si>
  <si>
    <t>Fipps Primary</t>
  </si>
  <si>
    <t>Riverdale High</t>
  </si>
  <si>
    <t>Horizon High</t>
  </si>
  <si>
    <t>Riverdale Elementary</t>
  </si>
  <si>
    <t>Kings River High (Continuation)</t>
  </si>
  <si>
    <t>Taft Academy</t>
  </si>
  <si>
    <t>Sanger High</t>
  </si>
  <si>
    <t>Centerville Elementary</t>
  </si>
  <si>
    <t>Lone Star Elementary</t>
  </si>
  <si>
    <t>Washington Academic Middle</t>
  </si>
  <si>
    <t>Hallmark Charter</t>
  </si>
  <si>
    <t>John S. Wash Elementary</t>
  </si>
  <si>
    <t>Sanger Academy Charter</t>
  </si>
  <si>
    <t>Quail Lake Environmental Charter</t>
  </si>
  <si>
    <t>Heartland High (Continuation)</t>
  </si>
  <si>
    <t>George Washington Elementary</t>
  </si>
  <si>
    <t>James Garfield Elementary</t>
  </si>
  <si>
    <t>Woodrow Wilson Elementary</t>
  </si>
  <si>
    <t>Eric White Elementary</t>
  </si>
  <si>
    <t>Indianola Elementary</t>
  </si>
  <si>
    <t>Terry Elementary</t>
  </si>
  <si>
    <t>Abraham Lincoln Middle</t>
  </si>
  <si>
    <t>Theodore Roosevelt Elementary</t>
  </si>
  <si>
    <t>Selma High</t>
  </si>
  <si>
    <t>Andrew Jackson Elementary</t>
  </si>
  <si>
    <t>Selma Independent</t>
  </si>
  <si>
    <t>Sierra Alternative High</t>
  </si>
  <si>
    <t>Sierra High</t>
  </si>
  <si>
    <t>Sierra Junior High</t>
  </si>
  <si>
    <t>Sierra@Home</t>
  </si>
  <si>
    <t>Oak Meadow Community Day</t>
  </si>
  <si>
    <t>American Union Elementary</t>
  </si>
  <si>
    <t>Easton Community Day</t>
  </si>
  <si>
    <t>Easton Continuation High</t>
  </si>
  <si>
    <t>Elm High</t>
  </si>
  <si>
    <t>West Fresno Elementary</t>
  </si>
  <si>
    <t>West Fresno Middle</t>
  </si>
  <si>
    <t>West Park Charter Academy</t>
  </si>
  <si>
    <t>Glenn County Special Education</t>
  </si>
  <si>
    <t>Success One!</t>
  </si>
  <si>
    <t>William Finch</t>
  </si>
  <si>
    <t>Ella Barkley High</t>
  </si>
  <si>
    <t>Hamilton High</t>
  </si>
  <si>
    <t>Hamilton Community Day</t>
  </si>
  <si>
    <t>Orland Community Day</t>
  </si>
  <si>
    <t>North Valley High (Continuation)</t>
  </si>
  <si>
    <t>Price Intermediate</t>
  </si>
  <si>
    <t>Mill Street Elementary</t>
  </si>
  <si>
    <t>Orland High</t>
  </si>
  <si>
    <t>Princeton Elementary</t>
  </si>
  <si>
    <t>Princeton Junior-Senior High</t>
  </si>
  <si>
    <t>Princeton Landing High (Cont)</t>
  </si>
  <si>
    <t>Elk Creek High</t>
  </si>
  <si>
    <t>Bidwell Point High (Continuation)</t>
  </si>
  <si>
    <t>Indian Valley Intermediate</t>
  </si>
  <si>
    <t>Elk Creek Elementary</t>
  </si>
  <si>
    <t>Willows Community High</t>
  </si>
  <si>
    <t>Willows Intermediate</t>
  </si>
  <si>
    <t>Willows High</t>
  </si>
  <si>
    <t>Murdock Elementary</t>
  </si>
  <si>
    <t>Sunny Brae Middle</t>
  </si>
  <si>
    <t>Big Lagoon Elementary</t>
  </si>
  <si>
    <t>Cuddeback Elementary</t>
  </si>
  <si>
    <t>Ridgewood Elementary</t>
  </si>
  <si>
    <t>Zoe Barnum High</t>
  </si>
  <si>
    <t>Eureka Senior High</t>
  </si>
  <si>
    <t>Alice Birney Elementary</t>
  </si>
  <si>
    <t>Winship Middle</t>
  </si>
  <si>
    <t>Catherine L. Zane Middle</t>
  </si>
  <si>
    <t>Ferndale High</t>
  </si>
  <si>
    <t>Ferndale Elementary</t>
  </si>
  <si>
    <t>Linell K. Walker Elementary</t>
  </si>
  <si>
    <t>Norman G. Ambrosini Elementary</t>
  </si>
  <si>
    <t>Toddy Thomas Middle</t>
  </si>
  <si>
    <t>Fortuna Middle</t>
  </si>
  <si>
    <t>East High (Continuation)</t>
  </si>
  <si>
    <t>Academy of the Redwoods</t>
  </si>
  <si>
    <t>Freshwater Charter Middle</t>
  </si>
  <si>
    <t>Glen Paul</t>
  </si>
  <si>
    <t>Humboldt County Office of Education Juvenile Hall Court</t>
  </si>
  <si>
    <t>Eel River Community</t>
  </si>
  <si>
    <t>Eureka Community</t>
  </si>
  <si>
    <t>Southern Humboldt Community</t>
  </si>
  <si>
    <t>Jacoby Creek</t>
  </si>
  <si>
    <t>Weitchpec Elementary</t>
  </si>
  <si>
    <t>Hoopa Valley High</t>
  </si>
  <si>
    <t>Trinity Valley Elementary</t>
  </si>
  <si>
    <t>Captain John Continuation High</t>
  </si>
  <si>
    <t>Hoopa Valley Elementary</t>
  </si>
  <si>
    <t>Orleans Elementary</t>
  </si>
  <si>
    <t>Jack Norton Elementary</t>
  </si>
  <si>
    <t>Loleta Elementary</t>
  </si>
  <si>
    <t>Mattole Elementary</t>
  </si>
  <si>
    <t>Mattole Triple Junction High</t>
  </si>
  <si>
    <t>Honeydew Elementary</t>
  </si>
  <si>
    <t>Dow's Prairie Elementary</t>
  </si>
  <si>
    <t>McKinleyville Middle</t>
  </si>
  <si>
    <t>Morris Elementary</t>
  </si>
  <si>
    <t>Mad River High (Continuation)</t>
  </si>
  <si>
    <t>McKinleyville High</t>
  </si>
  <si>
    <t>Six Rivers Charter High</t>
  </si>
  <si>
    <t>Arcata High</t>
  </si>
  <si>
    <t>Pacific Coast High (Continuation)</t>
  </si>
  <si>
    <t>Trillium Charter</t>
  </si>
  <si>
    <t>Eagle Prairie Elementary</t>
  </si>
  <si>
    <t>Monument Middle</t>
  </si>
  <si>
    <t>Stanwood A. Murphy Elementary</t>
  </si>
  <si>
    <t>South Bay Elementary</t>
  </si>
  <si>
    <t>Pine Hill Elementary</t>
  </si>
  <si>
    <t>South Bay Charter</t>
  </si>
  <si>
    <t>Casterlin High</t>
  </si>
  <si>
    <t>Osprey Learning Center</t>
  </si>
  <si>
    <t>Osprey Learning Center (Alternative)</t>
  </si>
  <si>
    <t>Whitethorn Elementary</t>
  </si>
  <si>
    <t>Casterlin Elementary</t>
  </si>
  <si>
    <t>South Fork High</t>
  </si>
  <si>
    <t>Redway Elementary</t>
  </si>
  <si>
    <t>Miranda Junior High</t>
  </si>
  <si>
    <t>Trinidad Union</t>
  </si>
  <si>
    <t>J. W. Oakley Elementary</t>
  </si>
  <si>
    <t>Myron D. Witter Elementary</t>
  </si>
  <si>
    <t>Barbara Worth Junior High</t>
  </si>
  <si>
    <t>Phil D. Swing Elementary</t>
  </si>
  <si>
    <t>Desert Valley High (Continuation)</t>
  </si>
  <si>
    <t>Renaissance</t>
  </si>
  <si>
    <t>Pinnacle Hall Community Day</t>
  </si>
  <si>
    <t>Aurora High (Continuation)</t>
  </si>
  <si>
    <t>William Moreno Junior High</t>
  </si>
  <si>
    <t>Enrique Camarena Jr. High</t>
  </si>
  <si>
    <t>Calexico High</t>
  </si>
  <si>
    <t>Mains Elementary</t>
  </si>
  <si>
    <t>Blanche Charles Elementary</t>
  </si>
  <si>
    <t>Cesar Chavez Elementary</t>
  </si>
  <si>
    <t>Kennedy Gardens Elementary</t>
  </si>
  <si>
    <t>Dool Elementary</t>
  </si>
  <si>
    <t>Rockwood Elementary</t>
  </si>
  <si>
    <t>Grace Smith Elementary</t>
  </si>
  <si>
    <t>Calipatria High</t>
  </si>
  <si>
    <t>Fremont Primary</t>
  </si>
  <si>
    <t>Bill E. Young Jr. Middle</t>
  </si>
  <si>
    <t>Desert Oasis High (Continuation)</t>
  </si>
  <si>
    <t>Phoenix Rising High</t>
  </si>
  <si>
    <t>Southwest High</t>
  </si>
  <si>
    <t>Kennedy Middle</t>
  </si>
  <si>
    <t>Sunflower Elementary</t>
  </si>
  <si>
    <t>Desert Garden Elementary</t>
  </si>
  <si>
    <t>Martin Luther King Jr. Elementary</t>
  </si>
  <si>
    <t>Imperial Valley Home School Academy</t>
  </si>
  <si>
    <t>De Anza Magnet</t>
  </si>
  <si>
    <t>Margaret Hedrick Elementary</t>
  </si>
  <si>
    <t>Wilson Jr. High</t>
  </si>
  <si>
    <t>Dogwood Elementary</t>
  </si>
  <si>
    <t>Sam Webb Continuation</t>
  </si>
  <si>
    <t>Pine Elementary</t>
  </si>
  <si>
    <t>Holtville Middle</t>
  </si>
  <si>
    <t>Emmett S. Finley Elementary</t>
  </si>
  <si>
    <t>Holtville High</t>
  </si>
  <si>
    <t>Freedom Academy of Imperial Valley</t>
  </si>
  <si>
    <t>Imperial County Special Education</t>
  </si>
  <si>
    <t>Imperial County Juvenile Hall/Community</t>
  </si>
  <si>
    <t>Valley Academy</t>
  </si>
  <si>
    <t>Imperial Pathways Charter</t>
  </si>
  <si>
    <t>Ben Hulse Elementary</t>
  </si>
  <si>
    <t>Frank M. Wright Middle</t>
  </si>
  <si>
    <t>Imperial High</t>
  </si>
  <si>
    <t>T. L. Waggoner Elementary</t>
  </si>
  <si>
    <t>Imperial Cross Elementary</t>
  </si>
  <si>
    <t>Imperial Ave. Holbrook High</t>
  </si>
  <si>
    <t>Meadows Elementary</t>
  </si>
  <si>
    <t>San Pasqual Vocational Academy</t>
  </si>
  <si>
    <t>Bill M. Manes High</t>
  </si>
  <si>
    <t>San Pasqual Valley High</t>
  </si>
  <si>
    <t>San Pasqual Valley Elementary</t>
  </si>
  <si>
    <t>San Pasqual Middle</t>
  </si>
  <si>
    <t>Seeley Elementary</t>
  </si>
  <si>
    <t>Westmorland Elementary</t>
  </si>
  <si>
    <t>Big Pine Elementary</t>
  </si>
  <si>
    <t>Big Pine High</t>
  </si>
  <si>
    <t>CDS Bishop High</t>
  </si>
  <si>
    <t>Keith B. Bright High (Juvenile Hall)</t>
  </si>
  <si>
    <t>CDS Home Street</t>
  </si>
  <si>
    <t>CDS Bishop Elementary</t>
  </si>
  <si>
    <t>Palisade Glacier High (Continuation)</t>
  </si>
  <si>
    <t>Bishop Union High</t>
  </si>
  <si>
    <t>Bishop Elementary</t>
  </si>
  <si>
    <t>Home Street Middle</t>
  </si>
  <si>
    <t>Bishop Independent Study</t>
  </si>
  <si>
    <t>Death Valley High Academy</t>
  </si>
  <si>
    <t>Shoshone Elementary</t>
  </si>
  <si>
    <t>Shoshone High (Continuation)</t>
  </si>
  <si>
    <t>Tecopa-Francis Elementary</t>
  </si>
  <si>
    <t>Jill Kinmont Boothe</t>
  </si>
  <si>
    <t>Lo-Inyo Elementary</t>
  </si>
  <si>
    <t>Lone Pine High</t>
  </si>
  <si>
    <t>Sierra Alternative Learning Academy</t>
  </si>
  <si>
    <t>Owens Valley High</t>
  </si>
  <si>
    <t>Owens Valley Elementary</t>
  </si>
  <si>
    <t>Round Valley Elementary</t>
  </si>
  <si>
    <t>Bear Mountain Elementary</t>
  </si>
  <si>
    <t>Haven Drive Middle</t>
  </si>
  <si>
    <t>El Camino Real Elementary</t>
  </si>
  <si>
    <t>Rafer Johnson</t>
  </si>
  <si>
    <t>Casa Loma Elementary</t>
  </si>
  <si>
    <t>Caroline Harris Elementary</t>
  </si>
  <si>
    <t>Bessie E. Owens Primary</t>
  </si>
  <si>
    <t>Stella I. Hills Elementary</t>
  </si>
  <si>
    <t>Pioneer Drive Elementary</t>
  </si>
  <si>
    <t>Bessie E. Owens Intermediate</t>
  </si>
  <si>
    <t>William Penn Elementary</t>
  </si>
  <si>
    <t>Munsey Elementary</t>
  </si>
  <si>
    <t>Mt. Vernon Elementary</t>
  </si>
  <si>
    <t>College Heights Elementary</t>
  </si>
  <si>
    <t>Williams Elementary</t>
  </si>
  <si>
    <t>Frank West Elementary</t>
  </si>
  <si>
    <t>Hort Elementary</t>
  </si>
  <si>
    <t>Dr. Douglas K. Fletcher Elementary</t>
  </si>
  <si>
    <t>Downtown Elementary</t>
  </si>
  <si>
    <t>Compton Junior High</t>
  </si>
  <si>
    <t>Walter Stiern Middle</t>
  </si>
  <si>
    <t>Dr. Martin Luther King, Jr. Elementary</t>
  </si>
  <si>
    <t>Longfellow Elementary</t>
  </si>
  <si>
    <t>Curran Middle</t>
  </si>
  <si>
    <t>Voorhies Elementary</t>
  </si>
  <si>
    <t>Sierra Middle</t>
  </si>
  <si>
    <t>Washington Middle</t>
  </si>
  <si>
    <t>Henry Eissler Elementary</t>
  </si>
  <si>
    <t>Leo G. Pauly Elementary</t>
  </si>
  <si>
    <t>Dr. Juliet Thorner Elementary</t>
  </si>
  <si>
    <t>Myra A. Noble Elementary</t>
  </si>
  <si>
    <t>Emerson Middle</t>
  </si>
  <si>
    <t>Wayside Elementary</t>
  </si>
  <si>
    <t>Colonel Howard Nichols Elementary</t>
  </si>
  <si>
    <t>Ramon Garza Elementary</t>
  </si>
  <si>
    <t>Paul L. Cato Middle</t>
  </si>
  <si>
    <t>Chipman Junior High</t>
  </si>
  <si>
    <t>San Lauren Elementary</t>
  </si>
  <si>
    <t>North Beardsley Elementary</t>
  </si>
  <si>
    <t>Beardsley Junior High</t>
  </si>
  <si>
    <t>Buttonwillow Elementary</t>
  </si>
  <si>
    <t>Piute Mountain Elementary</t>
  </si>
  <si>
    <t>Valley High</t>
  </si>
  <si>
    <t>Delano High</t>
  </si>
  <si>
    <t>Robert F. Kennedy High</t>
  </si>
  <si>
    <t>Cesar E. Chavez High</t>
  </si>
  <si>
    <t>Pioneer</t>
  </si>
  <si>
    <t>Del Vista Math and Science Academy</t>
  </si>
  <si>
    <t>Cecil Avenue Math and Science Academy</t>
  </si>
  <si>
    <t>Nueva Vista Language Academy</t>
  </si>
  <si>
    <t>La Vina Middle</t>
  </si>
  <si>
    <t>Morningside</t>
  </si>
  <si>
    <t>Almond Tree Middle</t>
  </si>
  <si>
    <t>Princeton Street Elementary</t>
  </si>
  <si>
    <t>Terrace Elementary</t>
  </si>
  <si>
    <t>Albany Park Elementary</t>
  </si>
  <si>
    <t>Edison Middle</t>
  </si>
  <si>
    <t>Orangewood Elementary</t>
  </si>
  <si>
    <t>Frazier Mountain High</t>
  </si>
  <si>
    <t>El Tejon Elementary</t>
  </si>
  <si>
    <t>Frazier Park Elementary</t>
  </si>
  <si>
    <t>Fairfax Jr. High</t>
  </si>
  <si>
    <t>Virginia Avenue Elementary</t>
  </si>
  <si>
    <t>Shirley Lane Elementary</t>
  </si>
  <si>
    <t>Zephyr Lane Elementary</t>
  </si>
  <si>
    <t>Discovery Elementary</t>
  </si>
  <si>
    <t>Quailwood Elementary</t>
  </si>
  <si>
    <t>Endeavour Elementary</t>
  </si>
  <si>
    <t>Fruitvale Junior High</t>
  </si>
  <si>
    <t>Greenfield Community</t>
  </si>
  <si>
    <t>Plantation Elementary</t>
  </si>
  <si>
    <t>Raffaello Palla Elementary</t>
  </si>
  <si>
    <t>Horizon Elementary</t>
  </si>
  <si>
    <t>W. A. Kendrick Elementary</t>
  </si>
  <si>
    <t>Planz Elementary</t>
  </si>
  <si>
    <t>Greenfield Middle</t>
  </si>
  <si>
    <t>Leon H. Ollivier Middle</t>
  </si>
  <si>
    <t>McKee Middle</t>
  </si>
  <si>
    <t>Granite Pointe Elementary</t>
  </si>
  <si>
    <t>Kern County Special Education</t>
  </si>
  <si>
    <t>Kern County Juvenile Court</t>
  </si>
  <si>
    <t>Kern County Community</t>
  </si>
  <si>
    <t>Valley Oaks Charter</t>
  </si>
  <si>
    <t>Vista Continuation High</t>
  </si>
  <si>
    <t>Nueva Continuation High</t>
  </si>
  <si>
    <t>Tierra Del Sol Continuation High</t>
  </si>
  <si>
    <t>Vista West Continuation High</t>
  </si>
  <si>
    <t>Kern Valley High</t>
  </si>
  <si>
    <t>Central Valley High (Continuation)</t>
  </si>
  <si>
    <t>Shafter High</t>
  </si>
  <si>
    <t>West High</t>
  </si>
  <si>
    <t>East Bakersfield High</t>
  </si>
  <si>
    <t>Arvin High</t>
  </si>
  <si>
    <t>North High</t>
  </si>
  <si>
    <t>South High</t>
  </si>
  <si>
    <t>Mira Monte High</t>
  </si>
  <si>
    <t>Kern Workforce 2000 Academy</t>
  </si>
  <si>
    <t>Bakersfield High</t>
  </si>
  <si>
    <t>Golden Valley High</t>
  </si>
  <si>
    <t>Highland High</t>
  </si>
  <si>
    <t>Frontier High</t>
  </si>
  <si>
    <t>Centennial High</t>
  </si>
  <si>
    <t>Ridgeview High</t>
  </si>
  <si>
    <t>Stockdale High</t>
  </si>
  <si>
    <t>Kernville Elementary</t>
  </si>
  <si>
    <t>Woodrow Wallace Middle</t>
  </si>
  <si>
    <t>Woodrow W. Wallace Elementary</t>
  </si>
  <si>
    <t>Donald E. Suburu</t>
  </si>
  <si>
    <t>Lakeside</t>
  </si>
  <si>
    <t>Alicante Avenue Elementary</t>
  </si>
  <si>
    <t>Myrtle Avenue Elementary</t>
  </si>
  <si>
    <t>Mountain View Middle</t>
  </si>
  <si>
    <t>Linns Valley-Poso Flat Elementary</t>
  </si>
  <si>
    <t>Lost Hills Elementary</t>
  </si>
  <si>
    <t>A. M. Thomas Middle</t>
  </si>
  <si>
    <t>Maricopa Middle</t>
  </si>
  <si>
    <t>Maricopa Elementary</t>
  </si>
  <si>
    <t>Maricopa High</t>
  </si>
  <si>
    <t>McFarland Independent</t>
  </si>
  <si>
    <t>McFarland High School Early College</t>
  </si>
  <si>
    <t>San Joaquin High (Continuation)</t>
  </si>
  <si>
    <t>Browning Road STEAM Academy</t>
  </si>
  <si>
    <t>McFarland Junior High</t>
  </si>
  <si>
    <t>Kern Avenue Elementary</t>
  </si>
  <si>
    <t>Belridge Elementary</t>
  </si>
  <si>
    <t>Mojave Jr./Sr. High</t>
  </si>
  <si>
    <t>Mojave Elementary</t>
  </si>
  <si>
    <t>California City High</t>
  </si>
  <si>
    <t>California City Middle</t>
  </si>
  <si>
    <t>Robert P. Ulrich Elementary</t>
  </si>
  <si>
    <t>Hacienda Elementary</t>
  </si>
  <si>
    <t>Boron Junior-Senior High</t>
  </si>
  <si>
    <t>Desert Junior-Senior High</t>
  </si>
  <si>
    <t>West Boron Elementary</t>
  </si>
  <si>
    <t>Irving L. Branch Elementary</t>
  </si>
  <si>
    <t>William B. Bimat Elementary</t>
  </si>
  <si>
    <t>Veterans Elementary</t>
  </si>
  <si>
    <t>Norris Middle</t>
  </si>
  <si>
    <t>Olive Drive Elementary</t>
  </si>
  <si>
    <t>Douglas J. Miller Elementary</t>
  </si>
  <si>
    <t>Amy B. Seibert Elementary</t>
  </si>
  <si>
    <t>O. J. Actis Junior High</t>
  </si>
  <si>
    <t>Wayne Van Horn Elementary</t>
  </si>
  <si>
    <t>Laurelglen Elementary</t>
  </si>
  <si>
    <t>Christa McAuliffe Elementary</t>
  </si>
  <si>
    <t>Stockdale Elementary</t>
  </si>
  <si>
    <t>Charles H. Castle Elementary</t>
  </si>
  <si>
    <t>Fred L. Thompson Junior High</t>
  </si>
  <si>
    <t>Louise Sandrini Elementary</t>
  </si>
  <si>
    <t>Stine Elementary</t>
  </si>
  <si>
    <t>Panama Elementary</t>
  </si>
  <si>
    <t>Roy W. Loudon Elementary</t>
  </si>
  <si>
    <t>Leo B. Hart Elementary</t>
  </si>
  <si>
    <t>Tevis Junior High</t>
  </si>
  <si>
    <t>Ronald Reagan Elementary</t>
  </si>
  <si>
    <t>Dolores S. Whitley Elementary</t>
  </si>
  <si>
    <t>Sing Lum Elementary</t>
  </si>
  <si>
    <t>Berkshire Elementary</t>
  </si>
  <si>
    <t>Stonecreek Junior High</t>
  </si>
  <si>
    <t>Earl Warren Junior High</t>
  </si>
  <si>
    <t>Bill L. Williams Elementary</t>
  </si>
  <si>
    <t>Pond Elementary</t>
  </si>
  <si>
    <t>Golden Oak Elementary</t>
  </si>
  <si>
    <t>Richland Junior High</t>
  </si>
  <si>
    <t>Rio Bravo Elementary</t>
  </si>
  <si>
    <t>Rio Bravo-Greeley Elementary</t>
  </si>
  <si>
    <t>Rosedale-North Elementary</t>
  </si>
  <si>
    <t>Almondale Elementary</t>
  </si>
  <si>
    <t>American Elementary</t>
  </si>
  <si>
    <t>Del Rio Elementary</t>
  </si>
  <si>
    <t>Freedom Middle</t>
  </si>
  <si>
    <t>Rosedale Middle</t>
  </si>
  <si>
    <t>Independence Elementary</t>
  </si>
  <si>
    <t>Patriot Elementary</t>
  </si>
  <si>
    <t>Mesquite Continuation High</t>
  </si>
  <si>
    <t>Inyokern Elementary</t>
  </si>
  <si>
    <t>Gateway Elementary</t>
  </si>
  <si>
    <t>James Monroe Middle</t>
  </si>
  <si>
    <t>Las Flores Elementary</t>
  </si>
  <si>
    <t>Burroughs High</t>
  </si>
  <si>
    <t>Pierce Elementary</t>
  </si>
  <si>
    <t>Faller Elementary</t>
  </si>
  <si>
    <t>Murray Middle</t>
  </si>
  <si>
    <t>South Fork Elementary</t>
  </si>
  <si>
    <t>Abraham Lincoln Alternative</t>
  </si>
  <si>
    <t>Rare Earth High (Continuation)</t>
  </si>
  <si>
    <t>Rosamond High Early College Campus</t>
  </si>
  <si>
    <t>Tropico Middle</t>
  </si>
  <si>
    <t>Westpark Elementary</t>
  </si>
  <si>
    <t>Rosamond Elementary</t>
  </si>
  <si>
    <t>Wingland Elementary</t>
  </si>
  <si>
    <t>Standard Middle</t>
  </si>
  <si>
    <t>Taft Primary</t>
  </si>
  <si>
    <t>Lincoln Junior High</t>
  </si>
  <si>
    <t>Conley Elementary</t>
  </si>
  <si>
    <t>Buena Vista High (Continuation)</t>
  </si>
  <si>
    <t>Cummings Valley Elementary</t>
  </si>
  <si>
    <t>Jacobsen Middle</t>
  </si>
  <si>
    <t>Monroe High (Continuation)</t>
  </si>
  <si>
    <t>Tehachapi High</t>
  </si>
  <si>
    <t>Tompkins Elementary</t>
  </si>
  <si>
    <t>Sunset</t>
  </si>
  <si>
    <t>Thomas Jefferson Middle</t>
  </si>
  <si>
    <t>Palm Avenue Middle</t>
  </si>
  <si>
    <t>Teresa Burke Elementary</t>
  </si>
  <si>
    <t>James A. Forrest Elementary</t>
  </si>
  <si>
    <t>John L. Prueitt Elementary</t>
  </si>
  <si>
    <t>Karl F. Clemens Elementary</t>
  </si>
  <si>
    <t>Wasco Independence High</t>
  </si>
  <si>
    <t>Wasco High</t>
  </si>
  <si>
    <t>Crossroads Charter</t>
  </si>
  <si>
    <t>Parkview Middle</t>
  </si>
  <si>
    <t>Armona Elementary</t>
  </si>
  <si>
    <t>Stratford Elementary</t>
  </si>
  <si>
    <t>R. J. Neutra</t>
  </si>
  <si>
    <t>Akers Elementary</t>
  </si>
  <si>
    <t>Mission Community Day</t>
  </si>
  <si>
    <t>Corcoran High</t>
  </si>
  <si>
    <t>Kings Lake Education Center</t>
  </si>
  <si>
    <t>John C. Fremont Elementary</t>
  </si>
  <si>
    <t>Bret Harte Elementary</t>
  </si>
  <si>
    <t>Corcoran Academy</t>
  </si>
  <si>
    <t>Hanford Elementary Community Day</t>
  </si>
  <si>
    <t>Lee Richmond Elementary</t>
  </si>
  <si>
    <t>John F. Kennedy Junior High</t>
  </si>
  <si>
    <t>Joseph M. Simas</t>
  </si>
  <si>
    <t>Woodrow Wilson Junior High</t>
  </si>
  <si>
    <t>Jefferson Academy</t>
  </si>
  <si>
    <t>Hanford Community Day</t>
  </si>
  <si>
    <t>Hanford High</t>
  </si>
  <si>
    <t>Earl F. Johnson High (Continuation)</t>
  </si>
  <si>
    <t>Hanford West High</t>
  </si>
  <si>
    <t>Sierra Pacific High</t>
  </si>
  <si>
    <t>Hanford Online Charter</t>
  </si>
  <si>
    <t>Island Elementary</t>
  </si>
  <si>
    <t>Kings County Special Education</t>
  </si>
  <si>
    <t>J. C. Montgomery</t>
  </si>
  <si>
    <t>Kings River-Hardwick Elementary</t>
  </si>
  <si>
    <t>Kit Carson Elementary</t>
  </si>
  <si>
    <t>Mid Valley Alternative Charter</t>
  </si>
  <si>
    <t>Lakeside Elementary</t>
  </si>
  <si>
    <t>Bridges Academy</t>
  </si>
  <si>
    <t>Lemoore University Elementary Charter</t>
  </si>
  <si>
    <t>Liberty Middle</t>
  </si>
  <si>
    <t>Meadow Lane Elementary</t>
  </si>
  <si>
    <t>Cinnamon Elementary</t>
  </si>
  <si>
    <t>Lemoore Elementary</t>
  </si>
  <si>
    <t>P. W. Engvall Elementary</t>
  </si>
  <si>
    <t>Jamison (Donald C.) High (Continuation)</t>
  </si>
  <si>
    <t>Lemoore High</t>
  </si>
  <si>
    <t>Pioneer Middle</t>
  </si>
  <si>
    <t>Frontier Elementary</t>
  </si>
  <si>
    <t>Adelante High</t>
  </si>
  <si>
    <t>Reef-Sunset Secondary Community Day</t>
  </si>
  <si>
    <t>Kettleman City Elementary</t>
  </si>
  <si>
    <t>Sunrise High (Continuation)</t>
  </si>
  <si>
    <t>Avenal Elementary</t>
  </si>
  <si>
    <t>Avenal High</t>
  </si>
  <si>
    <t>Reef Sunset Middle</t>
  </si>
  <si>
    <t>Tamarack Elementary</t>
  </si>
  <si>
    <t>Reef-Sunset Primary Community Day</t>
  </si>
  <si>
    <t>Ed Donaldson Education Center</t>
  </si>
  <si>
    <t>Riviera Elementary</t>
  </si>
  <si>
    <t>Kelseyville High</t>
  </si>
  <si>
    <t>Mountain Vista Middle</t>
  </si>
  <si>
    <t>Kelseyville Elementary</t>
  </si>
  <si>
    <t>Kelseyville Learning Academy</t>
  </si>
  <si>
    <t>Kelseyville Community Day</t>
  </si>
  <si>
    <t>Blue Heron</t>
  </si>
  <si>
    <t>Lower Lake High</t>
  </si>
  <si>
    <t>Highlands Academy</t>
  </si>
  <si>
    <t>Burns Valley</t>
  </si>
  <si>
    <t>Konocti Education Center</t>
  </si>
  <si>
    <t>Pomo</t>
  </si>
  <si>
    <t>East Lake</t>
  </si>
  <si>
    <t>Richard H. Lewis Alternative</t>
  </si>
  <si>
    <t>Lower Lake Elementary</t>
  </si>
  <si>
    <t>Carle (William C.) High (Continuation)</t>
  </si>
  <si>
    <t>Lloyd Hance Community</t>
  </si>
  <si>
    <t>Clearlake Creativity</t>
  </si>
  <si>
    <t>Renaissance Court</t>
  </si>
  <si>
    <t>Lakeport Community Day</t>
  </si>
  <si>
    <t>Lakeport Elementary</t>
  </si>
  <si>
    <t>Clear Lake High</t>
  </si>
  <si>
    <t>Natural High (Continuation)</t>
  </si>
  <si>
    <t>Terrace Middle</t>
  </si>
  <si>
    <t>Lakeport Alternative (Home School)</t>
  </si>
  <si>
    <t>Middletown High</t>
  </si>
  <si>
    <t>Coyote Valley Elementary</t>
  </si>
  <si>
    <t>Middletown Middle</t>
  </si>
  <si>
    <t>Minnie Cannon Elementary</t>
  </si>
  <si>
    <t>Cobb Mountain Elementary</t>
  </si>
  <si>
    <t>Loconoma Valley High</t>
  </si>
  <si>
    <t>Upper Lake High</t>
  </si>
  <si>
    <t>Upper Lake Elementary</t>
  </si>
  <si>
    <t>Clover Valley High (Continuation)</t>
  </si>
  <si>
    <t>Upper Lake Middle</t>
  </si>
  <si>
    <t>Upper Lake Community Day</t>
  </si>
  <si>
    <t>Big Valley Jr. Sr. High</t>
  </si>
  <si>
    <t>Big Valley Elementary</t>
  </si>
  <si>
    <t>Herlong High</t>
  </si>
  <si>
    <t>Fort Sage Middle</t>
  </si>
  <si>
    <t>Sierra Primary</t>
  </si>
  <si>
    <t>Mt. Lassen Charter</t>
  </si>
  <si>
    <t>Janesville Elementary</t>
  </si>
  <si>
    <t>Lassen County Special Education</t>
  </si>
  <si>
    <t>Lassen Community Day</t>
  </si>
  <si>
    <t>Credence High</t>
  </si>
  <si>
    <t>Lassen High</t>
  </si>
  <si>
    <t>Juniper Ridge Elementary</t>
  </si>
  <si>
    <t>Shaffer Elementary</t>
  </si>
  <si>
    <t>Meadow View</t>
  </si>
  <si>
    <t>Diamond View Middle</t>
  </si>
  <si>
    <t>Fletcher Walker Elementary</t>
  </si>
  <si>
    <t>Westwood High</t>
  </si>
  <si>
    <t>Tracy (Wilbur) High (Continuation)</t>
  </si>
  <si>
    <t>Fedde (Pharis F.) Middle</t>
  </si>
  <si>
    <t>Furgeson (Venn W.) Elementary</t>
  </si>
  <si>
    <t>Hawaiian Elementary</t>
  </si>
  <si>
    <t>Artesia High</t>
  </si>
  <si>
    <t>Melbourne (Ella P.) Elementary</t>
  </si>
  <si>
    <t>Burbank (Luther) Elementary</t>
  </si>
  <si>
    <t>Ross (Faye) Middle</t>
  </si>
  <si>
    <t>Aloha Elementary</t>
  </si>
  <si>
    <t>Gahr (Richard) High</t>
  </si>
  <si>
    <t>Niemes (John H.) Elementary</t>
  </si>
  <si>
    <t>ABC Secondary (Alternative)</t>
  </si>
  <si>
    <t>Tetzlaff (Martin B.) Middle</t>
  </si>
  <si>
    <t>Elliott (William F) Elementary</t>
  </si>
  <si>
    <t>Kennedy (John F.) Elementary</t>
  </si>
  <si>
    <t>Cerritos High</t>
  </si>
  <si>
    <t>Juarez (Benito) Elementary</t>
  </si>
  <si>
    <t>Haskell (Pliny Fisk) Middle</t>
  </si>
  <si>
    <t>Carmenita Middle</t>
  </si>
  <si>
    <t>Palms Elementary</t>
  </si>
  <si>
    <t>Nixon (Patricia) Elementary</t>
  </si>
  <si>
    <t>Willow Elementary</t>
  </si>
  <si>
    <t>Gonsalves (Joe A.) Elementary</t>
  </si>
  <si>
    <t>Whitney (Gretchen) High</t>
  </si>
  <si>
    <t>Bragg Elementary</t>
  </si>
  <si>
    <t>Wittmann (Helen) Elementary</t>
  </si>
  <si>
    <t>Cerritos Elementary</t>
  </si>
  <si>
    <t>Stowers(Cecil B.) Elementary</t>
  </si>
  <si>
    <t>Leal (Frank C.) Elementary</t>
  </si>
  <si>
    <t>Carver (Charles J.) Elementary</t>
  </si>
  <si>
    <t>Vasquez High</t>
  </si>
  <si>
    <t>Meadowlark Elementary</t>
  </si>
  <si>
    <t>High Desert</t>
  </si>
  <si>
    <t>Granada Elementary</t>
  </si>
  <si>
    <t>Alhambra High</t>
  </si>
  <si>
    <t>Mark Keppel High</t>
  </si>
  <si>
    <t>San Gabriel High</t>
  </si>
  <si>
    <t>Emery Park Elementary</t>
  </si>
  <si>
    <t>William Northrup Elementary</t>
  </si>
  <si>
    <t>Ynez Elementary</t>
  </si>
  <si>
    <t>Martha Baldwin Elementary</t>
  </si>
  <si>
    <t>Ramona Elementary</t>
  </si>
  <si>
    <t>Brightwood Elementary</t>
  </si>
  <si>
    <t>Monterey Highlands Elementary</t>
  </si>
  <si>
    <t>Marguerita Elementary</t>
  </si>
  <si>
    <t>Repetto Elementary</t>
  </si>
  <si>
    <t>Independence High (Alternative)</t>
  </si>
  <si>
    <t>Century High</t>
  </si>
  <si>
    <t>Phoenix High Community Day</t>
  </si>
  <si>
    <t>Academies of the Antelope Valley</t>
  </si>
  <si>
    <t>Antelope Valley High</t>
  </si>
  <si>
    <t>Littlerock High</t>
  </si>
  <si>
    <t>Palmdale High</t>
  </si>
  <si>
    <t>Lancaster High</t>
  </si>
  <si>
    <t>Eastside High</t>
  </si>
  <si>
    <t>William J. (Pete) Knight High</t>
  </si>
  <si>
    <t>Quartz Hill High</t>
  </si>
  <si>
    <t>R. Rex Parris High</t>
  </si>
  <si>
    <t>Desert Winds Continuation High</t>
  </si>
  <si>
    <t>SOAR High (Students On Academic Rise)</t>
  </si>
  <si>
    <t>Rancho Learning Center (Alternative)</t>
  </si>
  <si>
    <t>Longley Way Elementary</t>
  </si>
  <si>
    <t>Hugo Reid Elementary</t>
  </si>
  <si>
    <t>Arcadia High</t>
  </si>
  <si>
    <t>Highland Oaks Elementary</t>
  </si>
  <si>
    <t>Holly Avenue Elementary</t>
  </si>
  <si>
    <t>Camino Grove Elementary</t>
  </si>
  <si>
    <t>Baldwin Stocker Elementary</t>
  </si>
  <si>
    <t>Foothills Middle</t>
  </si>
  <si>
    <t>Richard Henry Dana Middle</t>
  </si>
  <si>
    <t>First Avenue Middle</t>
  </si>
  <si>
    <t>Alice M. Ellington Elementary</t>
  </si>
  <si>
    <t>Azusa High</t>
  </si>
  <si>
    <t>Center Middle</t>
  </si>
  <si>
    <t>Charles H. Lee Elementary</t>
  </si>
  <si>
    <t>Clifford D. Murray Elementary</t>
  </si>
  <si>
    <t>Gladstone High</t>
  </si>
  <si>
    <t>Henry Dalton Elementary</t>
  </si>
  <si>
    <t>Longfellow</t>
  </si>
  <si>
    <t>Paramount Elementary</t>
  </si>
  <si>
    <t>Slauson Intermediate</t>
  </si>
  <si>
    <t>Valleydale Elementary</t>
  </si>
  <si>
    <t>Victor F. Hodge Elementary</t>
  </si>
  <si>
    <t>W. R. Powell Elementary</t>
  </si>
  <si>
    <t>North Park Continuation High</t>
  </si>
  <si>
    <t>Elwin Elementary</t>
  </si>
  <si>
    <t>Charles D. Jones Middle</t>
  </si>
  <si>
    <t>BP STEM Academy</t>
  </si>
  <si>
    <t>Charles Bursch Elementary</t>
  </si>
  <si>
    <t>Margaret Heath Elementary</t>
  </si>
  <si>
    <t>Walnut Elementary</t>
  </si>
  <si>
    <t>Ernest R. Geddes Elementary</t>
  </si>
  <si>
    <t>Olive Middle</t>
  </si>
  <si>
    <t>De Anza Elementary</t>
  </si>
  <si>
    <t>Foster Elementary</t>
  </si>
  <si>
    <t>Santa Fe Fundamental</t>
  </si>
  <si>
    <t>Kenmore Elementary</t>
  </si>
  <si>
    <t>Sierra Vista Middle</t>
  </si>
  <si>
    <t>Tracy Elementary</t>
  </si>
  <si>
    <t>Baldwin Park High</t>
  </si>
  <si>
    <t>Sierra Vista High</t>
  </si>
  <si>
    <t>Nueva Vista Continuation High</t>
  </si>
  <si>
    <t>J. E. Van Wig Elementary</t>
  </si>
  <si>
    <t>Sunkist Elementary</t>
  </si>
  <si>
    <t>Don Julian Elementary</t>
  </si>
  <si>
    <t>Torch Middle</t>
  </si>
  <si>
    <t>Edgewood Academy</t>
  </si>
  <si>
    <t>Bassett Senior High</t>
  </si>
  <si>
    <t>Bellflower Alternative Education Center</t>
  </si>
  <si>
    <t>Somerset Continuation High</t>
  </si>
  <si>
    <t>Albert Baxter Elementary</t>
  </si>
  <si>
    <t>Bellflower High</t>
  </si>
  <si>
    <t>Las Flores Home Education Independent Study Academy</t>
  </si>
  <si>
    <t>Frank E. Woodruff Elementary</t>
  </si>
  <si>
    <t>Thomas Jefferson Elementary</t>
  </si>
  <si>
    <t>Mayfair High</t>
  </si>
  <si>
    <t>Ernie Pyle Elementary</t>
  </si>
  <si>
    <t>Intensive Learning Center</t>
  </si>
  <si>
    <t>Esther Lindstrom Elementary</t>
  </si>
  <si>
    <t>Craig Williams Elementary</t>
  </si>
  <si>
    <t>Stephen Foster Elementary</t>
  </si>
  <si>
    <t>Beverly Hills High</t>
  </si>
  <si>
    <t>Beverly Vista Middle</t>
  </si>
  <si>
    <t>Hawthorne Elementary</t>
  </si>
  <si>
    <t>Moreno High (Continuation)</t>
  </si>
  <si>
    <t>El Rodeo Elementary</t>
  </si>
  <si>
    <t>Vista (Alternative)</t>
  </si>
  <si>
    <t>Chaparral High (Continuation)</t>
  </si>
  <si>
    <t>J. Marion Roynon Elementary</t>
  </si>
  <si>
    <t>Fred Ekstrand Elementary</t>
  </si>
  <si>
    <t>La Verne Heights Elementary</t>
  </si>
  <si>
    <t>San Dimas High</t>
  </si>
  <si>
    <t>Allen Avenue Elementary</t>
  </si>
  <si>
    <t>Grace Miller Elementary</t>
  </si>
  <si>
    <t>Bonita High</t>
  </si>
  <si>
    <t>Gladstone Elementary</t>
  </si>
  <si>
    <t>Oak Mesa Elementary</t>
  </si>
  <si>
    <t>Lone Hill Middle</t>
  </si>
  <si>
    <t>Arma J. Shull Elementary</t>
  </si>
  <si>
    <t>Ramona Middle</t>
  </si>
  <si>
    <t>Adult Transition Program</t>
  </si>
  <si>
    <t>Burbank USD Community Day</t>
  </si>
  <si>
    <t>Magnolia Park</t>
  </si>
  <si>
    <t>Monterey High (Continuation)</t>
  </si>
  <si>
    <t>Providencia Elementary</t>
  </si>
  <si>
    <t>William McKinley Elementary</t>
  </si>
  <si>
    <t>Luther Burbank Middle</t>
  </si>
  <si>
    <t>Ralph Emerson Elementary</t>
  </si>
  <si>
    <t>Dolores Huerta Middle</t>
  </si>
  <si>
    <t>R. L. Stevenson Elementary</t>
  </si>
  <si>
    <t>Burbank High</t>
  </si>
  <si>
    <t>Thomas Edison Elementary</t>
  </si>
  <si>
    <t>Burbank Unified Independent Learning Academy (BUILA)</t>
  </si>
  <si>
    <t>California Advancing Pathways for Students in Los Angeles County</t>
  </si>
  <si>
    <t>Castaic Middle</t>
  </si>
  <si>
    <t>Castaic Elementary</t>
  </si>
  <si>
    <t>Northlake Hills Elementary</t>
  </si>
  <si>
    <t>Centinela Valley Independent Study</t>
  </si>
  <si>
    <t>R. K. Lloyde High</t>
  </si>
  <si>
    <t>Hawthorne High</t>
  </si>
  <si>
    <t>Lawndale High</t>
  </si>
  <si>
    <t>Leuzinger High</t>
  </si>
  <si>
    <t>Bridges Community Day</t>
  </si>
  <si>
    <t>Arrow High (Continuation)</t>
  </si>
  <si>
    <t>Glen Oak Elementary</t>
  </si>
  <si>
    <t>Royal Oak Middle</t>
  </si>
  <si>
    <t>Cedargrove Elementary</t>
  </si>
  <si>
    <t>Badillo Elementary</t>
  </si>
  <si>
    <t>Charter Oak High</t>
  </si>
  <si>
    <t>Oak Knoll Alternative</t>
  </si>
  <si>
    <t>Danbury Special Education</t>
  </si>
  <si>
    <t>San Antonio High (Continuation)</t>
  </si>
  <si>
    <t>Vista del Valle Elementary</t>
  </si>
  <si>
    <t>Sumner Elementary</t>
  </si>
  <si>
    <t>Oakmont Elementary</t>
  </si>
  <si>
    <t>Chaparral Elementary</t>
  </si>
  <si>
    <t>Claremont High</t>
  </si>
  <si>
    <t>Condit Elementary</t>
  </si>
  <si>
    <t>Sycamore Elementary</t>
  </si>
  <si>
    <t>El Roble Intermediate</t>
  </si>
  <si>
    <t>Thurgood Marshall</t>
  </si>
  <si>
    <t>Cesar Chavez Continuation High</t>
  </si>
  <si>
    <t>Enterprise Middle</t>
  </si>
  <si>
    <t>Walton Middle</t>
  </si>
  <si>
    <t>Martin Luther King Elementary</t>
  </si>
  <si>
    <t>Compton Early College High</t>
  </si>
  <si>
    <t>Bunche Middle</t>
  </si>
  <si>
    <t>Ronald E. McNair Elementary</t>
  </si>
  <si>
    <t>Whaley Middle</t>
  </si>
  <si>
    <t>Carver Elementary</t>
  </si>
  <si>
    <t>Mayo Elementary</t>
  </si>
  <si>
    <t>Davis Middle</t>
  </si>
  <si>
    <t>Anderson Elementary</t>
  </si>
  <si>
    <t>Ralph Bunche Elementary</t>
  </si>
  <si>
    <t>Bursch Elementary</t>
  </si>
  <si>
    <t>Dickison Elementary</t>
  </si>
  <si>
    <t>Robert F. Kennedy Elementary</t>
  </si>
  <si>
    <t>Rosecrans Elementary</t>
  </si>
  <si>
    <t>Clinton, William Jefferson</t>
  </si>
  <si>
    <t>Compton High</t>
  </si>
  <si>
    <t>Laurel Street Elementary</t>
  </si>
  <si>
    <t>Tibby Elementary</t>
  </si>
  <si>
    <t>Kelly Elementary</t>
  </si>
  <si>
    <t>Dominguez High</t>
  </si>
  <si>
    <t>Willowbrook Middle</t>
  </si>
  <si>
    <t>Compton Community Day High</t>
  </si>
  <si>
    <t>Compton Community Day Middle</t>
  </si>
  <si>
    <t>Compton STEP</t>
  </si>
  <si>
    <t>Fairvalley High (Continuation)</t>
  </si>
  <si>
    <t>Ben Lomond Elementary</t>
  </si>
  <si>
    <t>Grovecenter Elementary</t>
  </si>
  <si>
    <t>Covina High</t>
  </si>
  <si>
    <t>Workman Avenue Elementary</t>
  </si>
  <si>
    <t>Las Palmas Middle</t>
  </si>
  <si>
    <t>Northview High</t>
  </si>
  <si>
    <t>Merwin Elementary</t>
  </si>
  <si>
    <t>Traweek Middle</t>
  </si>
  <si>
    <t>South Hills High</t>
  </si>
  <si>
    <t>Rowland Avenue Elementary</t>
  </si>
  <si>
    <t>Barranca Elementary</t>
  </si>
  <si>
    <t>Mesa Elementary</t>
  </si>
  <si>
    <t>Covina-Valley Learning Options Academy</t>
  </si>
  <si>
    <t>Culver City Unified School District iAcademy</t>
  </si>
  <si>
    <t>Linwood E. Howe Elementary</t>
  </si>
  <si>
    <t>La Ballona Elementary</t>
  </si>
  <si>
    <t>El Rincon Elementary</t>
  </si>
  <si>
    <t>Culver City High</t>
  </si>
  <si>
    <t>Farragut Elementary</t>
  </si>
  <si>
    <t>El Marino Elementary</t>
  </si>
  <si>
    <t>Culver City Middle</t>
  </si>
  <si>
    <t>Culver Park High</t>
  </si>
  <si>
    <t>Columbus (Christopher) High</t>
  </si>
  <si>
    <t>Woodruff Academy</t>
  </si>
  <si>
    <t>Sussman (Edward A.) Middle</t>
  </si>
  <si>
    <t>Warren (Earl) High</t>
  </si>
  <si>
    <t>Unsworth (Edith) Elementary</t>
  </si>
  <si>
    <t>Stauffer (Mary R.) Middle</t>
  </si>
  <si>
    <t>Griffiths (Gordon) Middle</t>
  </si>
  <si>
    <t>Doty (Wendy Lopour) Middle</t>
  </si>
  <si>
    <t>Price (Maude) Elementary</t>
  </si>
  <si>
    <t>Downey High</t>
  </si>
  <si>
    <t>Rio San Gabriel Elementary</t>
  </si>
  <si>
    <t>Rio Hondo Elementary</t>
  </si>
  <si>
    <t>Carpenter (C. C.) Elementary</t>
  </si>
  <si>
    <t>Imperial Elementary</t>
  </si>
  <si>
    <t>Williams (Spencer V.) Elementary</t>
  </si>
  <si>
    <t>Gallatin Elementary</t>
  </si>
  <si>
    <t>Gauldin (A.L.) Elementary</t>
  </si>
  <si>
    <t>Lewis (Ed C.) Elementary</t>
  </si>
  <si>
    <t>Ward (E. W.) Elementary</t>
  </si>
  <si>
    <t>Alameda Elementary</t>
  </si>
  <si>
    <t>Mt. Olive Innovation and Technology High</t>
  </si>
  <si>
    <t>Duarte High</t>
  </si>
  <si>
    <t>Andres Duarte Arts Academy (PK-8)</t>
  </si>
  <si>
    <t>Beardslee Dual Language Immersion Academy (PK-8)</t>
  </si>
  <si>
    <t>Valley View Academy of Technology and Creative Learning (TK-6)</t>
  </si>
  <si>
    <t>Maxwell Academy (PK-8)</t>
  </si>
  <si>
    <t>Royal Oaks STEAM Academy (K-8)</t>
  </si>
  <si>
    <t>Hillview Middle</t>
  </si>
  <si>
    <t>Leffingwell Elementary</t>
  </si>
  <si>
    <t>La Colima Elementary</t>
  </si>
  <si>
    <t>Orchard Dale Elementary</t>
  </si>
  <si>
    <t>Scott Avenue Elementary</t>
  </si>
  <si>
    <t>Ceres Elementary</t>
  </si>
  <si>
    <t>Granada Middle</t>
  </si>
  <si>
    <t>Murphy Ranch Elementary</t>
  </si>
  <si>
    <t>East Whittier Middle</t>
  </si>
  <si>
    <t>Eastside Academy/Transitional Learning Center</t>
  </si>
  <si>
    <t>Gifford C. Cole Middle</t>
  </si>
  <si>
    <t>Tierra Bonita Elementary</t>
  </si>
  <si>
    <t>Eastside Elementary</t>
  </si>
  <si>
    <t>Gidley Elementary</t>
  </si>
  <si>
    <t>Cherrylee Elementary</t>
  </si>
  <si>
    <t>Cortada Elementary</t>
  </si>
  <si>
    <t>Wilkerson Elementary</t>
  </si>
  <si>
    <t>New Lexington Elementary</t>
  </si>
  <si>
    <t>Durfee Elementary</t>
  </si>
  <si>
    <t>Shirpser Elementary</t>
  </si>
  <si>
    <t>Cleminson Elementary</t>
  </si>
  <si>
    <t>Potrero Elementary</t>
  </si>
  <si>
    <t>Legore Elementary</t>
  </si>
  <si>
    <t>Thompson Elementary</t>
  </si>
  <si>
    <t>El Monte Union High School Community Day</t>
  </si>
  <si>
    <t>Fernando R. Ledesma Continuation High</t>
  </si>
  <si>
    <t>Mountain View High</t>
  </si>
  <si>
    <t>South El Monte High</t>
  </si>
  <si>
    <t>El Monte High</t>
  </si>
  <si>
    <t>Rosemead High</t>
  </si>
  <si>
    <t>Valencia Academy of the Arts</t>
  </si>
  <si>
    <t>Magee Academy of Arts &amp; Sciences</t>
  </si>
  <si>
    <t>South Ranchito Dual Language Academy</t>
  </si>
  <si>
    <t>Birney Tech Academy</t>
  </si>
  <si>
    <t>Rivera Elementary</t>
  </si>
  <si>
    <t>North Ranchito Elementary</t>
  </si>
  <si>
    <t>Ruben Salazar Continuation</t>
  </si>
  <si>
    <t>El Rancho High</t>
  </si>
  <si>
    <t>Rivera Middle</t>
  </si>
  <si>
    <t>North Park Academy of the Arts</t>
  </si>
  <si>
    <t>Ellen Ochoa Prep Academy</t>
  </si>
  <si>
    <t>STEAM Academy @ Burke</t>
  </si>
  <si>
    <t>Arena High (Continuation)</t>
  </si>
  <si>
    <t>Richmond Street Elementary</t>
  </si>
  <si>
    <t>El Segundo Middle</t>
  </si>
  <si>
    <t>Center Street Elementary</t>
  </si>
  <si>
    <t>El Segundo High</t>
  </si>
  <si>
    <t>Rice (Eldridge) Elementary</t>
  </si>
  <si>
    <t>Temple (Roger W.) Intermediate</t>
  </si>
  <si>
    <t>Willard (Frances E.) Elementary</t>
  </si>
  <si>
    <t>Duff Language Magnet Academy</t>
  </si>
  <si>
    <t>Garvey (Richard) Intermediate</t>
  </si>
  <si>
    <t>Sanchez (George I.) Elementary</t>
  </si>
  <si>
    <t>Hillcrest Elementary</t>
  </si>
  <si>
    <t>Dewey Avenue Elementary</t>
  </si>
  <si>
    <t>Bitely (Arlene) Elementary</t>
  </si>
  <si>
    <t>Emerson (Ralph Waldo) Elementary</t>
  </si>
  <si>
    <t>Monterey Vista Elementary</t>
  </si>
  <si>
    <t>Jewel City Community Day</t>
  </si>
  <si>
    <t>College View</t>
  </si>
  <si>
    <t>Daily (Allan F.) High (Continuation)</t>
  </si>
  <si>
    <t>John Marshall Elementary</t>
  </si>
  <si>
    <t>Theodore Roosevelt Middle</t>
  </si>
  <si>
    <t>Columbus Elementary</t>
  </si>
  <si>
    <t>Glenoaks Elementary</t>
  </si>
  <si>
    <t>Crescenta Valley High</t>
  </si>
  <si>
    <t>Abraham Lincoln Elementary</t>
  </si>
  <si>
    <t>Glendale High</t>
  </si>
  <si>
    <t>Eleanor J. Toll Middle</t>
  </si>
  <si>
    <t>Mountain Avenue Elementary</t>
  </si>
  <si>
    <t>Verdugo Woodlands Elementary</t>
  </si>
  <si>
    <t>Woodrow Wilson Middle</t>
  </si>
  <si>
    <t>Dunsmore Elementary</t>
  </si>
  <si>
    <t>La Crescenta Elementary</t>
  </si>
  <si>
    <t>Anderson W. Clark Magnet High</t>
  </si>
  <si>
    <t>R. D. White Elementary</t>
  </si>
  <si>
    <t>Rosemont Middle</t>
  </si>
  <si>
    <t>Mark Keppel Elementary</t>
  </si>
  <si>
    <t>Balboa Elementary</t>
  </si>
  <si>
    <t>Benjamin Franklin Elementary</t>
  </si>
  <si>
    <t>Monte Vista Elementary</t>
  </si>
  <si>
    <t>Verdugo Academy</t>
  </si>
  <si>
    <t>Whitcomb Continuation High</t>
  </si>
  <si>
    <t>Williams Educational Center</t>
  </si>
  <si>
    <t>Sutherland Elementary</t>
  </si>
  <si>
    <t>Sellers Elementary</t>
  </si>
  <si>
    <t>Cullen Elementary</t>
  </si>
  <si>
    <t>Goddard Middle</t>
  </si>
  <si>
    <t>Glendora High</t>
  </si>
  <si>
    <t>Sandburg Middle</t>
  </si>
  <si>
    <t>La Fetra Elementary</t>
  </si>
  <si>
    <t>Gorman Elementary</t>
  </si>
  <si>
    <t>Valley Community Day</t>
  </si>
  <si>
    <t>Palm Canyon</t>
  </si>
  <si>
    <t>Puente Hills High</t>
  </si>
  <si>
    <t>Valley Alternative High (Continuation)</t>
  </si>
  <si>
    <t>William Workman High</t>
  </si>
  <si>
    <t>La Puente High</t>
  </si>
  <si>
    <t>Orange Grove Middle</t>
  </si>
  <si>
    <t>Temple Academy</t>
  </si>
  <si>
    <t>California Elementary</t>
  </si>
  <si>
    <t>Lassalette</t>
  </si>
  <si>
    <t>Grandview, College Preparatory Academy</t>
  </si>
  <si>
    <t>Valinda School of Academics</t>
  </si>
  <si>
    <t>Bixby Elementary</t>
  </si>
  <si>
    <t>Cedarlane Academy</t>
  </si>
  <si>
    <t>Workman Elementary</t>
  </si>
  <si>
    <t>Wing Lane Elementary</t>
  </si>
  <si>
    <t>Glen A. Wilson High</t>
  </si>
  <si>
    <t>Del Valle Elementary</t>
  </si>
  <si>
    <t>Sparks Middle</t>
  </si>
  <si>
    <t>Los Robles Academy</t>
  </si>
  <si>
    <t>Palm Elementary</t>
  </si>
  <si>
    <t>Los Altos High</t>
  </si>
  <si>
    <t>Baldwin Academy</t>
  </si>
  <si>
    <t>Fairgrove Academy</t>
  </si>
  <si>
    <t>Kwis Elementary</t>
  </si>
  <si>
    <t>Sparks Elementary</t>
  </si>
  <si>
    <t>Newton Middle</t>
  </si>
  <si>
    <t>Mesa Robles</t>
  </si>
  <si>
    <t>Grazide Elementary</t>
  </si>
  <si>
    <t>Los Molinos Elementary</t>
  </si>
  <si>
    <t>Wedgeworth Elementary</t>
  </si>
  <si>
    <t>York</t>
  </si>
  <si>
    <t>Washington</t>
  </si>
  <si>
    <t>Prairie Vista Middle</t>
  </si>
  <si>
    <t>Jefferson</t>
  </si>
  <si>
    <t>Eucalyptus</t>
  </si>
  <si>
    <t>Kornblum</t>
  </si>
  <si>
    <t>Bud Carson Middle</t>
  </si>
  <si>
    <t>Hawthorne Middle</t>
  </si>
  <si>
    <t>Ramona</t>
  </si>
  <si>
    <t>Zela Davis</t>
  </si>
  <si>
    <t>Hawthorne Math and Science Academy</t>
  </si>
  <si>
    <t>Hermosa View Elementary</t>
  </si>
  <si>
    <t>Hermosa Valley Elementary</t>
  </si>
  <si>
    <t>Hughes-Elizabeth Lakes</t>
  </si>
  <si>
    <t>Inglewood Continuation High</t>
  </si>
  <si>
    <t>Warren Lane TK-6 Elementary</t>
  </si>
  <si>
    <t>City Honors International Preparatory High</t>
  </si>
  <si>
    <t>Crozier (George W.) Middle</t>
  </si>
  <si>
    <t>Hudnall (Claude) Elementary</t>
  </si>
  <si>
    <t>Worthington TK-6 Elementary</t>
  </si>
  <si>
    <t>Kelso (William H.) Elementary</t>
  </si>
  <si>
    <t>Frank D. Parent TK-8</t>
  </si>
  <si>
    <t>Bennett/Kew P-8 Leadership Academy of Excellence</t>
  </si>
  <si>
    <t>Oak Street Elementary</t>
  </si>
  <si>
    <t>Centinela TK-8 Elementary</t>
  </si>
  <si>
    <t>Morningside High</t>
  </si>
  <si>
    <t>Beulah Payne P-8 STEAM Academy</t>
  </si>
  <si>
    <t>Woodworth-Monroe TK-8 Academy</t>
  </si>
  <si>
    <t>La Tijera K-8 Academy of Excellence Charter</t>
  </si>
  <si>
    <t>Inglewood High</t>
  </si>
  <si>
    <t>Keppel Academy</t>
  </si>
  <si>
    <t>Pearblossom Elementary</t>
  </si>
  <si>
    <t>Daisy Gibson Elementary</t>
  </si>
  <si>
    <t>Lake Los Angeles Elementary</t>
  </si>
  <si>
    <t>Alpine Elementary</t>
  </si>
  <si>
    <t>Desert View Community Day</t>
  </si>
  <si>
    <t>Palm Crest Elementary</t>
  </si>
  <si>
    <t>La Canada Elementary</t>
  </si>
  <si>
    <t>La Canada High</t>
  </si>
  <si>
    <t>Paradise Canyon Elementary</t>
  </si>
  <si>
    <t>Lancaster Alternative and Virtual Academies</t>
  </si>
  <si>
    <t>El Dorado Elementary</t>
  </si>
  <si>
    <t>RISE</t>
  </si>
  <si>
    <t>Piute Middle</t>
  </si>
  <si>
    <t>Joshua Elementary</t>
  </si>
  <si>
    <t>Fulton and Alsbury Academy of Arts and Engineering</t>
  </si>
  <si>
    <t>Endeavour Middle</t>
  </si>
  <si>
    <t>West Wind Elementary</t>
  </si>
  <si>
    <t>Discovery</t>
  </si>
  <si>
    <t>John and Jacquelyn Miller Elementary</t>
  </si>
  <si>
    <t>Desert View Elementary</t>
  </si>
  <si>
    <t>Jack Northrop Elementary</t>
  </si>
  <si>
    <t>Amargosa Creek Middle</t>
  </si>
  <si>
    <t>Linda Verde Elementary</t>
  </si>
  <si>
    <t>New Vista Middle</t>
  </si>
  <si>
    <t>Nancy Cory Elementary</t>
  </si>
  <si>
    <t>Sunnydale Elementary</t>
  </si>
  <si>
    <t>Mariposa Elementary</t>
  </si>
  <si>
    <t>Sumac Elementary</t>
  </si>
  <si>
    <t>Agoura High</t>
  </si>
  <si>
    <t>Mariposa School of Global Education</t>
  </si>
  <si>
    <t>White Oak Elementary</t>
  </si>
  <si>
    <t>Lupin Hill Elementary</t>
  </si>
  <si>
    <t>Alice C. Stelle Middle</t>
  </si>
  <si>
    <t>Bay Laurel Elementary</t>
  </si>
  <si>
    <t>Calabasas High</t>
  </si>
  <si>
    <t>Lindero Canyon Middle</t>
  </si>
  <si>
    <t>Round Meadow Elementary</t>
  </si>
  <si>
    <t>Yerba Buena Elementary</t>
  </si>
  <si>
    <t>Arthur E. Wright Middle</t>
  </si>
  <si>
    <t>Indian Hills Continuation High</t>
  </si>
  <si>
    <t>F. D. Roosevelt Elementary</t>
  </si>
  <si>
    <t>Billy Mitchell Elementary</t>
  </si>
  <si>
    <t>William Anderson Elementary</t>
  </si>
  <si>
    <t>Lucille J. Smith Elementary</t>
  </si>
  <si>
    <t>William Green Elementary</t>
  </si>
  <si>
    <t>Will Rogers Middle</t>
  </si>
  <si>
    <t>Jane Addams Middle</t>
  </si>
  <si>
    <t>Buford Elementary</t>
  </si>
  <si>
    <t>Dolores Huerta Elementary</t>
  </si>
  <si>
    <t>Felton Elementary</t>
  </si>
  <si>
    <t>Lennox Middle</t>
  </si>
  <si>
    <t>Moffett Elementary</t>
  </si>
  <si>
    <t>Lennox Virtual Academy</t>
  </si>
  <si>
    <t>Jersey Avenue Elementary</t>
  </si>
  <si>
    <t>Lakeside Middle</t>
  </si>
  <si>
    <t>Cresson Elementary</t>
  </si>
  <si>
    <t>Lake Center Middle</t>
  </si>
  <si>
    <t>Paddison Elementary</t>
  </si>
  <si>
    <t>Lakeland Elementary</t>
  </si>
  <si>
    <t>William W. Orr Elementary</t>
  </si>
  <si>
    <t>Studebaker Elementary</t>
  </si>
  <si>
    <t>Beach K-12 Independent Study</t>
  </si>
  <si>
    <t>Avalon K-12</t>
  </si>
  <si>
    <t>Reid High</t>
  </si>
  <si>
    <t>Chavez Elementary</t>
  </si>
  <si>
    <t>Bryant Elementary</t>
  </si>
  <si>
    <t>Cabrillo High</t>
  </si>
  <si>
    <t>Kettering Elementary</t>
  </si>
  <si>
    <t>Jordan High</t>
  </si>
  <si>
    <t>Mann Elementary</t>
  </si>
  <si>
    <t>Holmes Elementary</t>
  </si>
  <si>
    <t>Barton Elementary</t>
  </si>
  <si>
    <t>Riley Elementary</t>
  </si>
  <si>
    <t>Lindbergh STEM Academy</t>
  </si>
  <si>
    <t>Emerson Parkside Academy</t>
  </si>
  <si>
    <t>Hudson</t>
  </si>
  <si>
    <t>Hoover Middle</t>
  </si>
  <si>
    <t>Jenny Oropeza Elementary</t>
  </si>
  <si>
    <t>Gompers</t>
  </si>
  <si>
    <t>Renaissance High School for the Arts</t>
  </si>
  <si>
    <t>Hamilton Middle</t>
  </si>
  <si>
    <t>Newcomb Academy</t>
  </si>
  <si>
    <t>Stephens Middle</t>
  </si>
  <si>
    <t>Cubberley K-8</t>
  </si>
  <si>
    <t>Twain Elementary</t>
  </si>
  <si>
    <t>Bobbie Smith Elementary</t>
  </si>
  <si>
    <t>Stevenson Elementary</t>
  </si>
  <si>
    <t>Gant Elementary</t>
  </si>
  <si>
    <t>Signal Hill Elementary</t>
  </si>
  <si>
    <t>Lindsey Academy</t>
  </si>
  <si>
    <t>Prisk Elementary</t>
  </si>
  <si>
    <t>Richard D. Browning High</t>
  </si>
  <si>
    <t>Lakewood High</t>
  </si>
  <si>
    <t>Burcham Elementary</t>
  </si>
  <si>
    <t>Whittier Elementary</t>
  </si>
  <si>
    <t>Polytechnic High</t>
  </si>
  <si>
    <t>Dooley Elementary</t>
  </si>
  <si>
    <t>MacArthur Elementary</t>
  </si>
  <si>
    <t>Millikan High</t>
  </si>
  <si>
    <t>Jessie Nelson Academy</t>
  </si>
  <si>
    <t>Marshall Academy of the Arts</t>
  </si>
  <si>
    <t>Franklin Classical Middle</t>
  </si>
  <si>
    <t>Willard Elementary</t>
  </si>
  <si>
    <t>Harte Elementary</t>
  </si>
  <si>
    <t>Naples Elementary</t>
  </si>
  <si>
    <t>Muir K-8</t>
  </si>
  <si>
    <t>Rogers Middle</t>
  </si>
  <si>
    <t>Ernest S. McBride, Sr. High</t>
  </si>
  <si>
    <t>Tincher Preparatory</t>
  </si>
  <si>
    <t>Jefferson Leadership Academies</t>
  </si>
  <si>
    <t>Olivia Nieto Herrera Elementary</t>
  </si>
  <si>
    <t>Powell Academy for Success</t>
  </si>
  <si>
    <t>California Academy of Mathematics and Science</t>
  </si>
  <si>
    <t>Robinson Academy</t>
  </si>
  <si>
    <t>Wilson High</t>
  </si>
  <si>
    <t>Stanford Middle</t>
  </si>
  <si>
    <t>Educational Partnership High</t>
  </si>
  <si>
    <t>Hughes Middle</t>
  </si>
  <si>
    <t>Helen Keller Middle</t>
  </si>
  <si>
    <t>Eunice Sato Academy of Math &amp; Science</t>
  </si>
  <si>
    <t>Los Cerritos Elementary</t>
  </si>
  <si>
    <t>Henry</t>
  </si>
  <si>
    <t>Select Community Day (Secondary)</t>
  </si>
  <si>
    <t>Road to Success Academy at Campus Kilpatrick</t>
  </si>
  <si>
    <t>Rockey, Glenn Camp</t>
  </si>
  <si>
    <t>Nidorf, Barry J.</t>
  </si>
  <si>
    <t>Afflerbaugh-Paige Camp</t>
  </si>
  <si>
    <t>Kirby, Dorothy Camp</t>
  </si>
  <si>
    <t>Central Juvenile Hall</t>
  </si>
  <si>
    <t>Renaissance County Community</t>
  </si>
  <si>
    <t>L.A. County High School for the Arts</t>
  </si>
  <si>
    <t>International Polytechnic High</t>
  </si>
  <si>
    <t>CDS Elementary</t>
  </si>
  <si>
    <t>CDS Secondary</t>
  </si>
  <si>
    <t>Sven Lokrantz Special Education Center</t>
  </si>
  <si>
    <t>Ramona Opportunity High</t>
  </si>
  <si>
    <t>Sophia T. Salvin Special Education Center</t>
  </si>
  <si>
    <t>Charles Leroy Lowman Special Education and Career Transition Center</t>
  </si>
  <si>
    <t>West Hollywood Opportunity</t>
  </si>
  <si>
    <t>Benjamin Banneker Career and Transition Center</t>
  </si>
  <si>
    <t>Ernest P. Willenberg Special Education Center</t>
  </si>
  <si>
    <t>Joaquin Miller Career and Transition Center</t>
  </si>
  <si>
    <t>Alfonso B. Perez Special Education Center</t>
  </si>
  <si>
    <t>Marlton</t>
  </si>
  <si>
    <t>Joseph Pomeroy Widney Career Preparatory and Transition Center</t>
  </si>
  <si>
    <t>Diane S. Leichman Career Preparatory and Transition Center</t>
  </si>
  <si>
    <t>James J. McBride Special Education Center</t>
  </si>
  <si>
    <t>Ellington (Duke) High (Continuation)</t>
  </si>
  <si>
    <t>Mt. Lukens Continuation</t>
  </si>
  <si>
    <t>Wilshire Crest Elementary</t>
  </si>
  <si>
    <t>View Park Continuation</t>
  </si>
  <si>
    <t>Thomas Riley High</t>
  </si>
  <si>
    <t>Berenece Carlson Home Hospital</t>
  </si>
  <si>
    <t>Metropolitan Continuation</t>
  </si>
  <si>
    <t>Whitney Young Continuation</t>
  </si>
  <si>
    <t>Selma Avenue Elementary</t>
  </si>
  <si>
    <t>Mariposa-Nabi Primary Center</t>
  </si>
  <si>
    <t>Lafayette Park Primary Center</t>
  </si>
  <si>
    <t>Ann Street Elementary</t>
  </si>
  <si>
    <t>Garza (Carmen Lomas) Primary Center</t>
  </si>
  <si>
    <t>Olympic Primary Center</t>
  </si>
  <si>
    <t>Van Ness Avenue Elementary</t>
  </si>
  <si>
    <t>Coliseum Street Elementary</t>
  </si>
  <si>
    <t>Aggeler Community Day</t>
  </si>
  <si>
    <t>Pacific Boulevard</t>
  </si>
  <si>
    <t>Avalon Gardens Elementary</t>
  </si>
  <si>
    <t>Mayberry Street Elementary</t>
  </si>
  <si>
    <t>Richard Riordan Primary Center</t>
  </si>
  <si>
    <t>Brainard Elementary</t>
  </si>
  <si>
    <t>Annandale Elementary</t>
  </si>
  <si>
    <t>Bridge Street Elementary</t>
  </si>
  <si>
    <t>Dan M. Issacs Avalon High</t>
  </si>
  <si>
    <t>Lake Street Primary</t>
  </si>
  <si>
    <t>William J. Johnston Community Day</t>
  </si>
  <si>
    <t>Evergreen Continuation</t>
  </si>
  <si>
    <t>Utah Street Elementary</t>
  </si>
  <si>
    <t>Dorothy V. Johnson Community Day</t>
  </si>
  <si>
    <t>Maple Primary Center</t>
  </si>
  <si>
    <t>Tom Bradley Global Awareness Magnet</t>
  </si>
  <si>
    <t>Boys Academic Leadership Academy</t>
  </si>
  <si>
    <t>Stanford Primary Center</t>
  </si>
  <si>
    <t>Soto Street Elementary</t>
  </si>
  <si>
    <t>Albion Street Elementary</t>
  </si>
  <si>
    <t>Manhattan Place Elementary</t>
  </si>
  <si>
    <t>Hooper Avenue Primary Center</t>
  </si>
  <si>
    <t>Lexington Avenue Primary Center</t>
  </si>
  <si>
    <t>Hollywood Elementary</t>
  </si>
  <si>
    <t>Daniel Webster Middle</t>
  </si>
  <si>
    <t>Holmes Avenue Elementary</t>
  </si>
  <si>
    <t>Samuel Gompers Middle</t>
  </si>
  <si>
    <t>Moneta Continuation</t>
  </si>
  <si>
    <t>Vinedale College Preparatory Academy</t>
  </si>
  <si>
    <t>Blythe Street Elementary</t>
  </si>
  <si>
    <t>Glenwood Elementary</t>
  </si>
  <si>
    <t>Forty-Second Street Elementary</t>
  </si>
  <si>
    <t>Glen Alta Elementary</t>
  </si>
  <si>
    <t>Charles Maclay Middle</t>
  </si>
  <si>
    <t>Harold McAlister High (Opportunity)</t>
  </si>
  <si>
    <t>Crenshaw Science, Technology, Engineering, Math and Medicine Magnet</t>
  </si>
  <si>
    <t>William Tell Aggeler Opportunity High</t>
  </si>
  <si>
    <t>Monterey Continuation</t>
  </si>
  <si>
    <t>Phoenix Continuation</t>
  </si>
  <si>
    <t>Century Park Elementary</t>
  </si>
  <si>
    <t>Bret Harte Preparatory Middle</t>
  </si>
  <si>
    <t>George S. Patton Continuation</t>
  </si>
  <si>
    <t>Cheviot Hills Continuation</t>
  </si>
  <si>
    <t>Dr. James Edward Jones Primary Center</t>
  </si>
  <si>
    <t>One Hundred Twelfth Street Elementary</t>
  </si>
  <si>
    <t>Huntington Drive Elementary</t>
  </si>
  <si>
    <t>Marina del Rey Middle</t>
  </si>
  <si>
    <t>Clifford Math &amp; Technology Magnet</t>
  </si>
  <si>
    <t>Leapwood Avenue Elementary</t>
  </si>
  <si>
    <t>Normont Elementary</t>
  </si>
  <si>
    <t>Pinewood Avenue Elementary</t>
  </si>
  <si>
    <t>Audubon Middle</t>
  </si>
  <si>
    <t>Fourth Street Primary Center</t>
  </si>
  <si>
    <t>Bushnell Way Elementary</t>
  </si>
  <si>
    <t>George Washington Preparatory High</t>
  </si>
  <si>
    <t>Saturn Street Elementary</t>
  </si>
  <si>
    <t>Vine Street Elementary</t>
  </si>
  <si>
    <t>Rosemont Avenue Elementary</t>
  </si>
  <si>
    <t>Valley Oaks Center for Enriched Studies</t>
  </si>
  <si>
    <t>Hillery T. Broadous Elementary</t>
  </si>
  <si>
    <t>John Hope Continuation</t>
  </si>
  <si>
    <t>Amanecer Primary Center</t>
  </si>
  <si>
    <t>Hilda L. Solis Learning Academy School of Technology, Business and Education</t>
  </si>
  <si>
    <t>Dayton Heights Elementary</t>
  </si>
  <si>
    <t>Brentwood Science</t>
  </si>
  <si>
    <t>Garvanza Elementary</t>
  </si>
  <si>
    <t>Amelia Earhart Continuation</t>
  </si>
  <si>
    <t>Harris Newmark Continuation</t>
  </si>
  <si>
    <t>Vernon City Elementary</t>
  </si>
  <si>
    <t>Second Street Elementary</t>
  </si>
  <si>
    <t>Breed Street Elementary</t>
  </si>
  <si>
    <t>Henry David Thoreau Continuation</t>
  </si>
  <si>
    <t>Barack Obama Global Preparation Academy</t>
  </si>
  <si>
    <t>Cabrillo Avenue Elementary</t>
  </si>
  <si>
    <t>Glenfeliz Boulevard Elementary</t>
  </si>
  <si>
    <t>Gledhill Street Elementary</t>
  </si>
  <si>
    <t>Glassell Park ES Science, Technology, Engineering, Arts and Math Magnet</t>
  </si>
  <si>
    <t>Boyle Heights Continuation</t>
  </si>
  <si>
    <t>Richard A. Alonzo Community Day</t>
  </si>
  <si>
    <t>Burton Street Elementary</t>
  </si>
  <si>
    <t>Fletcher Drive Elementary</t>
  </si>
  <si>
    <t>Robert H. Lewis Continuation</t>
  </si>
  <si>
    <t>Esteban Torres East LA Performing Arts Magnet</t>
  </si>
  <si>
    <t>Logan Academy of Global Ecology</t>
  </si>
  <si>
    <t>Latona Avenue Elementary</t>
  </si>
  <si>
    <t>Youth Opportunities Unlimited</t>
  </si>
  <si>
    <t>Ninth Street Elementary</t>
  </si>
  <si>
    <t>East Valley Senior High</t>
  </si>
  <si>
    <t>Murchison Street Elementary</t>
  </si>
  <si>
    <t>Crescent Heights Boulevard Elementary</t>
  </si>
  <si>
    <t>Shenandoah Street Elementary</t>
  </si>
  <si>
    <t>Whitman Continuation</t>
  </si>
  <si>
    <t>Glenn Hammond Curtiss Middle</t>
  </si>
  <si>
    <t>Johnnie Cochran, Jr., Middle</t>
  </si>
  <si>
    <t>Sunrise Elementary</t>
  </si>
  <si>
    <t>Monte Vista Street Elementary</t>
  </si>
  <si>
    <t>Hamlin Charter Academy</t>
  </si>
  <si>
    <t>Bandini Street Elementary</t>
  </si>
  <si>
    <t>Walgrove Avenue Elementary</t>
  </si>
  <si>
    <t>Fifty-Ninth Street Elementary</t>
  </si>
  <si>
    <t>John R. Wooden High</t>
  </si>
  <si>
    <t>Augustus F. Hawkins High A Critical Design and Gaming</t>
  </si>
  <si>
    <t>One Hundred Fifty-Third Street</t>
  </si>
  <si>
    <t>One Hundred Ninth Street Elementary</t>
  </si>
  <si>
    <t>Jack London Community Day</t>
  </si>
  <si>
    <t>University Pathways Medical Magnet Academy</t>
  </si>
  <si>
    <t>Aragon Avenue Elementary</t>
  </si>
  <si>
    <t>Boyle Heights Science, Technology, Engineering and Math Magnet</t>
  </si>
  <si>
    <t>YES Academy</t>
  </si>
  <si>
    <t>Helen Bernstein High</t>
  </si>
  <si>
    <t>Trinity Street Elementary</t>
  </si>
  <si>
    <t>Danny J. Bakewell, Sr., Primary Center</t>
  </si>
  <si>
    <t>Edward R. Roybal Learning Center</t>
  </si>
  <si>
    <t>Marianna Avenue Elementary</t>
  </si>
  <si>
    <t>Loyola Village Fine And Performing Arts Magnet</t>
  </si>
  <si>
    <t>Belmont Senior High</t>
  </si>
  <si>
    <t>Brockton Avenue Elementary</t>
  </si>
  <si>
    <t>Harrison Street Elementary</t>
  </si>
  <si>
    <t>Charnock Road Elementary</t>
  </si>
  <si>
    <t>Plainview Academic Charter Academy</t>
  </si>
  <si>
    <t>Christopher Dena Elementary</t>
  </si>
  <si>
    <t>Arminta Street Elementary</t>
  </si>
  <si>
    <t>Eagle Tree Continuation</t>
  </si>
  <si>
    <t>Farmdale Elementary</t>
  </si>
  <si>
    <t>School of Business and Tourism at Contreras Learning Complex</t>
  </si>
  <si>
    <t>Bertrand Avenue Elementary</t>
  </si>
  <si>
    <t>President Avenue Elementary</t>
  </si>
  <si>
    <t>Simon Rodia Continuation</t>
  </si>
  <si>
    <t>Albert Einstein Continuation</t>
  </si>
  <si>
    <t>Paseo del Rey Fundamental</t>
  </si>
  <si>
    <t>Highland Park Continuation</t>
  </si>
  <si>
    <t>Compton Avenue Elementary</t>
  </si>
  <si>
    <t>Barton Hill Elementary</t>
  </si>
  <si>
    <t>Lankershim Elementary</t>
  </si>
  <si>
    <t>Hillcrest Drive Elementary</t>
  </si>
  <si>
    <t>Mervyn M. Dymally High</t>
  </si>
  <si>
    <t>Wilton Place Elementary</t>
  </si>
  <si>
    <t>Nevada Avenue Elementary</t>
  </si>
  <si>
    <t>Orville Wright Engineering and Design Magnet</t>
  </si>
  <si>
    <t>Virginia Road Elementary</t>
  </si>
  <si>
    <t>Pio Pico Middle</t>
  </si>
  <si>
    <t>Annalee Avenue Elementary</t>
  </si>
  <si>
    <t>Fishburn Avenue Elementary</t>
  </si>
  <si>
    <t>Richland Avenue Elementary</t>
  </si>
  <si>
    <t>Angeles Mesa Elementary</t>
  </si>
  <si>
    <t>Berendo Middle</t>
  </si>
  <si>
    <t>Napa Street Elementary</t>
  </si>
  <si>
    <t>Toland Way Elementary</t>
  </si>
  <si>
    <t>Horace Mann UCLA Community</t>
  </si>
  <si>
    <t>Lovelia P. Flournoy Elementary</t>
  </si>
  <si>
    <t>Chase Street Elementary</t>
  </si>
  <si>
    <t>Tarzana Elementary</t>
  </si>
  <si>
    <t>Susan Miller Dorsey Senior High</t>
  </si>
  <si>
    <t>Westport Heights Elementary</t>
  </si>
  <si>
    <t>Mission Continuation</t>
  </si>
  <si>
    <t>Sierra Park Elementary</t>
  </si>
  <si>
    <t>Manual Arts Senior High</t>
  </si>
  <si>
    <t>Harvard Elementary</t>
  </si>
  <si>
    <t>Cesar E. Chavez Learning Academies-Technology Preparatory Academy</t>
  </si>
  <si>
    <t>Nora Sterry Elementary</t>
  </si>
  <si>
    <t>Mid-City's Prescott School of Enriched Sciences</t>
  </si>
  <si>
    <t>Emelita Street Elementary</t>
  </si>
  <si>
    <t>Sixth Avenue Elementary</t>
  </si>
  <si>
    <t>Seventh Street Elementary Arts Integration Magnet</t>
  </si>
  <si>
    <t>Anatola Avenue Elementary</t>
  </si>
  <si>
    <t>Sotomayor Arts and Sciences Magnet</t>
  </si>
  <si>
    <t>Florence Griffith Joyner Elementary</t>
  </si>
  <si>
    <t>Canoga Park Elementary</t>
  </si>
  <si>
    <t>Los Angeles Elementary</t>
  </si>
  <si>
    <t>El Sereno Elementary</t>
  </si>
  <si>
    <t>Dr. Julian Nava Learning Academy</t>
  </si>
  <si>
    <t>Martha Escutia Primary Center</t>
  </si>
  <si>
    <t>Sunland Elementary</t>
  </si>
  <si>
    <t>San Fernando Middle</t>
  </si>
  <si>
    <t>Cantara Street Elementary</t>
  </si>
  <si>
    <t>Atwater Avenue Elementary</t>
  </si>
  <si>
    <t>Melvin Avenue Elementary</t>
  </si>
  <si>
    <t>Daniel Pearl Journalism &amp; Communications Magnet</t>
  </si>
  <si>
    <t>Sharp Avenue Elementary</t>
  </si>
  <si>
    <t>Telfair Avenue Elementary</t>
  </si>
  <si>
    <t>WESM Health/Sports Medicine</t>
  </si>
  <si>
    <t>Hubert Howe Bancroft Middle</t>
  </si>
  <si>
    <t>Lenicia B. Weemes Elementary</t>
  </si>
  <si>
    <t>Stoner Avenue Elementary</t>
  </si>
  <si>
    <t>Cimarron Avenue Elementary</t>
  </si>
  <si>
    <t>Seventy-Fourth Street Elementary</t>
  </si>
  <si>
    <t>Westminster Avenue Elementary</t>
  </si>
  <si>
    <t>Wilmington Park Elementary</t>
  </si>
  <si>
    <t>Birdielee V. Bright Elementary</t>
  </si>
  <si>
    <t>Stonehurst Avenue Elementary</t>
  </si>
  <si>
    <t>Victory Boulevard Elementary</t>
  </si>
  <si>
    <t>John W. Mack Elementary</t>
  </si>
  <si>
    <t>Community Magnet Charter Elementary</t>
  </si>
  <si>
    <t>Twenty-Fourth Street Elementary</t>
  </si>
  <si>
    <t>Van Nuys Elementary</t>
  </si>
  <si>
    <t>Osceola Street Elementary</t>
  </si>
  <si>
    <t>Buchanan Street Elementary</t>
  </si>
  <si>
    <t>Julie Korenstein Elementary</t>
  </si>
  <si>
    <t>Ambassador School-Global Education</t>
  </si>
  <si>
    <t>UCLA Community K-12</t>
  </si>
  <si>
    <t>Yorkdale Elementary</t>
  </si>
  <si>
    <t>Brooklyn Avenue Elementary</t>
  </si>
  <si>
    <t>La Salle Avenue Elementary</t>
  </si>
  <si>
    <t>Loreto Street Elementary</t>
  </si>
  <si>
    <t>Cohasset Street Elementary</t>
  </si>
  <si>
    <t>El Dorado Avenue Elementary</t>
  </si>
  <si>
    <t>Betty Plasencia Elementary</t>
  </si>
  <si>
    <t>Fernangeles Elementary</t>
  </si>
  <si>
    <t>Lockwood Avenue Elementary</t>
  </si>
  <si>
    <t>Burbank Boulevard Elementary</t>
  </si>
  <si>
    <t>Wadsworth Avenue Elementary</t>
  </si>
  <si>
    <t>Thomas A. Edison Middle</t>
  </si>
  <si>
    <t>Angel's Gate (Continuation)</t>
  </si>
  <si>
    <t>Lorena Street Elementary</t>
  </si>
  <si>
    <t>San Fernando Elementary</t>
  </si>
  <si>
    <t>William R. Anton Elementary</t>
  </si>
  <si>
    <t>Westside Global Awareness Magnet</t>
  </si>
  <si>
    <t>Robert Hill Lane Elementary</t>
  </si>
  <si>
    <t>Fries Avenue Elementary</t>
  </si>
  <si>
    <t>O'Melveny Elementary</t>
  </si>
  <si>
    <t>Pueblo de Los Angeles Continuation</t>
  </si>
  <si>
    <t>Hobart Boulevard Elementary</t>
  </si>
  <si>
    <t>Rancho Dominguez Preparatory</t>
  </si>
  <si>
    <t>Menlo Avenue Elementary</t>
  </si>
  <si>
    <t>Cheremoya Avenue Elementary</t>
  </si>
  <si>
    <t>Alexandria Avenue Elementary</t>
  </si>
  <si>
    <t>State Street Elementary</t>
  </si>
  <si>
    <t>Arlington Heights Elementary</t>
  </si>
  <si>
    <t>Washington Primary Center</t>
  </si>
  <si>
    <t>Sylmar Elementary</t>
  </si>
  <si>
    <t>Maurice Sendak Elementary</t>
  </si>
  <si>
    <t>Sixty-First Street Elementary</t>
  </si>
  <si>
    <t>Ninety-Ninth Street Elementary</t>
  </si>
  <si>
    <t>Cal Burke High</t>
  </si>
  <si>
    <t>George Washington Carver Middle</t>
  </si>
  <si>
    <t>Christopher Columbus Middle</t>
  </si>
  <si>
    <t>Twenty-Eighth Street Elementary</t>
  </si>
  <si>
    <t>Owensmouth Continuation</t>
  </si>
  <si>
    <t>John A. Sutter Middle</t>
  </si>
  <si>
    <t>Quincy Jones Elementary</t>
  </si>
  <si>
    <t>Ambler Avenue Elementary</t>
  </si>
  <si>
    <t>Hawaiian Avenue Elementary</t>
  </si>
  <si>
    <t>Early College Academy-LA Trade Tech College</t>
  </si>
  <si>
    <t>Griffin Avenue Elementary</t>
  </si>
  <si>
    <t>Will Rogers Continuation</t>
  </si>
  <si>
    <t>Normandie Avenue Elementary</t>
  </si>
  <si>
    <t>Fourth Street Elementary</t>
  </si>
  <si>
    <t>Morris K. Hamasaki Elementary</t>
  </si>
  <si>
    <t>Social Justice Leadership Academy Magnet at Esteban E. Torres High No 5</t>
  </si>
  <si>
    <t>Gridley Street Elementary</t>
  </si>
  <si>
    <t>Evergreen Avenue Elementary</t>
  </si>
  <si>
    <t>Reseda Charter High</t>
  </si>
  <si>
    <t>Hollenbeck Middle</t>
  </si>
  <si>
    <t>Cienega Elementary</t>
  </si>
  <si>
    <t>Garden Grove Elementary</t>
  </si>
  <si>
    <t>Harding Street Elementary</t>
  </si>
  <si>
    <t>Lemay Street Elementary</t>
  </si>
  <si>
    <t>Arroyo Seco Museum Science</t>
  </si>
  <si>
    <t>Thomas Jefferson Senior High</t>
  </si>
  <si>
    <t>Van Deene Avenue Elementary</t>
  </si>
  <si>
    <t>Sylmar Biotech Health and Engineering Magnet</t>
  </si>
  <si>
    <t>Fifty-Second Street Elementary</t>
  </si>
  <si>
    <t>Multnomah Street Elementary</t>
  </si>
  <si>
    <t>Dolores Street Elementary</t>
  </si>
  <si>
    <t>Fair Avenue Elementary</t>
  </si>
  <si>
    <t>Vermont Avenue Elementary</t>
  </si>
  <si>
    <t>Leo Politi Elementary</t>
  </si>
  <si>
    <t>Sylvan Park Elementary</t>
  </si>
  <si>
    <t>Toluca Lake Elementary</t>
  </si>
  <si>
    <t>Augustus F. Hawkins High C Responsible Indigenous Social Entrepreneurship</t>
  </si>
  <si>
    <t>Eastman Avenue Elementary</t>
  </si>
  <si>
    <t>Herrick Avenue Elementary</t>
  </si>
  <si>
    <t>Abraham Lincoln Senior High</t>
  </si>
  <si>
    <t>One Hundred Sixteenth Street Elementary</t>
  </si>
  <si>
    <t>Andres and Maria Cardenas Elementary</t>
  </si>
  <si>
    <t>San Antonio Elementary</t>
  </si>
  <si>
    <t>Northridge Middle</t>
  </si>
  <si>
    <t>Jack London Continuation</t>
  </si>
  <si>
    <t>Stoney Point Continuation</t>
  </si>
  <si>
    <t>Public Service Community at Diego Rivera Learning Complex</t>
  </si>
  <si>
    <t>Lassen Elementary</t>
  </si>
  <si>
    <t>Aldama Elementary</t>
  </si>
  <si>
    <t>Danube Avenue Elementary</t>
  </si>
  <si>
    <t>Kingsley Elementary</t>
  </si>
  <si>
    <t>Topanga Elementary Charter</t>
  </si>
  <si>
    <t>William Jefferson Clinton Middle</t>
  </si>
  <si>
    <t>Joseph Le Conte Middle</t>
  </si>
  <si>
    <t>Purche Avenue Elementary</t>
  </si>
  <si>
    <t>Crestwood Street STEAM Magnet</t>
  </si>
  <si>
    <t>Calvert Charter for Enriched Studies</t>
  </si>
  <si>
    <t>Raymond Avenue Elementary</t>
  </si>
  <si>
    <t>John H. Liechty Middle</t>
  </si>
  <si>
    <t>Short Avenue Elementary</t>
  </si>
  <si>
    <t>Woodrow Wilson Senior High</t>
  </si>
  <si>
    <t>Florence Avenue Elementary</t>
  </si>
  <si>
    <t>West Adams Preparatory High</t>
  </si>
  <si>
    <t>Enadia Way Technology Charter</t>
  </si>
  <si>
    <t>Cahuenga Elementary</t>
  </si>
  <si>
    <t>Charles W. Barrett Elementary</t>
  </si>
  <si>
    <t>Marvin Elementary</t>
  </si>
  <si>
    <t>Charles White Elementary</t>
  </si>
  <si>
    <t>Shirley Avenue Elementary</t>
  </si>
  <si>
    <t>Commonwealth Avenue Elementary</t>
  </si>
  <si>
    <t>Gates Street Elementary</t>
  </si>
  <si>
    <t>Liggett Street Elementary</t>
  </si>
  <si>
    <t>Montara Avenue Elementary</t>
  </si>
  <si>
    <t>Katherine Johnson STEM Academy</t>
  </si>
  <si>
    <t>Sally Ride Elementary: A SMArT Academy</t>
  </si>
  <si>
    <t>Ranchito Avenue Elementary</t>
  </si>
  <si>
    <t>Fifty-Fourth Street Elementary</t>
  </si>
  <si>
    <t>Columbus Avenue</t>
  </si>
  <si>
    <t>Norwood Street Elementary</t>
  </si>
  <si>
    <t>Gault Street Elementary</t>
  </si>
  <si>
    <t>Nevin Avenue Elementary</t>
  </si>
  <si>
    <t>Beachy Avenue Elementary</t>
  </si>
  <si>
    <t>Bellingham Elementary</t>
  </si>
  <si>
    <t>Charles Drew Middle</t>
  </si>
  <si>
    <t>Sunny Brae Avenue Elementary</t>
  </si>
  <si>
    <t>Reseda Elementary</t>
  </si>
  <si>
    <t>Odyssey Continuation</t>
  </si>
  <si>
    <t>Camellia Avenue Elementary</t>
  </si>
  <si>
    <t>Jaime Escalante Elementary</t>
  </si>
  <si>
    <t>Belvedere Elementary</t>
  </si>
  <si>
    <t>Noble Avenue Elementary</t>
  </si>
  <si>
    <t>Primary Academy for Success</t>
  </si>
  <si>
    <t>Valerio Street Elementary</t>
  </si>
  <si>
    <t>Tenth Street Elementary</t>
  </si>
  <si>
    <t>Academy for Enriched Sciences</t>
  </si>
  <si>
    <t>Harmony Elementary</t>
  </si>
  <si>
    <t>Vanalden Avenue Elementary</t>
  </si>
  <si>
    <t>Broad Avenue Elementary</t>
  </si>
  <si>
    <t>Broadacres Avenue Elementary Visual &amp; Performing Arts Magnet</t>
  </si>
  <si>
    <t>Woodland Hills Academy</t>
  </si>
  <si>
    <t>Knollwood Preparatory Academy</t>
  </si>
  <si>
    <t>Robert Louis Stevenson College and Career Preparatory</t>
  </si>
  <si>
    <t>Coldwater Canyon Elementary</t>
  </si>
  <si>
    <t>Micheltorena Street Elementary</t>
  </si>
  <si>
    <t>Oxnard Street Elementary</t>
  </si>
  <si>
    <t>Mary McLeod Bethune Middle</t>
  </si>
  <si>
    <t>Open Charter Magnet</t>
  </si>
  <si>
    <t>Saticoy Elementary</t>
  </si>
  <si>
    <t>Ritter Elementary</t>
  </si>
  <si>
    <t>Dr. Owen Lloyd Knox Elementary</t>
  </si>
  <si>
    <t>Aurora Elementary</t>
  </si>
  <si>
    <t>Haddon Avenue Elementary</t>
  </si>
  <si>
    <t>Lucille Roybal-Allard Elementary</t>
  </si>
  <si>
    <t>Roy Romer Middle</t>
  </si>
  <si>
    <t>Tweedy Elementary</t>
  </si>
  <si>
    <t>Santee Education Complex</t>
  </si>
  <si>
    <t>Mayall Street Elementary</t>
  </si>
  <si>
    <t>Linda Esperanza Marquez High A Huntington Park Institute of Applied Medicine</t>
  </si>
  <si>
    <t>Belvedere Middle</t>
  </si>
  <si>
    <t>Miles Avenue Elementary</t>
  </si>
  <si>
    <t>Felicitas and Gonzalo Mendez High</t>
  </si>
  <si>
    <t>Panorama City Elementary</t>
  </si>
  <si>
    <t>Weigand Avenue Elementary</t>
  </si>
  <si>
    <t>Rowan Avenue Elementary</t>
  </si>
  <si>
    <t>Del Amo Elementary</t>
  </si>
  <si>
    <t>Ellen Ochoa Learning Center</t>
  </si>
  <si>
    <t>Ricardo Lizarraga Elementary</t>
  </si>
  <si>
    <t>Capistrano Avenue Elementary</t>
  </si>
  <si>
    <t>Chandler Elementary</t>
  </si>
  <si>
    <t>Malabar Street Elementary</t>
  </si>
  <si>
    <t>El Sereno Middle</t>
  </si>
  <si>
    <t>Twentieth Street Elementary</t>
  </si>
  <si>
    <t>Carlos Santana Arts Academy</t>
  </si>
  <si>
    <t>Harbor City Elementary</t>
  </si>
  <si>
    <t>Roscoe Elementary</t>
  </si>
  <si>
    <t>Washington Irving Middle School Math, Music and Engineering Magnet</t>
  </si>
  <si>
    <t>Grand View Boulevard Elementary</t>
  </si>
  <si>
    <t>Figueroa Street Elementary</t>
  </si>
  <si>
    <t>Playa del Rey Elementary</t>
  </si>
  <si>
    <t>Windsor Hills Math Science</t>
  </si>
  <si>
    <t>Estrella Elementary</t>
  </si>
  <si>
    <t>Rosa Parks Learning Center</t>
  </si>
  <si>
    <t>William Mulholland Middle</t>
  </si>
  <si>
    <t>Solano Avenue Elementary</t>
  </si>
  <si>
    <t>Panorama High</t>
  </si>
  <si>
    <t>John Adams Middle</t>
  </si>
  <si>
    <t>Budlong Avenue Elementary</t>
  </si>
  <si>
    <t>Sheridan Street Elementary</t>
  </si>
  <si>
    <t>Langdon Avenue Elementary</t>
  </si>
  <si>
    <t>Halldale Elementary</t>
  </si>
  <si>
    <t>Point Fermin Elementary</t>
  </si>
  <si>
    <t>Leland Street Elementary</t>
  </si>
  <si>
    <t>San Miguel Elementary</t>
  </si>
  <si>
    <t>Florence Nightingale Middle</t>
  </si>
  <si>
    <t>Tri-C Community Day</t>
  </si>
  <si>
    <t>First Street Elementary</t>
  </si>
  <si>
    <t>Liberty Boulevard Elementary</t>
  </si>
  <si>
    <t>Parthenia Academy of Arts and Technology</t>
  </si>
  <si>
    <t>Fullbright Avenue Elementary</t>
  </si>
  <si>
    <t>Emerson Community Charter</t>
  </si>
  <si>
    <t>Graham Elementary</t>
  </si>
  <si>
    <t>Sal Castro Middle</t>
  </si>
  <si>
    <t>One Hundred Eighty-Sixth Street Elementary</t>
  </si>
  <si>
    <t>San Pascual Elementary Science Technology Engineering Arts And Mathematics (STEAM) Magnet</t>
  </si>
  <si>
    <t>Dorris Place Elementary</t>
  </si>
  <si>
    <t>Strathern Street Elementary</t>
  </si>
  <si>
    <t>Virgil Middle</t>
  </si>
  <si>
    <t>Heliotrope Avenue Elementary</t>
  </si>
  <si>
    <t>One Hundred Thirty-Fifth Street Elementary</t>
  </si>
  <si>
    <t>Bassett Street Elementary</t>
  </si>
  <si>
    <t>Carson-Gore Academy of Enviornmental Studies</t>
  </si>
  <si>
    <t>Gil Garcetti Learning Academy</t>
  </si>
  <si>
    <t>Lorne Street Elementary</t>
  </si>
  <si>
    <t>Woodlawn Avenue Elementary</t>
  </si>
  <si>
    <t>Victoria Avenue Elementary</t>
  </si>
  <si>
    <t>Towne Avenue Elementary</t>
  </si>
  <si>
    <t>Forty-Ninth Street Elementary</t>
  </si>
  <si>
    <t>Wilshire Park Elementary</t>
  </si>
  <si>
    <t>MacArthur Park Elementary School for the Visual and Performing Arts</t>
  </si>
  <si>
    <t>Gratts Learning Academy for Young Scholars (GLAYS)</t>
  </si>
  <si>
    <t>Park Western Place Elementary</t>
  </si>
  <si>
    <t>Ramon C. Cortines School of Visual and Performing Arts</t>
  </si>
  <si>
    <t>Ford Boulevard Elementary</t>
  </si>
  <si>
    <t>Rosewood Avenue Elementary</t>
  </si>
  <si>
    <t>Richard E. Byrd Middle</t>
  </si>
  <si>
    <t>Bonita Street Elementary</t>
  </si>
  <si>
    <t>Lockhurst Drive Charter Elementary</t>
  </si>
  <si>
    <t>City Terrace Elementary</t>
  </si>
  <si>
    <t>Middleton Primary Center</t>
  </si>
  <si>
    <t>Henry T. Gage Middle</t>
  </si>
  <si>
    <t>Huntington Park Elementary</t>
  </si>
  <si>
    <t>White Point Elementary</t>
  </si>
  <si>
    <t>Allesandro Elementary</t>
  </si>
  <si>
    <t>Mt. Gleason Middle</t>
  </si>
  <si>
    <t>Beethoven Street Elementary</t>
  </si>
  <si>
    <t>Fifteenth Street Elementary</t>
  </si>
  <si>
    <t>Sylmar Charter High</t>
  </si>
  <si>
    <t>Jane Addams Continuation</t>
  </si>
  <si>
    <t>Orchard Academies 2B</t>
  </si>
  <si>
    <t>Ninety-Sixth Street Elementary</t>
  </si>
  <si>
    <t>Theodore Roosevelt Senior High</t>
  </si>
  <si>
    <t>Grape Street Elementary</t>
  </si>
  <si>
    <t>One Hundred Seventh Street Elementary</t>
  </si>
  <si>
    <t>Seventy-Fifth Street Elementary</t>
  </si>
  <si>
    <t>Frank del Olmo Elementary</t>
  </si>
  <si>
    <t>Castelar Street Elementary</t>
  </si>
  <si>
    <t>Judith F. Baca Arts Academy</t>
  </si>
  <si>
    <t>Park Avenue Elementary</t>
  </si>
  <si>
    <t>Cowan Avenue Elementary</t>
  </si>
  <si>
    <t>Los Angeles Academy Middle</t>
  </si>
  <si>
    <t>Los Angeles Senior High</t>
  </si>
  <si>
    <t>Winnetka Avenue Elementary</t>
  </si>
  <si>
    <t>Alta California Elementary</t>
  </si>
  <si>
    <t>Ninety-Fifth Street Elementary</t>
  </si>
  <si>
    <t>Stagg Street Elementary</t>
  </si>
  <si>
    <t>Baldwin Hills Elementary</t>
  </si>
  <si>
    <t>Loren Miller Elementary</t>
  </si>
  <si>
    <t>Andrew Carnegie Middle</t>
  </si>
  <si>
    <t>Robert Fulton College Preparatory</t>
  </si>
  <si>
    <t>San Pedro Street Elementary</t>
  </si>
  <si>
    <t>Catskill Avenue Elementary</t>
  </si>
  <si>
    <t>Magnolia Avenue Elementary</t>
  </si>
  <si>
    <t>Robert E. Peary Middle</t>
  </si>
  <si>
    <t>Germain Academy For Academic Achievement</t>
  </si>
  <si>
    <t>Humphreys Avenue Elementary</t>
  </si>
  <si>
    <t>Nestle Avenue Charter</t>
  </si>
  <si>
    <t>Erwin Elementary</t>
  </si>
  <si>
    <t>Vista Middle</t>
  </si>
  <si>
    <t>Morningside Elementary</t>
  </si>
  <si>
    <t>Gardner Street Elementary</t>
  </si>
  <si>
    <t>South Shores/CSUDH Visual and Performing Arts</t>
  </si>
  <si>
    <t>Plummer Elementary</t>
  </si>
  <si>
    <t>Canoga Park Senior High</t>
  </si>
  <si>
    <t>Kentwood Elementary</t>
  </si>
  <si>
    <t>One Hundred Eighteenth Street</t>
  </si>
  <si>
    <t>Rockdale Visual &amp; Performing Arts Magnet</t>
  </si>
  <si>
    <t>Francisco Sepulveda Middle</t>
  </si>
  <si>
    <t>Contreras Learning Center-Los Angeles School of Global Studies</t>
  </si>
  <si>
    <t>Zane Grey Continuation</t>
  </si>
  <si>
    <t>Walnut Park Elementary</t>
  </si>
  <si>
    <t>Tulsa Street Elementary</t>
  </si>
  <si>
    <t>Hooper Avenue Elementary</t>
  </si>
  <si>
    <t>Vista del Valle Dual Language Academy</t>
  </si>
  <si>
    <t>San Fernando Senior High</t>
  </si>
  <si>
    <t>Verdugo Hills Senior High</t>
  </si>
  <si>
    <t>Wilbur Charter For Enriched Academics</t>
  </si>
  <si>
    <t>Hart Street Elementary</t>
  </si>
  <si>
    <t>San Antonio Continuation</t>
  </si>
  <si>
    <t>Western Avenue Technology Magnet</t>
  </si>
  <si>
    <t>Haskell Elementary Science Technology Engineering Arts And Mathematics (STEAM) Magnet</t>
  </si>
  <si>
    <t>School for the Visual Arts and Humanities</t>
  </si>
  <si>
    <t>Orchard Academies 2C</t>
  </si>
  <si>
    <t>Marquez Charter</t>
  </si>
  <si>
    <t>Van Nuys Middle</t>
  </si>
  <si>
    <t>John C. Fremont Senior High</t>
  </si>
  <si>
    <t>Chatsworth Charter High</t>
  </si>
  <si>
    <t>Olive Vista Middle</t>
  </si>
  <si>
    <t>Russell Elementary</t>
  </si>
  <si>
    <t>Two Hundred Thirty-Second Place</t>
  </si>
  <si>
    <t>Limerick Avenue Elementary</t>
  </si>
  <si>
    <t>Canfield Avenue Elementary</t>
  </si>
  <si>
    <t>Vena Avenue Elementary</t>
  </si>
  <si>
    <t>West Vernon Avenue Elementary</t>
  </si>
  <si>
    <t>Teresa Hughes Elementary</t>
  </si>
  <si>
    <t>West Hollywood Elementary</t>
  </si>
  <si>
    <t>Topeka Charter School For Advanced Studies</t>
  </si>
  <si>
    <t>Canterbury Avenue Elementary</t>
  </si>
  <si>
    <t>Hoover Street Elementary</t>
  </si>
  <si>
    <t>Huntington Park Senior High</t>
  </si>
  <si>
    <t>Dr. Maya Angelou Community High</t>
  </si>
  <si>
    <t>Charles H. Kim Elementary</t>
  </si>
  <si>
    <t>Eshelman Avenue Elementary</t>
  </si>
  <si>
    <t>Los Angeles High School of the Arts</t>
  </si>
  <si>
    <t>Gardena Elementary</t>
  </si>
  <si>
    <t>Marguerite Poindexter LaMotte Elementary</t>
  </si>
  <si>
    <t>Stanley Mosk Elementary</t>
  </si>
  <si>
    <t>Braddock Drive Elementary</t>
  </si>
  <si>
    <t>Humanitas Academy of Art and Technology at Esteban E. Torres High No. 4</t>
  </si>
  <si>
    <t>Lillian Street Elementary</t>
  </si>
  <si>
    <t>John B. Monlux Elementary</t>
  </si>
  <si>
    <t>James Monroe High</t>
  </si>
  <si>
    <t>Queen Anne Place Elementary</t>
  </si>
  <si>
    <t>Arleta High</t>
  </si>
  <si>
    <t>Main Street Elementary</t>
  </si>
  <si>
    <t>Maywood Academy High</t>
  </si>
  <si>
    <t>Valley Academy of Arts and Sciences</t>
  </si>
  <si>
    <t>Dominguez Elementary</t>
  </si>
  <si>
    <t>Augustus F. Hawkins High B Community Health Advocates</t>
  </si>
  <si>
    <t>Pacoima Middle</t>
  </si>
  <si>
    <t>Ninety-Third Street Elementary</t>
  </si>
  <si>
    <t>Lake Balboa College Preparatory Magnet K-12</t>
  </si>
  <si>
    <t>Delevan Drive Elementary</t>
  </si>
  <si>
    <t>Carthay Elementary Of Environmental Studies Magnet</t>
  </si>
  <si>
    <t>Science, Technology, Engineering, Arts and Mathematics at Legacy High School Complex</t>
  </si>
  <si>
    <t>Corona Avenue Elementary</t>
  </si>
  <si>
    <t>Griffith Middle</t>
  </si>
  <si>
    <t>Hancock Park Elementary</t>
  </si>
  <si>
    <t>Caroldale Learning Community</t>
  </si>
  <si>
    <t>Dyer Street Elementary</t>
  </si>
  <si>
    <t>Hollywood Senior High</t>
  </si>
  <si>
    <t>Nathaniel Narbonne Senior High</t>
  </si>
  <si>
    <t>Frida Kahlo High</t>
  </si>
  <si>
    <t>Apperson Street Elementary</t>
  </si>
  <si>
    <t>Ascot Avenue Elementary</t>
  </si>
  <si>
    <t>Walnut Park Middle A School of Social Justice and Service Learning</t>
  </si>
  <si>
    <t>Denker Avenue Elementary</t>
  </si>
  <si>
    <t>George De La Torre Jr. Elementary</t>
  </si>
  <si>
    <t>Hope Street Elementary</t>
  </si>
  <si>
    <t>One Hundred Twenty-Second Street Elementary</t>
  </si>
  <si>
    <t>Euclid Avenue Elementary</t>
  </si>
  <si>
    <t>Sixty-Sixth Street Elementary</t>
  </si>
  <si>
    <t>Calahan Street Elementary</t>
  </si>
  <si>
    <t>Ambassador-Global Leadership</t>
  </si>
  <si>
    <t>Alexander Fleming Middle</t>
  </si>
  <si>
    <t>Nueva Vista Elementary</t>
  </si>
  <si>
    <t>Parmelee Avenue Elementary</t>
  </si>
  <si>
    <t>Hazeltine Avenue Elementary</t>
  </si>
  <si>
    <t>South Gate Senior High</t>
  </si>
  <si>
    <t>Woodcrest Elementary</t>
  </si>
  <si>
    <t>Manchester Avenue Elementary</t>
  </si>
  <si>
    <t>Contreras Learning Center-Academic Leadership Community</t>
  </si>
  <si>
    <t>Middleton Street Elementary</t>
  </si>
  <si>
    <t>Eagle Rock Elementary</t>
  </si>
  <si>
    <t>San Gabriel Avenue Elementary</t>
  </si>
  <si>
    <t>Darby Avenue Elementary</t>
  </si>
  <si>
    <t>Benjamin Franklin Senior High</t>
  </si>
  <si>
    <t>Patrick Henry Middle</t>
  </si>
  <si>
    <t>Cesar E. Chavez Learning Academies-Arts/Theatre/Entertain Mag</t>
  </si>
  <si>
    <t>Gardena Senior High</t>
  </si>
  <si>
    <t>San Jose Street Elementary</t>
  </si>
  <si>
    <t>Sun Valley Magnet</t>
  </si>
  <si>
    <t>Sara Coughlin Elementary</t>
  </si>
  <si>
    <t>Contreras Learning Center-School of Social Justice</t>
  </si>
  <si>
    <t>West Athens Elementary</t>
  </si>
  <si>
    <t>University High School Charter</t>
  </si>
  <si>
    <t>One Hundred Fifty-Sixth Street Elementary</t>
  </si>
  <si>
    <t>Andasol Avenue Elementary</t>
  </si>
  <si>
    <t>Maywood Elementary</t>
  </si>
  <si>
    <t>Overland Avenue Elementary</t>
  </si>
  <si>
    <t>Mark Twain Middle</t>
  </si>
  <si>
    <t>Sherman Oaks Elementary Charter</t>
  </si>
  <si>
    <t>Elizabeth Learning Center</t>
  </si>
  <si>
    <t>Dearborn Elementary Charter Academy</t>
  </si>
  <si>
    <t>Riverside Drive Charter</t>
  </si>
  <si>
    <t>Engineering and Technology Academy at Esteban E. Torres High No. 3</t>
  </si>
  <si>
    <t>Union Avenue Elementary</t>
  </si>
  <si>
    <t>Performing Arts Community at Diego Rivera Learning Complex</t>
  </si>
  <si>
    <t>Van Gogh Charter</t>
  </si>
  <si>
    <t>Kittridge Street Elementary</t>
  </si>
  <si>
    <t>Serrania Avenue Charter For Enriched Studies</t>
  </si>
  <si>
    <t>Bryson Avenue Elementary</t>
  </si>
  <si>
    <t>Justice Street Academy Charter</t>
  </si>
  <si>
    <t>Elysian Heights ES Arts Magnet</t>
  </si>
  <si>
    <t>Dr. Lawrence H. Moore Math, Science, Technology Academy</t>
  </si>
  <si>
    <t>McKinley Avenue Elementary</t>
  </si>
  <si>
    <t>Hubbard Street Elementary</t>
  </si>
  <si>
    <t>Superior Street Elementary</t>
  </si>
  <si>
    <t>Carson Street Elementary</t>
  </si>
  <si>
    <t>Woodlake Elementary Community Charter</t>
  </si>
  <si>
    <t>Venice Senior High</t>
  </si>
  <si>
    <t>Phineas Banning Senior High</t>
  </si>
  <si>
    <t>Lomita Math/Science/Technology Magnet</t>
  </si>
  <si>
    <t>Carson Senior High</t>
  </si>
  <si>
    <t>Meyler Street Elementary</t>
  </si>
  <si>
    <t>Gulf Avenue Elementary</t>
  </si>
  <si>
    <t>George K. Porter Middle</t>
  </si>
  <si>
    <t>John H. Francis Polytechnic</t>
  </si>
  <si>
    <t>James A. Garfield Senior High</t>
  </si>
  <si>
    <t>James Madison Middle</t>
  </si>
  <si>
    <t>Fairfax Senior High</t>
  </si>
  <si>
    <t>Pomelo Community Charter</t>
  </si>
  <si>
    <t>Stephen M. White Middle</t>
  </si>
  <si>
    <t>Humanities and Arts (HARTS) Academy of Los Angeles</t>
  </si>
  <si>
    <t>Young Oak Kim Academy</t>
  </si>
  <si>
    <t>Wisdom Elementary</t>
  </si>
  <si>
    <t>Foshay Learning Center</t>
  </si>
  <si>
    <t>Van Nuys Senior High</t>
  </si>
  <si>
    <t>Nava College Preparatory Academy</t>
  </si>
  <si>
    <t>El Oro Way Charter For Enriched Studies</t>
  </si>
  <si>
    <t>Bell Senior High</t>
  </si>
  <si>
    <t>Haynes Charter For Enriched Studies</t>
  </si>
  <si>
    <t>South East High</t>
  </si>
  <si>
    <t>Visual and Performing Arts at Legacy High School Complex</t>
  </si>
  <si>
    <t>Chester W. Nimitz Middle</t>
  </si>
  <si>
    <t>South Park Elementary</t>
  </si>
  <si>
    <t>Third Street Elementary</t>
  </si>
  <si>
    <t>Sylmar Leadership Academy</t>
  </si>
  <si>
    <t>Fairburn Avenue Elementary</t>
  </si>
  <si>
    <t>Linda Esperanza Marquez High C School of Social Justice</t>
  </si>
  <si>
    <t>Cesar E. Chavez Learning Academies-Academy of Scientific Exploration (ASE)</t>
  </si>
  <si>
    <t>Dahlia Heights Elementary</t>
  </si>
  <si>
    <t>Hesby Oaks Leadership Charter</t>
  </si>
  <si>
    <t>Castle Heights Elementary</t>
  </si>
  <si>
    <t>Communication and Technology at Diego Rivera Learning Complex</t>
  </si>
  <si>
    <t>University Pathways Public Service Academy</t>
  </si>
  <si>
    <t>Ulysses S. Grant Senior High</t>
  </si>
  <si>
    <t>South Gate Middle</t>
  </si>
  <si>
    <t>San Fernando Institute of Applied Media</t>
  </si>
  <si>
    <t>Palisades Charter Elementary</t>
  </si>
  <si>
    <t>Oliver Wendell Holmes Middle</t>
  </si>
  <si>
    <t>Orthopaedic Hospital</t>
  </si>
  <si>
    <t>Vintage Math/Science/Technology Magnet</t>
  </si>
  <si>
    <t>Southeast Middle</t>
  </si>
  <si>
    <t>Clover Avenue Elementary</t>
  </si>
  <si>
    <t>Northridge Academy High</t>
  </si>
  <si>
    <t>Ninety-Second Street Elementary</t>
  </si>
  <si>
    <t>Wonderland Avenue Elementary</t>
  </si>
  <si>
    <t>Playa Vista Elementary</t>
  </si>
  <si>
    <t>New Open World Academy K-12</t>
  </si>
  <si>
    <t>Thirty-Second Street USC Performing Arts</t>
  </si>
  <si>
    <t>Colfax Charter Elementary</t>
  </si>
  <si>
    <t>Eagle Rock High</t>
  </si>
  <si>
    <t>Melrose Avenue Elementary</t>
  </si>
  <si>
    <t>Los Feliz Science/Tech/Engineer/Math/Medicine Magnet</t>
  </si>
  <si>
    <t>Gerald A. Lawson Academy of the Arts, Mathematics and Science</t>
  </si>
  <si>
    <t>Wilmington Middle Science, Technology, Engineering, Arts, Mathematics (STEAM) Magnet</t>
  </si>
  <si>
    <t>Taper Avenue Elementary</t>
  </si>
  <si>
    <t>Linda Esperanza Marquez High B LIBRA Academy</t>
  </si>
  <si>
    <t>Canyon Charter Elementary</t>
  </si>
  <si>
    <t>Walnut Park Middle B Science, Technology, Engineering and Mathematics Academy</t>
  </si>
  <si>
    <t>Downtown Business High</t>
  </si>
  <si>
    <t>Harry Bridges Span</t>
  </si>
  <si>
    <t>Rudecinda Sepulveda Dodson Middle</t>
  </si>
  <si>
    <t>Roscomare Road Elementary</t>
  </si>
  <si>
    <t>Dixie Canyon Community Charter</t>
  </si>
  <si>
    <t>Mar Vista Elementary</t>
  </si>
  <si>
    <t>Kester Avenue Elementary</t>
  </si>
  <si>
    <t>Francisco Bravo Medical Magnet High</t>
  </si>
  <si>
    <t>Gaspar De Portola Charter Middle</t>
  </si>
  <si>
    <t>Science Academy STEM Magnet</t>
  </si>
  <si>
    <t>John Marshall Senior High</t>
  </si>
  <si>
    <t>Encino Charter Elementary</t>
  </si>
  <si>
    <t>Alexander Hamilton Senior High</t>
  </si>
  <si>
    <t>Kenter Canyon Elementary Charter</t>
  </si>
  <si>
    <t>Academies of Education and Empowerment at Carson High</t>
  </si>
  <si>
    <t>Maywood Center for Enriched Studies</t>
  </si>
  <si>
    <t>Amestoy Elementary</t>
  </si>
  <si>
    <t>Chatsworth Park ES Urban Planning/Community Development Magnet</t>
  </si>
  <si>
    <t>North Hollywood Senior High</t>
  </si>
  <si>
    <t>Academy of Medical Arts at Carson High</t>
  </si>
  <si>
    <t>Calabash Charter Academy</t>
  </si>
  <si>
    <t>Franklin Avenue Elementary</t>
  </si>
  <si>
    <t>Palms Middle</t>
  </si>
  <si>
    <t>Dr. Sammy Lee Medical and Health Science Magnet Elementary</t>
  </si>
  <si>
    <t>Lanai Road Elementary</t>
  </si>
  <si>
    <t>East Los Angeles Renaissance Academy at Esteban E. Torres High No. 2</t>
  </si>
  <si>
    <t>Dr. Theodore T. Alexander Jr. Science Center</t>
  </si>
  <si>
    <t>Taft Charter High</t>
  </si>
  <si>
    <t>Ernest Lawrence Middle</t>
  </si>
  <si>
    <t>City of Angels</t>
  </si>
  <si>
    <t>Robert Frost Middle</t>
  </si>
  <si>
    <t>Ivanhoe Elementary</t>
  </si>
  <si>
    <t>John Burroughs Middle</t>
  </si>
  <si>
    <t>Balboa Gifted/High Ability Magnet Elementary</t>
  </si>
  <si>
    <t>STEM Academy at Bernstein High</t>
  </si>
  <si>
    <t>Woodland Hills Elementary Charter For Enriched Studies</t>
  </si>
  <si>
    <t>San Pedro Senior High</t>
  </si>
  <si>
    <t>Mt. Washington Elementary</t>
  </si>
  <si>
    <t>Castlebay Lane Charter</t>
  </si>
  <si>
    <t>King/Drew Medical Magnet High</t>
  </si>
  <si>
    <t>Carpenter Community Charter</t>
  </si>
  <si>
    <t>Thomas Starr King Middle School Film and Media Magnet</t>
  </si>
  <si>
    <t>Dr. Richard A. Vladovic Harbor Teacher Preparation Academy</t>
  </si>
  <si>
    <t>Diego Rivera Learning Complex Green Design STEAM Academy</t>
  </si>
  <si>
    <t>Grover Cleveland Charter High</t>
  </si>
  <si>
    <t>Paul Revere Charter Middle</t>
  </si>
  <si>
    <t>Math, Science, &amp; Technology Magnet Academy at Roosevelt High</t>
  </si>
  <si>
    <t>International Studies Learning Center at Legacy High School Complex</t>
  </si>
  <si>
    <t>Porter Ranch Community</t>
  </si>
  <si>
    <t>Welby Way Charter Elementary School And Gifted-High Ability Magnet</t>
  </si>
  <si>
    <t>Cesar E. Chavez Learning Academies-Social Justice Humanitas Academy</t>
  </si>
  <si>
    <t>Alfred B. Nobel Charter Middle</t>
  </si>
  <si>
    <t>Los Angeles Center for Enriched Studies</t>
  </si>
  <si>
    <t>Sherman Oaks Center for Enriched Studies</t>
  </si>
  <si>
    <t>Walter Reed Middle</t>
  </si>
  <si>
    <t>Robert A. Millikan Affiliated Charter &amp; Performing Arts Magnet Middle</t>
  </si>
  <si>
    <t>Coeur D'Alene Avenue Elementary</t>
  </si>
  <si>
    <t>Broadway Elementary</t>
  </si>
  <si>
    <t>Westwood Charter Elementary</t>
  </si>
  <si>
    <t>Beckford Charter for Enriched Studies</t>
  </si>
  <si>
    <t>Warner Avenue Elementary</t>
  </si>
  <si>
    <t>George Ellery Hale Charter Academy</t>
  </si>
  <si>
    <t>Girls Academic Leadership Academy, Dr. Michelle King School for Sci, Tech, Eng and Math</t>
  </si>
  <si>
    <t>Los Angeles Unified School District ROCP</t>
  </si>
  <si>
    <t>Los Nietos Middle</t>
  </si>
  <si>
    <t>Rancho Santa Gertrudes Elementary</t>
  </si>
  <si>
    <t>Aeolian Elementary</t>
  </si>
  <si>
    <t>Ada S. Nelson Elementary</t>
  </si>
  <si>
    <t>Vista High</t>
  </si>
  <si>
    <t>Pathway Independent Study</t>
  </si>
  <si>
    <t>Hosler Middle</t>
  </si>
  <si>
    <t>Rosa Parks Elementary</t>
  </si>
  <si>
    <t>Janie P. Abbott Elementary</t>
  </si>
  <si>
    <t>Lindbergh Elementary</t>
  </si>
  <si>
    <t>Thurgood Marshall Elementary</t>
  </si>
  <si>
    <t>Lugo Elementary</t>
  </si>
  <si>
    <t>Helen Keller Elementary</t>
  </si>
  <si>
    <t>Lynwood Middle</t>
  </si>
  <si>
    <t>Will Rogers Elementary</t>
  </si>
  <si>
    <t>Lynwood High</t>
  </si>
  <si>
    <t>Marco Antonio Firebaugh High</t>
  </si>
  <si>
    <t>Meadows Avenue Elementary</t>
  </si>
  <si>
    <t>Grand View Elementary</t>
  </si>
  <si>
    <t>Opal Robinson Elementary</t>
  </si>
  <si>
    <t>Aurelia Pennekamp Elementary</t>
  </si>
  <si>
    <t>Mira Costa High</t>
  </si>
  <si>
    <t>Manhattan Beach Middle</t>
  </si>
  <si>
    <t>Canyon Oaks High</t>
  </si>
  <si>
    <t>Santa Fe Computer Science Magnet</t>
  </si>
  <si>
    <t>Wild Rose School of Creative</t>
  </si>
  <si>
    <t>Bradoaks Elementary Science Academy</t>
  </si>
  <si>
    <t>Monrovia High</t>
  </si>
  <si>
    <t>Mayflower Elementary</t>
  </si>
  <si>
    <t>Clifton Middle</t>
  </si>
  <si>
    <t>Mountain Park</t>
  </si>
  <si>
    <t>Montebello Community Day</t>
  </si>
  <si>
    <t>Vail High (Continuation)</t>
  </si>
  <si>
    <t>Applied Technology Center</t>
  </si>
  <si>
    <t>Potrero Heights Elementary</t>
  </si>
  <si>
    <t>Bandini Elementary</t>
  </si>
  <si>
    <t>Eastmont Intermediate</t>
  </si>
  <si>
    <t>Montebello Gardens Elementary</t>
  </si>
  <si>
    <t>Rosewood Park</t>
  </si>
  <si>
    <t>Suva Elementary</t>
  </si>
  <si>
    <t>Joseph A. Gascon Elementary</t>
  </si>
  <si>
    <t>Montebello Intermediate</t>
  </si>
  <si>
    <t>Macy Intermediate</t>
  </si>
  <si>
    <t>Montebello High</t>
  </si>
  <si>
    <t>Winter Gardens Elementary</t>
  </si>
  <si>
    <t>Bell Gardens High</t>
  </si>
  <si>
    <t>Bell Gardens Intermediate</t>
  </si>
  <si>
    <t>Schurr High</t>
  </si>
  <si>
    <t>Suva Intermediate</t>
  </si>
  <si>
    <t>Greenwood Elementary</t>
  </si>
  <si>
    <t>Bell Gardens Elementary</t>
  </si>
  <si>
    <t>La Merced Intermediate</t>
  </si>
  <si>
    <t>La Merced Elementary</t>
  </si>
  <si>
    <t>Wilcox Elementary</t>
  </si>
  <si>
    <t>Montebello Park Elementary</t>
  </si>
  <si>
    <t>La Primaria Elementary</t>
  </si>
  <si>
    <t>Charles T. Kranz Intermediate</t>
  </si>
  <si>
    <t>Willard F. Payne Elementary</t>
  </si>
  <si>
    <t>Alfred S. Madrid Middle</t>
  </si>
  <si>
    <t>Maxson Elementary</t>
  </si>
  <si>
    <t>Twin Lakes Elementary</t>
  </si>
  <si>
    <t>Baker Elementary</t>
  </si>
  <si>
    <t>Cogswell Elementary</t>
  </si>
  <si>
    <t>Jerry Voorhis Elementary</t>
  </si>
  <si>
    <t>Wiley Canyon Elementary</t>
  </si>
  <si>
    <t>Old Orchard Elementary</t>
  </si>
  <si>
    <t>Peachland Avenue Elementary</t>
  </si>
  <si>
    <t>Valencia Valley Elementary</t>
  </si>
  <si>
    <t>Oak Hills Elementary</t>
  </si>
  <si>
    <t>Stevenson Ranch Elementary</t>
  </si>
  <si>
    <t>Dr. J. Michael McGrath Elementary</t>
  </si>
  <si>
    <t>Newhall Elementary</t>
  </si>
  <si>
    <t>Pico Canyon Elementary</t>
  </si>
  <si>
    <t>El Camino High (Continuation)</t>
  </si>
  <si>
    <t>Arturo Sanchez Elementary</t>
  </si>
  <si>
    <t>John H. Nuffer Elementary</t>
  </si>
  <si>
    <t>Foster Road Elementary</t>
  </si>
  <si>
    <t>John H. Glenn High</t>
  </si>
  <si>
    <t>Thomas B. Moffitt Elementary</t>
  </si>
  <si>
    <t>Anna M. Glazier Elementary</t>
  </si>
  <si>
    <t>Nettie L. Waite Middle</t>
  </si>
  <si>
    <t>Loretta Lampton Elementary</t>
  </si>
  <si>
    <t>D. D. Johnston Elementary</t>
  </si>
  <si>
    <t>John Dolland Elementary</t>
  </si>
  <si>
    <t>New River Elementary</t>
  </si>
  <si>
    <t>Corvallis Middle</t>
  </si>
  <si>
    <t>John Foster Dulles Elementary</t>
  </si>
  <si>
    <t>La Pluma Elementary</t>
  </si>
  <si>
    <t>Earl E. Edmondson Elementary</t>
  </si>
  <si>
    <t>Julia B. Morrison Elementary</t>
  </si>
  <si>
    <t>La Mirada High</t>
  </si>
  <si>
    <t>Los Coyotes Middle</t>
  </si>
  <si>
    <t>Norwalk High</t>
  </si>
  <si>
    <t>Eastwood Elementary</t>
  </si>
  <si>
    <t>Escalona Elementary</t>
  </si>
  <si>
    <t>Los Alisos Middle</t>
  </si>
  <si>
    <t>Arlie F. Hutchinson Middle</t>
  </si>
  <si>
    <t>Reginald M. Benton Middle</t>
  </si>
  <si>
    <t>Gardenhill Elementary</t>
  </si>
  <si>
    <t>Yellen Learning Center</t>
  </si>
  <si>
    <t>Palmdale Discovery Center</t>
  </si>
  <si>
    <t>Oak Tree Community Day</t>
  </si>
  <si>
    <t>Tumbleweed Elementary</t>
  </si>
  <si>
    <t>Tamarisk Elementary</t>
  </si>
  <si>
    <t>Palm Tree Elementary</t>
  </si>
  <si>
    <t>Cimarron Elementary</t>
  </si>
  <si>
    <t>Joshua Hills Elementary</t>
  </si>
  <si>
    <t>Space Aeronautics Gateway to Exploration Magnet Academy</t>
  </si>
  <si>
    <t>Quail Valley Elementary</t>
  </si>
  <si>
    <t>Cactus Medical, Health and Technology Magnet Academy</t>
  </si>
  <si>
    <t>Yucca Elementary</t>
  </si>
  <si>
    <t>Desert Willow Fine Arts, Science and Technology Magnet Academy</t>
  </si>
  <si>
    <t>Summerwind Elementary</t>
  </si>
  <si>
    <t>David G. Millen Law and Government Magnet Academy</t>
  </si>
  <si>
    <t>Barrel Springs Elementary</t>
  </si>
  <si>
    <t>Chaparral Prep Academy</t>
  </si>
  <si>
    <t>Ocotillo Elementary</t>
  </si>
  <si>
    <t>Golden Poppy Elementary</t>
  </si>
  <si>
    <t>Palmdale Learning Plaza</t>
  </si>
  <si>
    <t>Shadow Hills Engineering and Design Magnet Academy</t>
  </si>
  <si>
    <t>Dos Caminos Dual Immersion</t>
  </si>
  <si>
    <t>Mesquite Elementary</t>
  </si>
  <si>
    <t>Desert Rose Elementary</t>
  </si>
  <si>
    <t>Innovations Academy of Palmdale</t>
  </si>
  <si>
    <t>Los Amigos - Dual Immersion</t>
  </si>
  <si>
    <t>Rancho del Mar High (Continuation)</t>
  </si>
  <si>
    <t>Lunada Bay Elementary</t>
  </si>
  <si>
    <t>Palos Verdes High</t>
  </si>
  <si>
    <t>Rancho Vista Elementary</t>
  </si>
  <si>
    <t>Silver Spur Elementary</t>
  </si>
  <si>
    <t>Point Vicente Elementary</t>
  </si>
  <si>
    <t>Palos Verdes Peninsula High</t>
  </si>
  <si>
    <t>Palos Verdes Intermediate</t>
  </si>
  <si>
    <t>Soleado Elementary</t>
  </si>
  <si>
    <t>Miraleste Intermediate</t>
  </si>
  <si>
    <t>Montemalaga Elementary</t>
  </si>
  <si>
    <t>Mira Catalina Elementary</t>
  </si>
  <si>
    <t>Ridgecrest Intermediate</t>
  </si>
  <si>
    <t>Dapplegray Elementary</t>
  </si>
  <si>
    <t>Cornerstone at Pedregal Elementary</t>
  </si>
  <si>
    <t>Paramount Unified Community Day</t>
  </si>
  <si>
    <t>Buena Vista High</t>
  </si>
  <si>
    <t>Mark Keppel</t>
  </si>
  <si>
    <t>Wesley Gaines</t>
  </si>
  <si>
    <t>Harry Wirtz Elementary</t>
  </si>
  <si>
    <t>Odyssey STEM Academy</t>
  </si>
  <si>
    <t>Frank J. Zamboni</t>
  </si>
  <si>
    <t>Paramount Park Middle</t>
  </si>
  <si>
    <t>Howard Tanner</t>
  </si>
  <si>
    <t>Theodore Roosevelt</t>
  </si>
  <si>
    <t>Major Lynn Mokler</t>
  </si>
  <si>
    <t>Leona Jackson</t>
  </si>
  <si>
    <t>Los Cerritos</t>
  </si>
  <si>
    <t>Abraham Lincoln</t>
  </si>
  <si>
    <t>Captain Raymond Collins</t>
  </si>
  <si>
    <t>Paramount High</t>
  </si>
  <si>
    <t>Hollydale</t>
  </si>
  <si>
    <t>Alondra Middle</t>
  </si>
  <si>
    <t>Rose City High (Continuation)</t>
  </si>
  <si>
    <t>Charles W. Eliot Middle</t>
  </si>
  <si>
    <t>John Muir High</t>
  </si>
  <si>
    <t>Norma Coombs Elementary</t>
  </si>
  <si>
    <t>Altadena Elementary</t>
  </si>
  <si>
    <t>Don Benito Fundamental</t>
  </si>
  <si>
    <t>Blair High</t>
  </si>
  <si>
    <t>Pasadena High</t>
  </si>
  <si>
    <t>Sierra Madre Elementary</t>
  </si>
  <si>
    <t>CIS Academy</t>
  </si>
  <si>
    <t>Sierra Madre Middle</t>
  </si>
  <si>
    <t>Longfellow (Henry W.) Elementary</t>
  </si>
  <si>
    <t>McKinley</t>
  </si>
  <si>
    <t>San Rafael Elementary</t>
  </si>
  <si>
    <t>Marshall Fundamental</t>
  </si>
  <si>
    <t>Field (Eugene) Elementary</t>
  </si>
  <si>
    <t>Park West High (Continuation)</t>
  </si>
  <si>
    <t>Palomares Academy of Health Science</t>
  </si>
  <si>
    <t>Barfield Elementary</t>
  </si>
  <si>
    <t>Village Academy High School at Indian Hill</t>
  </si>
  <si>
    <t>Ganesha High</t>
  </si>
  <si>
    <t>Montvue Elementary</t>
  </si>
  <si>
    <t>Diamond Point Elementary</t>
  </si>
  <si>
    <t>Lopez Elementary</t>
  </si>
  <si>
    <t>Golden Springs Elementary</t>
  </si>
  <si>
    <t>Harrison Elementary</t>
  </si>
  <si>
    <t>Westmont Elementary</t>
  </si>
  <si>
    <t>Marshall Middle</t>
  </si>
  <si>
    <t>Pomona High</t>
  </si>
  <si>
    <t>Philadelphia Elementary</t>
  </si>
  <si>
    <t>Fremont Academy of Engineering and Design</t>
  </si>
  <si>
    <t>Allison Elementary</t>
  </si>
  <si>
    <t>Lexington Elementary</t>
  </si>
  <si>
    <t>Armstrong Elementary</t>
  </si>
  <si>
    <t>Pantera Elementary</t>
  </si>
  <si>
    <t>Cortez Elementary</t>
  </si>
  <si>
    <t>Decker Elementary</t>
  </si>
  <si>
    <t>Kellogg Polytechnic Elementary</t>
  </si>
  <si>
    <t>Simons Middle</t>
  </si>
  <si>
    <t>Diamond Ranch High</t>
  </si>
  <si>
    <t>Arroyo Elementary</t>
  </si>
  <si>
    <t>Lorbeer Middle</t>
  </si>
  <si>
    <t>Alcott Elementary</t>
  </si>
  <si>
    <t>Garey High</t>
  </si>
  <si>
    <t>Vejar Elementary</t>
  </si>
  <si>
    <t>Ranch Hills Elementary</t>
  </si>
  <si>
    <t>San Jose Elementary</t>
  </si>
  <si>
    <t>La Verne Science and Technology Charter</t>
  </si>
  <si>
    <t>School of Extended Educational Options</t>
  </si>
  <si>
    <t>Pomona Alternative</t>
  </si>
  <si>
    <t>Redondo Beach Learning Academy</t>
  </si>
  <si>
    <t>Patricia Dreizler Continuation High</t>
  </si>
  <si>
    <t>Tulita Elementary</t>
  </si>
  <si>
    <t>Beryl Heights Elementary</t>
  </si>
  <si>
    <t>Redondo Union High</t>
  </si>
  <si>
    <t>Adams Middle</t>
  </si>
  <si>
    <t>Parras (Nick G.) Middle</t>
  </si>
  <si>
    <t>Encinita Elementary</t>
  </si>
  <si>
    <t>Savannah Elementary</t>
  </si>
  <si>
    <t>Emma W. Shuey Elementary</t>
  </si>
  <si>
    <t>Mildred B. Janson Elementary</t>
  </si>
  <si>
    <t>Muscatel Middle</t>
  </si>
  <si>
    <t>Rowland Unified Community Day</t>
  </si>
  <si>
    <t>Santana High (Continuation)</t>
  </si>
  <si>
    <t>Hollingworth Elementary</t>
  </si>
  <si>
    <t>Northam Elementary</t>
  </si>
  <si>
    <t>Villacorta Elementary</t>
  </si>
  <si>
    <t>Jellick Elementary</t>
  </si>
  <si>
    <t>Nogales High</t>
  </si>
  <si>
    <t>Yorbita Elementary</t>
  </si>
  <si>
    <t>Rorimer Elementary</t>
  </si>
  <si>
    <t>Giano Intermediate</t>
  </si>
  <si>
    <t>John A. Rowland High</t>
  </si>
  <si>
    <t>Alvarado Intermediate</t>
  </si>
  <si>
    <t>Hurley Elementary</t>
  </si>
  <si>
    <t>Telesis Academy of Science &amp; Math</t>
  </si>
  <si>
    <t>Shelyn Elementary</t>
  </si>
  <si>
    <t>Killian Elementary</t>
  </si>
  <si>
    <t>Ybarra Academy for the Arts and Technology</t>
  </si>
  <si>
    <t>Rowland Elementary</t>
  </si>
  <si>
    <t>Blandford Elementary</t>
  </si>
  <si>
    <t>Stanley G. Oswalt Academy</t>
  </si>
  <si>
    <t>Rowland Assistive Technology Academy</t>
  </si>
  <si>
    <t>Del Mar High</t>
  </si>
  <si>
    <t>Coolidge Elementary</t>
  </si>
  <si>
    <t>Jefferson Middle</t>
  </si>
  <si>
    <t>Gabrielino High</t>
  </si>
  <si>
    <t>Huntington Middle</t>
  </si>
  <si>
    <t>San Marino High</t>
  </si>
  <si>
    <t>Valentine Elementary</t>
  </si>
  <si>
    <t>Malibu Elementary</t>
  </si>
  <si>
    <t>Malibu High</t>
  </si>
  <si>
    <t>Malibu Middle</t>
  </si>
  <si>
    <t>Olympic High (Continuation)</t>
  </si>
  <si>
    <t>Santa Monica Alternative (K-8)</t>
  </si>
  <si>
    <t>Santa Monica High</t>
  </si>
  <si>
    <t>Skyblue Mesa Elementary</t>
  </si>
  <si>
    <t>Charles Helmers Elementary</t>
  </si>
  <si>
    <t>Santa Clarita Elementary</t>
  </si>
  <si>
    <t>North Park Elementary</t>
  </si>
  <si>
    <t>Rosedell Elementary</t>
  </si>
  <si>
    <t>Emblem Academy</t>
  </si>
  <si>
    <t>Mountainview Elementary</t>
  </si>
  <si>
    <t>Bridgeport Elementary</t>
  </si>
  <si>
    <t>Tesoro del Valle Elementary</t>
  </si>
  <si>
    <t>Cedarcreek Elementary</t>
  </si>
  <si>
    <t>Plum Canyon Elementary</t>
  </si>
  <si>
    <t>West Creek Academy</t>
  </si>
  <si>
    <t>James Foster Elementary</t>
  </si>
  <si>
    <t>South Pasadena Senior High</t>
  </si>
  <si>
    <t>Monterey Hills Elementary</t>
  </si>
  <si>
    <t>Marengo Elementary</t>
  </si>
  <si>
    <t>Arroyo Vista Elementary</t>
  </si>
  <si>
    <t>South Pasadena Middle</t>
  </si>
  <si>
    <t>Lake Marie Elementary</t>
  </si>
  <si>
    <t>Carmela Elementary</t>
  </si>
  <si>
    <t>Richard L. Graves Middle</t>
  </si>
  <si>
    <t>Howard J. McKibben Elementary</t>
  </si>
  <si>
    <t>Monte Vista</t>
  </si>
  <si>
    <t>Leona H. Cox Community Elementary</t>
  </si>
  <si>
    <t>Valley View Community Elementary</t>
  </si>
  <si>
    <t>Sulphur Springs Community Elementary</t>
  </si>
  <si>
    <t>Canyon Springs Community Elementary</t>
  </si>
  <si>
    <t>Mint Canyon Community Elementary</t>
  </si>
  <si>
    <t>Mitchell Community Elementary</t>
  </si>
  <si>
    <t>Pinetree Community Elementary</t>
  </si>
  <si>
    <t>Golden Oak Community</t>
  </si>
  <si>
    <t>Fair Oaks Ranch Community</t>
  </si>
  <si>
    <t>Sulphur Springs Special Education Consortia</t>
  </si>
  <si>
    <t>Dr. Doug Sears Learning Center</t>
  </si>
  <si>
    <t>Temple City Virtual Academy</t>
  </si>
  <si>
    <t>La Rosa Elementary</t>
  </si>
  <si>
    <t>Temple City High</t>
  </si>
  <si>
    <t>Longden Elementary</t>
  </si>
  <si>
    <t>Emperor Elementary</t>
  </si>
  <si>
    <t>Oak Avenue Intermediate</t>
  </si>
  <si>
    <t>Cloverly Elementary</t>
  </si>
  <si>
    <t>Gene Drevno Community Day</t>
  </si>
  <si>
    <t>Shery (Kurt T.) High (Continuation)</t>
  </si>
  <si>
    <t>Yukon Elementary</t>
  </si>
  <si>
    <t>Evelyn Carr Elementary</t>
  </si>
  <si>
    <t>Philip Magruder Middle</t>
  </si>
  <si>
    <t>Arlington Elementary</t>
  </si>
  <si>
    <t>Torrance High</t>
  </si>
  <si>
    <t>Seaside Elementary</t>
  </si>
  <si>
    <t>Fern Elementary</t>
  </si>
  <si>
    <t>Bert M. Lynn Middle</t>
  </si>
  <si>
    <t>Howard Wood Elementary</t>
  </si>
  <si>
    <t>Torrance Elementary</t>
  </si>
  <si>
    <t>Casimir Middle</t>
  </si>
  <si>
    <t>Joseph Arnold Elementary</t>
  </si>
  <si>
    <t>John Adams Elementary</t>
  </si>
  <si>
    <t>Towers Elementary</t>
  </si>
  <si>
    <t>J. H. Hull Middle</t>
  </si>
  <si>
    <t>Walteria Elementary</t>
  </si>
  <si>
    <t>Madrona Middle</t>
  </si>
  <si>
    <t>Anza Elementary</t>
  </si>
  <si>
    <t>Edward J. Richardson Middle</t>
  </si>
  <si>
    <t>Calle Mayor Middle</t>
  </si>
  <si>
    <t>Hickory Elementary</t>
  </si>
  <si>
    <t>New Temple</t>
  </si>
  <si>
    <t>Dean L. Shively</t>
  </si>
  <si>
    <t>Ron Hockwalt Academies (Continuation)</t>
  </si>
  <si>
    <t>Walnut High</t>
  </si>
  <si>
    <t>Diamond Bar High</t>
  </si>
  <si>
    <t>Cyrus J. Morris Elementary</t>
  </si>
  <si>
    <t>Castle Rock Elementary</t>
  </si>
  <si>
    <t>South Pointe Middle</t>
  </si>
  <si>
    <t>Collegewood Elementary</t>
  </si>
  <si>
    <t>Suzanne Middle</t>
  </si>
  <si>
    <t>Maple Hill Elementary</t>
  </si>
  <si>
    <t>Quail Summit Elementary</t>
  </si>
  <si>
    <t>Chaparral Middle</t>
  </si>
  <si>
    <t>Leonard G. Westhoff Elementary</t>
  </si>
  <si>
    <t>West Covina High</t>
  </si>
  <si>
    <t>Edgewood High</t>
  </si>
  <si>
    <t>Hollencrest Middle</t>
  </si>
  <si>
    <t>Edgewood Middle</t>
  </si>
  <si>
    <t>Merced Elementary</t>
  </si>
  <si>
    <t>Vine Elementary</t>
  </si>
  <si>
    <t>Merlinda Elementary</t>
  </si>
  <si>
    <t>Walnut Grove Intermediate</t>
  </si>
  <si>
    <t>Cameron Elementary</t>
  </si>
  <si>
    <t>Wescove Elementary</t>
  </si>
  <si>
    <t>Coronado High (Continuation)</t>
  </si>
  <si>
    <t>Mt. SAC Early College Academy at West Covina</t>
  </si>
  <si>
    <t>Leona Valley Elementary</t>
  </si>
  <si>
    <t>Gregg Anderson Academy</t>
  </si>
  <si>
    <t>Joe Walker Middle</t>
  </si>
  <si>
    <t>Quartz Hill Elementary</t>
  </si>
  <si>
    <t>Cottonwood Elementary</t>
  </si>
  <si>
    <t>Del Sur Senior Elementary</t>
  </si>
  <si>
    <t>Sundown Elementary</t>
  </si>
  <si>
    <t>Anaverde Hills</t>
  </si>
  <si>
    <t>Lou Henry Hoover Elementary</t>
  </si>
  <si>
    <t>Daniel Phelan Elementary</t>
  </si>
  <si>
    <t>Walter F. Dexter Middle</t>
  </si>
  <si>
    <t>Wallen L. Andrews Elementary</t>
  </si>
  <si>
    <t>West Whittier Elementary</t>
  </si>
  <si>
    <t>Mill Elementary</t>
  </si>
  <si>
    <t>Lydia Jackson Elementary</t>
  </si>
  <si>
    <t>Orange Grove Elementary</t>
  </si>
  <si>
    <t>Katherine Edwards Middle</t>
  </si>
  <si>
    <t>Christian Sorensen Elementary</t>
  </si>
  <si>
    <t>Sierra Vista High (Alternative)</t>
  </si>
  <si>
    <t>Pioneer High</t>
  </si>
  <si>
    <t>Whittier High</t>
  </si>
  <si>
    <t>Santa Fe High</t>
  </si>
  <si>
    <t>Frontier High (Continuation)</t>
  </si>
  <si>
    <t>La Serna High</t>
  </si>
  <si>
    <t>Bowman (Jereann) High (Continuation)</t>
  </si>
  <si>
    <t>Castaic High</t>
  </si>
  <si>
    <t>La Mesa Junior High</t>
  </si>
  <si>
    <t>Rio Norte Junior High</t>
  </si>
  <si>
    <t>Valencia High</t>
  </si>
  <si>
    <t>Placerita Junior High</t>
  </si>
  <si>
    <t>Rancho Pico Junior High</t>
  </si>
  <si>
    <t>William S. Hart High</t>
  </si>
  <si>
    <t>Canyon High</t>
  </si>
  <si>
    <t>Sierra Vista Junior High</t>
  </si>
  <si>
    <t>West Ranch High</t>
  </si>
  <si>
    <t>Arroyo Seco Junior High</t>
  </si>
  <si>
    <t>Saugus High</t>
  </si>
  <si>
    <t>Learning Post Academy (Alternative)</t>
  </si>
  <si>
    <t>Academy of the Canyons</t>
  </si>
  <si>
    <t>Wilsona Achievement Academy</t>
  </si>
  <si>
    <t>Vista San Gabriel Elementary</t>
  </si>
  <si>
    <t>Challenger Middle</t>
  </si>
  <si>
    <t>Success Learning Center</t>
  </si>
  <si>
    <t>138th Street</t>
  </si>
  <si>
    <t>Juan Cabrillo Elementary</t>
  </si>
  <si>
    <t>Juan De Anza Elementary</t>
  </si>
  <si>
    <t>Dairyland Elementary</t>
  </si>
  <si>
    <t>Alview Elementary</t>
  </si>
  <si>
    <t>Fresno Flats Community Day</t>
  </si>
  <si>
    <t>Oak Creek Intermediate</t>
  </si>
  <si>
    <t>Wasuma Elementary</t>
  </si>
  <si>
    <t>Oakhurst Elementary</t>
  </si>
  <si>
    <t>North Fork Elementary</t>
  </si>
  <si>
    <t>Spring Valley Elementary</t>
  </si>
  <si>
    <t>Mountain Oaks High</t>
  </si>
  <si>
    <t>Manzanita Community Day</t>
  </si>
  <si>
    <t>Minarets High</t>
  </si>
  <si>
    <t>Minarets Charter High</t>
  </si>
  <si>
    <t>Chawanakee Academy Charter</t>
  </si>
  <si>
    <t>Stephens Elementary</t>
  </si>
  <si>
    <t>Merle L. Fuller Elementary</t>
  </si>
  <si>
    <t>Wilson Middle</t>
  </si>
  <si>
    <t>Fairmead Elementary</t>
  </si>
  <si>
    <t>Lincoln Community Day</t>
  </si>
  <si>
    <t>Valley Children's Hospital</t>
  </si>
  <si>
    <t>Centennial Independent Study</t>
  </si>
  <si>
    <t>Independence Continuation High</t>
  </si>
  <si>
    <t>Ranchos Middle</t>
  </si>
  <si>
    <t>Freedom Home</t>
  </si>
  <si>
    <t>Juvenile Hall (Endeavor/Voyager Secondary)</t>
  </si>
  <si>
    <t>Gould Educational Center</t>
  </si>
  <si>
    <t>Madera County Independent Academy</t>
  </si>
  <si>
    <t>Pioneer Technical Center</t>
  </si>
  <si>
    <t>Enterprise Secondary</t>
  </si>
  <si>
    <t>Ripperdan Community Day</t>
  </si>
  <si>
    <t>Madera Unified Adult Transition Program</t>
  </si>
  <si>
    <t>Mountain Vista High</t>
  </si>
  <si>
    <t>Duane E. Furman Independent Study</t>
  </si>
  <si>
    <t>Matilda Torres High</t>
  </si>
  <si>
    <t>Eastin Arcola Elementary</t>
  </si>
  <si>
    <t>La Vina Elementary</t>
  </si>
  <si>
    <t>Madera High</t>
  </si>
  <si>
    <t>John J. Pershing Elementary</t>
  </si>
  <si>
    <t>James Monroe Elementary</t>
  </si>
  <si>
    <t>Jack G. Desmond Middle</t>
  </si>
  <si>
    <t>Nishimoto Elementary</t>
  </si>
  <si>
    <t>Martin Luther King Jr. Middle</t>
  </si>
  <si>
    <t>Madera South High</t>
  </si>
  <si>
    <t>Dixieland Elementary</t>
  </si>
  <si>
    <t>James Madison Elementary</t>
  </si>
  <si>
    <t>Millview Elementary</t>
  </si>
  <si>
    <t>Alpha Elementary</t>
  </si>
  <si>
    <t>Howard Elementary</t>
  </si>
  <si>
    <t>Parkwood Elementary</t>
  </si>
  <si>
    <t>Virginia Lee Rose Elementary</t>
  </si>
  <si>
    <t>Berenda Elementary</t>
  </si>
  <si>
    <t>Raymond-Knowles Elementary</t>
  </si>
  <si>
    <t>Coarsegold Elementary</t>
  </si>
  <si>
    <t>Yosemite High</t>
  </si>
  <si>
    <t>Ahwahnee High</t>
  </si>
  <si>
    <t>Evergreen High</t>
  </si>
  <si>
    <t>Raymond Granite High</t>
  </si>
  <si>
    <t>Yosemite Falls Education Center</t>
  </si>
  <si>
    <t>Rivergold Elementary</t>
  </si>
  <si>
    <t>Campbell High Community Day</t>
  </si>
  <si>
    <t>Meadowbrook Community Day</t>
  </si>
  <si>
    <t>Bolinas-Stinson Elementary</t>
  </si>
  <si>
    <t>Adaline E. Kent Middle</t>
  </si>
  <si>
    <t>Anthony G. Bacich Elementary</t>
  </si>
  <si>
    <t>Lincoln Union</t>
  </si>
  <si>
    <t>Laguna Elementary</t>
  </si>
  <si>
    <t>San Geronimo Valley Elementary</t>
  </si>
  <si>
    <t>Hall Middle</t>
  </si>
  <si>
    <t>Neil Cummins Elementary</t>
  </si>
  <si>
    <t>Cove</t>
  </si>
  <si>
    <t>Marin County Special Education</t>
  </si>
  <si>
    <t>Marin's Community</t>
  </si>
  <si>
    <t>Marin County Juvenile Court</t>
  </si>
  <si>
    <t>Phoenix Academy</t>
  </si>
  <si>
    <t>Strawberry Point Elementary</t>
  </si>
  <si>
    <t>Tamalpais Valley Elementary</t>
  </si>
  <si>
    <t>Edna Maguire Elementary</t>
  </si>
  <si>
    <t>Mill Valley Middle</t>
  </si>
  <si>
    <t>Old Mill Elementary</t>
  </si>
  <si>
    <t>Lucas Valley Elementary</t>
  </si>
  <si>
    <t>Mary E. Silveira Elementary</t>
  </si>
  <si>
    <t>Miller Creek Middle</t>
  </si>
  <si>
    <t>Vallecito Elementary</t>
  </si>
  <si>
    <t>Nova Education Center</t>
  </si>
  <si>
    <t>Marin Oaks High</t>
  </si>
  <si>
    <t>Lynwood Elementary</t>
  </si>
  <si>
    <t>Olive Elementary</t>
  </si>
  <si>
    <t>Hamilton Meadow Park</t>
  </si>
  <si>
    <t>Lu Sutton Elementary</t>
  </si>
  <si>
    <t>San Ramon Elementary</t>
  </si>
  <si>
    <t>Pleasant Valley Elementary</t>
  </si>
  <si>
    <t>San Jose Intermediate</t>
  </si>
  <si>
    <t>San Marin High</t>
  </si>
  <si>
    <t>Loma Verde Elementary</t>
  </si>
  <si>
    <t>Novato High</t>
  </si>
  <si>
    <t>Rancho Elementary</t>
  </si>
  <si>
    <t>Sinaloa Middle</t>
  </si>
  <si>
    <t>Bel Aire Elementary</t>
  </si>
  <si>
    <t>Reed Elementary</t>
  </si>
  <si>
    <t>Del Mar Middle</t>
  </si>
  <si>
    <t>Manor Elementary</t>
  </si>
  <si>
    <t>Brookside Elementary</t>
  </si>
  <si>
    <t>White Hill Middle</t>
  </si>
  <si>
    <t>Wade Thomas Elementary</t>
  </si>
  <si>
    <t>San Pedro Elementary</t>
  </si>
  <si>
    <t>Laurel Dell Elementary</t>
  </si>
  <si>
    <t>Bahia Vista Elementary</t>
  </si>
  <si>
    <t>Venetia Valley K-8</t>
  </si>
  <si>
    <t>James B. Davidson Middle</t>
  </si>
  <si>
    <t>Sun Valley Elementary</t>
  </si>
  <si>
    <t>Coleman Elementary</t>
  </si>
  <si>
    <t>Madrone High Continuation</t>
  </si>
  <si>
    <t>Terra Linda High</t>
  </si>
  <si>
    <t>San Rafael High</t>
  </si>
  <si>
    <t>Bayside Martin Luther King Jr. Academy</t>
  </si>
  <si>
    <t>Bodega Bay Elementary</t>
  </si>
  <si>
    <t>Tomales Elementary</t>
  </si>
  <si>
    <t>Inverness Elementary</t>
  </si>
  <si>
    <t>Tomales High</t>
  </si>
  <si>
    <t>West Marin Elementary</t>
  </si>
  <si>
    <t>San Andreas High (Continuation)</t>
  </si>
  <si>
    <t>Tamiscal High (Alternative)</t>
  </si>
  <si>
    <t>Archie Williams High</t>
  </si>
  <si>
    <t>Tamalpais High</t>
  </si>
  <si>
    <t>Redwood High</t>
  </si>
  <si>
    <t>Monarch Academy</t>
  </si>
  <si>
    <t>Spring Hill Opportunity</t>
  </si>
  <si>
    <t>Yosemite Park High</t>
  </si>
  <si>
    <t>Coulterville High</t>
  </si>
  <si>
    <t>Yosemite National Park Valley Elementary</t>
  </si>
  <si>
    <t>Greeley Hill Elementary</t>
  </si>
  <si>
    <t>Mariposa County High</t>
  </si>
  <si>
    <t>Lake Don Pedro Elementary</t>
  </si>
  <si>
    <t>Yosemite National Park El Portal</t>
  </si>
  <si>
    <t>Woodland Elementary</t>
  </si>
  <si>
    <t>Spring Hill High (Continuation)</t>
  </si>
  <si>
    <t>Sierra Home</t>
  </si>
  <si>
    <t>Anderson Valley Elementary</t>
  </si>
  <si>
    <t>Anderson Valley Junior-Senior High</t>
  </si>
  <si>
    <t>Rancheria Continuation</t>
  </si>
  <si>
    <t>Arena Elementary</t>
  </si>
  <si>
    <t>Shelter Cove</t>
  </si>
  <si>
    <t>Lighthouse Community Day</t>
  </si>
  <si>
    <t>Noyo High (Continuation)</t>
  </si>
  <si>
    <t>Fort Bragg Middle</t>
  </si>
  <si>
    <t>Fort Bragg High</t>
  </si>
  <si>
    <t>Dana Gray Elementary</t>
  </si>
  <si>
    <t>Spy Rock Elementary</t>
  </si>
  <si>
    <t>Laytonville High</t>
  </si>
  <si>
    <t>Laytonville Continuation High</t>
  </si>
  <si>
    <t>Laytonville Elementary</t>
  </si>
  <si>
    <t>Leggett Valley High</t>
  </si>
  <si>
    <t>Leggett Valley Elementary</t>
  </si>
  <si>
    <t>Whale Gulch Elementary</t>
  </si>
  <si>
    <t>Whale Gulch High</t>
  </si>
  <si>
    <t>Manchester Elementary</t>
  </si>
  <si>
    <t>West Hills Juvenile Hall Court</t>
  </si>
  <si>
    <t>Orr Creek</t>
  </si>
  <si>
    <t>Mendocino County Community</t>
  </si>
  <si>
    <t>Mendocino High</t>
  </si>
  <si>
    <t>Comptche Elementary</t>
  </si>
  <si>
    <t>Mendocino Sunrise High</t>
  </si>
  <si>
    <t>Albion Elementary</t>
  </si>
  <si>
    <t>Mendocino K-8</t>
  </si>
  <si>
    <t>Mendocino Alternative</t>
  </si>
  <si>
    <t>Point Arena High</t>
  </si>
  <si>
    <t>South Coast Continuation</t>
  </si>
  <si>
    <t>Potter Valley High</t>
  </si>
  <si>
    <t>Potter Valley Elementary</t>
  </si>
  <si>
    <t>Potter Valley Junior High</t>
  </si>
  <si>
    <t>Centerville High (Continuation)</t>
  </si>
  <si>
    <t>Round Valley High</t>
  </si>
  <si>
    <t>Round Valley Continuation</t>
  </si>
  <si>
    <t>South Valley High (Continuation)</t>
  </si>
  <si>
    <t>Nokomis Elementary</t>
  </si>
  <si>
    <t>Calpella Elementary</t>
  </si>
  <si>
    <t>Ukiah High</t>
  </si>
  <si>
    <t>Oak Manor Elementary</t>
  </si>
  <si>
    <t>Frank Zeek Elementary</t>
  </si>
  <si>
    <t>Yokayo Elementary</t>
  </si>
  <si>
    <t>Pomolita Middle</t>
  </si>
  <si>
    <t>Grace Hudson Elementary</t>
  </si>
  <si>
    <t>Eagle Peak Middle</t>
  </si>
  <si>
    <t>Ukiah Independent Study Academy</t>
  </si>
  <si>
    <t>Willits High</t>
  </si>
  <si>
    <t>Baechtel Grove Middle</t>
  </si>
  <si>
    <t>Blosser Lane Elementary</t>
  </si>
  <si>
    <t>Sherwood</t>
  </si>
  <si>
    <t>Sanhedrin Alternative</t>
  </si>
  <si>
    <t>Atwater Senior Academy</t>
  </si>
  <si>
    <t>Aileen Colburn Elementary</t>
  </si>
  <si>
    <t>Bellevue Elementary</t>
  </si>
  <si>
    <t>Mitchell Elementary</t>
  </si>
  <si>
    <t>Thomas Olaeta Elementary</t>
  </si>
  <si>
    <t>Elmer Wood Elementary</t>
  </si>
  <si>
    <t>Peggy Heller Elementary</t>
  </si>
  <si>
    <t>Mitchell Intermediate</t>
  </si>
  <si>
    <t>Bellevue Senior Elementary</t>
  </si>
  <si>
    <t>Cressey Elementary</t>
  </si>
  <si>
    <t>Ballico-Cressey Community Charter</t>
  </si>
  <si>
    <t>Schendel Elementary</t>
  </si>
  <si>
    <t>El Capitan Elementary</t>
  </si>
  <si>
    <t>Delhi High</t>
  </si>
  <si>
    <t>Delhi Middle</t>
  </si>
  <si>
    <t>Westside Community Day Middle High</t>
  </si>
  <si>
    <t>Westside High</t>
  </si>
  <si>
    <t>Dos Palos Elementary</t>
  </si>
  <si>
    <t>Dos Palos High</t>
  </si>
  <si>
    <t>Bernhard Marks Elementary</t>
  </si>
  <si>
    <t>Bryant Middle</t>
  </si>
  <si>
    <t>Romero Elementary</t>
  </si>
  <si>
    <t>Gustine High</t>
  </si>
  <si>
    <t>Gustine Middle</t>
  </si>
  <si>
    <t>Gustine Elementary</t>
  </si>
  <si>
    <t>Pioneer High (Continuation)</t>
  </si>
  <si>
    <t>Colony Basic Skills Alternative High</t>
  </si>
  <si>
    <t>Merquin Elementary</t>
  </si>
  <si>
    <t>Irwin High (Continuation)</t>
  </si>
  <si>
    <t>Hilmar High</t>
  </si>
  <si>
    <t>Elim Elementary</t>
  </si>
  <si>
    <t>Hilmar Middle</t>
  </si>
  <si>
    <t>Le Grand Elementary</t>
  </si>
  <si>
    <t>Le Grand High</t>
  </si>
  <si>
    <t>Campus Park Elementary</t>
  </si>
  <si>
    <t>Selma Herndon Elementary</t>
  </si>
  <si>
    <t>Livingston Middle</t>
  </si>
  <si>
    <t>Yamato Colony Elementary</t>
  </si>
  <si>
    <t>San Luis High (Continuation)</t>
  </si>
  <si>
    <t>Crossroads Alternative Education Center</t>
  </si>
  <si>
    <t>Los Banos Elementary</t>
  </si>
  <si>
    <t>Transitional Kindergarten Center</t>
  </si>
  <si>
    <t>Los Banos High</t>
  </si>
  <si>
    <t>Los Banos Junior High</t>
  </si>
  <si>
    <t>Creekside Junior High</t>
  </si>
  <si>
    <t>R. M. Miano Elementary</t>
  </si>
  <si>
    <t>Charleston Elementary</t>
  </si>
  <si>
    <t>Henry Miller Elementary</t>
  </si>
  <si>
    <t>Volta Elementary</t>
  </si>
  <si>
    <t>Mercey Springs Elementary</t>
  </si>
  <si>
    <t>Pacheco High</t>
  </si>
  <si>
    <t>Lorena Falasco Elementary</t>
  </si>
  <si>
    <t>Grasslands Elementary</t>
  </si>
  <si>
    <t>McSwain Elementary</t>
  </si>
  <si>
    <t>Merced City School District Community Day</t>
  </si>
  <si>
    <t>Allan Peterson Elementary</t>
  </si>
  <si>
    <t>Margaret Sheehy Elementary</t>
  </si>
  <si>
    <t>Charles Wright Elementary</t>
  </si>
  <si>
    <t>Rudolph Rivera Middle</t>
  </si>
  <si>
    <t>Leontine Gracey Elementary</t>
  </si>
  <si>
    <t>Alicia Reyes Elementary</t>
  </si>
  <si>
    <t>Don Stowell Elementary</t>
  </si>
  <si>
    <t>Herbert Hoover Middle</t>
  </si>
  <si>
    <t>Donn B. Chenoweth Elementary</t>
  </si>
  <si>
    <t>Ada Givens Elementary</t>
  </si>
  <si>
    <t>Luther Burbank Elementary</t>
  </si>
  <si>
    <t>Herbert H. Cruickshank Middle</t>
  </si>
  <si>
    <t>Joe Stefani</t>
  </si>
  <si>
    <t>Rudolph Rivera Elementary</t>
  </si>
  <si>
    <t>Merced County Juvenile Court</t>
  </si>
  <si>
    <t>Merced County Special Education</t>
  </si>
  <si>
    <t>Valley Atwater Community</t>
  </si>
  <si>
    <t>Valley Los Banos Community</t>
  </si>
  <si>
    <t>Floyd A. Schelby</t>
  </si>
  <si>
    <t>Merced Scholars Charter</t>
  </si>
  <si>
    <t>Come Back Charter</t>
  </si>
  <si>
    <t>Valley Merced Community</t>
  </si>
  <si>
    <t>Sequoia High</t>
  </si>
  <si>
    <t>Yosemite High (Continuation)</t>
  </si>
  <si>
    <t>Livingston High</t>
  </si>
  <si>
    <t>Atwater High</t>
  </si>
  <si>
    <t>Buhach Colony High</t>
  </si>
  <si>
    <t>Merced High</t>
  </si>
  <si>
    <t>El Capitan High</t>
  </si>
  <si>
    <t>Cesar E. Chavez Middle</t>
  </si>
  <si>
    <t>Snelling-Merced Falls Elementary</t>
  </si>
  <si>
    <t>Weaver Middle</t>
  </si>
  <si>
    <t>Sybil N. Crookham Elementary</t>
  </si>
  <si>
    <t>Winfield Elementary</t>
  </si>
  <si>
    <t>Frank Sparkes Elementary</t>
  </si>
  <si>
    <t>Modoc County Special Education</t>
  </si>
  <si>
    <t>State Line Elementary</t>
  </si>
  <si>
    <t>High Desert Community Day</t>
  </si>
  <si>
    <t>Modoc High</t>
  </si>
  <si>
    <t>Modoc Middle</t>
  </si>
  <si>
    <t>Alturas Elementary</t>
  </si>
  <si>
    <t>Warner High</t>
  </si>
  <si>
    <t>Surprise Valley High</t>
  </si>
  <si>
    <t>Surprise Valley Elementary</t>
  </si>
  <si>
    <t>Tulelake High</t>
  </si>
  <si>
    <t>Tulelake Basin Elementary</t>
  </si>
  <si>
    <t>Tulelake Continuation High</t>
  </si>
  <si>
    <t>Edna Beaman Elementary</t>
  </si>
  <si>
    <t>Lee Vining High</t>
  </si>
  <si>
    <t>Coleville High</t>
  </si>
  <si>
    <t>Lee Vining Elementary</t>
  </si>
  <si>
    <t>Mammoth Elementary</t>
  </si>
  <si>
    <t>Mammoth High</t>
  </si>
  <si>
    <t>Mammoth Middle</t>
  </si>
  <si>
    <t>Sierra High (Continuation)</t>
  </si>
  <si>
    <t>Jan Work Community</t>
  </si>
  <si>
    <t>Sawtooth Ridge Community</t>
  </si>
  <si>
    <t>Urban Corps of San Diego County Charter</t>
  </si>
  <si>
    <t>TIOGA Community</t>
  </si>
  <si>
    <t>Virginia Rocca Barton Elementary</t>
  </si>
  <si>
    <t>Dr. Martin Luther King, Jr. Academy</t>
  </si>
  <si>
    <t>Alisal Community</t>
  </si>
  <si>
    <t>Frank Paul Elementary</t>
  </si>
  <si>
    <t>Jesse G. Sanchez Elementary</t>
  </si>
  <si>
    <t>John E. Steinbeck Elementary</t>
  </si>
  <si>
    <t>Oscar F. Loya Elementary</t>
  </si>
  <si>
    <t>Bardin Elementary</t>
  </si>
  <si>
    <t>Monte Bella Elementary</t>
  </si>
  <si>
    <t>Pacific Valley (K-12)</t>
  </si>
  <si>
    <t>Bradley Elementary</t>
  </si>
  <si>
    <t>Carmel Valley High</t>
  </si>
  <si>
    <t>Captain Cooper Elementary</t>
  </si>
  <si>
    <t>Tularcitos Elementary</t>
  </si>
  <si>
    <t>Carmel High</t>
  </si>
  <si>
    <t>Carmel River Elementary</t>
  </si>
  <si>
    <t>Carmel Middle</t>
  </si>
  <si>
    <t>Carmel Child Development Center</t>
  </si>
  <si>
    <t>Chualar Elementary</t>
  </si>
  <si>
    <t>La Gloria Elementary</t>
  </si>
  <si>
    <t>Fairview Middle</t>
  </si>
  <si>
    <t>Gonzales High</t>
  </si>
  <si>
    <t>Mary Chapa Academy</t>
  </si>
  <si>
    <t>Vista Verde Middle</t>
  </si>
  <si>
    <t>Arroyo Seco Academy</t>
  </si>
  <si>
    <t>Oak Avenue Elementary</t>
  </si>
  <si>
    <t>Chalone Peaks Middle</t>
  </si>
  <si>
    <t>King City Arts Magnet</t>
  </si>
  <si>
    <t>Santa Lucia Elementary</t>
  </si>
  <si>
    <t>Phoenix Academy Community Day</t>
  </si>
  <si>
    <t>Wellington M. Smith, Jr.</t>
  </si>
  <si>
    <t>Monterey County Special Education</t>
  </si>
  <si>
    <t>Salinas Community</t>
  </si>
  <si>
    <t>Monterey County Home Charter</t>
  </si>
  <si>
    <t>Monterey Peninsula Unified School District Community Day</t>
  </si>
  <si>
    <t>Monterey Peninsula Unified School District Community Day Middle</t>
  </si>
  <si>
    <t>George C. Marshall Elementary</t>
  </si>
  <si>
    <t>La Mesa Elementary</t>
  </si>
  <si>
    <t>Dual Language Academy of the Monterey Peninsula</t>
  </si>
  <si>
    <t>Ord Terrace Elementary</t>
  </si>
  <si>
    <t>Martin Luther King</t>
  </si>
  <si>
    <t>Central Coast High</t>
  </si>
  <si>
    <t>Seaside High</t>
  </si>
  <si>
    <t>Monterey High</t>
  </si>
  <si>
    <t>Ione Olson Elementary</t>
  </si>
  <si>
    <t>Seaside Middle</t>
  </si>
  <si>
    <t>Del Rey Woods Elementary</t>
  </si>
  <si>
    <t>Walter Colton</t>
  </si>
  <si>
    <t>Los Arboles Middle</t>
  </si>
  <si>
    <t>Marina High</t>
  </si>
  <si>
    <t>J. C. Crumpton Elementary</t>
  </si>
  <si>
    <t>Central Bay High (Continuation)</t>
  </si>
  <si>
    <t>Elkhorn Elementary</t>
  </si>
  <si>
    <t>North Monterey County High</t>
  </si>
  <si>
    <t>North Monterey County Middle</t>
  </si>
  <si>
    <t>Echo Valley Elementary</t>
  </si>
  <si>
    <t>Castroville Elementary</t>
  </si>
  <si>
    <t>Prunedale Elementary</t>
  </si>
  <si>
    <t>North Monterey County Center for Independent Study</t>
  </si>
  <si>
    <t>Community High (Continuation)</t>
  </si>
  <si>
    <t>Forest Grove Elementary</t>
  </si>
  <si>
    <t>Pacific Grove High</t>
  </si>
  <si>
    <t>Robert Down Elementary</t>
  </si>
  <si>
    <t>Pacific Grove Middle</t>
  </si>
  <si>
    <t>Boronda Elementary</t>
  </si>
  <si>
    <t>University Park Elementary</t>
  </si>
  <si>
    <t>Monterey Park Elementary</t>
  </si>
  <si>
    <t>Natividad Elementary</t>
  </si>
  <si>
    <t>Los Padres Elementary</t>
  </si>
  <si>
    <t>El Gabilan Elementary</t>
  </si>
  <si>
    <t>Laurel Wood Elementary</t>
  </si>
  <si>
    <t>Sherwood Elementary</t>
  </si>
  <si>
    <t>Boronda Meadows</t>
  </si>
  <si>
    <t>Mission Park Elementary</t>
  </si>
  <si>
    <t>Henry F. Kammann Elementary</t>
  </si>
  <si>
    <t>Carr Lake Community Day</t>
  </si>
  <si>
    <t>Mount Toro High</t>
  </si>
  <si>
    <t>El Puente</t>
  </si>
  <si>
    <t>Rancho San Juan High</t>
  </si>
  <si>
    <t>Harden Middle</t>
  </si>
  <si>
    <t>El Sausal Middle</t>
  </si>
  <si>
    <t>North Salinas High</t>
  </si>
  <si>
    <t>La Paz Middle</t>
  </si>
  <si>
    <t>Everett Alvarez High</t>
  </si>
  <si>
    <t>Salinas High</t>
  </si>
  <si>
    <t>Alisal High</t>
  </si>
  <si>
    <t>San Ardo Elementary</t>
  </si>
  <si>
    <t>San Lucas Elementary</t>
  </si>
  <si>
    <t>Santa Rita Elementary</t>
  </si>
  <si>
    <t>La Joya Elementary</t>
  </si>
  <si>
    <t>New Republic Elementary</t>
  </si>
  <si>
    <t>McKinnon</t>
  </si>
  <si>
    <t>Gavilan View Middle</t>
  </si>
  <si>
    <t>John Gutierrez Middle</t>
  </si>
  <si>
    <t>Pinnacles High</t>
  </si>
  <si>
    <t>Jack Franscioni Elementary</t>
  </si>
  <si>
    <t>San Vicente Elementary</t>
  </si>
  <si>
    <t>Main Street Middle</t>
  </si>
  <si>
    <t>Gabilan Elementary</t>
  </si>
  <si>
    <t>Rose Ferrero Elementary</t>
  </si>
  <si>
    <t>Soledad High</t>
  </si>
  <si>
    <t>Frank Ledesma Elementary</t>
  </si>
  <si>
    <t>Soledad Transition Center</t>
  </si>
  <si>
    <t>Portola-Butler Continuation High</t>
  </si>
  <si>
    <t>King City High</t>
  </si>
  <si>
    <t>Greenfield High</t>
  </si>
  <si>
    <t>Pinnacle Academy Charter - Independent Study</t>
  </si>
  <si>
    <t>Buena Vista Middle</t>
  </si>
  <si>
    <t>Spreckels Elementary</t>
  </si>
  <si>
    <t>Toro Park Elementary</t>
  </si>
  <si>
    <t>San Benancio Middle</t>
  </si>
  <si>
    <t>Calistoga Junior/Senior High</t>
  </si>
  <si>
    <t>Calistoga Elementary</t>
  </si>
  <si>
    <t>Palisades High (Continuation)</t>
  </si>
  <si>
    <t>Napa County Juvenile Hall/Court</t>
  </si>
  <si>
    <t>Napa County Community</t>
  </si>
  <si>
    <t>Valley Oak High</t>
  </si>
  <si>
    <t>Phillips Elementary</t>
  </si>
  <si>
    <t>Bel Aire Park Elementary</t>
  </si>
  <si>
    <t>Alta Heights Elementary</t>
  </si>
  <si>
    <t>Napa Valley Independent Studies</t>
  </si>
  <si>
    <t>Snow Elementary</t>
  </si>
  <si>
    <t>McPherson Elementary</t>
  </si>
  <si>
    <t>Shearer Elementary</t>
  </si>
  <si>
    <t>New Technology High</t>
  </si>
  <si>
    <t>Browns Valley Elementary</t>
  </si>
  <si>
    <t>River Middle</t>
  </si>
  <si>
    <t>Northwood Elementary</t>
  </si>
  <si>
    <t>Vichy Elementary</t>
  </si>
  <si>
    <t>Redwood Middle</t>
  </si>
  <si>
    <t>Harvest Middle</t>
  </si>
  <si>
    <t>American Canyon High</t>
  </si>
  <si>
    <t>Napa Junction Elementary</t>
  </si>
  <si>
    <t>Napa High</t>
  </si>
  <si>
    <t>Napa Valley Language Academy</t>
  </si>
  <si>
    <t>Silverado Middle</t>
  </si>
  <si>
    <t>Vintage High</t>
  </si>
  <si>
    <t>Canyon Oaks Elementary</t>
  </si>
  <si>
    <t>Donaldson Way Elementary</t>
  </si>
  <si>
    <t>Pueblo Vista Elementary</t>
  </si>
  <si>
    <t>American Canyon Middle</t>
  </si>
  <si>
    <t>Pope Valley Elementary</t>
  </si>
  <si>
    <t>Robert Louis Stevenson Intermediate</t>
  </si>
  <si>
    <t>Saint Helena High</t>
  </si>
  <si>
    <t>Saint Helena Elementary</t>
  </si>
  <si>
    <t>Saint Helena Primary</t>
  </si>
  <si>
    <t>Chicago Park Community Charter</t>
  </si>
  <si>
    <t>Margaret G. Scotten Elementary</t>
  </si>
  <si>
    <t>Bell Hill Academy</t>
  </si>
  <si>
    <t>Grass Valley Charter</t>
  </si>
  <si>
    <t>Lyman Gilmore Middle</t>
  </si>
  <si>
    <t>Deer Creek Elementary</t>
  </si>
  <si>
    <t>Seven Hills Intermediate</t>
  </si>
  <si>
    <t>Earle Jamieson Educational Options</t>
  </si>
  <si>
    <t>Nevada County Special Education</t>
  </si>
  <si>
    <t>Sugarloaf Mountain, Juvenile Hall Program</t>
  </si>
  <si>
    <t>Bitney Prep High</t>
  </si>
  <si>
    <t>Forest Charter</t>
  </si>
  <si>
    <t>Twin Ridges Home Study Charter</t>
  </si>
  <si>
    <t>Silver Springs High (Continuation)</t>
  </si>
  <si>
    <t>Bear River High</t>
  </si>
  <si>
    <t>Nevada Union High</t>
  </si>
  <si>
    <t>North Point Academy</t>
  </si>
  <si>
    <t>William &amp; Marian Ghidotti High</t>
  </si>
  <si>
    <t>Williams Ranch Elementary</t>
  </si>
  <si>
    <t>Ready Springs Elementary</t>
  </si>
  <si>
    <t>Vantage Point Charter</t>
  </si>
  <si>
    <t>Cottage Hill Elementary</t>
  </si>
  <si>
    <t>Alta Sierra Elementary</t>
  </si>
  <si>
    <t>Arete Charter Academy</t>
  </si>
  <si>
    <t>Magnolia Intermediate</t>
  </si>
  <si>
    <t>Grizzly Hill</t>
  </si>
  <si>
    <t>Union Hill Middle</t>
  </si>
  <si>
    <t>Roosevelt (Theodore) Elementary</t>
  </si>
  <si>
    <t>Ross (Betsy) Elementary</t>
  </si>
  <si>
    <t>Olive Street Elementary</t>
  </si>
  <si>
    <t>Revere (Paul) Elementary</t>
  </si>
  <si>
    <t>Loara Elementary</t>
  </si>
  <si>
    <t>Madison (James) Elementary</t>
  </si>
  <si>
    <t>Henry (Patrick) Elementary</t>
  </si>
  <si>
    <t>Marshall (John) Elementary</t>
  </si>
  <si>
    <t>Gauer (Melbourne A.) Elementary</t>
  </si>
  <si>
    <t>Jefferson (Thomas) Elementary</t>
  </si>
  <si>
    <t>Stoddard (Alexander J.) Elementary</t>
  </si>
  <si>
    <t>Franklin (Benjamin) Elementary</t>
  </si>
  <si>
    <t>Guinn (James M.) Elementary</t>
  </si>
  <si>
    <t>Barton (Clara) Elementary</t>
  </si>
  <si>
    <t>Mann (Horace) Elementary</t>
  </si>
  <si>
    <t>Lincoln (Abraham) Elementary</t>
  </si>
  <si>
    <t>Edison (Thomas) Elementary</t>
  </si>
  <si>
    <t>Ponderosa Elementary</t>
  </si>
  <si>
    <t>Price (Adelaide) Elementary</t>
  </si>
  <si>
    <t>Anaheim Elementary Online Academy</t>
  </si>
  <si>
    <t>Hope</t>
  </si>
  <si>
    <t>Polaris High</t>
  </si>
  <si>
    <t>Gilbert High (Continuation)</t>
  </si>
  <si>
    <t>Orangeview Junior High</t>
  </si>
  <si>
    <t>Magnolia High</t>
  </si>
  <si>
    <t>Dale Junior High</t>
  </si>
  <si>
    <t>Ball Junior High</t>
  </si>
  <si>
    <t>Loara High</t>
  </si>
  <si>
    <t>Sycamore Junior High</t>
  </si>
  <si>
    <t>Savanna High</t>
  </si>
  <si>
    <t>Brookhurst Junior High</t>
  </si>
  <si>
    <t>Western High</t>
  </si>
  <si>
    <t>Anaheim High</t>
  </si>
  <si>
    <t>South Junior High</t>
  </si>
  <si>
    <t>Walker Junior High</t>
  </si>
  <si>
    <t>Katella High</t>
  </si>
  <si>
    <t>Cypress High</t>
  </si>
  <si>
    <t>Oxford Academy</t>
  </si>
  <si>
    <t>Lexington Junior High</t>
  </si>
  <si>
    <t>Brea Canyon High (Continuation)</t>
  </si>
  <si>
    <t>Laurel Elementary Magnet School of Innovation and Career Exploration</t>
  </si>
  <si>
    <t>Arovista Elementary</t>
  </si>
  <si>
    <t>Brea Olinda High</t>
  </si>
  <si>
    <t>Falcon Academy of Science and Technology</t>
  </si>
  <si>
    <t>Brea Country Hills Elementary</t>
  </si>
  <si>
    <t>Brea Junior High</t>
  </si>
  <si>
    <t>BOUSD Online Academy</t>
  </si>
  <si>
    <t>Mabel L. Pendleton Elementary</t>
  </si>
  <si>
    <t>Carl E. Gilbert Elementary</t>
  </si>
  <si>
    <t>Gordon H. Beatty Middle</t>
  </si>
  <si>
    <t>Arthur F. Corey Elementary</t>
  </si>
  <si>
    <t>James A. Whitaker Elementary</t>
  </si>
  <si>
    <t>Buena Park Middle</t>
  </si>
  <si>
    <t>Charles G. Emery Elementary</t>
  </si>
  <si>
    <t>Buena Park Learning Center</t>
  </si>
  <si>
    <t>Richard Henry Dana Exceptional Needs</t>
  </si>
  <si>
    <t>Capistrano Union High</t>
  </si>
  <si>
    <t>Esencia Middle</t>
  </si>
  <si>
    <t>Carl Hankey Middle</t>
  </si>
  <si>
    <t>Del Obispo Elementary</t>
  </si>
  <si>
    <t>Clarence Lobo Elementary</t>
  </si>
  <si>
    <t>Shorecliffs Middle</t>
  </si>
  <si>
    <t>Arroyo Vista Middle</t>
  </si>
  <si>
    <t>Niguel Hills Middle</t>
  </si>
  <si>
    <t>Richard Henry Dana Elementary</t>
  </si>
  <si>
    <t>Palisades Elementary</t>
  </si>
  <si>
    <t>Kinoshita Elementary</t>
  </si>
  <si>
    <t>Harold Ambuehl Elementary</t>
  </si>
  <si>
    <t>Marblehead Elementary</t>
  </si>
  <si>
    <t>Las Flores Middle</t>
  </si>
  <si>
    <t>Wood Canyon Elementary</t>
  </si>
  <si>
    <t>Marco Forster Middle</t>
  </si>
  <si>
    <t>Newhart Middle</t>
  </si>
  <si>
    <t>Canyon Vista Elementary</t>
  </si>
  <si>
    <t>Laguna Niguel Elementary</t>
  </si>
  <si>
    <t>Philip J. Reilly Elementary</t>
  </si>
  <si>
    <t>Ladera Ranch Elementary</t>
  </si>
  <si>
    <t>Aliso Viejo Middle</t>
  </si>
  <si>
    <t>Truman Benedict Elementary</t>
  </si>
  <si>
    <t>Vista del Mar Middle</t>
  </si>
  <si>
    <t>Tijeras Creek Elementary</t>
  </si>
  <si>
    <t>John Malcom Elementary</t>
  </si>
  <si>
    <t>Capistrano Valley High</t>
  </si>
  <si>
    <t>Don Juan Avila Middle</t>
  </si>
  <si>
    <t>George White Elementary</t>
  </si>
  <si>
    <t>Bernice Ayer Middle</t>
  </si>
  <si>
    <t>Vista del Mar Elementary</t>
  </si>
  <si>
    <t>Dana Hills High</t>
  </si>
  <si>
    <t>Wagon Wheel Elementary</t>
  </si>
  <si>
    <t>Aliso Niguel High</t>
  </si>
  <si>
    <t>Castille Elementary</t>
  </si>
  <si>
    <t>California Preparatory Academy</t>
  </si>
  <si>
    <t>Moulton Elementary</t>
  </si>
  <si>
    <t>Marian Bergeson Elementary</t>
  </si>
  <si>
    <t>Ladera Ranch Middle</t>
  </si>
  <si>
    <t>Carl Hankey Elementary</t>
  </si>
  <si>
    <t>Tesoro High</t>
  </si>
  <si>
    <t>San Clemente High</t>
  </si>
  <si>
    <t>Concordia Elementary</t>
  </si>
  <si>
    <t>Las Palmas Elementary</t>
  </si>
  <si>
    <t>San Juan Elementary</t>
  </si>
  <si>
    <t>Viejo Elementary</t>
  </si>
  <si>
    <t>Oso Grande Elementary</t>
  </si>
  <si>
    <t>San Juan Hills High</t>
  </si>
  <si>
    <t>Bathgate Elementary</t>
  </si>
  <si>
    <t>Don Juan Avila Elementary</t>
  </si>
  <si>
    <t>Esencia</t>
  </si>
  <si>
    <t>Capistrano Home/Virtual</t>
  </si>
  <si>
    <t>Raymond Temple Elementary</t>
  </si>
  <si>
    <t>Danbrook Elementary</t>
  </si>
  <si>
    <t>George B. Miller Elementary</t>
  </si>
  <si>
    <t>San Marino Elementary</t>
  </si>
  <si>
    <t>Buena Terra Elementary</t>
  </si>
  <si>
    <t>Glen H. Dysinger Sr. Elementary</t>
  </si>
  <si>
    <t>Los Coyotes Elementary</t>
  </si>
  <si>
    <t>Steve Luther Elementary</t>
  </si>
  <si>
    <t>Clara J. King Elementary</t>
  </si>
  <si>
    <t>A. E. Arnold Elementary</t>
  </si>
  <si>
    <t>Frank Vessels Elementary</t>
  </si>
  <si>
    <t>Juliet Morris Elementary</t>
  </si>
  <si>
    <t>Margaret Landell Elementary</t>
  </si>
  <si>
    <t>Newland (William T.) Elementary</t>
  </si>
  <si>
    <t>Gisler (Robert) Elementary</t>
  </si>
  <si>
    <t>Oka (Isojiro) Elementary</t>
  </si>
  <si>
    <t>Courreges (Roch) Elementary</t>
  </si>
  <si>
    <t>Tamura (Hisamatsu) Elementary</t>
  </si>
  <si>
    <t>Plavan (Urbain H.) Elementary</t>
  </si>
  <si>
    <t>Talbert (Samuel E.) Middle</t>
  </si>
  <si>
    <t>Cox (James H.) Elementary</t>
  </si>
  <si>
    <t>Masuda (Kazuo) Middle</t>
  </si>
  <si>
    <t>Fulton (Harry C.) Middle</t>
  </si>
  <si>
    <t>Commonwealth Elementary</t>
  </si>
  <si>
    <t>Richman Elementary</t>
  </si>
  <si>
    <t>Orangethorpe Elementary</t>
  </si>
  <si>
    <t>Nicolas Junior High</t>
  </si>
  <si>
    <t>Pacific Drive Elementary</t>
  </si>
  <si>
    <t>Valencia Park Elementary</t>
  </si>
  <si>
    <t>Ladera Vista Junior High School of the Arts</t>
  </si>
  <si>
    <t>Hermosa Drive Elementary</t>
  </si>
  <si>
    <t>Rolling Hills Elementary</t>
  </si>
  <si>
    <t>Fern Drive Elementary</t>
  </si>
  <si>
    <t>Sunset Lane Elementary</t>
  </si>
  <si>
    <t>Golden Hill Elementary</t>
  </si>
  <si>
    <t>Beechwood Elementary</t>
  </si>
  <si>
    <t>D. Russell Parks Junior High</t>
  </si>
  <si>
    <t>Robert C. Fisler Elementary</t>
  </si>
  <si>
    <t>Laguna Road Elementary</t>
  </si>
  <si>
    <t>Acacia Elementary</t>
  </si>
  <si>
    <t>Raymond Elementary</t>
  </si>
  <si>
    <t>La Vista High (Continuation)</t>
  </si>
  <si>
    <t>La Sierra High (Alternative)</t>
  </si>
  <si>
    <t>Fullerton Union High</t>
  </si>
  <si>
    <t>Troy High</t>
  </si>
  <si>
    <t>Sonora High</t>
  </si>
  <si>
    <t>Buena Park High</t>
  </si>
  <si>
    <t>La Habra High</t>
  </si>
  <si>
    <t>Sunny Hills High</t>
  </si>
  <si>
    <t>Mark Twain Special Center</t>
  </si>
  <si>
    <t>Jordan Secondary Learning Center</t>
  </si>
  <si>
    <t>Marie L. Hare High</t>
  </si>
  <si>
    <t>Woodbury Elementary</t>
  </si>
  <si>
    <t>Merton E. Hill Elementary</t>
  </si>
  <si>
    <t>James Irvine Intermediate</t>
  </si>
  <si>
    <t>Thomas Paine Elementary</t>
  </si>
  <si>
    <t>Dr. Walter C. Ralston Intermediate</t>
  </si>
  <si>
    <t>Earl Warren Elementary</t>
  </si>
  <si>
    <t>Los Amigos High</t>
  </si>
  <si>
    <t>Rancho Alamitos High</t>
  </si>
  <si>
    <t>Ernest O. Lawrence Elementary</t>
  </si>
  <si>
    <t>Linton T. Simmons Elementary</t>
  </si>
  <si>
    <t>Louis G. Zeyen Elementary</t>
  </si>
  <si>
    <t>Wakeham Elementary</t>
  </si>
  <si>
    <t>Alamitos Intermediate</t>
  </si>
  <si>
    <t>Stephen R. Fitz Intermediate</t>
  </si>
  <si>
    <t>Mamie L. Northcutt Elementary</t>
  </si>
  <si>
    <t>Newhope Elementary</t>
  </si>
  <si>
    <t>Gilbert Elementary</t>
  </si>
  <si>
    <t>Pacifica High</t>
  </si>
  <si>
    <t>A. G. Cook Elementary</t>
  </si>
  <si>
    <t>Hilton D. Bell Intermediate</t>
  </si>
  <si>
    <t>Santiago High</t>
  </si>
  <si>
    <t>Heritage Elementary</t>
  </si>
  <si>
    <t>Brookhurst Elementary</t>
  </si>
  <si>
    <t>R. F. Hazard Elementary</t>
  </si>
  <si>
    <t>C. C. Violette Elementary</t>
  </si>
  <si>
    <t>Bolsa Grande High</t>
  </si>
  <si>
    <t>Louis Lake Intermediate</t>
  </si>
  <si>
    <t>Excelsior Elementary</t>
  </si>
  <si>
    <t>Leo Carrillo Elementary</t>
  </si>
  <si>
    <t>Donald S. Jordan Intermediate</t>
  </si>
  <si>
    <t>Genevieve M. Crosby Elementary</t>
  </si>
  <si>
    <t>Faylane Elementary</t>
  </si>
  <si>
    <t>Izaak Walton Intermediate</t>
  </si>
  <si>
    <t>La Quinta High</t>
  </si>
  <si>
    <t>Enders Elementary</t>
  </si>
  <si>
    <t>Clinton Elementary</t>
  </si>
  <si>
    <t>Leroy L. Doig Intermediate</t>
  </si>
  <si>
    <t>Post Elementary</t>
  </si>
  <si>
    <t>Rosita Elementary</t>
  </si>
  <si>
    <t>Agnes Ware Stanley Elementary</t>
  </si>
  <si>
    <t>Dwight D. Eisenhower Elementary</t>
  </si>
  <si>
    <t>Garden Grove High</t>
  </si>
  <si>
    <t>Sunnyside Elementary</t>
  </si>
  <si>
    <t>Garden Park Elementary</t>
  </si>
  <si>
    <t>Stanford Elementary</t>
  </si>
  <si>
    <t>Ocia A. Peters Elementary</t>
  </si>
  <si>
    <t>John Murdy Elementary</t>
  </si>
  <si>
    <t>Sarah McGarvin Intermediate</t>
  </si>
  <si>
    <t>Ethel M. Evans Elementary</t>
  </si>
  <si>
    <t>Loyal Barker Elementary</t>
  </si>
  <si>
    <t>Edward Russell Elementary</t>
  </si>
  <si>
    <t>Patton Elementary</t>
  </si>
  <si>
    <t>Ethan B. Allen Elementary</t>
  </si>
  <si>
    <t>Isaac L. Sowers Middle</t>
  </si>
  <si>
    <t>Agnes L. Smith Elementary</t>
  </si>
  <si>
    <t>John H. Eader Elementary</t>
  </si>
  <si>
    <t>Ralph E. Hawes Elementary</t>
  </si>
  <si>
    <t>John R. Peterson Elementary</t>
  </si>
  <si>
    <t>S. A. Moffett Elementary</t>
  </si>
  <si>
    <t>Ethel Dwyer Middle</t>
  </si>
  <si>
    <t>Huntington Seacliff Elementary</t>
  </si>
  <si>
    <t>Coast High</t>
  </si>
  <si>
    <t>Valley Vista High (Continuation)</t>
  </si>
  <si>
    <t>Ocean View High</t>
  </si>
  <si>
    <t>Westminster High</t>
  </si>
  <si>
    <t>Huntington Beach High</t>
  </si>
  <si>
    <t>Fountain Valley High</t>
  </si>
  <si>
    <t>Creekside High</t>
  </si>
  <si>
    <t>Springbrook Elementary</t>
  </si>
  <si>
    <t>Bonita Canyon Elementary</t>
  </si>
  <si>
    <t>Brywood Elementary</t>
  </si>
  <si>
    <t>Irvine High</t>
  </si>
  <si>
    <t>Culverdale Elementary</t>
  </si>
  <si>
    <t>Deerfield Elementary</t>
  </si>
  <si>
    <t>Loma Ridge</t>
  </si>
  <si>
    <t>South Lake Middle</t>
  </si>
  <si>
    <t>Greentree Elementary</t>
  </si>
  <si>
    <t>Eastshore Elementary</t>
  </si>
  <si>
    <t>Portola Springs Elementary</t>
  </si>
  <si>
    <t>Meadow Park Elementary</t>
  </si>
  <si>
    <t>Venado Middle</t>
  </si>
  <si>
    <t>Oak Creek Elementary</t>
  </si>
  <si>
    <t>College Park Elementary</t>
  </si>
  <si>
    <t>Santiago Hills Elementary</t>
  </si>
  <si>
    <t>Rancho San Joaquin Middle</t>
  </si>
  <si>
    <t>Vista Verde</t>
  </si>
  <si>
    <t>Stonegate Elementary</t>
  </si>
  <si>
    <t>Beacon Park</t>
  </si>
  <si>
    <t>Jeffrey Trail Middle</t>
  </si>
  <si>
    <t>Plaza Vista</t>
  </si>
  <si>
    <t>Canyon View Elementary</t>
  </si>
  <si>
    <t>Cypress Village Elementary</t>
  </si>
  <si>
    <t>Turtle Rock Elementary</t>
  </si>
  <si>
    <t>Stone Creek Elementary</t>
  </si>
  <si>
    <t>Alderwood Elementary</t>
  </si>
  <si>
    <t>Woodbridge High</t>
  </si>
  <si>
    <t>Cadence Park</t>
  </si>
  <si>
    <t>Northwood High</t>
  </si>
  <si>
    <t>Portola High</t>
  </si>
  <si>
    <t>Alternative Education-San Joaquin High</t>
  </si>
  <si>
    <t>Irvine Adult Transition Programs</t>
  </si>
  <si>
    <t>Las Lomas Elementary</t>
  </si>
  <si>
    <t>Imperial Middle</t>
  </si>
  <si>
    <t>Las Positas Elementary</t>
  </si>
  <si>
    <t>El Cerrito Elementary</t>
  </si>
  <si>
    <t>Arbolita Elementary</t>
  </si>
  <si>
    <t>Ladera Palma Elementary</t>
  </si>
  <si>
    <t>El Morro Elementary</t>
  </si>
  <si>
    <t>Top of the World Elementary</t>
  </si>
  <si>
    <t>Laguna Beach High</t>
  </si>
  <si>
    <t>Thurston Middle</t>
  </si>
  <si>
    <t>J. H. McGaugh Elementary</t>
  </si>
  <si>
    <t>Los Alamitos Elementary</t>
  </si>
  <si>
    <t>Rossmoor Elementary</t>
  </si>
  <si>
    <t>Francis Hopkinson Elementary</t>
  </si>
  <si>
    <t>Los Alamitos High</t>
  </si>
  <si>
    <t>Jack L. Weaver Elementary</t>
  </si>
  <si>
    <t>Sharon Christa McAuliffe Middle</t>
  </si>
  <si>
    <t>Richard Henry Lee Elementary</t>
  </si>
  <si>
    <t>Oak Middle</t>
  </si>
  <si>
    <t>Olita Elementary</t>
  </si>
  <si>
    <t>Macy Elementary</t>
  </si>
  <si>
    <t>Meadow Green Elementary</t>
  </si>
  <si>
    <t>El Portal Elementary</t>
  </si>
  <si>
    <t>Jordan Elementary</t>
  </si>
  <si>
    <t>Rancho-Starbuck Intermediate</t>
  </si>
  <si>
    <t>Lord Baden-Powell</t>
  </si>
  <si>
    <t>Dr. Jonas E. Salk</t>
  </si>
  <si>
    <t>Esther L. Walter</t>
  </si>
  <si>
    <t>Juliette Low School of the Arts</t>
  </si>
  <si>
    <t>Mattie Lou Maxwell</t>
  </si>
  <si>
    <t>Dr. Albert Schweitzer</t>
  </si>
  <si>
    <t>Walt Disney</t>
  </si>
  <si>
    <t>Dr. Peter Marshall</t>
  </si>
  <si>
    <t>Robert M. Pyles STEM Academy</t>
  </si>
  <si>
    <t>Monte Vista High/Cloud Campus</t>
  </si>
  <si>
    <t>Back Bay High</t>
  </si>
  <si>
    <t>Victoria Elementary</t>
  </si>
  <si>
    <t>Killybrooke Elementary</t>
  </si>
  <si>
    <t>Harbor View Elementary</t>
  </si>
  <si>
    <t>Roy O. Andersen Elementary</t>
  </si>
  <si>
    <t>Paularino Elementary</t>
  </si>
  <si>
    <t>Adams Elementary</t>
  </si>
  <si>
    <t>Everett A. Rea Elementary</t>
  </si>
  <si>
    <t>Newport Elementary</t>
  </si>
  <si>
    <t>Charles W. Tewinkle Middle</t>
  </si>
  <si>
    <t>Maude B. Davis Elementary</t>
  </si>
  <si>
    <t>Pomona Elementary</t>
  </si>
  <si>
    <t>Estancia High</t>
  </si>
  <si>
    <t>Eastbluff Elementary</t>
  </si>
  <si>
    <t>Newport Coast Elementary</t>
  </si>
  <si>
    <t>Newport Heights Elementary</t>
  </si>
  <si>
    <t>Mariners Elementary</t>
  </si>
  <si>
    <t>Costa Mesa High</t>
  </si>
  <si>
    <t>Heinz Kaiser Elementary</t>
  </si>
  <si>
    <t>Early College High</t>
  </si>
  <si>
    <t>Corona del Mar High</t>
  </si>
  <si>
    <t>Horace Ensign Intermediate</t>
  </si>
  <si>
    <t>Newport Harbor High</t>
  </si>
  <si>
    <t>College View Elementary</t>
  </si>
  <si>
    <t>Oak View Elementary</t>
  </si>
  <si>
    <t>Village View Elementary</t>
  </si>
  <si>
    <t>Hope View Elementary</t>
  </si>
  <si>
    <t>Harbour View Elementary</t>
  </si>
  <si>
    <t>Lake View Elementary</t>
  </si>
  <si>
    <t>Spring View Middle</t>
  </si>
  <si>
    <t>Vista View Middle</t>
  </si>
  <si>
    <t>Star View Elementary</t>
  </si>
  <si>
    <t>Marine View Middle</t>
  </si>
  <si>
    <t>Circle View Elementary</t>
  </si>
  <si>
    <t>Mesa View Middle</t>
  </si>
  <si>
    <t>Orange County Special Education</t>
  </si>
  <si>
    <t>ACCESS Juvenile Hall</t>
  </si>
  <si>
    <t>ACCESS County Community</t>
  </si>
  <si>
    <t>College and Career Preparatory Academy</t>
  </si>
  <si>
    <t>OCCS:CHEP/PCHS</t>
  </si>
  <si>
    <t>Canyon Hills</t>
  </si>
  <si>
    <t>OUSD Community Day</t>
  </si>
  <si>
    <t>OUSD EDGE Virtual Academy</t>
  </si>
  <si>
    <t>Richland Continuation High</t>
  </si>
  <si>
    <t>Esplanade Elementary</t>
  </si>
  <si>
    <t>Portola Middle</t>
  </si>
  <si>
    <t>Orange High</t>
  </si>
  <si>
    <t>OUSD Home Sch</t>
  </si>
  <si>
    <t>Handy Elementary</t>
  </si>
  <si>
    <t>La Veta Elementary</t>
  </si>
  <si>
    <t>McPherson Magnet</t>
  </si>
  <si>
    <t>Yorba Middle</t>
  </si>
  <si>
    <t>Linda Vista Elementary</t>
  </si>
  <si>
    <t>Running Springs Elementary</t>
  </si>
  <si>
    <t>Fletcher Elementary</t>
  </si>
  <si>
    <t>Crescent Elementary</t>
  </si>
  <si>
    <t>Villa Park Elementary</t>
  </si>
  <si>
    <t>West Orange Elementary</t>
  </si>
  <si>
    <t>Jordan Academy of Language and Computer Science</t>
  </si>
  <si>
    <t>California iInspire Academy</t>
  </si>
  <si>
    <t>El Modena High</t>
  </si>
  <si>
    <t>Fairhaven Elementary</t>
  </si>
  <si>
    <t>Taft Elementary</t>
  </si>
  <si>
    <t>Panorama Elementary</t>
  </si>
  <si>
    <t>Lampson Elementary</t>
  </si>
  <si>
    <t>Villa Park High</t>
  </si>
  <si>
    <t>Cerro Villa Middle</t>
  </si>
  <si>
    <t>Palmyra Elementary</t>
  </si>
  <si>
    <t>Canyon Rim Elementary</t>
  </si>
  <si>
    <t>Serrano Elementary</t>
  </si>
  <si>
    <t>Nohl Canyon Elementary</t>
  </si>
  <si>
    <t>Chapman Hills Elementary</t>
  </si>
  <si>
    <t>Anaheim Hills Elementary</t>
  </si>
  <si>
    <t>Prospect Elementary</t>
  </si>
  <si>
    <t>El Rancho Charter</t>
  </si>
  <si>
    <t>Orange Unified Pre-K SDC</t>
  </si>
  <si>
    <t>George Key</t>
  </si>
  <si>
    <t>El Camino Real Continuation High</t>
  </si>
  <si>
    <t>Mabel M. Paine Elementary</t>
  </si>
  <si>
    <t>Ruby Drive Elementary</t>
  </si>
  <si>
    <t>Esperanza High</t>
  </si>
  <si>
    <t>Charles Wagner Elementary</t>
  </si>
  <si>
    <t>Melrose Elementary</t>
  </si>
  <si>
    <t>John O. Tynes Elementary</t>
  </si>
  <si>
    <t>Yorba Linda High</t>
  </si>
  <si>
    <t>Rose Drive Elementary</t>
  </si>
  <si>
    <t>Topaz Elementary</t>
  </si>
  <si>
    <t>Morse Elementary</t>
  </si>
  <si>
    <t>Woodsboro Elementary</t>
  </si>
  <si>
    <t>Brookhaven Elementary</t>
  </si>
  <si>
    <t>Yorba Linda Middle</t>
  </si>
  <si>
    <t>Bernardo Yorba Middle</t>
  </si>
  <si>
    <t>Bryant Ranch Elementary</t>
  </si>
  <si>
    <t>Van Buren Elementary</t>
  </si>
  <si>
    <t>Col. J. K. Tuffree Middle</t>
  </si>
  <si>
    <t>Glenknoll Elementary</t>
  </si>
  <si>
    <t>Travis Ranch</t>
  </si>
  <si>
    <t>Valadez Middle School Academy</t>
  </si>
  <si>
    <t>Golden Elementary</t>
  </si>
  <si>
    <t>Kraemer Middle</t>
  </si>
  <si>
    <t>Buena Vista Virtual Academy</t>
  </si>
  <si>
    <t>Parkview</t>
  </si>
  <si>
    <t>Esperanza Education Center</t>
  </si>
  <si>
    <t>Silverado High</t>
  </si>
  <si>
    <t>Trabuco Elementary</t>
  </si>
  <si>
    <t>Linda Vista Magnet Elementary</t>
  </si>
  <si>
    <t>Cordillera Elementary</t>
  </si>
  <si>
    <t>Olivewood Elementary</t>
  </si>
  <si>
    <t>Glen Yermo Elementary</t>
  </si>
  <si>
    <t>Laguna Hills High</t>
  </si>
  <si>
    <t>Mission Viejo High</t>
  </si>
  <si>
    <t>Los Alisos Intermediate</t>
  </si>
  <si>
    <t>El Toro High</t>
  </si>
  <si>
    <t>Valencia Elementary</t>
  </si>
  <si>
    <t>Trabuco Hills High</t>
  </si>
  <si>
    <t>La Paz Intermediate</t>
  </si>
  <si>
    <t>SVUSD Virtual Academy (Alternative)</t>
  </si>
  <si>
    <t>Rancho Santa Margarita Intermediate</t>
  </si>
  <si>
    <t>Serrano Intermediate</t>
  </si>
  <si>
    <t>Del Cerro Elementary</t>
  </si>
  <si>
    <t>Del Lago Elementary</t>
  </si>
  <si>
    <t>De Portola Elementary</t>
  </si>
  <si>
    <t>Foothill Ranch Elementary</t>
  </si>
  <si>
    <t>Lomarena Elementary</t>
  </si>
  <si>
    <t>Melinda Heights Elementary</t>
  </si>
  <si>
    <t>Santiago STEAM Magnet Elementary</t>
  </si>
  <si>
    <t>Rancho Canada Elementary</t>
  </si>
  <si>
    <t>Portola Hills Elementary</t>
  </si>
  <si>
    <t>Cielo Vista Elementary</t>
  </si>
  <si>
    <t>La Madera Elementary</t>
  </si>
  <si>
    <t>Ralph A. Gates DLI Magnet Elementary</t>
  </si>
  <si>
    <t>Trabuco Mesa Elementary</t>
  </si>
  <si>
    <t>Wallace R. Davis Elementary</t>
  </si>
  <si>
    <t>REACH Academy</t>
  </si>
  <si>
    <t>Advanced Learning Academy</t>
  </si>
  <si>
    <t>Lorin Griset Academy</t>
  </si>
  <si>
    <t>Jose Sepulveda Elementary</t>
  </si>
  <si>
    <t>Willard Intermediate</t>
  </si>
  <si>
    <t>Sierra Preparatory Academy</t>
  </si>
  <si>
    <t>Thomas A. Edison Elementary</t>
  </si>
  <si>
    <t>Romero-Cruz Academy</t>
  </si>
  <si>
    <t>Saddleback High</t>
  </si>
  <si>
    <t>Roosevelt Walker Academy</t>
  </si>
  <si>
    <t>Carl Harvey Elementary</t>
  </si>
  <si>
    <t>Pio Pico Elementary</t>
  </si>
  <si>
    <t>George Washington Carver Elementary</t>
  </si>
  <si>
    <t>Martin Elementary</t>
  </si>
  <si>
    <t>Diamond Elementary</t>
  </si>
  <si>
    <t>Heroes Elementary</t>
  </si>
  <si>
    <t>McFadden Institute of Technology</t>
  </si>
  <si>
    <t>John Muir Fundamental Elementary</t>
  </si>
  <si>
    <t>Santiago Elementary</t>
  </si>
  <si>
    <t>Martin R. Heninger Elementary</t>
  </si>
  <si>
    <t>Gerald P. Carr Intermediate</t>
  </si>
  <si>
    <t>Hector G. Godinez</t>
  </si>
  <si>
    <t>Santa Ana High</t>
  </si>
  <si>
    <t>Greenville Fundamental Elementary</t>
  </si>
  <si>
    <t>Segerstrom High</t>
  </si>
  <si>
    <t>Gonzalo Felicitas Mendez Fundamental Intermediate</t>
  </si>
  <si>
    <t>Jim Thorpe Fundamental</t>
  </si>
  <si>
    <t>Douglas MacArthur Fundamental Intermediate</t>
  </si>
  <si>
    <t>Raymond A. Villa Fundamental Intermediate</t>
  </si>
  <si>
    <t>Manuel Esqueda Elementary</t>
  </si>
  <si>
    <t>Hansen Elementary</t>
  </si>
  <si>
    <t>Holder Elementary</t>
  </si>
  <si>
    <t>Twila Reid Elementary</t>
  </si>
  <si>
    <t>Hillview High (Continuation)</t>
  </si>
  <si>
    <t>Barbara Benson Elementary</t>
  </si>
  <si>
    <t>Helen Estock Elementary</t>
  </si>
  <si>
    <t>Legacy Magnet Academy</t>
  </si>
  <si>
    <t>Benjamin F. Beswick Elementary</t>
  </si>
  <si>
    <t>Guin Foss Elementary</t>
  </si>
  <si>
    <t>Robert Heideman Elementary</t>
  </si>
  <si>
    <t>Red Hill Elementary</t>
  </si>
  <si>
    <t>Columbus Tustin Middle</t>
  </si>
  <si>
    <t>Tustin High</t>
  </si>
  <si>
    <t>Tustin Memorial Elementary</t>
  </si>
  <si>
    <t>Ladera Elementary</t>
  </si>
  <si>
    <t>Tustin Ranch Elementary</t>
  </si>
  <si>
    <t>W. R. Nelson Elementary</t>
  </si>
  <si>
    <t>Hicks Canyon Elementary</t>
  </si>
  <si>
    <t>Peters Canyon Elementary</t>
  </si>
  <si>
    <t>Arnold O. Beckman High</t>
  </si>
  <si>
    <t>Myford Elementary</t>
  </si>
  <si>
    <t>C. E. Utt Middle</t>
  </si>
  <si>
    <t>Sycamore Magnet Academy</t>
  </si>
  <si>
    <t>Hewes Middle</t>
  </si>
  <si>
    <t>Orchard Hills</t>
  </si>
  <si>
    <t>Tustin Connect</t>
  </si>
  <si>
    <t>Fryberger Elementary</t>
  </si>
  <si>
    <t>Schmitt Elementary</t>
  </si>
  <si>
    <t>Finley Elementary</t>
  </si>
  <si>
    <t>Meairs Elementary</t>
  </si>
  <si>
    <t>Schroeder Elementary</t>
  </si>
  <si>
    <t>Webber Elementary</t>
  </si>
  <si>
    <t>Willmore Elementary</t>
  </si>
  <si>
    <t>Johnson Middle</t>
  </si>
  <si>
    <t>Demille Elementary</t>
  </si>
  <si>
    <t>Ada Clegg Elementary</t>
  </si>
  <si>
    <t>Jessie Hayden Elementary</t>
  </si>
  <si>
    <t>Warner Middle</t>
  </si>
  <si>
    <t>Helen Stacey Middle</t>
  </si>
  <si>
    <t>Bowman Charter</t>
  </si>
  <si>
    <t>Alta-Dutch Flat Elementary</t>
  </si>
  <si>
    <t>Alta Vista Community Charter</t>
  </si>
  <si>
    <t>Rock Creek Elementary</t>
  </si>
  <si>
    <t>Auburn Elementary</t>
  </si>
  <si>
    <t>EV Cain Middle</t>
  </si>
  <si>
    <t>Skyridge Elementary</t>
  </si>
  <si>
    <t>Creekview Ranch</t>
  </si>
  <si>
    <t>Quail Glen Elementary</t>
  </si>
  <si>
    <t>Heritage Oak Elementary</t>
  </si>
  <si>
    <t>Olive Grove Elementary</t>
  </si>
  <si>
    <t>Antelope Meadows Elementary</t>
  </si>
  <si>
    <t>Barrett Ranch Elementary</t>
  </si>
  <si>
    <t>Antelope Crossing Middle</t>
  </si>
  <si>
    <t>Coyote Ridge Elementary</t>
  </si>
  <si>
    <t>Dry Creek Connections Academy</t>
  </si>
  <si>
    <t>Oakhills Elementary</t>
  </si>
  <si>
    <t>Willma Cavitt Junior High</t>
  </si>
  <si>
    <t>Greenhills Elementary</t>
  </si>
  <si>
    <t>Olympus Junior High</t>
  </si>
  <si>
    <t>Maidu Elementary</t>
  </si>
  <si>
    <t>Ridgeview Elementary</t>
  </si>
  <si>
    <t>Foresthill Divide</t>
  </si>
  <si>
    <t>Ophir STEAM Academy</t>
  </si>
  <si>
    <t>Penryn Elementary</t>
  </si>
  <si>
    <t>Loomis Elementary</t>
  </si>
  <si>
    <t>H. Clarke Powers Elementary</t>
  </si>
  <si>
    <t>Placer Elementary</t>
  </si>
  <si>
    <t>Loomis Basin Charter</t>
  </si>
  <si>
    <t>Newcastle Charter</t>
  </si>
  <si>
    <t>Sierra Vista</t>
  </si>
  <si>
    <t>Placer County Court Schools</t>
  </si>
  <si>
    <t>Placer County Special Education</t>
  </si>
  <si>
    <t>Placer County Community Schools</t>
  </si>
  <si>
    <t>Placer County Pathways Charter</t>
  </si>
  <si>
    <t>Sierra Hills Elementary</t>
  </si>
  <si>
    <t>Weimar Hills</t>
  </si>
  <si>
    <t>Foresthill High</t>
  </si>
  <si>
    <t>Confluence Continuation High</t>
  </si>
  <si>
    <t>Colfax High</t>
  </si>
  <si>
    <t>Placer High</t>
  </si>
  <si>
    <t>Del Oro High</t>
  </si>
  <si>
    <t>Maidu Virtual Charter Academy</t>
  </si>
  <si>
    <t>Ruhkala Elementary</t>
  </si>
  <si>
    <t>Victory High</t>
  </si>
  <si>
    <t>Rocklin High</t>
  </si>
  <si>
    <t>Parker Whitney Elementary</t>
  </si>
  <si>
    <t>Antelope Creek Elementary</t>
  </si>
  <si>
    <t>Breen Elementary</t>
  </si>
  <si>
    <t>Cobblestone Elementary</t>
  </si>
  <si>
    <t>Rocklin Elementary</t>
  </si>
  <si>
    <t>Whitney High</t>
  </si>
  <si>
    <t>Granite Oaks Middle</t>
  </si>
  <si>
    <t>Sunset Ranch Elementary</t>
  </si>
  <si>
    <t>Rocklin Alternative Education Center</t>
  </si>
  <si>
    <t>Twin Oaks Elementary</t>
  </si>
  <si>
    <t>Riego Creek Elementary</t>
  </si>
  <si>
    <t>William Kaseberg Elementary</t>
  </si>
  <si>
    <t>Vencil Brown Elementary</t>
  </si>
  <si>
    <t>Ferris Spanger Elementary</t>
  </si>
  <si>
    <t>Bradford Woodbridge Fundamental Elementary</t>
  </si>
  <si>
    <t>Blue Oaks Elementary</t>
  </si>
  <si>
    <t>Warren T. Eich Middle</t>
  </si>
  <si>
    <t>Robert C. Cooley Middle</t>
  </si>
  <si>
    <t>George A. Buljan Middle</t>
  </si>
  <si>
    <t>Catheryn Gates Elementary</t>
  </si>
  <si>
    <t>George Cirby Elementary</t>
  </si>
  <si>
    <t>Diamond Creek Elementary</t>
  </si>
  <si>
    <t>George Sargeant Elementary</t>
  </si>
  <si>
    <t>Crestmont Elementary</t>
  </si>
  <si>
    <t>Fiddyment Farm</t>
  </si>
  <si>
    <t>Stoneridge Elementary</t>
  </si>
  <si>
    <t>Barbara Chilton Middle</t>
  </si>
  <si>
    <t>Orchard Ranch Elementary</t>
  </si>
  <si>
    <t>Adelante High (Continuation)</t>
  </si>
  <si>
    <t>West Park High</t>
  </si>
  <si>
    <t>Roseville High</t>
  </si>
  <si>
    <t>Oakmont High</t>
  </si>
  <si>
    <t>Granite Bay High</t>
  </si>
  <si>
    <t>Woodcreek High</t>
  </si>
  <si>
    <t>Antelope High</t>
  </si>
  <si>
    <t>Cold Stream Alternative</t>
  </si>
  <si>
    <t>Donner Trail Elementary</t>
  </si>
  <si>
    <t>Tahoe Lake Elementary</t>
  </si>
  <si>
    <t>Kings Beach Elementary</t>
  </si>
  <si>
    <t>Truckee Elementary</t>
  </si>
  <si>
    <t>Glenshire Elementary</t>
  </si>
  <si>
    <t>North Tahoe High</t>
  </si>
  <si>
    <t>Alder Creek Middle</t>
  </si>
  <si>
    <t>North Tahoe Middle</t>
  </si>
  <si>
    <t>Tahoe Truckee High</t>
  </si>
  <si>
    <t>Phoenix High (Continuation)</t>
  </si>
  <si>
    <t>Creekside Oaks Elementary</t>
  </si>
  <si>
    <t>Foskett Ranch Elementary</t>
  </si>
  <si>
    <t>Carlin C. Coppin Elementary</t>
  </si>
  <si>
    <t>Lincoln Crossing Elementary</t>
  </si>
  <si>
    <t>Twelve Bridges Elementary</t>
  </si>
  <si>
    <t>Glen Edwards Middle</t>
  </si>
  <si>
    <t>Twelve Bridges Middle</t>
  </si>
  <si>
    <t>Scott M. Leaman</t>
  </si>
  <si>
    <t>Lincoln High</t>
  </si>
  <si>
    <t>ATLAS Learning Academy</t>
  </si>
  <si>
    <t>Plumas County Opportunity</t>
  </si>
  <si>
    <t>Plumas County Community</t>
  </si>
  <si>
    <t>Portola Opportunity</t>
  </si>
  <si>
    <t>Beckwourth (Jim) High (Continuation)</t>
  </si>
  <si>
    <t>Almanor High (Continuation)</t>
  </si>
  <si>
    <t>Greenville Junior/Senior High</t>
  </si>
  <si>
    <t>Chester Junior/Senior High</t>
  </si>
  <si>
    <t>Chester Elementary</t>
  </si>
  <si>
    <t>C. Roy Carmichael Elementary</t>
  </si>
  <si>
    <t>Greenville Elementary</t>
  </si>
  <si>
    <t>Quincy Junior/Senior High</t>
  </si>
  <si>
    <t>Quincy Elementary</t>
  </si>
  <si>
    <t>Portola Junior/Senior High</t>
  </si>
  <si>
    <t>Alvord Continuation High</t>
  </si>
  <si>
    <t>Alvord Alternative Continuation High</t>
  </si>
  <si>
    <t>Rosemary Kennedy Elementary</t>
  </si>
  <si>
    <t>Collett Elementary</t>
  </si>
  <si>
    <t>Myra Linn Elementary</t>
  </si>
  <si>
    <t>La Sierra High</t>
  </si>
  <si>
    <t>Norte Vista High</t>
  </si>
  <si>
    <t>Arlanza Elementary</t>
  </si>
  <si>
    <t>Phillip M. Stokoe Elementary</t>
  </si>
  <si>
    <t>Arizona Middle</t>
  </si>
  <si>
    <t>Promenade Elementary</t>
  </si>
  <si>
    <t>La Granada Elementary</t>
  </si>
  <si>
    <t>Loma Vista Middle</t>
  </si>
  <si>
    <t>Hillcrest High</t>
  </si>
  <si>
    <t>S. Christa McAuliffe Elementary</t>
  </si>
  <si>
    <t>Allan Orrenmaa Elementary</t>
  </si>
  <si>
    <t>Twinhill Elementary</t>
  </si>
  <si>
    <t>Ysmael Villegas Middle</t>
  </si>
  <si>
    <t>Lake Hills Elementary</t>
  </si>
  <si>
    <t>Gateway</t>
  </si>
  <si>
    <t>Summit Elementary</t>
  </si>
  <si>
    <t>Summit Secondary</t>
  </si>
  <si>
    <t>New Horizon High</t>
  </si>
  <si>
    <t>Banning Independent Study</t>
  </si>
  <si>
    <t>Cabazon Elementary</t>
  </si>
  <si>
    <t>Hoffer Elementary</t>
  </si>
  <si>
    <t>Nicolet Middle</t>
  </si>
  <si>
    <t>Banning High</t>
  </si>
  <si>
    <t>Hemmerling Elementary</t>
  </si>
  <si>
    <t>Glen View High</t>
  </si>
  <si>
    <t>Palm Innovation Academy</t>
  </si>
  <si>
    <t>Anna Hause Elementary</t>
  </si>
  <si>
    <t>Three Rings Ranch Elementary</t>
  </si>
  <si>
    <t>Beaumont Senior High</t>
  </si>
  <si>
    <t>Sundance Elementary</t>
  </si>
  <si>
    <t>San Gorgonio Middle</t>
  </si>
  <si>
    <t>Tournament Hills Elementary</t>
  </si>
  <si>
    <t>Starlight Elementary</t>
  </si>
  <si>
    <t>21st Century Learning Institute</t>
  </si>
  <si>
    <t>La Familia Continuation High</t>
  </si>
  <si>
    <t>West Shores High</t>
  </si>
  <si>
    <t>Cahuilla Desert Academy Junior High</t>
  </si>
  <si>
    <t>Oasis Elementary</t>
  </si>
  <si>
    <t>Mountain Vista Elementary</t>
  </si>
  <si>
    <t>Mecca Elementary</t>
  </si>
  <si>
    <t>Palm View Elementary</t>
  </si>
  <si>
    <t>Peter Pendleton Elementary</t>
  </si>
  <si>
    <t>Las Palmitas Elementary</t>
  </si>
  <si>
    <t>John Kelley Elementary</t>
  </si>
  <si>
    <t>Coral Mountain Academy</t>
  </si>
  <si>
    <t>Saul Martinez Elementary</t>
  </si>
  <si>
    <t>Valle del Sol Elementary</t>
  </si>
  <si>
    <t>Bobby Duke Middle</t>
  </si>
  <si>
    <t>Sea View Elementary</t>
  </si>
  <si>
    <t>Toro Canyon Middle</t>
  </si>
  <si>
    <t>Coachella Valley High</t>
  </si>
  <si>
    <t>Desert Mirage High</t>
  </si>
  <si>
    <t>Victress Bower School for Exceptional Students</t>
  </si>
  <si>
    <t>Orange Grove High</t>
  </si>
  <si>
    <t>Lee V. Pollard High</t>
  </si>
  <si>
    <t>Letha Raney Intermediate</t>
  </si>
  <si>
    <t>CNUSD Hybrid School of Innovation</t>
  </si>
  <si>
    <t>Corona High</t>
  </si>
  <si>
    <t>Auburndale Intermediate</t>
  </si>
  <si>
    <t>John Stallings Elementary</t>
  </si>
  <si>
    <t>Vicentia Elementary</t>
  </si>
  <si>
    <t>Norco Elementary</t>
  </si>
  <si>
    <t>Louis VanderMolen Fundamental Elementary</t>
  </si>
  <si>
    <t>Parkridge Elementary</t>
  </si>
  <si>
    <t>Prado View Elementary</t>
  </si>
  <si>
    <t>Orange Elementary</t>
  </si>
  <si>
    <t>Norco High</t>
  </si>
  <si>
    <t>Coronita Elementary</t>
  </si>
  <si>
    <t>Norco Intermediate</t>
  </si>
  <si>
    <t>Citrus Hills Intermediate</t>
  </si>
  <si>
    <t>Corona Ranch Elementary</t>
  </si>
  <si>
    <t>Temescal Valley Elementary</t>
  </si>
  <si>
    <t>El Cerrito Middle</t>
  </si>
  <si>
    <t>Dr. Augustine Ramirez Intermediate</t>
  </si>
  <si>
    <t>Corona Fundamental Intermediate</t>
  </si>
  <si>
    <t>Eleanor Roosevelt High</t>
  </si>
  <si>
    <t>Home Gardens Academy</t>
  </si>
  <si>
    <t>Garretson Elementary</t>
  </si>
  <si>
    <t>Eastvale Elementary</t>
  </si>
  <si>
    <t>Cesar Chavez Academy</t>
  </si>
  <si>
    <t>River Heights Intermediate</t>
  </si>
  <si>
    <t>Harada Elementary</t>
  </si>
  <si>
    <t>Lincoln Fundamental Elementary</t>
  </si>
  <si>
    <t>Dr. Bernice Jameson Todd Academy</t>
  </si>
  <si>
    <t>Clara Barton Elementary</t>
  </si>
  <si>
    <t>Philistine Rondo School of Discovery</t>
  </si>
  <si>
    <t>Corona-Norco Alternative</t>
  </si>
  <si>
    <t>Corona Vista High</t>
  </si>
  <si>
    <t>Eagle Mountain Elementary</t>
  </si>
  <si>
    <t>Amistad High (Continuation)</t>
  </si>
  <si>
    <t>Horizon</t>
  </si>
  <si>
    <t>Lyndon B. Johnson Elementary</t>
  </si>
  <si>
    <t>Colonel Mitchell Paige Middle</t>
  </si>
  <si>
    <t>Herbert Hoover Elementary</t>
  </si>
  <si>
    <t>Dr. Reynaldo J. Carreon Jr. Academy</t>
  </si>
  <si>
    <t>James Earl Carter Elementary</t>
  </si>
  <si>
    <t>Gerald R. Ford Elementary</t>
  </si>
  <si>
    <t>Carrillo Ranch Elementary</t>
  </si>
  <si>
    <t>Amelia Earhart Elementary School of International Studies</t>
  </si>
  <si>
    <t>John Glenn Middle School of International Studies</t>
  </si>
  <si>
    <t>Indio High</t>
  </si>
  <si>
    <t>Shadow Hills High</t>
  </si>
  <si>
    <t>Harry S. Truman Elementary</t>
  </si>
  <si>
    <t>Indio Middle</t>
  </si>
  <si>
    <t>La Quinta Middle</t>
  </si>
  <si>
    <t>Palm Desert High</t>
  </si>
  <si>
    <t>Martin Van Buren Elementary</t>
  </si>
  <si>
    <t>Desert Ridge Academy</t>
  </si>
  <si>
    <t>Richard R. Oliphant Elementary</t>
  </si>
  <si>
    <t>George Washington Charter</t>
  </si>
  <si>
    <t>Palm Desert Charter Middle</t>
  </si>
  <si>
    <t>Alessandro High</t>
  </si>
  <si>
    <t>Idyllwild Elementary</t>
  </si>
  <si>
    <t>Academy of Innovation</t>
  </si>
  <si>
    <t>Winchester Elementary</t>
  </si>
  <si>
    <t>Bautista Creek Elementary</t>
  </si>
  <si>
    <t>Little Lake Elementary</t>
  </si>
  <si>
    <t>Cawston Elementary</t>
  </si>
  <si>
    <t>Valle Vista Elementary</t>
  </si>
  <si>
    <t>West Valley High</t>
  </si>
  <si>
    <t>Tahquitz High</t>
  </si>
  <si>
    <t>Hemet High</t>
  </si>
  <si>
    <t>Rancho Viejo Middle</t>
  </si>
  <si>
    <t>Diamond Valley Middle</t>
  </si>
  <si>
    <t>Jacob Wiens Elementary</t>
  </si>
  <si>
    <t>Acacia Middle</t>
  </si>
  <si>
    <t>Hemet Elementary</t>
  </si>
  <si>
    <t>McSweeny Elementary</t>
  </si>
  <si>
    <t>Dartmouth Middle</t>
  </si>
  <si>
    <t>Academy of Innovation K-8</t>
  </si>
  <si>
    <t>Western Center Academy</t>
  </si>
  <si>
    <t>Pacific Avenue Academy of Music</t>
  </si>
  <si>
    <t>Mission Bell Elementary</t>
  </si>
  <si>
    <t>Mira Loma Middle</t>
  </si>
  <si>
    <t>Rubidoux High</t>
  </si>
  <si>
    <t>Jurupa Valley High</t>
  </si>
  <si>
    <t>Granite Hill Elementary</t>
  </si>
  <si>
    <t>Mission Middle</t>
  </si>
  <si>
    <t>Rustic Lane Elementary</t>
  </si>
  <si>
    <t>West Riverside Elementary</t>
  </si>
  <si>
    <t>Glen Avon Elementary</t>
  </si>
  <si>
    <t>Sky Country Elementary</t>
  </si>
  <si>
    <t>Indian Hills Elementary</t>
  </si>
  <si>
    <t>Sunnyslope Elementary</t>
  </si>
  <si>
    <t>Ina Arbuckle Elementary</t>
  </si>
  <si>
    <t>Patriot High</t>
  </si>
  <si>
    <t>Pedley Elementary</t>
  </si>
  <si>
    <t>Troth Street Elementary</t>
  </si>
  <si>
    <t>Stone Avenue Elementary</t>
  </si>
  <si>
    <t>Jurupa Middle</t>
  </si>
  <si>
    <t>Camino Real Elementary</t>
  </si>
  <si>
    <t>Del Sol Academy</t>
  </si>
  <si>
    <t>Ortega High</t>
  </si>
  <si>
    <t>Keith McCarthy Academy</t>
  </si>
  <si>
    <t>Lakeland Village</t>
  </si>
  <si>
    <t>Alberhill Elementary</t>
  </si>
  <si>
    <t>Donald Graham Elementary</t>
  </si>
  <si>
    <t>William Collier Elementary</t>
  </si>
  <si>
    <t>Wildomar Elementary</t>
  </si>
  <si>
    <t>Machado Elementary</t>
  </si>
  <si>
    <t>Withrow Elementary</t>
  </si>
  <si>
    <t>Lakeside High</t>
  </si>
  <si>
    <t>Elsinore Elementary</t>
  </si>
  <si>
    <t>Rice Canyon Elementary</t>
  </si>
  <si>
    <t>Luiseno</t>
  </si>
  <si>
    <t>Terra Cotta Middle</t>
  </si>
  <si>
    <t>Cottonwood Canyon Elementary</t>
  </si>
  <si>
    <t>Tuscany Hills Elementary</t>
  </si>
  <si>
    <t>David A. Brown Middle</t>
  </si>
  <si>
    <t>Canyon Lake Middle</t>
  </si>
  <si>
    <t>Railroad Canyon Elementary</t>
  </si>
  <si>
    <t>Elsinore High</t>
  </si>
  <si>
    <t>Elsinore Middle</t>
  </si>
  <si>
    <t>Temescal Canyon High</t>
  </si>
  <si>
    <t>Hans Christensen Middle</t>
  </si>
  <si>
    <t>Herk Bouris Elementary</t>
  </si>
  <si>
    <t>Chester W. Morrison Elementary</t>
  </si>
  <si>
    <t>Callie Kirkpatrick Elementary</t>
  </si>
  <si>
    <t>Taawila Elementary</t>
  </si>
  <si>
    <t>Bell Mountain Middle</t>
  </si>
  <si>
    <t>Southshore Elementary</t>
  </si>
  <si>
    <t>Evans Ranch Elementary</t>
  </si>
  <si>
    <t>Oak Meadows Elementary</t>
  </si>
  <si>
    <t>Freedom Crest Elementary</t>
  </si>
  <si>
    <t>Menifee Valley Middle</t>
  </si>
  <si>
    <t>Ridgemoor Elementary</t>
  </si>
  <si>
    <t>Harvest Hill S.T.E.A.M. Academy</t>
  </si>
  <si>
    <t>Alessandro</t>
  </si>
  <si>
    <t>Bayside Community Day</t>
  </si>
  <si>
    <t>March Mountain High</t>
  </si>
  <si>
    <t>March Valley</t>
  </si>
  <si>
    <t>Palm Middle</t>
  </si>
  <si>
    <t>Moreno Elementary</t>
  </si>
  <si>
    <t>Landmark Middle</t>
  </si>
  <si>
    <t>Vista Heights Middle</t>
  </si>
  <si>
    <t>Box Springs Elementary</t>
  </si>
  <si>
    <t>Badger Springs Middle</t>
  </si>
  <si>
    <t>TownGate Elementary</t>
  </si>
  <si>
    <t>Chaparral Hills Elementary</t>
  </si>
  <si>
    <t>Sunnymead Middle</t>
  </si>
  <si>
    <t>Hendrick Ranch Elementary</t>
  </si>
  <si>
    <t>Edgemont Elementary</t>
  </si>
  <si>
    <t>Ridge Crest Elementary</t>
  </si>
  <si>
    <t>Seneca Elementary</t>
  </si>
  <si>
    <t>Hidden Springs Elementary</t>
  </si>
  <si>
    <t>North Ridge Elementary</t>
  </si>
  <si>
    <t>Honey Hollow Elementary</t>
  </si>
  <si>
    <t>Cloverdale Elementary</t>
  </si>
  <si>
    <t>La Jolla Elementary</t>
  </si>
  <si>
    <t>Moreno Valley High</t>
  </si>
  <si>
    <t>Sugar Hill Elementary</t>
  </si>
  <si>
    <t>Vista del Lago High</t>
  </si>
  <si>
    <t>Sunnymead Elementary</t>
  </si>
  <si>
    <t>Midland Elementary</t>
  </si>
  <si>
    <t>Butterfield Elementary</t>
  </si>
  <si>
    <t>Sunnymeadows Elementary</t>
  </si>
  <si>
    <t>Valley View High</t>
  </si>
  <si>
    <t>Armada Elementary</t>
  </si>
  <si>
    <t>Canyon Springs High</t>
  </si>
  <si>
    <t>Moreno Valley Online Academy</t>
  </si>
  <si>
    <t>Moreno Valley Community Learning Center</t>
  </si>
  <si>
    <t>Murrieta Canyon Academy</t>
  </si>
  <si>
    <t>Daniel N. Buchanan Elementary</t>
  </si>
  <si>
    <t>Antelope Hills Elementary</t>
  </si>
  <si>
    <t>Rail Ranch Elementary</t>
  </si>
  <si>
    <t>Avaxat Elementary</t>
  </si>
  <si>
    <t>E. Hale Curran Elementary</t>
  </si>
  <si>
    <t>Murrieta Valley High</t>
  </si>
  <si>
    <t>Warm Springs Middle</t>
  </si>
  <si>
    <t>Alta Murrieta Elementary</t>
  </si>
  <si>
    <t>Cole Canyon Elementary</t>
  </si>
  <si>
    <t>Murrieta Mesa High</t>
  </si>
  <si>
    <t>Murrieta Elementary</t>
  </si>
  <si>
    <t>Shivela Middle</t>
  </si>
  <si>
    <t>Tovashal Elementary</t>
  </si>
  <si>
    <t>Vista Murrieta High</t>
  </si>
  <si>
    <t>Thompson Middle</t>
  </si>
  <si>
    <t>Dorothy McElhinney Middle</t>
  </si>
  <si>
    <t>Lisa J. Mails Elementary</t>
  </si>
  <si>
    <t>Nuview Elementary</t>
  </si>
  <si>
    <t>Mountain Shadows Middle</t>
  </si>
  <si>
    <t>Nuview Bridge Early College High</t>
  </si>
  <si>
    <t>Mt. San Jacinto High</t>
  </si>
  <si>
    <t>Cielo Vista Charter</t>
  </si>
  <si>
    <t>Desert Learning Academy</t>
  </si>
  <si>
    <t>Rancho Mirage Elementary</t>
  </si>
  <si>
    <t>Julius Corsini Elementary</t>
  </si>
  <si>
    <t>Cahuilla Elementary</t>
  </si>
  <si>
    <t>Cathedral City High</t>
  </si>
  <si>
    <t>Sunny Sands Elementary</t>
  </si>
  <si>
    <t>Palm Springs High</t>
  </si>
  <si>
    <t>Painted Hills Middle</t>
  </si>
  <si>
    <t>Rancho Mirage High</t>
  </si>
  <si>
    <t>Della S. Lindley Elementary</t>
  </si>
  <si>
    <t>Raymond Cree Middle</t>
  </si>
  <si>
    <t>Vista del Monte Elementary</t>
  </si>
  <si>
    <t>James Workman Middle</t>
  </si>
  <si>
    <t>Cathedral City Elementary</t>
  </si>
  <si>
    <t>Desert Hot Springs High</t>
  </si>
  <si>
    <t>Landau Elementary</t>
  </si>
  <si>
    <t>Agua Caliente Elementary</t>
  </si>
  <si>
    <t>Bubbling Wells Elementary</t>
  </si>
  <si>
    <t>Katherine Finchy Elementary</t>
  </si>
  <si>
    <t>Cabot Yerxa Elementary</t>
  </si>
  <si>
    <t>Two Bunch Palms Elementary</t>
  </si>
  <si>
    <t>Nellie N. Coffman Middle</t>
  </si>
  <si>
    <t>Desert Springs Middle</t>
  </si>
  <si>
    <t>Palo Verde High</t>
  </si>
  <si>
    <t>Ruth Brown Elementary</t>
  </si>
  <si>
    <t>Felix J. Appleby Elementary</t>
  </si>
  <si>
    <t>Margaret White Elementary</t>
  </si>
  <si>
    <t>Twin Palms Continuation</t>
  </si>
  <si>
    <t>Enchanted Hills Elementary</t>
  </si>
  <si>
    <t>Good Hope Elementary</t>
  </si>
  <si>
    <t>Sky View Elementary</t>
  </si>
  <si>
    <t>Clearwater Elementary</t>
  </si>
  <si>
    <t>Innovative Horizons Charter</t>
  </si>
  <si>
    <t>Railway Elementary</t>
  </si>
  <si>
    <t>Pathways for Adult Life Skills</t>
  </si>
  <si>
    <t>Scholar Plus Online Learning</t>
  </si>
  <si>
    <t>Pinacate Middle</t>
  </si>
  <si>
    <t>Perris Lake High (Continuation)</t>
  </si>
  <si>
    <t>Perris High</t>
  </si>
  <si>
    <t>Paloma Valley High</t>
  </si>
  <si>
    <t>California Military Institute</t>
  </si>
  <si>
    <t>Riverside County Special Education</t>
  </si>
  <si>
    <t>Riverside County Juvenile Court</t>
  </si>
  <si>
    <t>Riverside County Community</t>
  </si>
  <si>
    <t>Come Back Kids</t>
  </si>
  <si>
    <t>Riverside Virtual</t>
  </si>
  <si>
    <t>Opportunity Program</t>
  </si>
  <si>
    <t>Abraham Lincoln Continuation</t>
  </si>
  <si>
    <t>Pachappa Elementary</t>
  </si>
  <si>
    <t>Arlington High</t>
  </si>
  <si>
    <t>University Heights Middle</t>
  </si>
  <si>
    <t>Chemawa Middle</t>
  </si>
  <si>
    <t>Raincross High (Continuation)</t>
  </si>
  <si>
    <t>Ramona High</t>
  </si>
  <si>
    <t>William Howard Taft Elementary</t>
  </si>
  <si>
    <t>Frank Augustus Miller Middle</t>
  </si>
  <si>
    <t>John W. North High</t>
  </si>
  <si>
    <t>Patricia Beatty Elementary</t>
  </si>
  <si>
    <t>Amelia Earhart Middle</t>
  </si>
  <si>
    <t>Tomas Rivera Elementary</t>
  </si>
  <si>
    <t>Matthew Gage Middle</t>
  </si>
  <si>
    <t>Highgrove Elementary</t>
  </si>
  <si>
    <t>Castle View Elementary</t>
  </si>
  <si>
    <t>Martin Luther King Jr. High</t>
  </si>
  <si>
    <t>Riverside STEM Academy</t>
  </si>
  <si>
    <t>Lake Mathews Elementary</t>
  </si>
  <si>
    <t>Summit View Independent Study</t>
  </si>
  <si>
    <t>Sunshine Special Education</t>
  </si>
  <si>
    <t>Boulder Ridge Elementary</t>
  </si>
  <si>
    <t>Harvest Valley Elementary</t>
  </si>
  <si>
    <t>Mesa View Elementary</t>
  </si>
  <si>
    <t>Ethan A Chase Middle</t>
  </si>
  <si>
    <t>Clayton A. Record, Jr., Elementary</t>
  </si>
  <si>
    <t>Megan Cope Elementary</t>
  </si>
  <si>
    <t>Monte Vista Middle</t>
  </si>
  <si>
    <t>North Mountain Middle</t>
  </si>
  <si>
    <t>Edward Hyatt World Language Academy</t>
  </si>
  <si>
    <t>Estudillo Elementary</t>
  </si>
  <si>
    <t>San Jacinto Elementary</t>
  </si>
  <si>
    <t>San Jacinto Leadership Academy - Magnet</t>
  </si>
  <si>
    <t>Park Hill Elementary</t>
  </si>
  <si>
    <t>San Jacinto High</t>
  </si>
  <si>
    <t>Mountain Heights Academy</t>
  </si>
  <si>
    <t>Pauba Valley Elementary</t>
  </si>
  <si>
    <t>Rancho Vista High</t>
  </si>
  <si>
    <t>Abby Reinke Elementary</t>
  </si>
  <si>
    <t>Paloma Elementary</t>
  </si>
  <si>
    <t>Vail Elementary</t>
  </si>
  <si>
    <t>Temecula Elementary</t>
  </si>
  <si>
    <t>Red Hawk Elementary</t>
  </si>
  <si>
    <t>Margarita Middle</t>
  </si>
  <si>
    <t>Crowne Hill Elementary</t>
  </si>
  <si>
    <t>Ysabel Barnett Elementary</t>
  </si>
  <si>
    <t>Tony Tobin Elementary</t>
  </si>
  <si>
    <t>Nicolas Valley Elementary</t>
  </si>
  <si>
    <t>Vail Ranch Middle</t>
  </si>
  <si>
    <t>Chaparral High</t>
  </si>
  <si>
    <t>James L. Day Middle</t>
  </si>
  <si>
    <t>Temecula Luiseno Elementary</t>
  </si>
  <si>
    <t>Susan La Vorgna Elementary</t>
  </si>
  <si>
    <t>French Valley Elementary</t>
  </si>
  <si>
    <t>Great Oak High</t>
  </si>
  <si>
    <t>Temecula Middle</t>
  </si>
  <si>
    <t>Temecula Valley High</t>
  </si>
  <si>
    <t>Erle Stanley Gardner Middle</t>
  </si>
  <si>
    <t>Bella Vista Middle</t>
  </si>
  <si>
    <t>Susan H. Nelson</t>
  </si>
  <si>
    <t>Alamos Elementary</t>
  </si>
  <si>
    <t>Helen Hunt Jackson Elementary</t>
  </si>
  <si>
    <t>Val Verde Student Success Academy</t>
  </si>
  <si>
    <t>Val Verde High</t>
  </si>
  <si>
    <t>Val Verde Academy</t>
  </si>
  <si>
    <t>March Middle</t>
  </si>
  <si>
    <t>Val Verde Elementary</t>
  </si>
  <si>
    <t>Manuel L. Real Elementary</t>
  </si>
  <si>
    <t>Citrus Hill High</t>
  </si>
  <si>
    <t>Rancho Verde High</t>
  </si>
  <si>
    <t>Rainbow Ridge Elementary</t>
  </si>
  <si>
    <t>Mary McLeod Bethune Elementary</t>
  </si>
  <si>
    <t>Tomas Rivera Middle</t>
  </si>
  <si>
    <t>Mead Valley Elementary</t>
  </si>
  <si>
    <t>Avalon Elementary</t>
  </si>
  <si>
    <t>Orange Vista High</t>
  </si>
  <si>
    <t>Lasselle Elementary</t>
  </si>
  <si>
    <t>Victoriano Elementary</t>
  </si>
  <si>
    <t>May Ranch Elementary</t>
  </si>
  <si>
    <t>Triple Crown Elementary</t>
  </si>
  <si>
    <t>Arcohe Elementary</t>
  </si>
  <si>
    <t>Pine Grove Youth Conservation Camp</t>
  </si>
  <si>
    <t>Johanna Boss High</t>
  </si>
  <si>
    <t>Mary B. Perry High</t>
  </si>
  <si>
    <t>N.A. Chaderjian High</t>
  </si>
  <si>
    <t>McClellan High (Continuation)</t>
  </si>
  <si>
    <t>Cyril Spinelli Elementary</t>
  </si>
  <si>
    <t>Wilson C. Riles Middle</t>
  </si>
  <si>
    <t>North Country Elementary</t>
  </si>
  <si>
    <t>Center High</t>
  </si>
  <si>
    <t>Oak Hill Elementary</t>
  </si>
  <si>
    <t>Arthur S. Dudley Elementary</t>
  </si>
  <si>
    <t>Daylor (William) High (Continuation)</t>
  </si>
  <si>
    <t>Calvine High</t>
  </si>
  <si>
    <t>Rio Cazadero High (Continuation)</t>
  </si>
  <si>
    <t>Jessie Baker</t>
  </si>
  <si>
    <t>Las Flores High (Alternative)</t>
  </si>
  <si>
    <t>Cosumnes River Elementary</t>
  </si>
  <si>
    <t>Pleasant Grove Elementary</t>
  </si>
  <si>
    <t>C. W. Dillard Elementary</t>
  </si>
  <si>
    <t>James A. McKee Elementary</t>
  </si>
  <si>
    <t>John Reith Elementary</t>
  </si>
  <si>
    <t>Sierra-Enterprise Elementary</t>
  </si>
  <si>
    <t>Florin Elementary</t>
  </si>
  <si>
    <t>Robert J. Fite Elementary</t>
  </si>
  <si>
    <t>Herman Leimbach Elementary</t>
  </si>
  <si>
    <t>Marion Mix Elementary</t>
  </si>
  <si>
    <t>Anna Kirchgater Elementary</t>
  </si>
  <si>
    <t>Elliott Ranch Elementary</t>
  </si>
  <si>
    <t>Barbara Comstock Morse Elementary</t>
  </si>
  <si>
    <t>Ellen Feickert Elementary</t>
  </si>
  <si>
    <t>Florence Markofer Elementary</t>
  </si>
  <si>
    <t>Stone Lake Elementary</t>
  </si>
  <si>
    <t>Raymond Case Elementary</t>
  </si>
  <si>
    <t>Arthur C. Butler Elementary</t>
  </si>
  <si>
    <t>Mary Tsukamoto Elementary</t>
  </si>
  <si>
    <t>Zehnder Ranch Elementary</t>
  </si>
  <si>
    <t>Elk Grove Elementary</t>
  </si>
  <si>
    <t>Irene B. West Elementary</t>
  </si>
  <si>
    <t>Arnold Adreani Elementary</t>
  </si>
  <si>
    <t>Union House Elementary</t>
  </si>
  <si>
    <t>Elitha Donner Elementary</t>
  </si>
  <si>
    <t>Helen Carr Castello Elementary</t>
  </si>
  <si>
    <t>Foulks Ranch Elementary</t>
  </si>
  <si>
    <t>Roy Herburger Elementary</t>
  </si>
  <si>
    <t>John Ehrhardt Elementary</t>
  </si>
  <si>
    <t>Carroll Elementary</t>
  </si>
  <si>
    <t>Arlene Hein Elementary</t>
  </si>
  <si>
    <t>David Reese Elementary</t>
  </si>
  <si>
    <t>James Rutter Middle</t>
  </si>
  <si>
    <t>Joseph Sims Elementary</t>
  </si>
  <si>
    <t>Isabelle Jackson Elementary</t>
  </si>
  <si>
    <t>Prairie Elementary</t>
  </si>
  <si>
    <t>Edna Batey Elementary</t>
  </si>
  <si>
    <t>Robert J. McGarvey Elementary</t>
  </si>
  <si>
    <t>Charles E. Mack Elementary</t>
  </si>
  <si>
    <t>Samuel Jackman Middle</t>
  </si>
  <si>
    <t>Maeola E. Beitzel Elementary</t>
  </si>
  <si>
    <t>Joseph Kerr Middle</t>
  </si>
  <si>
    <t>T. R. Smedberg Middle</t>
  </si>
  <si>
    <t>Samuel Kennedy Elementary</t>
  </si>
  <si>
    <t>Elizabeth Pinkerton Middle</t>
  </si>
  <si>
    <t>Harriet G. Eddy Middle</t>
  </si>
  <si>
    <t>Edward Harris, Jr. Middle</t>
  </si>
  <si>
    <t>Toby Johnson Middle</t>
  </si>
  <si>
    <t>Katherine L. Albiani Middle</t>
  </si>
  <si>
    <t>Florin High</t>
  </si>
  <si>
    <t>Sheldon High</t>
  </si>
  <si>
    <t>Monterey Trail High</t>
  </si>
  <si>
    <t>Cosumnes Oaks High</t>
  </si>
  <si>
    <t>Franklin High</t>
  </si>
  <si>
    <t>Laguna Creek High</t>
  </si>
  <si>
    <t>Elk Grove High</t>
  </si>
  <si>
    <t>Pleasant Grove High</t>
  </si>
  <si>
    <t>Elk Grove Charter</t>
  </si>
  <si>
    <t>Alpha Technology Middle</t>
  </si>
  <si>
    <t>Elverta Elementary</t>
  </si>
  <si>
    <t>Alpha Charter</t>
  </si>
  <si>
    <t>Prospect Community Day</t>
  </si>
  <si>
    <t>Folsom Lake High</t>
  </si>
  <si>
    <t>Kinney High (Continuation)</t>
  </si>
  <si>
    <t>Cordova Gardens Elementary</t>
  </si>
  <si>
    <t>Navigator Elementary</t>
  </si>
  <si>
    <t>Rancho Cordova Elementary</t>
  </si>
  <si>
    <t>Peter J. Shields Elementary</t>
  </si>
  <si>
    <t>White Rock Elementary</t>
  </si>
  <si>
    <t>Cordova Villa Elementary</t>
  </si>
  <si>
    <t>W. E. Mitchell Middle</t>
  </si>
  <si>
    <t>Cordova High</t>
  </si>
  <si>
    <t>Walnutwood High (Independent Study)</t>
  </si>
  <si>
    <t>Blanche Sprentz Elementary</t>
  </si>
  <si>
    <t>Mills Middle</t>
  </si>
  <si>
    <t>Cordova Meadows Elementary</t>
  </si>
  <si>
    <t>Carl H. Sundahl Elementary</t>
  </si>
  <si>
    <t>Folsom Hills Elementary</t>
  </si>
  <si>
    <t>Williamson Elementary</t>
  </si>
  <si>
    <t>Oak Chan Elementary</t>
  </si>
  <si>
    <t>Natoma Station Elementary</t>
  </si>
  <si>
    <t>Mather Heights Elementary</t>
  </si>
  <si>
    <t>Empire Oaks Elementary</t>
  </si>
  <si>
    <t>Russell Ranch Elementary</t>
  </si>
  <si>
    <t>Sutter Middle</t>
  </si>
  <si>
    <t>Gold Ridge Elementary</t>
  </si>
  <si>
    <t>Folsom Middle</t>
  </si>
  <si>
    <t>Sandra J. Gallardo Elementary</t>
  </si>
  <si>
    <t>Folsom High</t>
  </si>
  <si>
    <t>Riverview STEM Elementary</t>
  </si>
  <si>
    <t>Theodore Judah Elementary</t>
  </si>
  <si>
    <t>Folsom Cordova K-8 Community Charter</t>
  </si>
  <si>
    <t>Reymouth Special Education Center</t>
  </si>
  <si>
    <t>Robert L. McCaffrey Middle</t>
  </si>
  <si>
    <t>Vernon E. Greer Elementary</t>
  </si>
  <si>
    <t>River Oaks Elementary</t>
  </si>
  <si>
    <t>Valley Oaks Elementary</t>
  </si>
  <si>
    <t>Marengo Ranch Elementary</t>
  </si>
  <si>
    <t>Lake Canyon Elementary</t>
  </si>
  <si>
    <t>Estrellita Continuation High</t>
  </si>
  <si>
    <t>Liberty Ranch High</t>
  </si>
  <si>
    <t>Galt High</t>
  </si>
  <si>
    <t>Discovery High</t>
  </si>
  <si>
    <t>Natomas Middle</t>
  </si>
  <si>
    <t>Bannon Creek</t>
  </si>
  <si>
    <t>Natomas High</t>
  </si>
  <si>
    <t>Witter Ranch Elementary</t>
  </si>
  <si>
    <t>Two Rivers Elementary</t>
  </si>
  <si>
    <t>Natomas Park Elementary</t>
  </si>
  <si>
    <t>Heron</t>
  </si>
  <si>
    <t>Westlake Charter</t>
  </si>
  <si>
    <t>American Lakes</t>
  </si>
  <si>
    <t>Paso Verde</t>
  </si>
  <si>
    <t>Inderkum High</t>
  </si>
  <si>
    <t>H. Allen Hight Elementary</t>
  </si>
  <si>
    <t>Natomas Pacific Pathways Prep</t>
  </si>
  <si>
    <t>Natomas Pacific Pathways Prep Elementary</t>
  </si>
  <si>
    <t>Leroy Greene Academy</t>
  </si>
  <si>
    <t>Natomas Pacific Pathways Prep Middle</t>
  </si>
  <si>
    <t>River Delta Community Day</t>
  </si>
  <si>
    <t>Mokelumne High (Continuation)</t>
  </si>
  <si>
    <t>Bates Elementary</t>
  </si>
  <si>
    <t>Isleton Elementary</t>
  </si>
  <si>
    <t>Delta High</t>
  </si>
  <si>
    <t>Rio Vista High</t>
  </si>
  <si>
    <t>D. H. White Elementary</t>
  </si>
  <si>
    <t>Clarksburg Middle</t>
  </si>
  <si>
    <t>River Delta High/Elementary (Alternative)</t>
  </si>
  <si>
    <t>Bell Avenue Elementary</t>
  </si>
  <si>
    <t>Taylor Street Elementary</t>
  </si>
  <si>
    <t>Main Avenue Elementary</t>
  </si>
  <si>
    <t>Success Academy</t>
  </si>
  <si>
    <t>John Morse Therapeutic Center</t>
  </si>
  <si>
    <t>John D. Sloat Elementary</t>
  </si>
  <si>
    <t>Woodbine Elementary</t>
  </si>
  <si>
    <t>American Legion High (Continuation)</t>
  </si>
  <si>
    <t>H. W. Harkness Elementary</t>
  </si>
  <si>
    <t>Arthur A. Benjamin Health Professions High</t>
  </si>
  <si>
    <t>Sam Brannan Middle</t>
  </si>
  <si>
    <t>Leataata Floyd Elementary</t>
  </si>
  <si>
    <t>George Washington Carver School of Arts and Science</t>
  </si>
  <si>
    <t>The MET</t>
  </si>
  <si>
    <t>John H. Still</t>
  </si>
  <si>
    <t>Caroline Wenzel Elementary</t>
  </si>
  <si>
    <t>James Marshall Elementary</t>
  </si>
  <si>
    <t>O. W. Erlewine Elementary</t>
  </si>
  <si>
    <t>John Cabrillo Elementary</t>
  </si>
  <si>
    <t>Isador Cohen Elementary</t>
  </si>
  <si>
    <t>Kit Carson International Academy</t>
  </si>
  <si>
    <t>Martin Luther King, Jr.</t>
  </si>
  <si>
    <t>Parkway Elementary</t>
  </si>
  <si>
    <t>Capital City Independent Study</t>
  </si>
  <si>
    <t>A. M. Winn Waldorf-Inspired</t>
  </si>
  <si>
    <t>Ethel Phillips Elementary</t>
  </si>
  <si>
    <t>Hollywood Park Elementary</t>
  </si>
  <si>
    <t>Tahoe Elementary</t>
  </si>
  <si>
    <t>Sutterville Elementary</t>
  </si>
  <si>
    <t>Hiram W. Johnson High</t>
  </si>
  <si>
    <t>Father Keith B. Kenny</t>
  </si>
  <si>
    <t>Luther Burbank High</t>
  </si>
  <si>
    <t>John Bidwell Elementary</t>
  </si>
  <si>
    <t>David Lubin Elementary</t>
  </si>
  <si>
    <t>Albert Einstein Middle</t>
  </si>
  <si>
    <t>Edward Kemble Elementary</t>
  </si>
  <si>
    <t>Hubert H. Bancroft Elementary</t>
  </si>
  <si>
    <t>Pony Express Elementary</t>
  </si>
  <si>
    <t>New Joseph Bonnheim (NJB) Community Charter</t>
  </si>
  <si>
    <t>Camellia Elementary</t>
  </si>
  <si>
    <t>Fern Bacon Middle</t>
  </si>
  <si>
    <t>Rosemont High</t>
  </si>
  <si>
    <t>Peter Burnett Elementary</t>
  </si>
  <si>
    <t>Nicholas Elementary</t>
  </si>
  <si>
    <t>Caleb Greenwood Elementary</t>
  </si>
  <si>
    <t>Matsuyama Elementary</t>
  </si>
  <si>
    <t>California Middle</t>
  </si>
  <si>
    <t>Golden Empire Elementary</t>
  </si>
  <si>
    <t>Oak Ridge Elementary</t>
  </si>
  <si>
    <t>Alice Birney Waldorf-Inspired</t>
  </si>
  <si>
    <t>Cesar Chavez Intermediate</t>
  </si>
  <si>
    <t>Leonardo Da Vinci</t>
  </si>
  <si>
    <t>School of Engineering &amp; Sciences</t>
  </si>
  <si>
    <t>Ethel I. Baker Elementary</t>
  </si>
  <si>
    <t>William Land Elementary</t>
  </si>
  <si>
    <t>C. K. McClatchy High</t>
  </si>
  <si>
    <t>West Campus</t>
  </si>
  <si>
    <t>Genevieve Didion</t>
  </si>
  <si>
    <t>Crocker/Riverside Elementary</t>
  </si>
  <si>
    <t>Phoebe A. Hearst Elementary</t>
  </si>
  <si>
    <t>Elder Creek Elementary</t>
  </si>
  <si>
    <t>Bowling Green Elementary</t>
  </si>
  <si>
    <t>Palmiter Special Education</t>
  </si>
  <si>
    <t>Sacramento County ED Special Education</t>
  </si>
  <si>
    <t>Foundations Academy</t>
  </si>
  <si>
    <t>El Centro Jr./Sr. High</t>
  </si>
  <si>
    <t>Nathaniel S. Colley Sr. High</t>
  </si>
  <si>
    <t>North Area Community</t>
  </si>
  <si>
    <t>Elinor Lincoln Hickey Jr./Sr. High</t>
  </si>
  <si>
    <t>Ralph Richardson Center</t>
  </si>
  <si>
    <t>La Vista Center</t>
  </si>
  <si>
    <t>Laurel Ruff Transition</t>
  </si>
  <si>
    <t>Meraki High</t>
  </si>
  <si>
    <t>Skycrest Elementary</t>
  </si>
  <si>
    <t>San Juan High</t>
  </si>
  <si>
    <t>Grand Oaks Elementary</t>
  </si>
  <si>
    <t>Coyle Avenue Elementary</t>
  </si>
  <si>
    <t>San Juan Choices Charter</t>
  </si>
  <si>
    <t>La Entrada Continuation High</t>
  </si>
  <si>
    <t>Charles Peck Elementary</t>
  </si>
  <si>
    <t>Cameron Ranch Elementary</t>
  </si>
  <si>
    <t>Mesa Verde High</t>
  </si>
  <si>
    <t>Mariposa Avenue Elementary</t>
  </si>
  <si>
    <t>Trajan Elementary</t>
  </si>
  <si>
    <t>Encina Preparatory High</t>
  </si>
  <si>
    <t>Carmichael Elementary</t>
  </si>
  <si>
    <t>Carriage Drive Elementary</t>
  </si>
  <si>
    <t>Lichen K-8</t>
  </si>
  <si>
    <t>Northridge Elementary</t>
  </si>
  <si>
    <t>Dyer-Kelly Elementary</t>
  </si>
  <si>
    <t>Earl Legette Elementary</t>
  </si>
  <si>
    <t>Harry Dewey Fundamental Elementary</t>
  </si>
  <si>
    <t>Kingswood K-8</t>
  </si>
  <si>
    <t>Ottomon Way Elementary</t>
  </si>
  <si>
    <t>John Barrett Middle</t>
  </si>
  <si>
    <t>Oakview Community Elementary</t>
  </si>
  <si>
    <t>Whitney Avenue Elementary</t>
  </si>
  <si>
    <t>Thomas Edison Language Institute K-8</t>
  </si>
  <si>
    <t>Sylvan Middle</t>
  </si>
  <si>
    <t>Casa Roble Fundamental High</t>
  </si>
  <si>
    <t>Thomas Kelly Elementary</t>
  </si>
  <si>
    <t>Albert Schweitzer Elementary</t>
  </si>
  <si>
    <t>Howe Avenue Elementary</t>
  </si>
  <si>
    <t>Cottage Elementary</t>
  </si>
  <si>
    <t>Del Dayo Elementary</t>
  </si>
  <si>
    <t>Mariemont Elementary</t>
  </si>
  <si>
    <t>Arcade Fundamental Middle</t>
  </si>
  <si>
    <t>El Camino Fundamental High</t>
  </si>
  <si>
    <t>Del Campo High</t>
  </si>
  <si>
    <t>Starr King K-8</t>
  </si>
  <si>
    <t>Greer Elementary</t>
  </si>
  <si>
    <t>Pasadena Avenue Elementary</t>
  </si>
  <si>
    <t>Bella Vista High</t>
  </si>
  <si>
    <t>Louis Pasteur Fundamental Middle</t>
  </si>
  <si>
    <t>Winston Churchill Middle</t>
  </si>
  <si>
    <t>Del Paso Manor Elementary</t>
  </si>
  <si>
    <t>El Sereno Alternative Education</t>
  </si>
  <si>
    <t>Mira Loma High</t>
  </si>
  <si>
    <t>Woodside K-8</t>
  </si>
  <si>
    <t>Cambridge Heights Elementary</t>
  </si>
  <si>
    <t>Green Oaks Fundamental Elementary</t>
  </si>
  <si>
    <t>Pershing Elementary</t>
  </si>
  <si>
    <t>Rio Americano High</t>
  </si>
  <si>
    <t>Gold River Discovery Center K-8</t>
  </si>
  <si>
    <t>Arden Middle</t>
  </si>
  <si>
    <t>James R. Cowan Fundamental Elementary</t>
  </si>
  <si>
    <t>Orangevale Open K-8</t>
  </si>
  <si>
    <t>Mary Deterding Elementary</t>
  </si>
  <si>
    <t>Mission Avenue Open Elementary</t>
  </si>
  <si>
    <t>Sierra Oaks K-8</t>
  </si>
  <si>
    <t>General Davie, Jr. Primary Center</t>
  </si>
  <si>
    <t>Marvin Marshall Preschool and Children's Center</t>
  </si>
  <si>
    <t>Nova Opportunity</t>
  </si>
  <si>
    <t>Miles P. Richmond</t>
  </si>
  <si>
    <t>Vista Nueva Career and Technology High</t>
  </si>
  <si>
    <t>Pacific Career and Technology High</t>
  </si>
  <si>
    <t>Rio Linda Preparatory Academy</t>
  </si>
  <si>
    <t>Highlands High</t>
  </si>
  <si>
    <t>Rio Tierra Junior High</t>
  </si>
  <si>
    <t>Hillsdale Elementary</t>
  </si>
  <si>
    <t>Martin Luther King Jr. Technology Academy</t>
  </si>
  <si>
    <t>Norwood Junior High</t>
  </si>
  <si>
    <t>Foothill Ranch Middle</t>
  </si>
  <si>
    <t>Creative Connections Arts Academy</t>
  </si>
  <si>
    <t>Woodlake Elementary</t>
  </si>
  <si>
    <t>Rio Linda High</t>
  </si>
  <si>
    <t>D. W. Babcock Elementary</t>
  </si>
  <si>
    <t>Grant Union High</t>
  </si>
  <si>
    <t>Hagginwood Elementary</t>
  </si>
  <si>
    <t>Fairbanks Elementary</t>
  </si>
  <si>
    <t>Smythe Academy of Arts and Sciences</t>
  </si>
  <si>
    <t>Foothill Oaks Elementary</t>
  </si>
  <si>
    <t>Warren A. Allison Elementary</t>
  </si>
  <si>
    <t>Elwood J. Keema High</t>
  </si>
  <si>
    <t>Village Elementary</t>
  </si>
  <si>
    <t>Del Paso Heights Elementary</t>
  </si>
  <si>
    <t>Garden Valley Elementary</t>
  </si>
  <si>
    <t>Frederick Joyce Elementary</t>
  </si>
  <si>
    <t>Westside Preparatory Charter</t>
  </si>
  <si>
    <t>Michael J. Castori Elementary</t>
  </si>
  <si>
    <t>Woodridge Elementary</t>
  </si>
  <si>
    <t>Regency Park Elementary</t>
  </si>
  <si>
    <t>Ridgepoint Elementary</t>
  </si>
  <si>
    <t>Oakdale Elementary</t>
  </si>
  <si>
    <t>Hazel Strauch Elementary</t>
  </si>
  <si>
    <t>Kohler Elementary</t>
  </si>
  <si>
    <t>San Juan</t>
  </si>
  <si>
    <t>Aromas</t>
  </si>
  <si>
    <t>Anzar High</t>
  </si>
  <si>
    <t>R. O. Hardin Elementary</t>
  </si>
  <si>
    <t>Gabilan Hills</t>
  </si>
  <si>
    <t>Maze Middle</t>
  </si>
  <si>
    <t>Cerra Vista Elementary</t>
  </si>
  <si>
    <t>Calaveras Elementary</t>
  </si>
  <si>
    <t>Rancho San Justo</t>
  </si>
  <si>
    <t>Ladd Lane Elementary</t>
  </si>
  <si>
    <t>Hollister Dual Language Academy</t>
  </si>
  <si>
    <t>Spring Grove Elementary</t>
  </si>
  <si>
    <t>Pinnacles Community</t>
  </si>
  <si>
    <t>San Benito County Juvenile Hall Court</t>
  </si>
  <si>
    <t>San Benito County Opportunity</t>
  </si>
  <si>
    <t>San Andreas Continuation High</t>
  </si>
  <si>
    <t>Tres Pinos Elementary</t>
  </si>
  <si>
    <t>Willow Grove Elementary</t>
  </si>
  <si>
    <t>West Creek Elementary</t>
  </si>
  <si>
    <t>Eagle Ranch Elementary</t>
  </si>
  <si>
    <t>Adelanto Virtual Academy</t>
  </si>
  <si>
    <t>Mesa Linda Middle</t>
  </si>
  <si>
    <t>Victoria Magathan Elementary</t>
  </si>
  <si>
    <t>Donald F. Bradach Elementary</t>
  </si>
  <si>
    <t>George Visual and Performing Arts Magnet and Middle</t>
  </si>
  <si>
    <t>Melva Davis Academy of Excellence</t>
  </si>
  <si>
    <t>Morgan Kincaid Preparatory</t>
  </si>
  <si>
    <t>Westside Park Elementary</t>
  </si>
  <si>
    <t>Columbia Middle</t>
  </si>
  <si>
    <t>Gus Franklin Jr.</t>
  </si>
  <si>
    <t>El Mirage</t>
  </si>
  <si>
    <t>Theodore Vick Elementary</t>
  </si>
  <si>
    <t>Jasper Elementary</t>
  </si>
  <si>
    <t>Carnelian Elementary</t>
  </si>
  <si>
    <t>Banyan Elementary</t>
  </si>
  <si>
    <t>Deer Canyon Elementary</t>
  </si>
  <si>
    <t>Alta Loma Junior High</t>
  </si>
  <si>
    <t>Hermosa Elementary</t>
  </si>
  <si>
    <t>Vineyard Junior High</t>
  </si>
  <si>
    <t>Victoria Groves Elementary</t>
  </si>
  <si>
    <t>Floyd M. Stork Elementary</t>
  </si>
  <si>
    <t>Yucca Loma Elementary</t>
  </si>
  <si>
    <t>High Desert Premier Academy</t>
  </si>
  <si>
    <t>Rancho Verde Elementary</t>
  </si>
  <si>
    <t>Desert Knolls Elementary</t>
  </si>
  <si>
    <t>Granite Hills High</t>
  </si>
  <si>
    <t>Mariana Academy</t>
  </si>
  <si>
    <t>Apple Valley High</t>
  </si>
  <si>
    <t>Sycamore Rocks Elementary</t>
  </si>
  <si>
    <t>Sandia Elementary</t>
  </si>
  <si>
    <t>Sitting Bull Academy</t>
  </si>
  <si>
    <t>Rio Vista School of Applied Learning</t>
  </si>
  <si>
    <t>Vanguard Preparatory</t>
  </si>
  <si>
    <t>Baker High</t>
  </si>
  <si>
    <t>Baker Junior High</t>
  </si>
  <si>
    <t>BUSD School of Opportunity</t>
  </si>
  <si>
    <t>Challenges Community Day</t>
  </si>
  <si>
    <t>Central High (Continuation)</t>
  </si>
  <si>
    <t>Barstow Junior High</t>
  </si>
  <si>
    <t>Crestline Elementary</t>
  </si>
  <si>
    <t>Montara Elementary</t>
  </si>
  <si>
    <t>Lenwood Elementary</t>
  </si>
  <si>
    <t>Skyline North Elementary</t>
  </si>
  <si>
    <t>Henderson Elementary</t>
  </si>
  <si>
    <t>Barstow High</t>
  </si>
  <si>
    <t>Barstow STEM Academy</t>
  </si>
  <si>
    <t>Barstow Fine Arts Academy</t>
  </si>
  <si>
    <t>Chautauqua High (Continuation)</t>
  </si>
  <si>
    <t>Fallsvale</t>
  </si>
  <si>
    <t>Big Bear High</t>
  </si>
  <si>
    <t>North Shore Elementary</t>
  </si>
  <si>
    <t>Baldwin Lane Elementary</t>
  </si>
  <si>
    <t>Big Bear Middle</t>
  </si>
  <si>
    <t>Big Bear Elementary</t>
  </si>
  <si>
    <t>Bear Gulch Elementary</t>
  </si>
  <si>
    <t>Cucamonga Middle</t>
  </si>
  <si>
    <t>Dona Merced Elementary</t>
  </si>
  <si>
    <t>Ruth Musser Middle</t>
  </si>
  <si>
    <t>Coyote Canyon Elementary</t>
  </si>
  <si>
    <t>Chaffey Community Day</t>
  </si>
  <si>
    <t>Valley View High (Continuation)</t>
  </si>
  <si>
    <t>Colony High</t>
  </si>
  <si>
    <t>Ontario High</t>
  </si>
  <si>
    <t>Alta Loma High</t>
  </si>
  <si>
    <t>Chaffey District Online High</t>
  </si>
  <si>
    <t>Montclair High</t>
  </si>
  <si>
    <t>Chaffey High</t>
  </si>
  <si>
    <t>Los Osos High</t>
  </si>
  <si>
    <t>Rancho Cucamonga High</t>
  </si>
  <si>
    <t>Etiwanda High</t>
  </si>
  <si>
    <t>Chino Valley Learning Academy</t>
  </si>
  <si>
    <t>Boys Republic High</t>
  </si>
  <si>
    <t>Buena Vista Continuation High</t>
  </si>
  <si>
    <t>Woodcrest Junior High</t>
  </si>
  <si>
    <t>Magnolia Junior High</t>
  </si>
  <si>
    <t>Anna A. Borba Fundamental Elementary</t>
  </si>
  <si>
    <t>Don Antonio Lugo High</t>
  </si>
  <si>
    <t>Ramona Junior High</t>
  </si>
  <si>
    <t>Glenmeade Elementary</t>
  </si>
  <si>
    <t>E. J. Marshall Elementary</t>
  </si>
  <si>
    <t>Eagle Canyon Elementary</t>
  </si>
  <si>
    <t>Newman Elementary</t>
  </si>
  <si>
    <t>Walnut Avenue Elementary</t>
  </si>
  <si>
    <t>Chino High</t>
  </si>
  <si>
    <t>Hidden Trails Elementary</t>
  </si>
  <si>
    <t>Howard Cattle Elementary</t>
  </si>
  <si>
    <t>Lyle S. Briggs Fundamental</t>
  </si>
  <si>
    <t>Alicia Cortez Elementary</t>
  </si>
  <si>
    <t>Levi H. Dickey Elementary</t>
  </si>
  <si>
    <t>Dickson Elementary</t>
  </si>
  <si>
    <t>Rolling Ridge Elementary</t>
  </si>
  <si>
    <t>Chino Hills High</t>
  </si>
  <si>
    <t>Country Springs Elementary</t>
  </si>
  <si>
    <t>Robert O. Townsend Junior High</t>
  </si>
  <si>
    <t>Ruben S. Ayala High</t>
  </si>
  <si>
    <t>Canyon Hills Junior High</t>
  </si>
  <si>
    <t>Butterfield Ranch Elementary</t>
  </si>
  <si>
    <t>Gerald F. Litel Elementary</t>
  </si>
  <si>
    <t>Edwin Rhodes Elementary</t>
  </si>
  <si>
    <t>Michael G. Wickman Elementary</t>
  </si>
  <si>
    <t>Cal Aero Preserve Academy</t>
  </si>
  <si>
    <t>Slover Mountain High (Continuation)</t>
  </si>
  <si>
    <t>Joe Baca</t>
  </si>
  <si>
    <t>Ruth O. Harris Middle</t>
  </si>
  <si>
    <t>Grand Terrace Elementary</t>
  </si>
  <si>
    <t>Colton High</t>
  </si>
  <si>
    <t>Reche Canyon Elementary</t>
  </si>
  <si>
    <t>Grand Terrace High School at the Ray Abril Jr. Educational Complex</t>
  </si>
  <si>
    <t>Cooley Ranch Elementary</t>
  </si>
  <si>
    <t>Jurupa Vista Elementary</t>
  </si>
  <si>
    <t>Michael D'Arcy Elementary</t>
  </si>
  <si>
    <t>Ruth Grimes Elementary</t>
  </si>
  <si>
    <t>Bloomington High</t>
  </si>
  <si>
    <t>Sycamore Hills Elementary</t>
  </si>
  <si>
    <t>Mary B. Lewis Elementary</t>
  </si>
  <si>
    <t>Colton Middle</t>
  </si>
  <si>
    <t>Paul Rogers Elementary</t>
  </si>
  <si>
    <t>Ulysses Grant Elementary</t>
  </si>
  <si>
    <t>Terrace Hills Middle</t>
  </si>
  <si>
    <t>Walter Zimmerman Elementary</t>
  </si>
  <si>
    <t>Crestmore Elementary</t>
  </si>
  <si>
    <t>Gerald A. Smith Elementary</t>
  </si>
  <si>
    <t>Terrace View Elementary</t>
  </si>
  <si>
    <t>Rancho Cucamonga Middle</t>
  </si>
  <si>
    <t>Ontario Center</t>
  </si>
  <si>
    <t>Los Amigos Elementary</t>
  </si>
  <si>
    <t>Falcon Ridge Elementary</t>
  </si>
  <si>
    <t>West Heritage Elementary</t>
  </si>
  <si>
    <t>Etiwanda Colony Elementary</t>
  </si>
  <si>
    <t>Cecilia Lucero Solorio Elementary</t>
  </si>
  <si>
    <t>East Heritage Elementary</t>
  </si>
  <si>
    <t>Perdew Elementary</t>
  </si>
  <si>
    <t>Carleton P. Lightfoot Elementary</t>
  </si>
  <si>
    <t>Windrows Elementary</t>
  </si>
  <si>
    <t>David W. Long Elementary</t>
  </si>
  <si>
    <t>Grapeland Elementary</t>
  </si>
  <si>
    <t>Day Creek Intermediate</t>
  </si>
  <si>
    <t>John L. Golden Elementary</t>
  </si>
  <si>
    <t>Caryn Elementary</t>
  </si>
  <si>
    <t>Summit Intermediate</t>
  </si>
  <si>
    <t>Etiwanda Intermediate</t>
  </si>
  <si>
    <t>Heritage Intermediate</t>
  </si>
  <si>
    <t>Terra Vista Elementary</t>
  </si>
  <si>
    <t>Etiwanda Community Day</t>
  </si>
  <si>
    <t>Summit High</t>
  </si>
  <si>
    <t>Fontana High</t>
  </si>
  <si>
    <t>Fontana A. B. Miller High</t>
  </si>
  <si>
    <t>Henry J. Kaiser High</t>
  </si>
  <si>
    <t>Jurupa Hills High</t>
  </si>
  <si>
    <t>Wayne Ruble Middle</t>
  </si>
  <si>
    <t>Fontana Middle</t>
  </si>
  <si>
    <t>Harry S. Truman Middle</t>
  </si>
  <si>
    <t>Alder Middle</t>
  </si>
  <si>
    <t>Southridge Tech Middle</t>
  </si>
  <si>
    <t>Almeria Middle</t>
  </si>
  <si>
    <t>Citrus High (Continuation)</t>
  </si>
  <si>
    <t>Eric Birch High (Continuation)</t>
  </si>
  <si>
    <t>Palmetto Elementary</t>
  </si>
  <si>
    <t>Beech Avenue Elementary</t>
  </si>
  <si>
    <t>Citrus Elementary</t>
  </si>
  <si>
    <t>Ted Porter Elementary</t>
  </si>
  <si>
    <t>Oleander Elementary</t>
  </si>
  <si>
    <t>Date Elementary</t>
  </si>
  <si>
    <t>Dorothy Grant Innovations Academy</t>
  </si>
  <si>
    <t>Sierra Lakes Elementary</t>
  </si>
  <si>
    <t>Virginia Primrose Elementary</t>
  </si>
  <si>
    <t>Kathy Binks Elementary</t>
  </si>
  <si>
    <t>South Tamarind Elementary</t>
  </si>
  <si>
    <t>Poplar Elementary</t>
  </si>
  <si>
    <t>Juniper Elementary</t>
  </si>
  <si>
    <t>Randall Pepper Elementary</t>
  </si>
  <si>
    <t>Hemlock Elementary</t>
  </si>
  <si>
    <t>Almond Elementary</t>
  </si>
  <si>
    <t>Shadow Hills Elementary</t>
  </si>
  <si>
    <t>Tokay Elementary</t>
  </si>
  <si>
    <t>Locust Elementary</t>
  </si>
  <si>
    <t>North Tamarind Elementary</t>
  </si>
  <si>
    <t>Dolores Huerta International Academy</t>
  </si>
  <si>
    <t>Mango Elementary</t>
  </si>
  <si>
    <t>Chaparral Academy of Technology</t>
  </si>
  <si>
    <t>Canyon Crest Elementary</t>
  </si>
  <si>
    <t>West Randall Elementary</t>
  </si>
  <si>
    <t>Oak Park Elementary</t>
  </si>
  <si>
    <t>Academy of Careers and Exploration</t>
  </si>
  <si>
    <t>Independence Charter Academy</t>
  </si>
  <si>
    <t>Hesperia Community Day</t>
  </si>
  <si>
    <t>Mojave High</t>
  </si>
  <si>
    <t>Canyon Ridge High</t>
  </si>
  <si>
    <t>Shadow Ridge</t>
  </si>
  <si>
    <t>Hollyvale Elementary</t>
  </si>
  <si>
    <t>Mesa Grande Elementary</t>
  </si>
  <si>
    <t>Sultana High</t>
  </si>
  <si>
    <t>Hesperia Junior High</t>
  </si>
  <si>
    <t>Hesperia High</t>
  </si>
  <si>
    <t>Mission Crest Elementary</t>
  </si>
  <si>
    <t>Oak Hills High</t>
  </si>
  <si>
    <t>Ranchero Middle</t>
  </si>
  <si>
    <t>Lime Street Elementary</t>
  </si>
  <si>
    <t>Krystal School of Science, Math &amp; Technology</t>
  </si>
  <si>
    <t>Carmel Elementary</t>
  </si>
  <si>
    <t>Mesquite Trails Elementary</t>
  </si>
  <si>
    <t>Eucalyptus Elementary</t>
  </si>
  <si>
    <t>Cedar Middle</t>
  </si>
  <si>
    <t>Cypress School of the Arts</t>
  </si>
  <si>
    <t>Topaz Preparatory Academy</t>
  </si>
  <si>
    <t>Joshua Circle Elementary</t>
  </si>
  <si>
    <t>Kingston Elementary</t>
  </si>
  <si>
    <t>Lucerne Valley High</t>
  </si>
  <si>
    <t>Lucerne Valley Middle</t>
  </si>
  <si>
    <t>Lucerne Valley Elementary</t>
  </si>
  <si>
    <t>Black Rock Alternative/Continuation</t>
  </si>
  <si>
    <t>Morongo Valley Elementary</t>
  </si>
  <si>
    <t>Landers Elementary</t>
  </si>
  <si>
    <t>Twentynine Palms Junior High</t>
  </si>
  <si>
    <t>Friendly Hills Elementary</t>
  </si>
  <si>
    <t>Yucca Mesa Elementary</t>
  </si>
  <si>
    <t>Palm Vista Elementary</t>
  </si>
  <si>
    <t>Twentynine Palms High</t>
  </si>
  <si>
    <t>Joshua Tree Elementary</t>
  </si>
  <si>
    <t>Yucca Valley High</t>
  </si>
  <si>
    <t>Twentynine Palms Elementary</t>
  </si>
  <si>
    <t>La Contenta Middle</t>
  </si>
  <si>
    <t>Onaga Elementary</t>
  </si>
  <si>
    <t>Condor Elementary</t>
  </si>
  <si>
    <t>Yucca Valley Elementary</t>
  </si>
  <si>
    <t>Grace Yokley Junior High</t>
  </si>
  <si>
    <t>Creek View Elementary</t>
  </si>
  <si>
    <t>Ranch View Elementary</t>
  </si>
  <si>
    <t>Chemehuevi Valley Elementary</t>
  </si>
  <si>
    <t>Needles Community Day</t>
  </si>
  <si>
    <t>Educational Training Center</t>
  </si>
  <si>
    <t>Needles High</t>
  </si>
  <si>
    <t>Vista Colorado Elementary</t>
  </si>
  <si>
    <t>Needles Middle</t>
  </si>
  <si>
    <t>El Camino Elementary</t>
  </si>
  <si>
    <t>Del Norte Elementary</t>
  </si>
  <si>
    <t>De Anza Middle</t>
  </si>
  <si>
    <t>Sultana Elementary</t>
  </si>
  <si>
    <t>Vina Danks Middle</t>
  </si>
  <si>
    <t>Montera Elementary</t>
  </si>
  <si>
    <t>Corona Elementary</t>
  </si>
  <si>
    <t>Vernon Middle</t>
  </si>
  <si>
    <t>Lehigh Elementary</t>
  </si>
  <si>
    <t>Berlyn Elementary</t>
  </si>
  <si>
    <t>Buena Vista Arts-Integrated</t>
  </si>
  <si>
    <t>Euclid Elementary</t>
  </si>
  <si>
    <t>Elderberry Elementary</t>
  </si>
  <si>
    <t>Oaks Middle</t>
  </si>
  <si>
    <t>Serrano Middle</t>
  </si>
  <si>
    <t>Ray Wiltsey Middle</t>
  </si>
  <si>
    <t>Vineyard Elementary</t>
  </si>
  <si>
    <t>Bon View Elementary</t>
  </si>
  <si>
    <t>Richard Haynes Elementary</t>
  </si>
  <si>
    <t>Central Language Academy</t>
  </si>
  <si>
    <t>Oro Grande Elementary</t>
  </si>
  <si>
    <t>Arroyo Verde Elementary</t>
  </si>
  <si>
    <t>Bryn Mawr Elementary</t>
  </si>
  <si>
    <t>Clement Middle</t>
  </si>
  <si>
    <t>Crafton Elementary</t>
  </si>
  <si>
    <t>Cram Elementary</t>
  </si>
  <si>
    <t>Highland Grove Elementary</t>
  </si>
  <si>
    <t>Judson &amp; Brown Elementary</t>
  </si>
  <si>
    <t>Kingsbury Elementary</t>
  </si>
  <si>
    <t>Lugonia Elementary</t>
  </si>
  <si>
    <t>Mentone Elementary</t>
  </si>
  <si>
    <t>Moore Middle</t>
  </si>
  <si>
    <t>Orangewood High (Continuation)</t>
  </si>
  <si>
    <t>Smiley Elementary</t>
  </si>
  <si>
    <t>Beattie Middle</t>
  </si>
  <si>
    <t>Citrus Valley High</t>
  </si>
  <si>
    <t>Cope Middle</t>
  </si>
  <si>
    <t>Kimberly Elementary</t>
  </si>
  <si>
    <t>Redlands eAcademy</t>
  </si>
  <si>
    <t>Redlands East Valley High</t>
  </si>
  <si>
    <t>Redlands Senior High</t>
  </si>
  <si>
    <t>Zupanic High</t>
  </si>
  <si>
    <t>Milor Continuation High</t>
  </si>
  <si>
    <t>Henry Elementary Visual and Performing Arts</t>
  </si>
  <si>
    <t>Dr. Edward Fitzgerald Elementary</t>
  </si>
  <si>
    <t>Ethel Kucera Middle</t>
  </si>
  <si>
    <t>A. H. Morgan Elementary</t>
  </si>
  <si>
    <t>Levi Bemis Elementary</t>
  </si>
  <si>
    <t>George H. Dunn Elementary</t>
  </si>
  <si>
    <t>Dr. Ernest Garcia Elementary</t>
  </si>
  <si>
    <t>Merle S. Casey Elementary</t>
  </si>
  <si>
    <t>Warren Henry Frisbie Middle</t>
  </si>
  <si>
    <t>Winn A. Myers Elementary</t>
  </si>
  <si>
    <t>W.J.C. Trapp Elementary</t>
  </si>
  <si>
    <t>Charlotte N. Werner Elementary</t>
  </si>
  <si>
    <t>JC Boyd Elementary</t>
  </si>
  <si>
    <t>Nancy R. Kordyak Elementary</t>
  </si>
  <si>
    <t>Elizabeth T. Hughbanks Elementary</t>
  </si>
  <si>
    <t>Lena M. Preston Elementary</t>
  </si>
  <si>
    <t>Wilmer Amina Carter High</t>
  </si>
  <si>
    <t>Ben F. Kolb Middle</t>
  </si>
  <si>
    <t>Eisenhower High</t>
  </si>
  <si>
    <t>Helen L. Dollahan Elementary</t>
  </si>
  <si>
    <t>Kelley Elementary</t>
  </si>
  <si>
    <t>Rialto Middle</t>
  </si>
  <si>
    <t>Rialto High</t>
  </si>
  <si>
    <t>Georgia Morris Elementary</t>
  </si>
  <si>
    <t>Sam V. Curtis Elementary</t>
  </si>
  <si>
    <t>Samuel W. Simpson Elementary</t>
  </si>
  <si>
    <t>William G. Jehue Middle</t>
  </si>
  <si>
    <t>Mountain High</t>
  </si>
  <si>
    <t>Rim of the World Senior High</t>
  </si>
  <si>
    <t>Mary P. Henck Intermediate</t>
  </si>
  <si>
    <t>Charles Hoffman Elementary</t>
  </si>
  <si>
    <t>Lake Arrowhead Elementary</t>
  </si>
  <si>
    <t>Valley of Enchantment Elementary</t>
  </si>
  <si>
    <t>Rim Virtual Academy</t>
  </si>
  <si>
    <t>Yvonne Harmon</t>
  </si>
  <si>
    <t>San Andreas High</t>
  </si>
  <si>
    <t>Anderson</t>
  </si>
  <si>
    <t>E. Neal Roberts Elementary</t>
  </si>
  <si>
    <t>Urbita Elementary</t>
  </si>
  <si>
    <t>Arrowhead Elementary</t>
  </si>
  <si>
    <t>Kimbark Elementary</t>
  </si>
  <si>
    <t>Manuel A. Salinas Creative Arts Elementary</t>
  </si>
  <si>
    <t>Richardson PREP HI Middle</t>
  </si>
  <si>
    <t>Pacific High</t>
  </si>
  <si>
    <t>Curtis Middle</t>
  </si>
  <si>
    <t>Ramona-Alessandro Elementary</t>
  </si>
  <si>
    <t>Oehl Elementary</t>
  </si>
  <si>
    <t>San Gorgonio High</t>
  </si>
  <si>
    <t>Hunt Elementary</t>
  </si>
  <si>
    <t>Lytle Creek Elementary</t>
  </si>
  <si>
    <t>Captain Leland Norton Elementary</t>
  </si>
  <si>
    <t>Kendall Elementary</t>
  </si>
  <si>
    <t>Emmerton Elementary</t>
  </si>
  <si>
    <t>Del Vallejo Middle</t>
  </si>
  <si>
    <t>Davidson Elementary</t>
  </si>
  <si>
    <t>Highland Pacific Elementary</t>
  </si>
  <si>
    <t>Juanita Blakely Jones Elementary</t>
  </si>
  <si>
    <t>Muscoy Elementary</t>
  </si>
  <si>
    <t>Monterey Elementary</t>
  </si>
  <si>
    <t>San Bernardino High</t>
  </si>
  <si>
    <t>North Verdemont Elementary</t>
  </si>
  <si>
    <t>Paakuma K-8</t>
  </si>
  <si>
    <t>Palm Avenue Elementary</t>
  </si>
  <si>
    <t>Howard Inghram Elementary</t>
  </si>
  <si>
    <t>H. Frank Dominguez Elementary</t>
  </si>
  <si>
    <t>Colonel Joseph C. Rodriguez PREP Academy</t>
  </si>
  <si>
    <t>Graciano Gomez Elementary</t>
  </si>
  <si>
    <t>Roger Anton Elementary</t>
  </si>
  <si>
    <t>Golden Valley Middle</t>
  </si>
  <si>
    <t>George Brown Jr. Elementary</t>
  </si>
  <si>
    <t>Bing Wong Elementary</t>
  </si>
  <si>
    <t>Vermont Elementary</t>
  </si>
  <si>
    <t>Del Rosa Elementary</t>
  </si>
  <si>
    <t>Bob Holcomb Elementary</t>
  </si>
  <si>
    <t>Indian Springs High</t>
  </si>
  <si>
    <t>Shandin Hills Middle</t>
  </si>
  <si>
    <t>Cajon High</t>
  </si>
  <si>
    <t>Arrowview Middle</t>
  </si>
  <si>
    <t>STAR at Anderson Community Day</t>
  </si>
  <si>
    <t>Newmark Elementary</t>
  </si>
  <si>
    <t>Dr. Mildred Dalton Henry Elementary</t>
  </si>
  <si>
    <t>Arroyo Valley High</t>
  </si>
  <si>
    <t>San Bernardino City Community Day</t>
  </si>
  <si>
    <t>Alternative Learning Center</t>
  </si>
  <si>
    <t>Carmack</t>
  </si>
  <si>
    <t>San Bernardino County Juvenile Detention and Assessment Center</t>
  </si>
  <si>
    <t>San Bernardino County Special Education</t>
  </si>
  <si>
    <t>Community School/Independent Alternative Education</t>
  </si>
  <si>
    <t>Newberry Springs Elementary</t>
  </si>
  <si>
    <t>Calico Continuation High</t>
  </si>
  <si>
    <t>Yermo Elementary</t>
  </si>
  <si>
    <t>Silver Valley High</t>
  </si>
  <si>
    <t>Congressman Jerry Lewis Elementary</t>
  </si>
  <si>
    <t>Tiefort View Intermediate</t>
  </si>
  <si>
    <t>Fort Irwin Middle</t>
  </si>
  <si>
    <t>Silver Valley Academy</t>
  </si>
  <si>
    <t>Silver Valley Community Day</t>
  </si>
  <si>
    <t>Eagle Summit Community Day</t>
  </si>
  <si>
    <t>Wrightwood Elementary</t>
  </si>
  <si>
    <t>Phelan Elementary</t>
  </si>
  <si>
    <t>Pinon Hills Elementary</t>
  </si>
  <si>
    <t>Vista Verde Elementary</t>
  </si>
  <si>
    <t>Pinon Mesa Middle</t>
  </si>
  <si>
    <t>Serrano High</t>
  </si>
  <si>
    <t>Baldy Mesa Elementary</t>
  </si>
  <si>
    <t>Quail Valley Middle</t>
  </si>
  <si>
    <t>Heritage</t>
  </si>
  <si>
    <t>Snowline Academy</t>
  </si>
  <si>
    <t>Trona High</t>
  </si>
  <si>
    <t>Trona Elementary</t>
  </si>
  <si>
    <t>Hillside High</t>
  </si>
  <si>
    <t>Upland Junior High</t>
  </si>
  <si>
    <t>Upland Elementary</t>
  </si>
  <si>
    <t>Baldy View Elementary</t>
  </si>
  <si>
    <t>Upland High</t>
  </si>
  <si>
    <t>Pioneer Junior High</t>
  </si>
  <si>
    <t>Foothill Knolls Academy of Innovation</t>
  </si>
  <si>
    <t>Pepper Tree Elementary</t>
  </si>
  <si>
    <t>Irwin Academy of Performing Arts</t>
  </si>
  <si>
    <t>Green Tree East Elementary</t>
  </si>
  <si>
    <t>Mojave Vista Elementary</t>
  </si>
  <si>
    <t>Lomitas Elementary</t>
  </si>
  <si>
    <t>Park View Elementary</t>
  </si>
  <si>
    <t>Puesta del Sol Elementary</t>
  </si>
  <si>
    <t>Challenger School of Sports and Fitness</t>
  </si>
  <si>
    <t>West Palms Conservatory</t>
  </si>
  <si>
    <t>Endeavour School of Exploration</t>
  </si>
  <si>
    <t>Galileo Academy 101</t>
  </si>
  <si>
    <t>Discovery School of the Arts</t>
  </si>
  <si>
    <t>Dr. Ralph H. Baker 21st Century Learning Center</t>
  </si>
  <si>
    <t>Sixth Street Prep</t>
  </si>
  <si>
    <t>Mountain View Montessori Charter</t>
  </si>
  <si>
    <t>Goodwill Independent Study</t>
  </si>
  <si>
    <t>Goodwill High</t>
  </si>
  <si>
    <t>Adelanto High</t>
  </si>
  <si>
    <t>Imogene Garner Hook Junior High</t>
  </si>
  <si>
    <t>Victor Valley High</t>
  </si>
  <si>
    <t>Lakeview Leadership Academy</t>
  </si>
  <si>
    <t>Cobalt Institute of Math and Science Academy</t>
  </si>
  <si>
    <t>Victor Valley Virtual Academy</t>
  </si>
  <si>
    <t>Oak View High School &amp; Education Center</t>
  </si>
  <si>
    <t>Green Valley High</t>
  </si>
  <si>
    <t>Competitive Edge Charter Academy (CECA)</t>
  </si>
  <si>
    <t>Valley Elementary</t>
  </si>
  <si>
    <t>Park View Middle</t>
  </si>
  <si>
    <t>Chapman Heights Elementary</t>
  </si>
  <si>
    <t>Yucaipa High</t>
  </si>
  <si>
    <t>Calimesa Elementary</t>
  </si>
  <si>
    <t>Green Valley Independent Study</t>
  </si>
  <si>
    <t>Creekside Early Learning Center</t>
  </si>
  <si>
    <t>Joan MacQueen Middle</t>
  </si>
  <si>
    <t>Boulder Oaks Elementary</t>
  </si>
  <si>
    <t>Mountain View Learning Academy</t>
  </si>
  <si>
    <t>Vivian Banks Charter</t>
  </si>
  <si>
    <t>Norman L. Sullivan Middle</t>
  </si>
  <si>
    <t>Bonsall West Elementary</t>
  </si>
  <si>
    <t>Bonsall High</t>
  </si>
  <si>
    <t>Bonsall Elementary</t>
  </si>
  <si>
    <t>Borrego Springs Middle</t>
  </si>
  <si>
    <t>Borrego Springs Elementary</t>
  </si>
  <si>
    <t>Borrego Springs High</t>
  </si>
  <si>
    <t>Empower</t>
  </si>
  <si>
    <t>Crest Elementary</t>
  </si>
  <si>
    <t>Emerald Middle</t>
  </si>
  <si>
    <t>Madison Avenue Elementary</t>
  </si>
  <si>
    <t>Blossom Valley Elementary</t>
  </si>
  <si>
    <t>Flying Hills School of Arts</t>
  </si>
  <si>
    <t>Rancho San Diego Elementary</t>
  </si>
  <si>
    <t>Rios Elementary</t>
  </si>
  <si>
    <t>Cajon Valley Middle</t>
  </si>
  <si>
    <t>W. D. Hall Elementary</t>
  </si>
  <si>
    <t>Montgomery Middle</t>
  </si>
  <si>
    <t>Los Coches Creek Middle</t>
  </si>
  <si>
    <t>Chase Avenue Elementary</t>
  </si>
  <si>
    <t>Avocado Elementary</t>
  </si>
  <si>
    <t>Naranca Elementary</t>
  </si>
  <si>
    <t>Johnson Elementary</t>
  </si>
  <si>
    <t>Hillsdale Middle</t>
  </si>
  <si>
    <t>Fuerte Elementary</t>
  </si>
  <si>
    <t>Bostonia Language Academy</t>
  </si>
  <si>
    <t>Cajon Valley Home</t>
  </si>
  <si>
    <t>Jamacha Elementary</t>
  </si>
  <si>
    <t>Ada W. Harris Elementary</t>
  </si>
  <si>
    <t>Carlsbad Village Academy</t>
  </si>
  <si>
    <t>Calavera Hills Elementary</t>
  </si>
  <si>
    <t>Poinsettia Elementary</t>
  </si>
  <si>
    <t>Valley Middle</t>
  </si>
  <si>
    <t>Calavera Hills Middle</t>
  </si>
  <si>
    <t>Pacific Rim Elementary</t>
  </si>
  <si>
    <t>Aviara Oaks Middle</t>
  </si>
  <si>
    <t>Carlsbad High</t>
  </si>
  <si>
    <t>Aviara Oaks Elementary</t>
  </si>
  <si>
    <t>Sage Creek High</t>
  </si>
  <si>
    <t>Carlsbad Seaside Academy</t>
  </si>
  <si>
    <t>Rogers (Greg) Elementary</t>
  </si>
  <si>
    <t>Palomar Elementary</t>
  </si>
  <si>
    <t>Allen (Ella B.) Elementary</t>
  </si>
  <si>
    <t>Kellogg (Karl H.) Elementary</t>
  </si>
  <si>
    <t>Rohr (Fred H.) Elementary</t>
  </si>
  <si>
    <t>Cook (Hazel Goes) Elementary</t>
  </si>
  <si>
    <t>Montgomery (John J.) Elementary</t>
  </si>
  <si>
    <t>Finney (Myrtle S.) Elementary</t>
  </si>
  <si>
    <t>Casillas (Joseph) Elementary</t>
  </si>
  <si>
    <t>Tiffany (Burton C.) Elementary</t>
  </si>
  <si>
    <t>Castle Park Elementary</t>
  </si>
  <si>
    <t>Rice (Lilian J.) Elementary</t>
  </si>
  <si>
    <t>Clear View</t>
  </si>
  <si>
    <t>Halecrest Elementary</t>
  </si>
  <si>
    <t>Marshall (Thurgood) Elementary</t>
  </si>
  <si>
    <t>Vista Square Elementary</t>
  </si>
  <si>
    <t>Otay Elementary</t>
  </si>
  <si>
    <t>Juarez-Lincoln Elementary</t>
  </si>
  <si>
    <t>Harborside Elementary</t>
  </si>
  <si>
    <t>Rosebank Elementary</t>
  </si>
  <si>
    <t>Lauderbach (J. Calvin) Elementary</t>
  </si>
  <si>
    <t>McMillin (Corky) Elementary</t>
  </si>
  <si>
    <t>Chula Vista Hills Elementary</t>
  </si>
  <si>
    <t>EastLake Elementary</t>
  </si>
  <si>
    <t>Hilltop Drive Elementary</t>
  </si>
  <si>
    <t>Olympic View Elementary</t>
  </si>
  <si>
    <t>Silver Wing Elementary</t>
  </si>
  <si>
    <t>Valley Vista Elementary</t>
  </si>
  <si>
    <t>Muraoka (Saburo) Elementary</t>
  </si>
  <si>
    <t>Wolf Canyon Elementary</t>
  </si>
  <si>
    <t>Hedenkamp (Anne and William) Elementary</t>
  </si>
  <si>
    <t>Salt Creek Elementary</t>
  </si>
  <si>
    <t>Camarena (Enrique S.) Elementary</t>
  </si>
  <si>
    <t>Coronado Village Elementary</t>
  </si>
  <si>
    <t>Silver Strand Elementary</t>
  </si>
  <si>
    <t>Coronado High</t>
  </si>
  <si>
    <t>Coronado Middle</t>
  </si>
  <si>
    <t>Del Mar Hills Elementary</t>
  </si>
  <si>
    <t>Del Mar Heights Elementary</t>
  </si>
  <si>
    <t>Sage Canyon</t>
  </si>
  <si>
    <t>Ashley Falls Elementary</t>
  </si>
  <si>
    <t>Torrey Hills</t>
  </si>
  <si>
    <t>Sycamore Ridge</t>
  </si>
  <si>
    <t>Carmel Del Mar Elementary</t>
  </si>
  <si>
    <t>Ocean Air</t>
  </si>
  <si>
    <t>Mission Estancia Elementary</t>
  </si>
  <si>
    <t>Flora Vista Elementary</t>
  </si>
  <si>
    <t>La Costa Heights Elementary</t>
  </si>
  <si>
    <t>Park Dale Lane Elementary</t>
  </si>
  <si>
    <t>Ocean Knoll Elementary</t>
  </si>
  <si>
    <t>El Camino Creek Elementary</t>
  </si>
  <si>
    <t>Capri Elementary</t>
  </si>
  <si>
    <t>Paul Ecke-Central Elementary</t>
  </si>
  <si>
    <t>Olivenhain Pioneer Elementary</t>
  </si>
  <si>
    <t>Bear Valley Middle</t>
  </si>
  <si>
    <t>Rincon Middle</t>
  </si>
  <si>
    <t>Hidden Valley Middle</t>
  </si>
  <si>
    <t>Del Dios Academy of Arts and Sciences</t>
  </si>
  <si>
    <t>L. R. Green Elementary</t>
  </si>
  <si>
    <t>Glen View Elementary</t>
  </si>
  <si>
    <t>North Broadway Elementary</t>
  </si>
  <si>
    <t>Reidy Creek Elementary</t>
  </si>
  <si>
    <t>Bernardo Elementary</t>
  </si>
  <si>
    <t>Farr Avenue Elementary</t>
  </si>
  <si>
    <t>Rock Springs Elementary</t>
  </si>
  <si>
    <t>Conway Elementary</t>
  </si>
  <si>
    <t>Orange Glen Elementary</t>
  </si>
  <si>
    <t>Rose Elementary</t>
  </si>
  <si>
    <t>Felicita Elementary</t>
  </si>
  <si>
    <t>Miller Elementary</t>
  </si>
  <si>
    <t>Quantum Academy</t>
  </si>
  <si>
    <t>Escondido High</t>
  </si>
  <si>
    <t>Orange Glen High</t>
  </si>
  <si>
    <t>Del Lago Academy - Campus of Applied Science</t>
  </si>
  <si>
    <t>San Pasqual High</t>
  </si>
  <si>
    <t>San Onofre Elementary</t>
  </si>
  <si>
    <t>Mary Fay Pendleton Elementary</t>
  </si>
  <si>
    <t>Maie Ellis Elementary</t>
  </si>
  <si>
    <t>Fallbrook STEM Academy</t>
  </si>
  <si>
    <t>La Paloma Elementary</t>
  </si>
  <si>
    <t>James E. Potter Intermediate</t>
  </si>
  <si>
    <t>William H. Frazier Elementary</t>
  </si>
  <si>
    <t>Fallbrook Homeschool Academy</t>
  </si>
  <si>
    <t>Santa Margarita Academy</t>
  </si>
  <si>
    <t>Ivy High (Continuation)</t>
  </si>
  <si>
    <t>Oasis High (Alternative)</t>
  </si>
  <si>
    <t>Fallbrook High</t>
  </si>
  <si>
    <t>Elite Academy</t>
  </si>
  <si>
    <t>MERIT Academy</t>
  </si>
  <si>
    <t>IDEA Center</t>
  </si>
  <si>
    <t>Mount Miguel High</t>
  </si>
  <si>
    <t>El Cajon Valley High</t>
  </si>
  <si>
    <t>West Hills High</t>
  </si>
  <si>
    <t>Grossmont High</t>
  </si>
  <si>
    <t>Santana High</t>
  </si>
  <si>
    <t>Valhalla High</t>
  </si>
  <si>
    <t>Grossmont Middle College High</t>
  </si>
  <si>
    <t>Jamul Elementary</t>
  </si>
  <si>
    <t>Julian Elementary</t>
  </si>
  <si>
    <t>Julian Junior High</t>
  </si>
  <si>
    <t>Julian High</t>
  </si>
  <si>
    <t>Spring Valley Academy</t>
  </si>
  <si>
    <t>Science, Technology, Engineering, Arts, and Math Academy at La Presa</t>
  </si>
  <si>
    <t>Trust Blended Learning</t>
  </si>
  <si>
    <t>Parkway Middle</t>
  </si>
  <si>
    <t>Avondale Elementary</t>
  </si>
  <si>
    <t>Casa de Oro Elementary</t>
  </si>
  <si>
    <t>La Mesa Arts Academy</t>
  </si>
  <si>
    <t>Loma Elementary</t>
  </si>
  <si>
    <t>Rolando Elementary</t>
  </si>
  <si>
    <t>Sweetwater Springs Elementary</t>
  </si>
  <si>
    <t>Lemon Avenue Elementary</t>
  </si>
  <si>
    <t>Fletcher Hills Elementary</t>
  </si>
  <si>
    <t>Quest Academy</t>
  </si>
  <si>
    <t>La Mesa Dale Elementary</t>
  </si>
  <si>
    <t>Murray Manor Elementary</t>
  </si>
  <si>
    <t>Kempton Street Literacy Academy</t>
  </si>
  <si>
    <t>Maryland Avenue Elementary</t>
  </si>
  <si>
    <t>La Presa Elementary</t>
  </si>
  <si>
    <t>Northmont Elementary</t>
  </si>
  <si>
    <t>Lindo Park Elementary</t>
  </si>
  <si>
    <t>Lakeside Farms Elementary</t>
  </si>
  <si>
    <t>Lemon Crest Elementary</t>
  </si>
  <si>
    <t>Eucalyptus Hills Elementary</t>
  </si>
  <si>
    <t>Tierra del Sol Middle</t>
  </si>
  <si>
    <t>Lakeside Union Alternative Education</t>
  </si>
  <si>
    <t>San Altos Elementary</t>
  </si>
  <si>
    <t>Mt. Vernon</t>
  </si>
  <si>
    <t>Monterey Heights Elementary</t>
  </si>
  <si>
    <t>Lemon Grove Academy for the Sciences and Humanities</t>
  </si>
  <si>
    <t>Vista La Mesa Academy</t>
  </si>
  <si>
    <t>Campo High (Continuation)</t>
  </si>
  <si>
    <t>Hillside Junior/Senior High</t>
  </si>
  <si>
    <t>Campo Elementary</t>
  </si>
  <si>
    <t>Mountain Empire High</t>
  </si>
  <si>
    <t>Clover Flat Elementary</t>
  </si>
  <si>
    <t>Descanso Elementary</t>
  </si>
  <si>
    <t>Camp Lockett Middle</t>
  </si>
  <si>
    <t>Cottonwood Community Day</t>
  </si>
  <si>
    <t>Lincoln Acres</t>
  </si>
  <si>
    <t>Palmer Way</t>
  </si>
  <si>
    <t>El Toyon Elementary</t>
  </si>
  <si>
    <t>Olivewood</t>
  </si>
  <si>
    <t>Kimball</t>
  </si>
  <si>
    <t>Las Palmas</t>
  </si>
  <si>
    <t>Rancho de la Nacion</t>
  </si>
  <si>
    <t>John A. Otis Elementary</t>
  </si>
  <si>
    <t>Ira Harbison</t>
  </si>
  <si>
    <t>Oceanside Unified School District Adult Transition Program</t>
  </si>
  <si>
    <t>Surfside Academy</t>
  </si>
  <si>
    <t>Surfside High (Continuation)</t>
  </si>
  <si>
    <t>North Terrace Elementary</t>
  </si>
  <si>
    <t>Stuart Mesa Elementary</t>
  </si>
  <si>
    <t>San Luis Rey Elementary</t>
  </si>
  <si>
    <t>Libby Elementary</t>
  </si>
  <si>
    <t>Louise Foussat Elementary</t>
  </si>
  <si>
    <t>Santa Margarita Elementary</t>
  </si>
  <si>
    <t>Nichols Elementary</t>
  </si>
  <si>
    <t>Oceanside High</t>
  </si>
  <si>
    <t>Ivey Ranch Elementary</t>
  </si>
  <si>
    <t>South Oceanside Elementary</t>
  </si>
  <si>
    <t>Palmquist Elementary</t>
  </si>
  <si>
    <t>El Camino High</t>
  </si>
  <si>
    <t>Reynolds Elementary</t>
  </si>
  <si>
    <t>Abraxas Continuation High</t>
  </si>
  <si>
    <t>Pomerado Elementary</t>
  </si>
  <si>
    <t>Park Village Elementary</t>
  </si>
  <si>
    <t>Sunset Hills Elementary</t>
  </si>
  <si>
    <t>Adobe Bluffs Elementary</t>
  </si>
  <si>
    <t>Garden Road Elementary</t>
  </si>
  <si>
    <t>Los Penasquitos Elementary</t>
  </si>
  <si>
    <t>Turtleback Elementary</t>
  </si>
  <si>
    <t>Shoal Creek Elementary</t>
  </si>
  <si>
    <t>Stone Ranch Elementary</t>
  </si>
  <si>
    <t>Highland Ranch Elementary</t>
  </si>
  <si>
    <t>Morning Creek Elementary</t>
  </si>
  <si>
    <t>Monterey Ridge Elementary</t>
  </si>
  <si>
    <t>Mt. Carmel High</t>
  </si>
  <si>
    <t>Mesa Verde Middle</t>
  </si>
  <si>
    <t>Black Mountain Middle</t>
  </si>
  <si>
    <t>Design 39 Campus</t>
  </si>
  <si>
    <t>Twin Peaks Middle</t>
  </si>
  <si>
    <t>Meadowbrook Middle</t>
  </si>
  <si>
    <t>Painted Rock Elementary</t>
  </si>
  <si>
    <t>Poway High</t>
  </si>
  <si>
    <t>Westview High</t>
  </si>
  <si>
    <t>Del Sur Elementary</t>
  </si>
  <si>
    <t>Rancho Bernardo High</t>
  </si>
  <si>
    <t>Bernardo Heights Middle</t>
  </si>
  <si>
    <t>Oak Valley Middle</t>
  </si>
  <si>
    <t>Montecito High (Continuation)</t>
  </si>
  <si>
    <t>Mt. Woodson Elementary</t>
  </si>
  <si>
    <t>Barnett Elementary</t>
  </si>
  <si>
    <t>James Dukes Elementary</t>
  </si>
  <si>
    <t>Future Bound Independent Study Secondary</t>
  </si>
  <si>
    <t>Hanson Elementary</t>
  </si>
  <si>
    <t>Olive Peirce Middle</t>
  </si>
  <si>
    <t>Ramona Community Montessori</t>
  </si>
  <si>
    <t>Mountain Valley Academy</t>
  </si>
  <si>
    <t>R. Roger Rowe Elementary</t>
  </si>
  <si>
    <t>R. Roger Rowe Middle</t>
  </si>
  <si>
    <t>North Coastal Consortium Schools</t>
  </si>
  <si>
    <t>Davila Day</t>
  </si>
  <si>
    <t>San Diego County Court</t>
  </si>
  <si>
    <t>San Pasqual Academy</t>
  </si>
  <si>
    <t>San Diego County Special Education</t>
  </si>
  <si>
    <t>San Diego County Community</t>
  </si>
  <si>
    <t>Monarch</t>
  </si>
  <si>
    <t>Whittier K-12</t>
  </si>
  <si>
    <t>iHigh Virtual Academy</t>
  </si>
  <si>
    <t>ALBA</t>
  </si>
  <si>
    <t>Home &amp; Hosp/Transition Support</t>
  </si>
  <si>
    <t>Riley/New Dawn</t>
  </si>
  <si>
    <t>TRACE</t>
  </si>
  <si>
    <t>Garfield High</t>
  </si>
  <si>
    <t>Twain High</t>
  </si>
  <si>
    <t>Clairemont Canyons Academy</t>
  </si>
  <si>
    <t>San Diego Metro Career and Tech</t>
  </si>
  <si>
    <t>Rowan Elementary</t>
  </si>
  <si>
    <t>Whitman Elementary</t>
  </si>
  <si>
    <t>John Muir Language Academy</t>
  </si>
  <si>
    <t>Wegeforth Elementary</t>
  </si>
  <si>
    <t>Cadman Elementary</t>
  </si>
  <si>
    <t>Kimbrough Elementary</t>
  </si>
  <si>
    <t>Logan Memorial Educational Campus</t>
  </si>
  <si>
    <t>Normal Heights Elementary</t>
  </si>
  <si>
    <t>Ralph Waldo Emerson Elementary</t>
  </si>
  <si>
    <t>Dewey Elementary</t>
  </si>
  <si>
    <t>Florence Elementary</t>
  </si>
  <si>
    <t>Cherokee Point Elementary</t>
  </si>
  <si>
    <t>Pacific View Leadership Elementary</t>
  </si>
  <si>
    <t>Perkins K-8</t>
  </si>
  <si>
    <t>Mountain View</t>
  </si>
  <si>
    <t>Toler Elementary</t>
  </si>
  <si>
    <t>Audubon K-8</t>
  </si>
  <si>
    <t>Juarez Elementary</t>
  </si>
  <si>
    <t>Chollas/Mead Elementary</t>
  </si>
  <si>
    <t>Rolando Park Elementary</t>
  </si>
  <si>
    <t>Paradise Hills Elementary</t>
  </si>
  <si>
    <t>Taft Middle</t>
  </si>
  <si>
    <t>Ibarra Elementary</t>
  </si>
  <si>
    <t>Field Elementary</t>
  </si>
  <si>
    <t>Cubberley Elementary</t>
  </si>
  <si>
    <t>Sherman Elementary</t>
  </si>
  <si>
    <t>Millennial Tech Middle</t>
  </si>
  <si>
    <t>Kumeyaay Elementary</t>
  </si>
  <si>
    <t>East Village Middle College High</t>
  </si>
  <si>
    <t>Penn Elementary</t>
  </si>
  <si>
    <t>Golden Hill K-8</t>
  </si>
  <si>
    <t>Knox Middle</t>
  </si>
  <si>
    <t>Freese Elementary</t>
  </si>
  <si>
    <t>Nye Elementary</t>
  </si>
  <si>
    <t>Jones Elementary</t>
  </si>
  <si>
    <t>Sessions Elementary</t>
  </si>
  <si>
    <t>Boone Elementary</t>
  </si>
  <si>
    <t>Encanto Elementary</t>
  </si>
  <si>
    <t>Perry Elementary</t>
  </si>
  <si>
    <t>Rodriguez Elementary</t>
  </si>
  <si>
    <t>Creative Performing and Media Arts</t>
  </si>
  <si>
    <t>Roosevelt International Middle</t>
  </si>
  <si>
    <t>Fulton K-8</t>
  </si>
  <si>
    <t>Crown Point Elementary</t>
  </si>
  <si>
    <t>Innovation Middle</t>
  </si>
  <si>
    <t>Ocean Beach Elementary</t>
  </si>
  <si>
    <t>San Diego Business/Leadership</t>
  </si>
  <si>
    <t>Angier Elementary</t>
  </si>
  <si>
    <t>Walker Elementary</t>
  </si>
  <si>
    <t>Clark Middle</t>
  </si>
  <si>
    <t>Bethune K-8</t>
  </si>
  <si>
    <t>Joyner Elementary</t>
  </si>
  <si>
    <t>Madison High</t>
  </si>
  <si>
    <t>Zamorano Elementary</t>
  </si>
  <si>
    <t>Farb Middle</t>
  </si>
  <si>
    <t>Hage Elementary</t>
  </si>
  <si>
    <t>Porter Elementary</t>
  </si>
  <si>
    <t>Carson Elementary</t>
  </si>
  <si>
    <t>Crawford High</t>
  </si>
  <si>
    <t>Hickman Elementary</t>
  </si>
  <si>
    <t>Jonas Salk Elementary</t>
  </si>
  <si>
    <t>Kearny Eng Innov &amp; Design</t>
  </si>
  <si>
    <t>Fay Elementary</t>
  </si>
  <si>
    <t>Mann Middle</t>
  </si>
  <si>
    <t>Silver Gate Elementary</t>
  </si>
  <si>
    <t>Marston Middle</t>
  </si>
  <si>
    <t>Grant K-8</t>
  </si>
  <si>
    <t>Hardy Elementary</t>
  </si>
  <si>
    <t>Clairemont High</t>
  </si>
  <si>
    <t>Mason Elementary</t>
  </si>
  <si>
    <t>Doyle Elementary</t>
  </si>
  <si>
    <t>Bell Middle</t>
  </si>
  <si>
    <t>Pacific Beach Elementary</t>
  </si>
  <si>
    <t>Tierrasanta Elementary</t>
  </si>
  <si>
    <t>Mission Bay High</t>
  </si>
  <si>
    <t>Hearst Elementary</t>
  </si>
  <si>
    <t>Language Academy</t>
  </si>
  <si>
    <t>Green Elementary</t>
  </si>
  <si>
    <t>Bird Rock Elementary</t>
  </si>
  <si>
    <t>Pacific Beach Middle</t>
  </si>
  <si>
    <t>Wangenheim Middle</t>
  </si>
  <si>
    <t>Muirlands Middle</t>
  </si>
  <si>
    <t>De Portola Middle</t>
  </si>
  <si>
    <t>Horton Elementary</t>
  </si>
  <si>
    <t>Sunset View Elementary</t>
  </si>
  <si>
    <t>Correia Middle</t>
  </si>
  <si>
    <t>Chesterton Elementary</t>
  </si>
  <si>
    <t>Sandburg Elementary</t>
  </si>
  <si>
    <t>Dana</t>
  </si>
  <si>
    <t>Lewis Middle</t>
  </si>
  <si>
    <t>Dailard Elementary</t>
  </si>
  <si>
    <t>Dingeman Elementary</t>
  </si>
  <si>
    <t>Morse High</t>
  </si>
  <si>
    <t>Hoover High</t>
  </si>
  <si>
    <t>Loma Portal Elementary</t>
  </si>
  <si>
    <t>Miramar Ranch Elementary</t>
  </si>
  <si>
    <t>Benchley/Weinberger Elementary</t>
  </si>
  <si>
    <t>Pershing Middle</t>
  </si>
  <si>
    <t>Mt. Everest Academy</t>
  </si>
  <si>
    <t>Kearny College Connections</t>
  </si>
  <si>
    <t>Standley Middle</t>
  </si>
  <si>
    <t>Torrey Pines Elementary</t>
  </si>
  <si>
    <t>San Diego Science and Technology</t>
  </si>
  <si>
    <t>Bay Park Elementary</t>
  </si>
  <si>
    <t>Gage Elementary</t>
  </si>
  <si>
    <t>Jerabek Elementary</t>
  </si>
  <si>
    <t>Curie Elementary</t>
  </si>
  <si>
    <t>La Jolla High</t>
  </si>
  <si>
    <t>Longfellow K-8</t>
  </si>
  <si>
    <t>Hancock Elementary</t>
  </si>
  <si>
    <t>Scripps Elementary</t>
  </si>
  <si>
    <t>Kearny School of Biomedical Science and Technology</t>
  </si>
  <si>
    <t>Point Loma High</t>
  </si>
  <si>
    <t>Kearny Digital Media &amp; Design</t>
  </si>
  <si>
    <t>Canyon Hills High</t>
  </si>
  <si>
    <t>Mira Mesa High</t>
  </si>
  <si>
    <t>San Diego SCPA</t>
  </si>
  <si>
    <t>Henry High</t>
  </si>
  <si>
    <t>University City High</t>
  </si>
  <si>
    <t>Barnard Elementary</t>
  </si>
  <si>
    <t>Scripps Ranch High</t>
  </si>
  <si>
    <t>San Diego International Studies</t>
  </si>
  <si>
    <t>Sunset High (Continuation)</t>
  </si>
  <si>
    <t>Earl Warren Middle</t>
  </si>
  <si>
    <t>Diegueno Middle</t>
  </si>
  <si>
    <t>La Costa Canyon High</t>
  </si>
  <si>
    <t>Carmel Valley Middle</t>
  </si>
  <si>
    <t>Oak Crest Middle</t>
  </si>
  <si>
    <t>San Dieguito HS Academy</t>
  </si>
  <si>
    <t>Torrey Pines High</t>
  </si>
  <si>
    <t>Canyon Crest Academy</t>
  </si>
  <si>
    <t>Pacific Trails Middle</t>
  </si>
  <si>
    <t>Twin Oaks High</t>
  </si>
  <si>
    <t>Richland Elementary</t>
  </si>
  <si>
    <t>San Marcos Middle</t>
  </si>
  <si>
    <t>La Costa Meadows Elementary</t>
  </si>
  <si>
    <t>La Mirada Academy</t>
  </si>
  <si>
    <t>Carrillo Elementary</t>
  </si>
  <si>
    <t>Joli Ann Leichtag Elementary</t>
  </si>
  <si>
    <t>Knob Hill Elementary</t>
  </si>
  <si>
    <t>San Marcos Elementary</t>
  </si>
  <si>
    <t>San Elijo Elementary</t>
  </si>
  <si>
    <t>Double Peak</t>
  </si>
  <si>
    <t>Woodland Park Middle</t>
  </si>
  <si>
    <t>San Elijo Middle</t>
  </si>
  <si>
    <t>Mission Hills High</t>
  </si>
  <si>
    <t>Foothills High</t>
  </si>
  <si>
    <t>San Marcos High</t>
  </si>
  <si>
    <t>San Ysidro Middle</t>
  </si>
  <si>
    <t>La Mirada Elementary</t>
  </si>
  <si>
    <t>Vista Del Mar</t>
  </si>
  <si>
    <t>Smythe Elementary</t>
  </si>
  <si>
    <t>Ocean View Hills</t>
  </si>
  <si>
    <t>Santee Success Program</t>
  </si>
  <si>
    <t>Santee Alternative</t>
  </si>
  <si>
    <t>PRIDE Academy at Prospect Avenue</t>
  </si>
  <si>
    <t>Sycamore Canyon Elementary</t>
  </si>
  <si>
    <t>Chet F. Harritt Elementary</t>
  </si>
  <si>
    <t>Pepper Drive Elementary</t>
  </si>
  <si>
    <t>Cajon Park Elementary</t>
  </si>
  <si>
    <t>Carlton Oaks Elementary</t>
  </si>
  <si>
    <t>Hill Creek Elementary</t>
  </si>
  <si>
    <t>Rio Seco Elementary</t>
  </si>
  <si>
    <t>Carlton Hills Elementary</t>
  </si>
  <si>
    <t>Solana Vista Elementary</t>
  </si>
  <si>
    <t>Solana Santa Fe Elementary</t>
  </si>
  <si>
    <t>Carmel Creek Elementary</t>
  </si>
  <si>
    <t>Solana Highlands Elementary</t>
  </si>
  <si>
    <t>Skyline Elementary</t>
  </si>
  <si>
    <t>Solana Ranch Elementary</t>
  </si>
  <si>
    <t>Solana Pacific Elementary</t>
  </si>
  <si>
    <t>Imperial Beach Charter</t>
  </si>
  <si>
    <t>Nestor Language Academy Charter</t>
  </si>
  <si>
    <t>Godfrey G. Berry Elementary</t>
  </si>
  <si>
    <t>Emory Elementary</t>
  </si>
  <si>
    <t>Oneonta Elementary</t>
  </si>
  <si>
    <t>Bayside STEAM Academy</t>
  </si>
  <si>
    <t>Howard Pence Elementary</t>
  </si>
  <si>
    <t>Teofilo Mendoza</t>
  </si>
  <si>
    <t>SBUSD Virtual Academy</t>
  </si>
  <si>
    <t>George Nicoloff Elementary</t>
  </si>
  <si>
    <t>Alta Vista Academy</t>
  </si>
  <si>
    <t>East Hills Academy</t>
  </si>
  <si>
    <t>Sweetwater Community Day</t>
  </si>
  <si>
    <t>Options Secondary</t>
  </si>
  <si>
    <t>Palomar High</t>
  </si>
  <si>
    <t>Castle Park Middle</t>
  </si>
  <si>
    <t>Southwest Middle</t>
  </si>
  <si>
    <t>Mar Vista Academy</t>
  </si>
  <si>
    <t>Chula Vista Middle</t>
  </si>
  <si>
    <t>National City Middle</t>
  </si>
  <si>
    <t>Southwest Senior High</t>
  </si>
  <si>
    <t>Castle Park Senior High</t>
  </si>
  <si>
    <t>Granger Junior High</t>
  </si>
  <si>
    <t>Mar Vista Senior High</t>
  </si>
  <si>
    <t>Chula Vista Senior High</t>
  </si>
  <si>
    <t>Montgomery Senior High</t>
  </si>
  <si>
    <t>Hilltop Middle</t>
  </si>
  <si>
    <t>Hilltop Senior High</t>
  </si>
  <si>
    <t>Sweetwater High</t>
  </si>
  <si>
    <t>San Ysidro High</t>
  </si>
  <si>
    <t>Bonita Vista Middle</t>
  </si>
  <si>
    <t>Bonita Vista Senior High</t>
  </si>
  <si>
    <t>Otay Ranch Senior High</t>
  </si>
  <si>
    <t>Eastlake Middle</t>
  </si>
  <si>
    <t>Olympian High</t>
  </si>
  <si>
    <t>Eastlake High</t>
  </si>
  <si>
    <t>Rancho del Rey Middle</t>
  </si>
  <si>
    <t>Oak Glen High</t>
  </si>
  <si>
    <t>Pauma Elementary</t>
  </si>
  <si>
    <t>Valley Center Primary</t>
  </si>
  <si>
    <t>Valley Center High</t>
  </si>
  <si>
    <t>Valley Center Middle</t>
  </si>
  <si>
    <t>Lilac</t>
  </si>
  <si>
    <t>Valley Center Elementary</t>
  </si>
  <si>
    <t>Valley Center Prep</t>
  </si>
  <si>
    <t>California Avenue Elementary</t>
  </si>
  <si>
    <t>Vista Adult Transition Center</t>
  </si>
  <si>
    <t>Alta Vista High (Continuation)</t>
  </si>
  <si>
    <t>Major General Raymond Murray High</t>
  </si>
  <si>
    <t>Hannalei Elementary</t>
  </si>
  <si>
    <t>Mission Meadows Elementary</t>
  </si>
  <si>
    <t>Vista Academy of Visual and Performing Arts</t>
  </si>
  <si>
    <t>Vista Visions Academy</t>
  </si>
  <si>
    <t>Beaumont Elementary</t>
  </si>
  <si>
    <t>Rancho Buena Vista High</t>
  </si>
  <si>
    <t>T.H.E Leadership Academy</t>
  </si>
  <si>
    <t>Casita Center for Science/Math/Technology</t>
  </si>
  <si>
    <t>Madison Middle</t>
  </si>
  <si>
    <t>Alamosa Park Elementary</t>
  </si>
  <si>
    <t>Bobier Elementary</t>
  </si>
  <si>
    <t>Rancho Minerva Middle</t>
  </si>
  <si>
    <t>Vista Magnet Middle School of Technology, Science, and Math</t>
  </si>
  <si>
    <t>Vista Innovation and Design Academy</t>
  </si>
  <si>
    <t>Empresa Elementary</t>
  </si>
  <si>
    <t>Grapevine Elementary</t>
  </si>
  <si>
    <t>Maryland Elementary</t>
  </si>
  <si>
    <t>Foothill Oak Elementary</t>
  </si>
  <si>
    <t>Mission Vista High</t>
  </si>
  <si>
    <t>Breeze Hill Elementary</t>
  </si>
  <si>
    <t>San Jose Valley Continuation High</t>
  </si>
  <si>
    <t>Warner Elementary</t>
  </si>
  <si>
    <t>Warner Junior/Senior High</t>
  </si>
  <si>
    <t>S.F. County Court Woodside Learning Ctr</t>
  </si>
  <si>
    <t>S.F. County Civic Center Secondary</t>
  </si>
  <si>
    <t>S.F. County Opportunity (Hilltop)</t>
  </si>
  <si>
    <t>S.F. County Special Education</t>
  </si>
  <si>
    <t>Lee (Edwin and Anita) Newcomer</t>
  </si>
  <si>
    <t>Brown Jr. (Willie L) Middle</t>
  </si>
  <si>
    <t>Malcolm X Academy</t>
  </si>
  <si>
    <t>Mission Education Center</t>
  </si>
  <si>
    <t>Downtown High</t>
  </si>
  <si>
    <t>Carver (George Washington) Elementary</t>
  </si>
  <si>
    <t>Drew (Charles) College Preparatory Academy</t>
  </si>
  <si>
    <t>Wells (Ida B.) High</t>
  </si>
  <si>
    <t>Jordan (June) School for Equity</t>
  </si>
  <si>
    <t>Visitacion Valley Middle</t>
  </si>
  <si>
    <t>S.F. International High</t>
  </si>
  <si>
    <t>Cobb (William L.) Elementary</t>
  </si>
  <si>
    <t>Marshall (Thurgood) High</t>
  </si>
  <si>
    <t>Lick (James) Middle</t>
  </si>
  <si>
    <t>Sanchez Elementary</t>
  </si>
  <si>
    <t>Harte (Bret) Elementary</t>
  </si>
  <si>
    <t>Mission High</t>
  </si>
  <si>
    <t>O'Connell (John) High</t>
  </si>
  <si>
    <t>Tenderloin Community</t>
  </si>
  <si>
    <t>Chavez (Cesar) Elementary</t>
  </si>
  <si>
    <t>Everett Middle</t>
  </si>
  <si>
    <t>Buena Vista/ Horace Mann K-8</t>
  </si>
  <si>
    <t>Parks (Rosa) Elementary</t>
  </si>
  <si>
    <t>King Jr. (Martin Luther) Academic Middle</t>
  </si>
  <si>
    <t>San Francisco Community Alternative</t>
  </si>
  <si>
    <t>Academy (The)- SF @McAteer</t>
  </si>
  <si>
    <t>Glen Park Elementary</t>
  </si>
  <si>
    <t>Visitacion Valley Elementary</t>
  </si>
  <si>
    <t>Francisco Middle</t>
  </si>
  <si>
    <t>Parker (Jean) Elementary</t>
  </si>
  <si>
    <t>King (Thomas Starr) Elementary</t>
  </si>
  <si>
    <t>Yick Wo Elementary</t>
  </si>
  <si>
    <t>Serra (Junipero) Elementary</t>
  </si>
  <si>
    <t>Burton (Phillip and Sala) Academic High</t>
  </si>
  <si>
    <t>Flynn (Leonard R.) Elementary</t>
  </si>
  <si>
    <t>Denman (James) Middle</t>
  </si>
  <si>
    <t>Balboa High</t>
  </si>
  <si>
    <t>Lakeshore Alternative Elementary</t>
  </si>
  <si>
    <t>Lawton Alternative Elementary</t>
  </si>
  <si>
    <t>Grattan Elementary</t>
  </si>
  <si>
    <t>Peabody (George) Elementary</t>
  </si>
  <si>
    <t>Asawa (Ruth) SF Sch of the Arts, A Public School</t>
  </si>
  <si>
    <t>Miraloma Elementary</t>
  </si>
  <si>
    <t>Huerta (Dolores) Elementary</t>
  </si>
  <si>
    <t>Guadalupe Elementary</t>
  </si>
  <si>
    <t>Marina Middle</t>
  </si>
  <si>
    <t>Wallenberg (Raoul) Traditional High</t>
  </si>
  <si>
    <t>Milk (Harvey) Civil Rights Elementary</t>
  </si>
  <si>
    <t>Taylor (Edward R.) Elementary</t>
  </si>
  <si>
    <t>Moscone (George R.) Elementary</t>
  </si>
  <si>
    <t>Stevenson (Robert Louis) Elementary</t>
  </si>
  <si>
    <t>Sutro Elementary</t>
  </si>
  <si>
    <t>Galileo High</t>
  </si>
  <si>
    <t>Lincoln (Abraham) High</t>
  </si>
  <si>
    <t>Carmichael (Bessie)/FEC</t>
  </si>
  <si>
    <t>Clarendon Alternative Elementary</t>
  </si>
  <si>
    <t>San Francisco Public Montessori</t>
  </si>
  <si>
    <t>Argonne Elementary</t>
  </si>
  <si>
    <t>Webster (Daniel) Elementary</t>
  </si>
  <si>
    <t>Lau (Gordon J.) Elementary</t>
  </si>
  <si>
    <t>Washington (George) High</t>
  </si>
  <si>
    <t>Key (Francis Scott) Elementary</t>
  </si>
  <si>
    <t>Aptos Middle</t>
  </si>
  <si>
    <t>Hoover (Herbert) Middle</t>
  </si>
  <si>
    <t>West Portal Elementary</t>
  </si>
  <si>
    <t>Ortega (Jose) Elementary</t>
  </si>
  <si>
    <t>Sloat (Commodore) Elementary</t>
  </si>
  <si>
    <t>Chin (John Yehall) Elementary</t>
  </si>
  <si>
    <t>Presidio Middle</t>
  </si>
  <si>
    <t>Feinstein (Dianne) Elementary</t>
  </si>
  <si>
    <t>Lowell High</t>
  </si>
  <si>
    <t>Giannini (A.P.) Middle</t>
  </si>
  <si>
    <t>McCoppin (Frank) Elementary</t>
  </si>
  <si>
    <t>Rooftop Elementary</t>
  </si>
  <si>
    <t>Yu (Alice Fong) Elementary</t>
  </si>
  <si>
    <t>Ulloa Elementary</t>
  </si>
  <si>
    <t>New Traditions Elementary</t>
  </si>
  <si>
    <t>Chinese Immersion School at DeAvila</t>
  </si>
  <si>
    <t>Lilienthal (Claire) Elementary</t>
  </si>
  <si>
    <t>Banta Elementary</t>
  </si>
  <si>
    <t>Vista High (Continuation)</t>
  </si>
  <si>
    <t>Farmington Elementary</t>
  </si>
  <si>
    <t>Collegeville Elementary</t>
  </si>
  <si>
    <t>Van Allen Elementary</t>
  </si>
  <si>
    <t>Dent Elementary</t>
  </si>
  <si>
    <t>El Portal Middle</t>
  </si>
  <si>
    <t>Escalon High</t>
  </si>
  <si>
    <t>Anthony C. Traina Elementary</t>
  </si>
  <si>
    <t>Tom Hawkins Elementary</t>
  </si>
  <si>
    <t>Monticello Elementary</t>
  </si>
  <si>
    <t>Lammersville Elementary</t>
  </si>
  <si>
    <t>Mountain House High</t>
  </si>
  <si>
    <t>Wicklund Elementary</t>
  </si>
  <si>
    <t>Altamont Elementary</t>
  </si>
  <si>
    <t>Julius Cordes Elementary</t>
  </si>
  <si>
    <t>Bethany Elementary</t>
  </si>
  <si>
    <t>Sebastian Questa Elementary</t>
  </si>
  <si>
    <t>Village Oaks High</t>
  </si>
  <si>
    <t>Colonial Heights</t>
  </si>
  <si>
    <t>Claudia Landeen</t>
  </si>
  <si>
    <t>John McCandless Charter</t>
  </si>
  <si>
    <t>Tully C. Knoles</t>
  </si>
  <si>
    <t>Mable Barron</t>
  </si>
  <si>
    <t>John R. Williams</t>
  </si>
  <si>
    <t>Don Riggio</t>
  </si>
  <si>
    <t>Brookside</t>
  </si>
  <si>
    <t>Pride Continuation</t>
  </si>
  <si>
    <t>Linden High</t>
  </si>
  <si>
    <t>Waverly Elementary</t>
  </si>
  <si>
    <t>Linden Elementary</t>
  </si>
  <si>
    <t>Waterloo Elementary</t>
  </si>
  <si>
    <t>Turner Academy at Tokay Colony</t>
  </si>
  <si>
    <t>Henderson</t>
  </si>
  <si>
    <t>Joe Serna Jr. Charter</t>
  </si>
  <si>
    <t>Clairmont Elementary</t>
  </si>
  <si>
    <t>Plaza Robles Continuation High</t>
  </si>
  <si>
    <t>Leroy Nichols Elementary</t>
  </si>
  <si>
    <t>Valley Robotics Academy</t>
  </si>
  <si>
    <t>Wagner-Holt Elementary</t>
  </si>
  <si>
    <t>Parklane Elementary</t>
  </si>
  <si>
    <t>Lodi High</t>
  </si>
  <si>
    <t>Houston</t>
  </si>
  <si>
    <t>Delta Sierra Middle</t>
  </si>
  <si>
    <t>Tokay High</t>
  </si>
  <si>
    <t>Oakwood Elementary</t>
  </si>
  <si>
    <t>Ronald E. McNair High</t>
  </si>
  <si>
    <t>Lakewood Elementary</t>
  </si>
  <si>
    <t>Bear Creek High</t>
  </si>
  <si>
    <t>Woodbridge</t>
  </si>
  <si>
    <t>Podesta Ranch Elementary</t>
  </si>
  <si>
    <t>Ellerth E. Larson Elementary</t>
  </si>
  <si>
    <t>Morada Middle</t>
  </si>
  <si>
    <t>Millswood Middle</t>
  </si>
  <si>
    <t>Lois E. Borchardt Elementary</t>
  </si>
  <si>
    <t>Christa McAuliffe Middle</t>
  </si>
  <si>
    <t>Lockeford Elementary</t>
  </si>
  <si>
    <t>Lodi Middle</t>
  </si>
  <si>
    <t>Erma B. Reese Elementary</t>
  </si>
  <si>
    <t>Vinewood Elementary</t>
  </si>
  <si>
    <t>Ansel Adams</t>
  </si>
  <si>
    <t>Clyde W. Needham Elementary</t>
  </si>
  <si>
    <t>Beckman Elementary</t>
  </si>
  <si>
    <t>Julia Morgan Elementary</t>
  </si>
  <si>
    <t>Manlio Silva Elementary</t>
  </si>
  <si>
    <t>George Lincoln Mosher</t>
  </si>
  <si>
    <t>Davis Elementary</t>
  </si>
  <si>
    <t>Elkhorn</t>
  </si>
  <si>
    <t>Independence</t>
  </si>
  <si>
    <t>Walter J. Katnich Community Day</t>
  </si>
  <si>
    <t>Manteca Community Day (7-12)</t>
  </si>
  <si>
    <t>Manteca Community Day (K-6)</t>
  </si>
  <si>
    <t>New Vision High</t>
  </si>
  <si>
    <t>Calla High</t>
  </si>
  <si>
    <t>Walter Woodward Elementary</t>
  </si>
  <si>
    <t>East Union High</t>
  </si>
  <si>
    <t>Lathrop High</t>
  </si>
  <si>
    <t>Manteca High</t>
  </si>
  <si>
    <t>Stella Brockman Elementary</t>
  </si>
  <si>
    <t>French Camp Elementary</t>
  </si>
  <si>
    <t>Joshua Cowell Elementary</t>
  </si>
  <si>
    <t>Great Valley Elementary</t>
  </si>
  <si>
    <t>New Haven Elementary</t>
  </si>
  <si>
    <t>August Knodt Elementary</t>
  </si>
  <si>
    <t>Joseph Widmer Jr. Elementary</t>
  </si>
  <si>
    <t>Lathrop Elementary</t>
  </si>
  <si>
    <t>Neil Hafley Elementary</t>
  </si>
  <si>
    <t>Brock Elliott Elementary</t>
  </si>
  <si>
    <t>George McParland Elementary</t>
  </si>
  <si>
    <t>George Y. Komure Elementary</t>
  </si>
  <si>
    <t>Nile Garden Elementary</t>
  </si>
  <si>
    <t>Veritas Elementary</t>
  </si>
  <si>
    <t>Mossdale Elementary</t>
  </si>
  <si>
    <t>Golden West Elementary</t>
  </si>
  <si>
    <t>Weston Ranch High</t>
  </si>
  <si>
    <t>Delta Keys Charter</t>
  </si>
  <si>
    <t>Delta Bridges Charter</t>
  </si>
  <si>
    <t>Delta Charter</t>
  </si>
  <si>
    <t>Delta Home Charter</t>
  </si>
  <si>
    <t>Delta Charter Online</t>
  </si>
  <si>
    <t>New Jerusalem</t>
  </si>
  <si>
    <t>Harvest High</t>
  </si>
  <si>
    <t>Ripon Elementary</t>
  </si>
  <si>
    <t>Ripona Elementary</t>
  </si>
  <si>
    <t>Colony Oak Elementary</t>
  </si>
  <si>
    <t>Ripon High</t>
  </si>
  <si>
    <t>Weston Elementary</t>
  </si>
  <si>
    <t>San Joaquin County Special Education</t>
  </si>
  <si>
    <t>John F. Cruikshank, Jr.</t>
  </si>
  <si>
    <t>San Joaquin County Community</t>
  </si>
  <si>
    <t>San Joaquin County ROCP</t>
  </si>
  <si>
    <t>Walton Development Center</t>
  </si>
  <si>
    <t>Marshall K-8 Community Day</t>
  </si>
  <si>
    <t>Jane Frederick High</t>
  </si>
  <si>
    <t>Edward C. Merlo Institute of Environmental Studies</t>
  </si>
  <si>
    <t>Stockton High</t>
  </si>
  <si>
    <t>Weber Institute</t>
  </si>
  <si>
    <t>Kennedy Elementary</t>
  </si>
  <si>
    <t>Primary Years Academy</t>
  </si>
  <si>
    <t>Montezuma Elementary</t>
  </si>
  <si>
    <t>Grunsky Elementary</t>
  </si>
  <si>
    <t>Health Careers Academy</t>
  </si>
  <si>
    <t>August Elementary</t>
  </si>
  <si>
    <t>Taylor Leadership Academy</t>
  </si>
  <si>
    <t>Stagg Senior High</t>
  </si>
  <si>
    <t>Nightingale Charter</t>
  </si>
  <si>
    <t>Victory Elementary</t>
  </si>
  <si>
    <t>Kohl Open Elementary</t>
  </si>
  <si>
    <t>Spanos (Alex G.) Elementary</t>
  </si>
  <si>
    <t>Flora Arca Mata</t>
  </si>
  <si>
    <t>Pulliam Elementary</t>
  </si>
  <si>
    <t>Pacific Law Academy</t>
  </si>
  <si>
    <t>Cesar Chavez High</t>
  </si>
  <si>
    <t>Valentine Peyton Elementary</t>
  </si>
  <si>
    <t>Maxine Hong Kingston Elementary</t>
  </si>
  <si>
    <t>George W. Bush Elementary</t>
  </si>
  <si>
    <t>Hazelton Elementary</t>
  </si>
  <si>
    <t>Wilhelmina Henry Elementary</t>
  </si>
  <si>
    <t>Alexander Hamilton Elementary</t>
  </si>
  <si>
    <t>Rio Calaveras Elementary</t>
  </si>
  <si>
    <t>Pittman Charter</t>
  </si>
  <si>
    <t>Fillmore Elementary</t>
  </si>
  <si>
    <t>Stockton Early College Academy</t>
  </si>
  <si>
    <t>Commodore Stockton Skills</t>
  </si>
  <si>
    <t>Elmwood Elementary</t>
  </si>
  <si>
    <t>District Special Education</t>
  </si>
  <si>
    <t>Duncan-Russell Continuation</t>
  </si>
  <si>
    <t>George and Evelyn Stein Continuation</t>
  </si>
  <si>
    <t>Tracy Independent Study Charter</t>
  </si>
  <si>
    <t>Louis A. Bohn Elementary</t>
  </si>
  <si>
    <t>Louis J. Villalovoz Elementary</t>
  </si>
  <si>
    <t>Wanda Hirsch Elementary</t>
  </si>
  <si>
    <t>Earle E. Williams Middle</t>
  </si>
  <si>
    <t>Melville S. Jacobson Elementary</t>
  </si>
  <si>
    <t>Tracy High</t>
  </si>
  <si>
    <t>South/West Park Elementary</t>
  </si>
  <si>
    <t>Gladys Poet-Christian Elementary</t>
  </si>
  <si>
    <t>Merrill F. West High</t>
  </si>
  <si>
    <t>Art Freiler</t>
  </si>
  <si>
    <t>John C. Kimball High</t>
  </si>
  <si>
    <t>North Elementary</t>
  </si>
  <si>
    <t>George Kelly Elementary</t>
  </si>
  <si>
    <t>Duncan-Russell Community Day</t>
  </si>
  <si>
    <t>Creston Elementary</t>
  </si>
  <si>
    <t>Carrisa Plains Elementary</t>
  </si>
  <si>
    <t>Paloma Creek High</t>
  </si>
  <si>
    <t>San Gabriel Elementary</t>
  </si>
  <si>
    <t>Fine Arts Academy</t>
  </si>
  <si>
    <t>Santa Rosa Road Academic Academy</t>
  </si>
  <si>
    <t>Atascadero High</t>
  </si>
  <si>
    <t>Monterey Road Elementary</t>
  </si>
  <si>
    <t>Atascadero Middle</t>
  </si>
  <si>
    <t>San Benito Elementary</t>
  </si>
  <si>
    <t>Atascadero Choices in Education Academy (ACE)</t>
  </si>
  <si>
    <t>Coast Union High</t>
  </si>
  <si>
    <t>Leffingwell High (Continuation)</t>
  </si>
  <si>
    <t>Santa Lucia Middle</t>
  </si>
  <si>
    <t>Cambria Grammar</t>
  </si>
  <si>
    <t>Lopez Continuation High</t>
  </si>
  <si>
    <t>Central Coast New Tech High</t>
  </si>
  <si>
    <t>Nipomo High</t>
  </si>
  <si>
    <t>Mesa Middle</t>
  </si>
  <si>
    <t>Branch Elementary</t>
  </si>
  <si>
    <t>Judkins Middle</t>
  </si>
  <si>
    <t>Shell Beach Elementary</t>
  </si>
  <si>
    <t>Arroyo Grande High</t>
  </si>
  <si>
    <t>Paulding Middle</t>
  </si>
  <si>
    <t>Harloe Elementary</t>
  </si>
  <si>
    <t>Grover Beach Elementary</t>
  </si>
  <si>
    <t>Pacific View Academy</t>
  </si>
  <si>
    <t>Fairgrove Elementary</t>
  </si>
  <si>
    <t>Nipomo Elementary</t>
  </si>
  <si>
    <t>Grover Heights Elementary</t>
  </si>
  <si>
    <t>Lange (Dorothea) Elementary</t>
  </si>
  <si>
    <t>Oceano Elementary</t>
  </si>
  <si>
    <t>Dana Elementary</t>
  </si>
  <si>
    <t>Virginia Peterson Elementary</t>
  </si>
  <si>
    <t>Glen Speck Elementary</t>
  </si>
  <si>
    <t>Winifred Pifer Elementary</t>
  </si>
  <si>
    <t>Liberty High (Continuation)</t>
  </si>
  <si>
    <t>Pat Butler Elementary</t>
  </si>
  <si>
    <t>Daniel Lewis Middle</t>
  </si>
  <si>
    <t>Kermit King Elementary</t>
  </si>
  <si>
    <t>Paso Robles High</t>
  </si>
  <si>
    <t>George H. Flamson Middle</t>
  </si>
  <si>
    <t>Georgia Brown Dual Immersion Magnet Elementary</t>
  </si>
  <si>
    <t>Paso Robles Independent Study Center</t>
  </si>
  <si>
    <t>PEEP - PREPARE</t>
  </si>
  <si>
    <t>Pacific Beach High</t>
  </si>
  <si>
    <t>Monarch Grove Elementary</t>
  </si>
  <si>
    <t>Morro Bay High</t>
  </si>
  <si>
    <t>Los Osos Middle</t>
  </si>
  <si>
    <t>C L Smith Elementary</t>
  </si>
  <si>
    <t>Baywood Elementary</t>
  </si>
  <si>
    <t>San Luis Obispo High</t>
  </si>
  <si>
    <t>Bishop's Peak Elementary</t>
  </si>
  <si>
    <t>Sinsheimer Elementary</t>
  </si>
  <si>
    <t>Laguna Middle</t>
  </si>
  <si>
    <t>Los Ranchos Elementary</t>
  </si>
  <si>
    <t>Pacheco Elementary</t>
  </si>
  <si>
    <t>Teach Elementary</t>
  </si>
  <si>
    <t>San Luis County Special Education</t>
  </si>
  <si>
    <t>San Luis Obispo County Juvenile Court</t>
  </si>
  <si>
    <t>Loma Vista Community</t>
  </si>
  <si>
    <t>Grizzly ChalleNGe Charter</t>
  </si>
  <si>
    <t>Lillian Larsen Elementary</t>
  </si>
  <si>
    <t>Cappy Culver Elementary</t>
  </si>
  <si>
    <t>Parkfield Elementary</t>
  </si>
  <si>
    <t>Shandon High</t>
  </si>
  <si>
    <t>Shandon Elementary</t>
  </si>
  <si>
    <t>Eagle Canyon High</t>
  </si>
  <si>
    <t>Templeton Elementary</t>
  </si>
  <si>
    <t>Templeton High</t>
  </si>
  <si>
    <t>Templeton Middle</t>
  </si>
  <si>
    <t>Templeton Independent Study High</t>
  </si>
  <si>
    <t>Templeton Home</t>
  </si>
  <si>
    <t>Bayshore</t>
  </si>
  <si>
    <t>Nesbit Elementary</t>
  </si>
  <si>
    <t>Redwood Shores Elementary</t>
  </si>
  <si>
    <t>Ralston Intermediate</t>
  </si>
  <si>
    <t>Fox Elementary</t>
  </si>
  <si>
    <t>Cipriani Elementary</t>
  </si>
  <si>
    <t>Sandpiper Elementary</t>
  </si>
  <si>
    <t>Lipman Middle</t>
  </si>
  <si>
    <t>Burlingame Intermediate</t>
  </si>
  <si>
    <t>Pilarcitos Alternative High (Continuation)</t>
  </si>
  <si>
    <t>El Granada Elementary</t>
  </si>
  <si>
    <t>Kings Mountain Elementary</t>
  </si>
  <si>
    <t>Manuel F. Cunha Intermediate</t>
  </si>
  <si>
    <t>Farallone View Elementary</t>
  </si>
  <si>
    <t>Half Moon Bay High</t>
  </si>
  <si>
    <t>Alvin S. Hatch Elementary</t>
  </si>
  <si>
    <t>South Hillsborough</t>
  </si>
  <si>
    <t>Crocker Middle</t>
  </si>
  <si>
    <t>North Hillsborough</t>
  </si>
  <si>
    <t>West Hillsborough</t>
  </si>
  <si>
    <t>Margaret Pauline Brown Elementary</t>
  </si>
  <si>
    <t>Franklin Delano Roosevelt Elementary</t>
  </si>
  <si>
    <t>Garden Village Elementary</t>
  </si>
  <si>
    <t>Daniel Webster Elementary</t>
  </si>
  <si>
    <t>Westlake Elementary</t>
  </si>
  <si>
    <t>Thomas R. Pollicita Middle</t>
  </si>
  <si>
    <t>Fernando Rivera Intermediate</t>
  </si>
  <si>
    <t>Benjamin Franklin Intermediate</t>
  </si>
  <si>
    <t>Marjorie H. Tobias Elementary</t>
  </si>
  <si>
    <t>Thornton High</t>
  </si>
  <si>
    <t>Oceana High</t>
  </si>
  <si>
    <t>Terra Nova High</t>
  </si>
  <si>
    <t>Westmoor High</t>
  </si>
  <si>
    <t>Jefferson High</t>
  </si>
  <si>
    <t>Pescadero High</t>
  </si>
  <si>
    <t>Pescadero Elementary and Middle</t>
  </si>
  <si>
    <t>La Honda Elementary</t>
  </si>
  <si>
    <t>La Entrada Middle</t>
  </si>
  <si>
    <t>Encinal Elementary</t>
  </si>
  <si>
    <t>Oak Knoll Elementary</t>
  </si>
  <si>
    <t>Lomita Park Elementary</t>
  </si>
  <si>
    <t>Taylor Middle</t>
  </si>
  <si>
    <t>Green Hills Elementary</t>
  </si>
  <si>
    <t>Pacifica Independent Home Study</t>
  </si>
  <si>
    <t>Ingrid B. Lacy Middle</t>
  </si>
  <si>
    <t>Ocean Shore Elementary</t>
  </si>
  <si>
    <t>Ortega Elementary</t>
  </si>
  <si>
    <t>Vallemar Elementary</t>
  </si>
  <si>
    <t>Sunset Ridge Elementary</t>
  </si>
  <si>
    <t>Ormondale Elementary</t>
  </si>
  <si>
    <t>Corte Madera</t>
  </si>
  <si>
    <t>Cesar Chavez Ravenswood Middle</t>
  </si>
  <si>
    <t>Los Robles-Ronald McNair Academy</t>
  </si>
  <si>
    <t>Belle Haven Elementary</t>
  </si>
  <si>
    <t>Costano Elementary</t>
  </si>
  <si>
    <t>McKinley Institute of Technology</t>
  </si>
  <si>
    <t>John F. Kennedy Middle</t>
  </si>
  <si>
    <t>Clifford Elementary</t>
  </si>
  <si>
    <t>Orion Alternative</t>
  </si>
  <si>
    <t>Henry Ford Elementary</t>
  </si>
  <si>
    <t>Adelante Selby Spanish Immersion</t>
  </si>
  <si>
    <t>Roy Cloud Elementary</t>
  </si>
  <si>
    <t>Belle Air Elementary</t>
  </si>
  <si>
    <t>Rollingwood Elementary</t>
  </si>
  <si>
    <t>Portola Elementary</t>
  </si>
  <si>
    <t>Allen (Decima M.) Elementary</t>
  </si>
  <si>
    <t>Parkside Intermediate</t>
  </si>
  <si>
    <t>Heather Elementary</t>
  </si>
  <si>
    <t>Brittan Acres Elementary</t>
  </si>
  <si>
    <t>White Oaks Elementary</t>
  </si>
  <si>
    <t>Arundel Elementary</t>
  </si>
  <si>
    <t>San Carlos Student Services Preschool</t>
  </si>
  <si>
    <t>Tierra Linda Middle</t>
  </si>
  <si>
    <t>Arroyo</t>
  </si>
  <si>
    <t>Margaret J. Kemp</t>
  </si>
  <si>
    <t>Gateway Center</t>
  </si>
  <si>
    <t>Hillcrest at Youth Services Center</t>
  </si>
  <si>
    <t>Canyon Oaks Youth Center</t>
  </si>
  <si>
    <t>San Mateo County Special Education</t>
  </si>
  <si>
    <t>Peninsula High</t>
  </si>
  <si>
    <t>Peninsula High (Continuation)</t>
  </si>
  <si>
    <t>Capuchino High</t>
  </si>
  <si>
    <t>Mills High</t>
  </si>
  <si>
    <t>San Mateo High</t>
  </si>
  <si>
    <t>Hillsdale High</t>
  </si>
  <si>
    <t>Burlingame High</t>
  </si>
  <si>
    <t>Aragon High</t>
  </si>
  <si>
    <t>Beach Park Elementary</t>
  </si>
  <si>
    <t>Meadow Heights Elementary</t>
  </si>
  <si>
    <t>Sunnybrae Elementary</t>
  </si>
  <si>
    <t>LEAD Elementary</t>
  </si>
  <si>
    <t>Parkside Montessori</t>
  </si>
  <si>
    <t>George Hall Elementary</t>
  </si>
  <si>
    <t>North Shoreview Montessori</t>
  </si>
  <si>
    <t>Fiesta Gardens International Elementary</t>
  </si>
  <si>
    <t>San Mateo Park Elementary</t>
  </si>
  <si>
    <t>Beresford Elementary</t>
  </si>
  <si>
    <t>Brewer Island Elementary</t>
  </si>
  <si>
    <t>Bayside Academy</t>
  </si>
  <si>
    <t>Abbott Middle</t>
  </si>
  <si>
    <t>Audubon Elementary</t>
  </si>
  <si>
    <t>Borel Middle</t>
  </si>
  <si>
    <t>Foster City Elementary</t>
  </si>
  <si>
    <t>Bowditch Middle</t>
  </si>
  <si>
    <t>Tide Academy</t>
  </si>
  <si>
    <t>Woodside High</t>
  </si>
  <si>
    <t>Menlo-Atherton High</t>
  </si>
  <si>
    <t>Carlmont High</t>
  </si>
  <si>
    <t>Baden High (Continuation)</t>
  </si>
  <si>
    <t>Junipero Serra Elementary</t>
  </si>
  <si>
    <t>Parkway Heights Middle</t>
  </si>
  <si>
    <t>Westborough Middle</t>
  </si>
  <si>
    <t>Sunshine Gardens Elementary</t>
  </si>
  <si>
    <t>Spruce Elementary</t>
  </si>
  <si>
    <t>South San Francisco High</t>
  </si>
  <si>
    <t>Alta Loma Middle</t>
  </si>
  <si>
    <t>Buri Buri Elementary</t>
  </si>
  <si>
    <t>Monte Verde Elementary</t>
  </si>
  <si>
    <t>Benjamin Foxen Elementary</t>
  </si>
  <si>
    <t>Oak Valley Elementary</t>
  </si>
  <si>
    <t>Jonata Middle</t>
  </si>
  <si>
    <t>Summerland Elementary</t>
  </si>
  <si>
    <t>Aliso Elementary</t>
  </si>
  <si>
    <t>Carpinteria Senior High</t>
  </si>
  <si>
    <t>Carpinteria Middle</t>
  </si>
  <si>
    <t>Canalino Elementary</t>
  </si>
  <si>
    <t>Carpinteria Family</t>
  </si>
  <si>
    <t>Santa Ynez Elementary</t>
  </si>
  <si>
    <t>Cuyama Elementary</t>
  </si>
  <si>
    <t>Cuyama Valley High</t>
  </si>
  <si>
    <t>Sierra Madre High (Continuation)</t>
  </si>
  <si>
    <t>Isla Vista Elementary</t>
  </si>
  <si>
    <t>La Patera Elementary</t>
  </si>
  <si>
    <t>Kellogg Elementary</t>
  </si>
  <si>
    <t>Ellwood Elementary</t>
  </si>
  <si>
    <t>Hollister Elementary</t>
  </si>
  <si>
    <t>Brandon Elementary</t>
  </si>
  <si>
    <t>Kermit McKenzie Intermediate</t>
  </si>
  <si>
    <t>Mary Buren Elementary</t>
  </si>
  <si>
    <t>Vieja Valley Elementary</t>
  </si>
  <si>
    <t>Dr Bob Forinash Community Day</t>
  </si>
  <si>
    <t>Maple High</t>
  </si>
  <si>
    <t>Crestview Elementary</t>
  </si>
  <si>
    <t>Los Berros Visual and Performing Arts Academy</t>
  </si>
  <si>
    <t>La Honda STEAM Academy</t>
  </si>
  <si>
    <t>Vandenberg Middle</t>
  </si>
  <si>
    <t>Leonora Fillmore Elementary</t>
  </si>
  <si>
    <t>Clarence Ruth Elementary</t>
  </si>
  <si>
    <t>Lompoc High</t>
  </si>
  <si>
    <t>Lompoc Valley Middle</t>
  </si>
  <si>
    <t>Arthur Hapgood Elementary</t>
  </si>
  <si>
    <t>Miguelito Elementary</t>
  </si>
  <si>
    <t>Mission Valley</t>
  </si>
  <si>
    <t>Montecito Union</t>
  </si>
  <si>
    <t>Alice Shaw Elementary</t>
  </si>
  <si>
    <t>Joe Nightingale Elementary</t>
  </si>
  <si>
    <t>Lakeview Junior High</t>
  </si>
  <si>
    <t>Olga L. Reed Elementary</t>
  </si>
  <si>
    <t>Orcutt Academy Charter</t>
  </si>
  <si>
    <t>Orcutt Junior High</t>
  </si>
  <si>
    <t>Patterson Road Elementary</t>
  </si>
  <si>
    <t>Ralph Dunlap Elementary</t>
  </si>
  <si>
    <t>Santa Barbara County Juvenile Court</t>
  </si>
  <si>
    <t>Santa Barbara County Community</t>
  </si>
  <si>
    <t>Santa Barbara County Special Education</t>
  </si>
  <si>
    <t>La Cuesta Continuation High</t>
  </si>
  <si>
    <t>Alta Vista Alternative High</t>
  </si>
  <si>
    <t>Santa Barbara Charter</t>
  </si>
  <si>
    <t>La Cumbre Junior High</t>
  </si>
  <si>
    <t>Harding University Partnership</t>
  </si>
  <si>
    <t>Santa Barbara Junior High</t>
  </si>
  <si>
    <t>Santa Barbara Community Academy</t>
  </si>
  <si>
    <t>Goleta Valley Junior High</t>
  </si>
  <si>
    <t>Santa Barbara Senior High</t>
  </si>
  <si>
    <t>San Marcos Senior High</t>
  </si>
  <si>
    <t>Dos Pueblos Senior High</t>
  </si>
  <si>
    <t>La Colina Junior High</t>
  </si>
  <si>
    <t>Alta Vista</t>
  </si>
  <si>
    <t>Ernest Righetti High</t>
  </si>
  <si>
    <t>Santa Maria High</t>
  </si>
  <si>
    <t>Pioneer Valley High</t>
  </si>
  <si>
    <t>Bill Libbon Elementary</t>
  </si>
  <si>
    <t>Arellanes (Don Juan Bautista) Elementary</t>
  </si>
  <si>
    <t>El Camino Junior High</t>
  </si>
  <si>
    <t>Kunst (Tommie) Junior High</t>
  </si>
  <si>
    <t>Battles (Washington) Elementary</t>
  </si>
  <si>
    <t>Taylor (Ida Redmond) Elementary</t>
  </si>
  <si>
    <t>Arellanes Junior High</t>
  </si>
  <si>
    <t>Fesler (Isaac) Junior High</t>
  </si>
  <si>
    <t>Ontiveros (Juan Pacifico) Elementary</t>
  </si>
  <si>
    <t>Bruce (Robert) Elementary</t>
  </si>
  <si>
    <t>Sanchez (David J.) Elementary</t>
  </si>
  <si>
    <t>Oakley (Calvin C.) Elementary</t>
  </si>
  <si>
    <t>Adam (William Laird) Elementary</t>
  </si>
  <si>
    <t>Bonita Elementary</t>
  </si>
  <si>
    <t>Tunnell (Martin Luther) Elementary</t>
  </si>
  <si>
    <t>Fairlawn Elementary</t>
  </si>
  <si>
    <t>Rice (William) Elementary</t>
  </si>
  <si>
    <t>Jiménez Roberto and Dr. Francisco Elementary</t>
  </si>
  <si>
    <t>Miller (Isaac) Elementary</t>
  </si>
  <si>
    <t>Alvin Elementary</t>
  </si>
  <si>
    <t>Refugio High</t>
  </si>
  <si>
    <t>Vista de Las Cruces</t>
  </si>
  <si>
    <t>Clyde L. Fischer Middle</t>
  </si>
  <si>
    <t>Lee Mathson Middle</t>
  </si>
  <si>
    <t>Ben Painter Elementary</t>
  </si>
  <si>
    <t>Aptitud Community Academy at Goss</t>
  </si>
  <si>
    <t>Adelante Dual Language Academy</t>
  </si>
  <si>
    <t>Lyndale Elementary</t>
  </si>
  <si>
    <t>Adelante Dual Language Academy II</t>
  </si>
  <si>
    <t>O. S. Hubbard Elementary</t>
  </si>
  <si>
    <t>Sylvia Cassell Elementary</t>
  </si>
  <si>
    <t>Donald J. Meyer Elementary</t>
  </si>
  <si>
    <t>Thomas P. Ryan Elementary</t>
  </si>
  <si>
    <t>A. J. Dorsa Elementary</t>
  </si>
  <si>
    <t>Ocala Middle</t>
  </si>
  <si>
    <t>Russo/McEntee Academy</t>
  </si>
  <si>
    <t>Millard McCollam Elementary</t>
  </si>
  <si>
    <t>Learning in an Urban Community with High Achievement (L.U.C.H.A.)</t>
  </si>
  <si>
    <t>Horace Cureton Elementary</t>
  </si>
  <si>
    <t>Joseph George Middle</t>
  </si>
  <si>
    <t>William Sheppard Middle</t>
  </si>
  <si>
    <t>Renaissance at Mathson</t>
  </si>
  <si>
    <t>Renaissance Academy</t>
  </si>
  <si>
    <t>Toyon Elementary</t>
  </si>
  <si>
    <t>Laneview Elementary</t>
  </si>
  <si>
    <t>Brooktree Elementary</t>
  </si>
  <si>
    <t>Summerdale Elementary</t>
  </si>
  <si>
    <t>Morrill Middle</t>
  </si>
  <si>
    <t>Vinci Park Elementary</t>
  </si>
  <si>
    <t>Noble Elementary</t>
  </si>
  <si>
    <t>Sierramont Middle</t>
  </si>
  <si>
    <t>Ruskin Elementary</t>
  </si>
  <si>
    <t>Majestic Way Elementary</t>
  </si>
  <si>
    <t>Cherrywood Elementary</t>
  </si>
  <si>
    <t>Fammatre Elementary</t>
  </si>
  <si>
    <t>Steindorf STEAM K-8 Magnet</t>
  </si>
  <si>
    <t>Farnham Charter</t>
  </si>
  <si>
    <t>Bagby Elementary</t>
  </si>
  <si>
    <t>Price Charter Middle</t>
  </si>
  <si>
    <t>Sartorette Charter</t>
  </si>
  <si>
    <t>Campbell Distance Learning</t>
  </si>
  <si>
    <t>Rosemary</t>
  </si>
  <si>
    <t>Blackford Elementary</t>
  </si>
  <si>
    <t>Marshall Lane Elementary</t>
  </si>
  <si>
    <t>Castlemont Elementary</t>
  </si>
  <si>
    <t>Sherman Oaks Elementary</t>
  </si>
  <si>
    <t>Lynhaven Elementary</t>
  </si>
  <si>
    <t>Village</t>
  </si>
  <si>
    <t>Forest Hill Elementary</t>
  </si>
  <si>
    <t>Monroe Middle</t>
  </si>
  <si>
    <t>Campbell School of Innovation</t>
  </si>
  <si>
    <t>Boynton High</t>
  </si>
  <si>
    <t>Westmont High</t>
  </si>
  <si>
    <t>Prospect High</t>
  </si>
  <si>
    <t>Leigh High</t>
  </si>
  <si>
    <t>Branham High</t>
  </si>
  <si>
    <t>Joaquin Miller Middle</t>
  </si>
  <si>
    <t>Warren E. Hyde Middle</t>
  </si>
  <si>
    <t>William Regnart Elementary</t>
  </si>
  <si>
    <t>Cupertino Middle</t>
  </si>
  <si>
    <t>Montclaire Elementary</t>
  </si>
  <si>
    <t>Manuel De Vargas Elementary</t>
  </si>
  <si>
    <t>Stevens Creek Elementary</t>
  </si>
  <si>
    <t>Nelson S. Dilworth Elementary</t>
  </si>
  <si>
    <t>C. B. Eaton Elementary</t>
  </si>
  <si>
    <t>Sam H. Lawson Middle</t>
  </si>
  <si>
    <t>D. J. Sedgwick Elementary</t>
  </si>
  <si>
    <t>Blue Hills Elementary</t>
  </si>
  <si>
    <t>Chester W. Nimitz Elementary</t>
  </si>
  <si>
    <t>Garden Gate Elementary</t>
  </si>
  <si>
    <t>R. I. Meyerholz Elementary</t>
  </si>
  <si>
    <t>L. P. Collins Elementary</t>
  </si>
  <si>
    <t>Murdock-Portal Elementary</t>
  </si>
  <si>
    <t>West Valley Elementary</t>
  </si>
  <si>
    <t>William Faria Elementary</t>
  </si>
  <si>
    <t>Louis E. Stocklmeir Elementary</t>
  </si>
  <si>
    <t>Calero High</t>
  </si>
  <si>
    <t>James Lick High</t>
  </si>
  <si>
    <t>Phoenix High</t>
  </si>
  <si>
    <t>William C. Overfelt High</t>
  </si>
  <si>
    <t>Apollo High</t>
  </si>
  <si>
    <t>Mt. Pleasant High</t>
  </si>
  <si>
    <t>Andrew P. Hill High</t>
  </si>
  <si>
    <t>Santa Teresa High</t>
  </si>
  <si>
    <t>Oak Grove High</t>
  </si>
  <si>
    <t>Piedmont Hills High</t>
  </si>
  <si>
    <t>Yerba Buena High</t>
  </si>
  <si>
    <t>Silver Creek High</t>
  </si>
  <si>
    <t>Pegasus High</t>
  </si>
  <si>
    <t>Evergreen Valley High</t>
  </si>
  <si>
    <t>George V. LeyVa Intermediate</t>
  </si>
  <si>
    <t>O. B. Whaley Elementary</t>
  </si>
  <si>
    <t>Cadwallader Elementary</t>
  </si>
  <si>
    <t>Katherine R. Smith Elementary</t>
  </si>
  <si>
    <t>John J. Montgomery Elementary</t>
  </si>
  <si>
    <t>Cedar Grove Elementary</t>
  </si>
  <si>
    <t>Holly Oak Elementary</t>
  </si>
  <si>
    <t>Quimby Oak Middle</t>
  </si>
  <si>
    <t>James Franklin Smith Elementary</t>
  </si>
  <si>
    <t>Millbrook Elementary</t>
  </si>
  <si>
    <t>Chaboya Middle</t>
  </si>
  <si>
    <t>Norwood Creek Elementary</t>
  </si>
  <si>
    <t>Silver Oak Elementary</t>
  </si>
  <si>
    <t>Tom Matsumoto Elementary</t>
  </si>
  <si>
    <t>Carolyn A. Clark Elementary</t>
  </si>
  <si>
    <t>Dove Hill Elementary</t>
  </si>
  <si>
    <t>Laurelwood Elementary</t>
  </si>
  <si>
    <t>Windmill Springs Elementary</t>
  </si>
  <si>
    <t>Los Arboles Literacy and Technology Academy</t>
  </si>
  <si>
    <t>Sylvandale Middle</t>
  </si>
  <si>
    <t>Santee Elementary</t>
  </si>
  <si>
    <t>Ramblewood Elementary</t>
  </si>
  <si>
    <t>Lairon College Preparatory Academy</t>
  </si>
  <si>
    <t>College Connection Academy</t>
  </si>
  <si>
    <t>G. W. Hellyer Elementary</t>
  </si>
  <si>
    <t>Captain Jason M. Dahl Elementary</t>
  </si>
  <si>
    <t>Shirakawa (George, Sr.) Elementary</t>
  </si>
  <si>
    <t>Jeanne R. Meadows Elementary</t>
  </si>
  <si>
    <t>Cupertino High</t>
  </si>
  <si>
    <t>Lynbrook High</t>
  </si>
  <si>
    <t>Monta Vista High</t>
  </si>
  <si>
    <t>Homestead High</t>
  </si>
  <si>
    <t>South Valley Middle</t>
  </si>
  <si>
    <t>Mt. Madonna High</t>
  </si>
  <si>
    <t>El Roble Elementary</t>
  </si>
  <si>
    <t>Rod Kelley Elementary</t>
  </si>
  <si>
    <t>Christopher High</t>
  </si>
  <si>
    <t>Brownell Middle</t>
  </si>
  <si>
    <t>Solorsano Middle</t>
  </si>
  <si>
    <t>Luigi Aprea Elementary</t>
  </si>
  <si>
    <t>Gilroy High</t>
  </si>
  <si>
    <t>Dr. TJ Owens Gilroy Early College Academy</t>
  </si>
  <si>
    <t>Eliot Elementary</t>
  </si>
  <si>
    <t>Rucker Elementary</t>
  </si>
  <si>
    <t>Las Animas Elementary</t>
  </si>
  <si>
    <t>Loma Prieta Elementary</t>
  </si>
  <si>
    <t>C. T. English Middle</t>
  </si>
  <si>
    <t>Ardis G. Egan Junior High</t>
  </si>
  <si>
    <t>Loyola Elementary</t>
  </si>
  <si>
    <t>Georgina P. Blach Junior High</t>
  </si>
  <si>
    <t>Covington Elementary</t>
  </si>
  <si>
    <t>Springer Elementary</t>
  </si>
  <si>
    <t>Gardner Bullis Elementary</t>
  </si>
  <si>
    <t>LASD Virtual</t>
  </si>
  <si>
    <t>Louise Van Meter Elementary</t>
  </si>
  <si>
    <t>Daves Avenue Elementary</t>
  </si>
  <si>
    <t>Blossom Hill Elementary</t>
  </si>
  <si>
    <t>Raymond J. Fisher Middle</t>
  </si>
  <si>
    <t>Saratoga High</t>
  </si>
  <si>
    <t>Los Gatos High</t>
  </si>
  <si>
    <t>Silicon Valley Career Technical Education</t>
  </si>
  <si>
    <t>Calaveras Hills</t>
  </si>
  <si>
    <t>Robert Randall Elementary</t>
  </si>
  <si>
    <t>William Burnett Elementary</t>
  </si>
  <si>
    <t>Rancho Milpitas Middle</t>
  </si>
  <si>
    <t>Joseph Weller Elementary</t>
  </si>
  <si>
    <t>Alexander Rose Elementary</t>
  </si>
  <si>
    <t>Milpitas High</t>
  </si>
  <si>
    <t>Thomas Russell Middle</t>
  </si>
  <si>
    <t>Marshall Pomeroy Elementary</t>
  </si>
  <si>
    <t>Anthony Spangler Elementary</t>
  </si>
  <si>
    <t>John Sinnott Elementary</t>
  </si>
  <si>
    <t>Pearl Zanker Elementary</t>
  </si>
  <si>
    <t>Mabel Mattos Elementary</t>
  </si>
  <si>
    <t>Curtner Elementary</t>
  </si>
  <si>
    <t>Leroy Anderson Elementary</t>
  </si>
  <si>
    <t>Latimer</t>
  </si>
  <si>
    <t>George C. Payne Elementary</t>
  </si>
  <si>
    <t>Country Lane Elementary</t>
  </si>
  <si>
    <t>Gussie M. Baker Elementary</t>
  </si>
  <si>
    <t>Easterbrook Discovery</t>
  </si>
  <si>
    <t>Moreland Middle</t>
  </si>
  <si>
    <t>Live Oak High</t>
  </si>
  <si>
    <t>El Toro Health Science Academy</t>
  </si>
  <si>
    <t>Ann Sobrato High</t>
  </si>
  <si>
    <t>Paradise Valley Engineering Academy</t>
  </si>
  <si>
    <t>P. A. Walsh STEAM Academy</t>
  </si>
  <si>
    <t>Barrett Elementary</t>
  </si>
  <si>
    <t>Nordstrom Elementary</t>
  </si>
  <si>
    <t>Los Paseos Elementary</t>
  </si>
  <si>
    <t>San Martin Gwinn Environmental Science Academy</t>
  </si>
  <si>
    <t>Jackson Academy of Music and Math (JAMM)</t>
  </si>
  <si>
    <t>Lewis H. Britton Middle</t>
  </si>
  <si>
    <t>Martin Murphy Middle</t>
  </si>
  <si>
    <t>Ida Jew Academies</t>
  </si>
  <si>
    <t>Mt. Pleasant Elementary</t>
  </si>
  <si>
    <t>August Boeger Middle</t>
  </si>
  <si>
    <t>Robert Sanders Elementary</t>
  </si>
  <si>
    <t>Theuerkauf Elementary</t>
  </si>
  <si>
    <t>Mariano Castro Elementary</t>
  </si>
  <si>
    <t>Monta Loma Elementary</t>
  </si>
  <si>
    <t>Crittenden Middle</t>
  </si>
  <si>
    <t>Benjamin Bubb Elementary</t>
  </si>
  <si>
    <t>Jose Antonio Vargas Elementary</t>
  </si>
  <si>
    <t>Gabriela Mistral Elementary</t>
  </si>
  <si>
    <t>Isaac Newton Graham Middle</t>
  </si>
  <si>
    <t>Edith Landels Elementary</t>
  </si>
  <si>
    <t>Amy Imai Elementary</t>
  </si>
  <si>
    <t>Alta Vista High</t>
  </si>
  <si>
    <t>North County Regional Occupational Program</t>
  </si>
  <si>
    <t>Stipe (Samuel) Elementary</t>
  </si>
  <si>
    <t>Baldwin (Julia) Elementary</t>
  </si>
  <si>
    <t>Herman (Leonard) Intermediate</t>
  </si>
  <si>
    <t>Bernal Intermediate</t>
  </si>
  <si>
    <t>Frost (Earl) Elementary</t>
  </si>
  <si>
    <t>Anderson (Alex) Elementary</t>
  </si>
  <si>
    <t>Sakamoto Elementary</t>
  </si>
  <si>
    <t>Santa Teresa Elementary</t>
  </si>
  <si>
    <t>Christopher Elementary</t>
  </si>
  <si>
    <t>Taylor (Bertha) Elementary</t>
  </si>
  <si>
    <t>Edenvale Elementary</t>
  </si>
  <si>
    <t>Del Roble Elementary</t>
  </si>
  <si>
    <t>Ledesma (Rita) Elementary</t>
  </si>
  <si>
    <t>Hayes Elementary</t>
  </si>
  <si>
    <t>Indigo</t>
  </si>
  <si>
    <t>Davis (Caroline) Intermediate</t>
  </si>
  <si>
    <t>Packard Children's Hospital/Stanford</t>
  </si>
  <si>
    <t>Barron Park Elementary</t>
  </si>
  <si>
    <t>Walter Hays Elementary</t>
  </si>
  <si>
    <t>Ellen Fletcher Middle</t>
  </si>
  <si>
    <t>Frank S. Greene Jr. Middle</t>
  </si>
  <si>
    <t>Juana Briones Elementary</t>
  </si>
  <si>
    <t>Jane Lathrop Stanford Middle</t>
  </si>
  <si>
    <t>Duveneck Elementary</t>
  </si>
  <si>
    <t>Lucille M. Nixon Elementary</t>
  </si>
  <si>
    <t>Addison Elementary</t>
  </si>
  <si>
    <t>El Carmelo Elementary</t>
  </si>
  <si>
    <t>Escondido Elementary</t>
  </si>
  <si>
    <t>Fairmeadow Elementary</t>
  </si>
  <si>
    <t>Palo Alto High</t>
  </si>
  <si>
    <t>Henry M. Gunn High</t>
  </si>
  <si>
    <t>Palo Verde Elementary</t>
  </si>
  <si>
    <t>Greendell</t>
  </si>
  <si>
    <t>Broadway High</t>
  </si>
  <si>
    <t>Canoas Elementary</t>
  </si>
  <si>
    <t>Liberty (Alternative)</t>
  </si>
  <si>
    <t>Terrell Elementary</t>
  </si>
  <si>
    <t>Rachel Carson Elementary</t>
  </si>
  <si>
    <t>Almaden Elementary</t>
  </si>
  <si>
    <t>Empire Gardens Elementary</t>
  </si>
  <si>
    <t>Muwekma Ohlone Middle</t>
  </si>
  <si>
    <t>Selma Olinder Elementary</t>
  </si>
  <si>
    <t>Allen at Steinbeck</t>
  </si>
  <si>
    <t>Ernesto Galarza Elementary</t>
  </si>
  <si>
    <t>Anne Darling Elementary</t>
  </si>
  <si>
    <t>Gunderson High</t>
  </si>
  <si>
    <t>Gardner Elementary</t>
  </si>
  <si>
    <t>Willow Glen Middle</t>
  </si>
  <si>
    <t>San Jose High</t>
  </si>
  <si>
    <t>Willow Glen High</t>
  </si>
  <si>
    <t>River Glen</t>
  </si>
  <si>
    <t>Abraham Lincoln High</t>
  </si>
  <si>
    <t>Castillero Middle</t>
  </si>
  <si>
    <t>Walter L. Bachrodt Elementary</t>
  </si>
  <si>
    <t>Willow Glen Elementary</t>
  </si>
  <si>
    <t>Schallenberger Elementary</t>
  </si>
  <si>
    <t>Leland High</t>
  </si>
  <si>
    <t>Simonds Elementary</t>
  </si>
  <si>
    <t>Graystone Elementary</t>
  </si>
  <si>
    <t>Merritt Trace Elementary</t>
  </si>
  <si>
    <t>Hammer Montessori at Galarza Elementary</t>
  </si>
  <si>
    <t>Hacienda Science/Environmental Magnet</t>
  </si>
  <si>
    <t>Booksin Elementary</t>
  </si>
  <si>
    <t>Santa Clara County Special Education</t>
  </si>
  <si>
    <t>Santa Clara County Court</t>
  </si>
  <si>
    <t>Santa Clara County Community</t>
  </si>
  <si>
    <t>Opportunity Youth Academy</t>
  </si>
  <si>
    <t>Santa Clara Community Day</t>
  </si>
  <si>
    <t>Wilson Alternative</t>
  </si>
  <si>
    <t>New Valley Continuation High</t>
  </si>
  <si>
    <t>Bracher Elementary</t>
  </si>
  <si>
    <t>Bowers Elementary</t>
  </si>
  <si>
    <t>Briarwood Elementary</t>
  </si>
  <si>
    <t>Kathryn Hughes Elementary</t>
  </si>
  <si>
    <t>Pomeroy Elementary</t>
  </si>
  <si>
    <t>Scott Lane Elementary</t>
  </si>
  <si>
    <t>C. W. Haman Elementary</t>
  </si>
  <si>
    <t>George Mayne Elementary</t>
  </si>
  <si>
    <t>Braly Elementary</t>
  </si>
  <si>
    <t>Buchser Middle</t>
  </si>
  <si>
    <t>Washington Open Elementary</t>
  </si>
  <si>
    <t>Juan Cabrillo Middle</t>
  </si>
  <si>
    <t>Don Callejon</t>
  </si>
  <si>
    <t>Santa Clara High</t>
  </si>
  <si>
    <t>Adrian Wilcox High</t>
  </si>
  <si>
    <t>Marian A. Peterson Middle</t>
  </si>
  <si>
    <t>Mission Early College High</t>
  </si>
  <si>
    <t>Central Park Elementary</t>
  </si>
  <si>
    <t>Millikin Elementary</t>
  </si>
  <si>
    <t>Saratoga Elementary</t>
  </si>
  <si>
    <t>Argonaut Elementary</t>
  </si>
  <si>
    <t>Vargas Elementary</t>
  </si>
  <si>
    <t>Fairwood Elementary</t>
  </si>
  <si>
    <t>Sunnyvale Middle</t>
  </si>
  <si>
    <t>Cherry Chase Elementary</t>
  </si>
  <si>
    <t>Ellis Elementary</t>
  </si>
  <si>
    <t>Cumberland Elementary</t>
  </si>
  <si>
    <t>Lietz Elementary</t>
  </si>
  <si>
    <t>Union Middle</t>
  </si>
  <si>
    <t>Oster Elementary</t>
  </si>
  <si>
    <t>Noddin Elementary</t>
  </si>
  <si>
    <t>Carlton Elementary</t>
  </si>
  <si>
    <t>Bonny Doon Elementary</t>
  </si>
  <si>
    <t>Shoreline Middle</t>
  </si>
  <si>
    <t>Green Acres Elementary</t>
  </si>
  <si>
    <t>Ocean Alternative Education Center</t>
  </si>
  <si>
    <t>Tierra Pacifica Charter</t>
  </si>
  <si>
    <t>New School Community Day</t>
  </si>
  <si>
    <t>Diamond Technology Institute</t>
  </si>
  <si>
    <t>Pajaro Valley High</t>
  </si>
  <si>
    <t>Renaissance High Continuation</t>
  </si>
  <si>
    <t>Alianza Charter</t>
  </si>
  <si>
    <t>Watsonville Charter School of the Arts</t>
  </si>
  <si>
    <t>H. A. Hyde Elementary</t>
  </si>
  <si>
    <t>Pacific Coast Charter</t>
  </si>
  <si>
    <t>Ann Soldo Elementary</t>
  </si>
  <si>
    <t>Calabasas Elementary</t>
  </si>
  <si>
    <t>Mintie White Elementary</t>
  </si>
  <si>
    <t>E. A. Hall Middle</t>
  </si>
  <si>
    <t>Rio del Mar Elementary</t>
  </si>
  <si>
    <t>Aptos High</t>
  </si>
  <si>
    <t>T. S. MacQuiddy Elementary</t>
  </si>
  <si>
    <t>Pajaro Middle</t>
  </si>
  <si>
    <t>Watsonville High</t>
  </si>
  <si>
    <t>Hall District Elementary</t>
  </si>
  <si>
    <t>Amesti Elementary</t>
  </si>
  <si>
    <t>Aptos Junior High</t>
  </si>
  <si>
    <t>Lakeview Middle</t>
  </si>
  <si>
    <t>Radcliff Elementary</t>
  </si>
  <si>
    <t>Landmark Elementary</t>
  </si>
  <si>
    <t>PVUSD Virtual Academy</t>
  </si>
  <si>
    <t>Linscott Charter</t>
  </si>
  <si>
    <t>San Lorenzo Valley High</t>
  </si>
  <si>
    <t>Boulder Creek Elementary</t>
  </si>
  <si>
    <t>SLVUSD Charter</t>
  </si>
  <si>
    <t>San Lorenzo Valley Middle</t>
  </si>
  <si>
    <t>San Lorenzo Valley Elementary</t>
  </si>
  <si>
    <t>Bay View Elementary</t>
  </si>
  <si>
    <t>Gault Elementary</t>
  </si>
  <si>
    <t>Santa Cruz City Elementary Alternative Education-Monarch</t>
  </si>
  <si>
    <t>De Laveaga Elementary</t>
  </si>
  <si>
    <t>Costanoa Continuation High</t>
  </si>
  <si>
    <t>Branciforte Middle</t>
  </si>
  <si>
    <t>Harbor High</t>
  </si>
  <si>
    <t>Ark Independent Studies</t>
  </si>
  <si>
    <t>Mission Hill Middle</t>
  </si>
  <si>
    <t>Santa Cruz High</t>
  </si>
  <si>
    <t>Soquel High</t>
  </si>
  <si>
    <t>Alternative Family Education</t>
  </si>
  <si>
    <t>Santa Cruz County Special Education</t>
  </si>
  <si>
    <t>Santa Cruz County Court</t>
  </si>
  <si>
    <t>Santa Cruz County Community</t>
  </si>
  <si>
    <t>Santa Cruz County Career Advancement Charter</t>
  </si>
  <si>
    <t>Brook Knoll Elementary</t>
  </si>
  <si>
    <t>Scotts Valley High</t>
  </si>
  <si>
    <t>Scotts Valley Middle</t>
  </si>
  <si>
    <t>Vine Hill Elementary</t>
  </si>
  <si>
    <t>Santa Cruz Gardens Elementary</t>
  </si>
  <si>
    <t>Soquel Elementary</t>
  </si>
  <si>
    <t>New Brighton Middle</t>
  </si>
  <si>
    <t>Opal Cliffs</t>
  </si>
  <si>
    <t>North Valley High</t>
  </si>
  <si>
    <t>Anderson New Technology High</t>
  </si>
  <si>
    <t>Anderson High</t>
  </si>
  <si>
    <t>Anderson Community Day</t>
  </si>
  <si>
    <t>Oakview High (Alternative)</t>
  </si>
  <si>
    <t>Black Butte Elementary</t>
  </si>
  <si>
    <t>Black Butte Junior High</t>
  </si>
  <si>
    <t>North State Aspire Academy</t>
  </si>
  <si>
    <t>Anderson Middle</t>
  </si>
  <si>
    <t>Anderson Heights Elementary</t>
  </si>
  <si>
    <t>Columbia-East Valley K-6 Community Day</t>
  </si>
  <si>
    <t>West Cottonwood Junior High</t>
  </si>
  <si>
    <t>North Cottonwood</t>
  </si>
  <si>
    <t>PACE Academy Charter</t>
  </si>
  <si>
    <t>Redding Collegiate Academy</t>
  </si>
  <si>
    <t>Lassen View Elementary</t>
  </si>
  <si>
    <t>Alta Mesa Elementary</t>
  </si>
  <si>
    <t>Shasta Meadows Elementary</t>
  </si>
  <si>
    <t>Parsons Junior High</t>
  </si>
  <si>
    <t>Rother Elementary</t>
  </si>
  <si>
    <t>Mistletoe Elementary</t>
  </si>
  <si>
    <t>Mt. Burney Special Education Center</t>
  </si>
  <si>
    <t>Burney Junior-Senior High</t>
  </si>
  <si>
    <t>Fall River Community Day</t>
  </si>
  <si>
    <t>Fall River Junior-Senior High</t>
  </si>
  <si>
    <t>Mountain View High (Continuation)</t>
  </si>
  <si>
    <t>Fall River Elementary</t>
  </si>
  <si>
    <t>Soldier Mountain High (Continuation)</t>
  </si>
  <si>
    <t>Burney Elementary</t>
  </si>
  <si>
    <t>Burney Community Day</t>
  </si>
  <si>
    <t>Burney Elementary Community Day</t>
  </si>
  <si>
    <t>Fall River Elementary Community Day</t>
  </si>
  <si>
    <t>Mountain Lakes High</t>
  </si>
  <si>
    <t>Great Partnership Special Education Consortium</t>
  </si>
  <si>
    <t>Gateway Community Day</t>
  </si>
  <si>
    <t>Central Valley High</t>
  </si>
  <si>
    <t>Buckeye School of the Arts</t>
  </si>
  <si>
    <t>Shasta Lake</t>
  </si>
  <si>
    <t>Gateway Educational Options</t>
  </si>
  <si>
    <t>Happy Valley Community Day</t>
  </si>
  <si>
    <t>Happy Valley Primary</t>
  </si>
  <si>
    <t>Igo-Ono Elementary</t>
  </si>
  <si>
    <t>Montgomery Creek Elementary</t>
  </si>
  <si>
    <t>Redding Community Day</t>
  </si>
  <si>
    <t>Juniper</t>
  </si>
  <si>
    <t>Bonny View Elementary</t>
  </si>
  <si>
    <t>Turtle Bay</t>
  </si>
  <si>
    <t>Stellar Charter</t>
  </si>
  <si>
    <t>Shasta County Special Education</t>
  </si>
  <si>
    <t>Shasta County Juvenile Court</t>
  </si>
  <si>
    <t>Shasta County Independent Study</t>
  </si>
  <si>
    <t>Pioneer Continuation High</t>
  </si>
  <si>
    <t>Shasta High</t>
  </si>
  <si>
    <t>Shasta Collegiate Academy</t>
  </si>
  <si>
    <t>Whitmore Elementary</t>
  </si>
  <si>
    <t>Sierra County Special Education</t>
  </si>
  <si>
    <t>Sierra Pass (Continuation)</t>
  </si>
  <si>
    <t>Downieville Elementary</t>
  </si>
  <si>
    <t>Downieville Junior-Senior High</t>
  </si>
  <si>
    <t>Loyalton High</t>
  </si>
  <si>
    <t>Loyalton Elementary</t>
  </si>
  <si>
    <t>Big Springs Elementary</t>
  </si>
  <si>
    <t>Butte Valley Elementary</t>
  </si>
  <si>
    <t>Butte Valley High</t>
  </si>
  <si>
    <t>Cascade High</t>
  </si>
  <si>
    <t>Picard Community Day Elementary</t>
  </si>
  <si>
    <t>Butteville Elementary</t>
  </si>
  <si>
    <t>Dunsmuir High</t>
  </si>
  <si>
    <t>Dunsmuir Joint Union High Community Day</t>
  </si>
  <si>
    <t>Gazelle Elementary</t>
  </si>
  <si>
    <t>Klamath River Elementary</t>
  </si>
  <si>
    <t>McCloud Elementary</t>
  </si>
  <si>
    <t>Mt. Shasta Elementary</t>
  </si>
  <si>
    <t>Sisson</t>
  </si>
  <si>
    <t>Etna Elementary</t>
  </si>
  <si>
    <t>Fort Jones Elementary</t>
  </si>
  <si>
    <t>Etna Union High</t>
  </si>
  <si>
    <t>Scott River High</t>
  </si>
  <si>
    <t>Scott Valley Junior High</t>
  </si>
  <si>
    <t>Scott Valley Community Day</t>
  </si>
  <si>
    <t>Siskiyou County Special Education</t>
  </si>
  <si>
    <t>Happy Camp High</t>
  </si>
  <si>
    <t>McCloud High</t>
  </si>
  <si>
    <t>Mt. Shasta High</t>
  </si>
  <si>
    <t>Weed High</t>
  </si>
  <si>
    <t>Weed Elementary</t>
  </si>
  <si>
    <t>Jackson Street Elementary</t>
  </si>
  <si>
    <t>Yreka Community Day</t>
  </si>
  <si>
    <t>Yreka Union High Community Day</t>
  </si>
  <si>
    <t>Yreka High</t>
  </si>
  <si>
    <t>Benicia High</t>
  </si>
  <si>
    <t>Robert Semple Elementary</t>
  </si>
  <si>
    <t>Benicia Middle</t>
  </si>
  <si>
    <t>Mary Farmar Elementary</t>
  </si>
  <si>
    <t>Joe Henderson Elementary</t>
  </si>
  <si>
    <t>Matthew Turner Elementary</t>
  </si>
  <si>
    <t>Maine Prairie High (Continuation)</t>
  </si>
  <si>
    <t>Anderson (Linford L.) Elementary</t>
  </si>
  <si>
    <t>Gretchen Higgins Elementary</t>
  </si>
  <si>
    <t>Tremont Elementary</t>
  </si>
  <si>
    <t>Dixon Community Day</t>
  </si>
  <si>
    <t>Dixon High</t>
  </si>
  <si>
    <t>John Knight Middle</t>
  </si>
  <si>
    <t>H. Glenn Richardson</t>
  </si>
  <si>
    <t>Matt Garcia Career and College Academy</t>
  </si>
  <si>
    <t>Sem Yeto Continuation High</t>
  </si>
  <si>
    <t>Crystal Middle</t>
  </si>
  <si>
    <t>Cleo Gordon Elementary</t>
  </si>
  <si>
    <t>Laurel Creek Elementary</t>
  </si>
  <si>
    <t>Grange Middle</t>
  </si>
  <si>
    <t>Armijo High</t>
  </si>
  <si>
    <t>Anna Kyle Elementary</t>
  </si>
  <si>
    <t>Cordelia Hills Elementary</t>
  </si>
  <si>
    <t>Suisun Valley Elementary</t>
  </si>
  <si>
    <t>Oakbrook Academy of the Arts</t>
  </si>
  <si>
    <t>Fairfield High</t>
  </si>
  <si>
    <t>B. Gale Wilson Elementary</t>
  </si>
  <si>
    <t>Green Valley Middle</t>
  </si>
  <si>
    <t>Weir Preparatory Academy</t>
  </si>
  <si>
    <t>K. I. Jones Elementary</t>
  </si>
  <si>
    <t>Suisun Elementary</t>
  </si>
  <si>
    <t>Nelda Mundy Elementary</t>
  </si>
  <si>
    <t>E. Ruth Sheldon Academy of Innovative Learning</t>
  </si>
  <si>
    <t>Dover Academy for International Studies</t>
  </si>
  <si>
    <t>Dan O. Root Elementary</t>
  </si>
  <si>
    <t>Tolenas Academy of Music and Media</t>
  </si>
  <si>
    <t>Angelo Rodriguez High</t>
  </si>
  <si>
    <t>Virtual Academy of Fairfield-Suisun</t>
  </si>
  <si>
    <t>Solano County Juvenile Detention Facility - Evergreen Academy</t>
  </si>
  <si>
    <t>Solano County Special Education</t>
  </si>
  <si>
    <t>Solano County Community</t>
  </si>
  <si>
    <t>Travis Community Day</t>
  </si>
  <si>
    <t>Travis Education Center</t>
  </si>
  <si>
    <t>Travis Elementary</t>
  </si>
  <si>
    <t>Foxboro Elementary</t>
  </si>
  <si>
    <t>Scandia Elementary</t>
  </si>
  <si>
    <t>Golden West Middle</t>
  </si>
  <si>
    <t>Vanden High</t>
  </si>
  <si>
    <t>Center Elementary</t>
  </si>
  <si>
    <t>Travis Independent Study</t>
  </si>
  <si>
    <t>Ernest Kimme Charter Academy for Independent Learning</t>
  </si>
  <si>
    <t>Buckingham Collegiate Charter Academy</t>
  </si>
  <si>
    <t>Fairmont Charter Elementary</t>
  </si>
  <si>
    <t>Vaca Pena Middle</t>
  </si>
  <si>
    <t>Will C. Wood High</t>
  </si>
  <si>
    <t>Willis Jepson Middle</t>
  </si>
  <si>
    <t>Eugene Padan Elementary</t>
  </si>
  <si>
    <t>Sierra Vista K-8</t>
  </si>
  <si>
    <t>Vacaville High</t>
  </si>
  <si>
    <t>Cooper Elementary</t>
  </si>
  <si>
    <t>Edwin Markham Elementary</t>
  </si>
  <si>
    <t>Jean Callison Elementary</t>
  </si>
  <si>
    <t>Vallejo Adult Transition</t>
  </si>
  <si>
    <t>John Finney High (Continuation)</t>
  </si>
  <si>
    <t>Federal Terrace Elementary</t>
  </si>
  <si>
    <t>Mare Island Health and Fitness Academy</t>
  </si>
  <si>
    <t>Steffan Manor Elementary</t>
  </si>
  <si>
    <t>Solano Widenmann Leadership Academy</t>
  </si>
  <si>
    <t>Vallejo Charter</t>
  </si>
  <si>
    <t>Joseph H. Wardlaw Elementary</t>
  </si>
  <si>
    <t>Jesse M. Bethel High</t>
  </si>
  <si>
    <t>Johnston Cooper Elementary</t>
  </si>
  <si>
    <t>Dan Mini Elementary</t>
  </si>
  <si>
    <t>Loma Vista Environmental Science Academy</t>
  </si>
  <si>
    <t>Glen Cove Elementary</t>
  </si>
  <si>
    <t>Vallejo High</t>
  </si>
  <si>
    <t>Cave Language Academy</t>
  </si>
  <si>
    <t>Grace Patterson Elementary</t>
  </si>
  <si>
    <t>Annie Pennycook Elementary</t>
  </si>
  <si>
    <t>Hogan Middle</t>
  </si>
  <si>
    <t>Alexander Valley Elementary</t>
  </si>
  <si>
    <t>Kawana Springs Elementary</t>
  </si>
  <si>
    <t>Meadow View Elementary</t>
  </si>
  <si>
    <t>Taylor Mountain Elementary</t>
  </si>
  <si>
    <t>Strawberry Elementary</t>
  </si>
  <si>
    <t>Yulupa Elementary</t>
  </si>
  <si>
    <t>Cinnabar Charter</t>
  </si>
  <si>
    <t>Johanna Echols-Hansen High (Continuation)</t>
  </si>
  <si>
    <t>Cloverdale High</t>
  </si>
  <si>
    <t>Eagle Creek</t>
  </si>
  <si>
    <t>Online Academy - Sonoma County</t>
  </si>
  <si>
    <t>Thomas Page Academy</t>
  </si>
  <si>
    <t>Cotati-Rohnert Park Preschool</t>
  </si>
  <si>
    <t>John Reed Primary</t>
  </si>
  <si>
    <t>Technology Middle</t>
  </si>
  <si>
    <t>University Elementary at La Fiesta</t>
  </si>
  <si>
    <t>Richard Crane Elementary</t>
  </si>
  <si>
    <t>Rancho Cotate High</t>
  </si>
  <si>
    <t>Technology High</t>
  </si>
  <si>
    <t>Lawrence E. Jones Middle</t>
  </si>
  <si>
    <t>Marguerite Hahn Elementary</t>
  </si>
  <si>
    <t>Dunham Charter</t>
  </si>
  <si>
    <t>Forestville Elementary</t>
  </si>
  <si>
    <t>Forestville Academy</t>
  </si>
  <si>
    <t>Geyserville Elementary</t>
  </si>
  <si>
    <t>Geyserville New Tech Academy</t>
  </si>
  <si>
    <t>Gravenstein Community Day</t>
  </si>
  <si>
    <t>Gravenstein Elementary</t>
  </si>
  <si>
    <t>Hillcrest Middle</t>
  </si>
  <si>
    <t>Gravenstein First</t>
  </si>
  <si>
    <t>Guerneville Elementary (Charter)</t>
  </si>
  <si>
    <t>Guerneville Primary</t>
  </si>
  <si>
    <t>Salmon Creek School - A Charter</t>
  </si>
  <si>
    <t>Healdsburg Elementary</t>
  </si>
  <si>
    <t>Healdsburg High</t>
  </si>
  <si>
    <t>Healdsburg Junior High</t>
  </si>
  <si>
    <t>Marce Becerra Academy</t>
  </si>
  <si>
    <t>Kenwood Elementary</t>
  </si>
  <si>
    <t>Liberty Primary</t>
  </si>
  <si>
    <t>Liberty Independent Study</t>
  </si>
  <si>
    <t>John B. Riebli Elementary</t>
  </si>
  <si>
    <t>Mark West Elementary</t>
  </si>
  <si>
    <t>Mark West Charter</t>
  </si>
  <si>
    <t>Monte Rio Elementary</t>
  </si>
  <si>
    <t>Oak Grove Elementary/Willowside Middle</t>
  </si>
  <si>
    <t>Miwok Valley Elementary Charter</t>
  </si>
  <si>
    <t>La Tercera Elementary</t>
  </si>
  <si>
    <t>Loma Vista Immersion Academy</t>
  </si>
  <si>
    <t>Old Adobe Elementary Charter</t>
  </si>
  <si>
    <t>Sonoma Mountain Elementary</t>
  </si>
  <si>
    <t>Valley Oaks Elementary (Alternative)</t>
  </si>
  <si>
    <t>South County Consortium</t>
  </si>
  <si>
    <t>McDowell Elementary</t>
  </si>
  <si>
    <t>McNear Elementary</t>
  </si>
  <si>
    <t>Penngrove Elementary</t>
  </si>
  <si>
    <t>Valley Oaks High (Alternative)</t>
  </si>
  <si>
    <t>Carpe Diem High (Continuation)</t>
  </si>
  <si>
    <t>Sonoma Mountain High (Continuation)</t>
  </si>
  <si>
    <t>Petaluma Junior High</t>
  </si>
  <si>
    <t>Kenilworth Junior High</t>
  </si>
  <si>
    <t>Petaluma High</t>
  </si>
  <si>
    <t>Mary Collins Charter School at Cherry Valley</t>
  </si>
  <si>
    <t>Casa Grande High</t>
  </si>
  <si>
    <t>Petaluma Accelerated Charter</t>
  </si>
  <si>
    <t>Rincon Valley Partnership</t>
  </si>
  <si>
    <t>Village Elementary Charter</t>
  </si>
  <si>
    <t>Austin Creek Elementary</t>
  </si>
  <si>
    <t>Spring Lake Charter</t>
  </si>
  <si>
    <t>Whited Elementary Charter</t>
  </si>
  <si>
    <t>Madrone Elementary</t>
  </si>
  <si>
    <t>Manzanita Elementary Charter</t>
  </si>
  <si>
    <t>Binkley Elementary Charter</t>
  </si>
  <si>
    <t>Roseland Creek Elementary</t>
  </si>
  <si>
    <t>Roseland Elementary</t>
  </si>
  <si>
    <t>Sheppard Elementary</t>
  </si>
  <si>
    <t>Cesar Chavez Language Academy</t>
  </si>
  <si>
    <t>Steele Lane Elementary</t>
  </si>
  <si>
    <t>Santa Rosa Charter School for the Arts</t>
  </si>
  <si>
    <t>Proctor Terrace Elementary</t>
  </si>
  <si>
    <t>Brook Hill Elementary</t>
  </si>
  <si>
    <t>Santa Rosa French-American Charter (SRFACS)</t>
  </si>
  <si>
    <t>Albert F. Biella Elementary</t>
  </si>
  <si>
    <t>Helen M. Lehman Elementary</t>
  </si>
  <si>
    <t>Ridgway High (Continuation)</t>
  </si>
  <si>
    <t>Lawrence Cook Middle</t>
  </si>
  <si>
    <t>Hilliard Comstock Middle</t>
  </si>
  <si>
    <t>Elsie Allen High</t>
  </si>
  <si>
    <t>Santa Rosa Accelerated Charter</t>
  </si>
  <si>
    <t>Herbert Slater Middle</t>
  </si>
  <si>
    <t>Santa Rosa Middle</t>
  </si>
  <si>
    <t>Montgomery High</t>
  </si>
  <si>
    <t>Piner High</t>
  </si>
  <si>
    <t>Maria Carrillo High</t>
  </si>
  <si>
    <t>Rincon Valley Middle</t>
  </si>
  <si>
    <t>Park Side Elementary</t>
  </si>
  <si>
    <t>Brook Haven Middle</t>
  </si>
  <si>
    <t>Sonoma County Court</t>
  </si>
  <si>
    <t>Sonoma County Special Education</t>
  </si>
  <si>
    <t>Sonoma County Alternative Education Programs</t>
  </si>
  <si>
    <t>Dunbar Elementary</t>
  </si>
  <si>
    <t>El Verano Elementary</t>
  </si>
  <si>
    <t>Adele Harrison Middle</t>
  </si>
  <si>
    <t>Flowery Elementary</t>
  </si>
  <si>
    <t>Sassarini Elementary</t>
  </si>
  <si>
    <t>Sonoma Valley High</t>
  </si>
  <si>
    <t>Altimira Middle</t>
  </si>
  <si>
    <t>Prestwood Elementary</t>
  </si>
  <si>
    <t>Twin Hills Charter Middle</t>
  </si>
  <si>
    <t>Apple Blossom</t>
  </si>
  <si>
    <t>Sunridge Charter</t>
  </si>
  <si>
    <t>Orchard View</t>
  </si>
  <si>
    <t>Two Rock Elementary</t>
  </si>
  <si>
    <t>Corona Creek Elementary</t>
  </si>
  <si>
    <t>Meadow Elementary</t>
  </si>
  <si>
    <t>West Side Elementary</t>
  </si>
  <si>
    <t>Laguna High</t>
  </si>
  <si>
    <t>El Molino High</t>
  </si>
  <si>
    <t>West County High</t>
  </si>
  <si>
    <t>West Sonoma County Consortium</t>
  </si>
  <si>
    <t>Bridges Community Based School, North County Consortium</t>
  </si>
  <si>
    <t>North Bay Met Academy</t>
  </si>
  <si>
    <t>Windsor Oaks Academy</t>
  </si>
  <si>
    <t>Cali Calmecac Language Academy</t>
  </si>
  <si>
    <t>Mattie Washburn Elementary</t>
  </si>
  <si>
    <t>Brooks Elementary</t>
  </si>
  <si>
    <t>Windsor Middle</t>
  </si>
  <si>
    <t>Windsor High</t>
  </si>
  <si>
    <t>Wright Charter</t>
  </si>
  <si>
    <t>J. X. Wilson Elementary</t>
  </si>
  <si>
    <t>Robert L. Stevens Elementary</t>
  </si>
  <si>
    <t>Argus High (Continuation)</t>
  </si>
  <si>
    <t>Joel J. Hidahl Elementary</t>
  </si>
  <si>
    <t>Walter White Elementary</t>
  </si>
  <si>
    <t>Cesar Chavez Junior High</t>
  </si>
  <si>
    <t>Endeavor Alternative</t>
  </si>
  <si>
    <t>Blaker-Kinser Junior High</t>
  </si>
  <si>
    <t>Sinclear Elementary</t>
  </si>
  <si>
    <t>Westport Elementary</t>
  </si>
  <si>
    <t>Ceres High</t>
  </si>
  <si>
    <t>Don Pedro Elementary</t>
  </si>
  <si>
    <t>Samuel Vaughn Elementary</t>
  </si>
  <si>
    <t>Virginia Parks Elementary</t>
  </si>
  <si>
    <t>Mae Hensley Junior High</t>
  </si>
  <si>
    <t>Carroll Fowler Elementary</t>
  </si>
  <si>
    <t>M. Robert Adkison Elementary</t>
  </si>
  <si>
    <t>Patricia Kay Beaver Elementary</t>
  </si>
  <si>
    <t>Caswell Elementary</t>
  </si>
  <si>
    <t>Lucas Elementary</t>
  </si>
  <si>
    <t>Whitmore Charter School of Art &amp; Technology</t>
  </si>
  <si>
    <t>Whitmore Charter High</t>
  </si>
  <si>
    <t>Ceres Special Education</t>
  </si>
  <si>
    <t>Chatom Elementary</t>
  </si>
  <si>
    <t>Denair Elementary Charter Academy</t>
  </si>
  <si>
    <t>Denair High</t>
  </si>
  <si>
    <t>Denair Charter Academy</t>
  </si>
  <si>
    <t>Denair Middle</t>
  </si>
  <si>
    <t>Denair Elementary</t>
  </si>
  <si>
    <t>Christine Sipherd Elementary</t>
  </si>
  <si>
    <t>Capistrano Elementary</t>
  </si>
  <si>
    <t>Bernard L. Hughes Elementary</t>
  </si>
  <si>
    <t>Alice N. Stroud Elementary</t>
  </si>
  <si>
    <t>Norman N. Glick Middle</t>
  </si>
  <si>
    <t>Empire Elementary</t>
  </si>
  <si>
    <t>Gratton Charter</t>
  </si>
  <si>
    <t>Hart-Ransom Elementary</t>
  </si>
  <si>
    <t>Hart-Ransom Academic Charter</t>
  </si>
  <si>
    <t>Hickman Middle</t>
  </si>
  <si>
    <t>Hickman Charter</t>
  </si>
  <si>
    <t>Hughson Elementary</t>
  </si>
  <si>
    <t>Fox Road Elementary</t>
  </si>
  <si>
    <t>Emilie J. Ross Middle</t>
  </si>
  <si>
    <t>Hughson High</t>
  </si>
  <si>
    <t>Dickens (Billy Joe) High (Continuation)</t>
  </si>
  <si>
    <t>Barbara Spratling Middle</t>
  </si>
  <si>
    <t>Keyes Elementary</t>
  </si>
  <si>
    <t>Keyes to Learning Charter</t>
  </si>
  <si>
    <t>William Garrison Elementary</t>
  </si>
  <si>
    <t>El Vista Elementary</t>
  </si>
  <si>
    <t>Sonoma Elementary</t>
  </si>
  <si>
    <t>Elihu Beard Elementary</t>
  </si>
  <si>
    <t>Orville Wright Elementary</t>
  </si>
  <si>
    <t>John Fremont Elementary</t>
  </si>
  <si>
    <t>Rose Avenue Elementary</t>
  </si>
  <si>
    <t>Shackelford Elementary</t>
  </si>
  <si>
    <t>La Loma Junior High</t>
  </si>
  <si>
    <t>Roosevelt Junior High</t>
  </si>
  <si>
    <t>Tuolumne Elementary</t>
  </si>
  <si>
    <t>Alberta Martone Elementary</t>
  </si>
  <si>
    <t>Harriette Kirschen Elementary</t>
  </si>
  <si>
    <t>Enslen Elementary</t>
  </si>
  <si>
    <t>Catherine Everett Elementary</t>
  </si>
  <si>
    <t>Mark Twain Junior High</t>
  </si>
  <si>
    <t>Robertson Road Elementary</t>
  </si>
  <si>
    <t>Evelyn Hanshaw Middle</t>
  </si>
  <si>
    <t>Robert Elliott Alternative Education Center</t>
  </si>
  <si>
    <t>Fred C. Beyer High</t>
  </si>
  <si>
    <t>Peter Johansen High</t>
  </si>
  <si>
    <t>Thomas Downey High</t>
  </si>
  <si>
    <t>Grace M. Davis High</t>
  </si>
  <si>
    <t>Modesto High</t>
  </si>
  <si>
    <t>Joseph A. Gregori High</t>
  </si>
  <si>
    <t>James C. Enochs High</t>
  </si>
  <si>
    <t>Foothill Community Day</t>
  </si>
  <si>
    <t>Newman-Crows Landing Independent Study</t>
  </si>
  <si>
    <t>West Side Valley High (Continuation)</t>
  </si>
  <si>
    <t>Yolo Junior High</t>
  </si>
  <si>
    <t>Orestimba High</t>
  </si>
  <si>
    <t>Von Renner Elementary</t>
  </si>
  <si>
    <t>Hurd Barrington Elementary</t>
  </si>
  <si>
    <t>Valley Oak Junior and Senior High</t>
  </si>
  <si>
    <t>East Stanislaus High</t>
  </si>
  <si>
    <t>Cloverland Elementary</t>
  </si>
  <si>
    <t>Oakdale High</t>
  </si>
  <si>
    <t>Oakdale Junior High</t>
  </si>
  <si>
    <t>Oakdale Charter</t>
  </si>
  <si>
    <t>Paradise Charter</t>
  </si>
  <si>
    <t>Rising Sun</t>
  </si>
  <si>
    <t>Del Puerto High</t>
  </si>
  <si>
    <t>Grayson Elementary</t>
  </si>
  <si>
    <t>Northmead Elementary</t>
  </si>
  <si>
    <t>Apricot Valley Elementary</t>
  </si>
  <si>
    <t>Patterson High</t>
  </si>
  <si>
    <t>Open Valley Independent Study</t>
  </si>
  <si>
    <t>Cardozo Middle</t>
  </si>
  <si>
    <t>Riverbank High</t>
  </si>
  <si>
    <t>Mesa Verde Elementary</t>
  </si>
  <si>
    <t>Riverbank Language Academy</t>
  </si>
  <si>
    <t>Roberts Ferry Charter School Academy</t>
  </si>
  <si>
    <t>Independence Charter</t>
  </si>
  <si>
    <t>Salida Elementary</t>
  </si>
  <si>
    <t>Sisk Elementary</t>
  </si>
  <si>
    <t>Mildred Perkins Elementary</t>
  </si>
  <si>
    <t>Dena Boer</t>
  </si>
  <si>
    <t>Salida Middle School - Vella Campus</t>
  </si>
  <si>
    <t>Shiloh Charter</t>
  </si>
  <si>
    <t>Stanislaus County Special Education</t>
  </si>
  <si>
    <t>Stanislaus Military Academy at Teel</t>
  </si>
  <si>
    <t>Stanislaus County West Campus</t>
  </si>
  <si>
    <t>Petersen Alternative Center for Education</t>
  </si>
  <si>
    <t>John B Allard</t>
  </si>
  <si>
    <t>Stanislaus Elementary</t>
  </si>
  <si>
    <t>Agnes M. Baptist Elementary</t>
  </si>
  <si>
    <t>George Eisenhut Elementary</t>
  </si>
  <si>
    <t>Prescott Junior High</t>
  </si>
  <si>
    <t>Josephine Chrysler Elementary</t>
  </si>
  <si>
    <t>Mary Lou Dieterich Elementary</t>
  </si>
  <si>
    <t>Sylvan Elementary</t>
  </si>
  <si>
    <t>Standiford Elementary</t>
  </si>
  <si>
    <t>Coleman F. Brown Elementary</t>
  </si>
  <si>
    <t>Woodrow Elementary</t>
  </si>
  <si>
    <t>Stockard Coffee Elementary</t>
  </si>
  <si>
    <t>Mary Ann Sanders Elementary</t>
  </si>
  <si>
    <t>Crossroads Elementary</t>
  </si>
  <si>
    <t>Daniel J. Savage Middle</t>
  </si>
  <si>
    <t>Somerset Middle</t>
  </si>
  <si>
    <t>Elizabeth Ustach Middle</t>
  </si>
  <si>
    <t>Roselawn High</t>
  </si>
  <si>
    <t>Cunningham Elementary</t>
  </si>
  <si>
    <t>Crowell Elementary</t>
  </si>
  <si>
    <t>Wakefield Elementary</t>
  </si>
  <si>
    <t>Walter M. Brown Elementary</t>
  </si>
  <si>
    <t>Sandra Tovar Medeiros Elementary</t>
  </si>
  <si>
    <t>Marvin A. Dutcher Middle</t>
  </si>
  <si>
    <t>Turlock High</t>
  </si>
  <si>
    <t>Turlock Junior High</t>
  </si>
  <si>
    <t>John H. Pitman High</t>
  </si>
  <si>
    <t>Julien Elementary</t>
  </si>
  <si>
    <t>Dennis G. Earl Elementary</t>
  </si>
  <si>
    <t>Osborn Two-Way Immersion Academy</t>
  </si>
  <si>
    <t>Walnut Elementary Education Center</t>
  </si>
  <si>
    <t>Valley Home Elementary</t>
  </si>
  <si>
    <t>Sentinel High</t>
  </si>
  <si>
    <t>Waterford Junior</t>
  </si>
  <si>
    <t>Richard M. Moon Primary</t>
  </si>
  <si>
    <t>Waterford High</t>
  </si>
  <si>
    <t>Lucille Whitehead Intermediate</t>
  </si>
  <si>
    <t>East Nicolaus High</t>
  </si>
  <si>
    <t>Live Oak Alternative</t>
  </si>
  <si>
    <t>Valley Oak Continuation High</t>
  </si>
  <si>
    <t>Live Oak Middle</t>
  </si>
  <si>
    <t>Luther Elementary</t>
  </si>
  <si>
    <t>Pleasant Grove</t>
  </si>
  <si>
    <t>Sutter County Special Education</t>
  </si>
  <si>
    <t>Feather River Academy</t>
  </si>
  <si>
    <t>Pathways Charter Academy</t>
  </si>
  <si>
    <t>Sutter High</t>
  </si>
  <si>
    <t>Butte View High</t>
  </si>
  <si>
    <t>Robbins Elementary</t>
  </si>
  <si>
    <t>Albert Powell Continuation</t>
  </si>
  <si>
    <t>Yuba City Independence Academy</t>
  </si>
  <si>
    <t>Gray Avenue Middle</t>
  </si>
  <si>
    <t>April Lane Elementary</t>
  </si>
  <si>
    <t>King Avenue Elementary</t>
  </si>
  <si>
    <t>River Valley High</t>
  </si>
  <si>
    <t>Tierra Buena Elementary</t>
  </si>
  <si>
    <t>Andros Karperos</t>
  </si>
  <si>
    <t>Riverbend Elementary</t>
  </si>
  <si>
    <t>Yuba City High</t>
  </si>
  <si>
    <t>Lincrest Elementary</t>
  </si>
  <si>
    <t>Butte Vista Elementary</t>
  </si>
  <si>
    <t>Barry Elementary</t>
  </si>
  <si>
    <t>Plum Valley Elementary</t>
  </si>
  <si>
    <t>Lassen-Antelope Volcanic Academy (LAVA)</t>
  </si>
  <si>
    <t>Berrendos Middle</t>
  </si>
  <si>
    <t>Columbia Academy</t>
  </si>
  <si>
    <t>Rancho Tehama Elementary</t>
  </si>
  <si>
    <t>Olive View Elementary</t>
  </si>
  <si>
    <t>West Street Elementary</t>
  </si>
  <si>
    <t>Maywood Middle</t>
  </si>
  <si>
    <t>Woodson Elementary</t>
  </si>
  <si>
    <t>Corning High</t>
  </si>
  <si>
    <t>Centennial Continuation High</t>
  </si>
  <si>
    <t>Corning Independent Study</t>
  </si>
  <si>
    <t>Evergreen Community Day School (5-8)</t>
  </si>
  <si>
    <t>Evergreen Community Day School (K-5)</t>
  </si>
  <si>
    <t>Bend Elementary</t>
  </si>
  <si>
    <t>Evergreen Middle</t>
  </si>
  <si>
    <t>Evergreen Institute of Excellence</t>
  </si>
  <si>
    <t>Flournoy Elementary</t>
  </si>
  <si>
    <t>Gerber Elementary</t>
  </si>
  <si>
    <t>Los Molinos High</t>
  </si>
  <si>
    <t>Vina Elementary</t>
  </si>
  <si>
    <t>Salisbury High (Continuation)</t>
  </si>
  <si>
    <t>Red Bluff High</t>
  </si>
  <si>
    <t>Red Bluff Community Day</t>
  </si>
  <si>
    <t>William M. Metteer Elementary</t>
  </si>
  <si>
    <t>Jackson Heights Elementary</t>
  </si>
  <si>
    <t>Vista Preparatory Academy</t>
  </si>
  <si>
    <t>Bidwell Elementary</t>
  </si>
  <si>
    <t>Tehama County Special Education</t>
  </si>
  <si>
    <t>Tehama Oaks High</t>
  </si>
  <si>
    <t>Lincoln Street</t>
  </si>
  <si>
    <t>Hayfork High</t>
  </si>
  <si>
    <t>Hayfork Elementary</t>
  </si>
  <si>
    <t>Southern Trinity High</t>
  </si>
  <si>
    <t>Van Duzen Elementary</t>
  </si>
  <si>
    <t>Hoaglin-Zenia Elementary</t>
  </si>
  <si>
    <t>Mt. Lassic High (Continuation)</t>
  </si>
  <si>
    <t>Trinity High</t>
  </si>
  <si>
    <t>Weaverville Elementary</t>
  </si>
  <si>
    <t>Alps View High (Continuation)</t>
  </si>
  <si>
    <t>Cox Bar Elementary</t>
  </si>
  <si>
    <t>R.I.S.E. Academy</t>
  </si>
  <si>
    <t>Trinity County Juvenile Hall</t>
  </si>
  <si>
    <t>Trinity County Special Education</t>
  </si>
  <si>
    <t>Alpaugh Elementary</t>
  </si>
  <si>
    <t>Alpaugh -Senior High</t>
  </si>
  <si>
    <t>Tule Continuation High</t>
  </si>
  <si>
    <t>William R. Buckley Elementary</t>
  </si>
  <si>
    <t>Burton Middle</t>
  </si>
  <si>
    <t>Jim Maples Academy</t>
  </si>
  <si>
    <t>Summit Charter Academy</t>
  </si>
  <si>
    <t>Burton Community Day</t>
  </si>
  <si>
    <t>Lovell High</t>
  </si>
  <si>
    <t>Cutler-Orosi Community Day</t>
  </si>
  <si>
    <t>Cutler Elementary</t>
  </si>
  <si>
    <t>Orosi High</t>
  </si>
  <si>
    <t>Golden Valley Elementary</t>
  </si>
  <si>
    <t>El Monte Middle</t>
  </si>
  <si>
    <t>Sierra Vista High (Continuation)</t>
  </si>
  <si>
    <t>Ronald Reagan Academy</t>
  </si>
  <si>
    <t>Dinuba High</t>
  </si>
  <si>
    <t>Washington Intermediate</t>
  </si>
  <si>
    <t>Earlimart Middle</t>
  </si>
  <si>
    <t>Alila</t>
  </si>
  <si>
    <t>Earlimart Community Day</t>
  </si>
  <si>
    <t>Exeter Community Day</t>
  </si>
  <si>
    <t>Kaweah High</t>
  </si>
  <si>
    <t>Exeter Union High</t>
  </si>
  <si>
    <t>Rocky Hill Elementary</t>
  </si>
  <si>
    <t>Exeter Independent Study (Alternative)</t>
  </si>
  <si>
    <t>Farmersville Junior High</t>
  </si>
  <si>
    <t>Farmersville High</t>
  </si>
  <si>
    <t>Deep Creek Academy</t>
  </si>
  <si>
    <t>J. E. Hester Elementary</t>
  </si>
  <si>
    <t>George L. Snowden Elementary</t>
  </si>
  <si>
    <t>Kings River Elementary</t>
  </si>
  <si>
    <t>John J. Cairns Continuation</t>
  </si>
  <si>
    <t>Lindsay Community Day</t>
  </si>
  <si>
    <t>Loma Vista Charter</t>
  </si>
  <si>
    <t>Lindsay Senior High</t>
  </si>
  <si>
    <t>Monson-Sultana Elementary</t>
  </si>
  <si>
    <t>Pixley Elementary</t>
  </si>
  <si>
    <t>Pixley Middle</t>
  </si>
  <si>
    <t>Buena Vista Community Day</t>
  </si>
  <si>
    <t>Vine Street Community Day</t>
  </si>
  <si>
    <t>Citrus High</t>
  </si>
  <si>
    <t>Strathmore High</t>
  </si>
  <si>
    <t>Porterville Military Academy</t>
  </si>
  <si>
    <t>Butterfield Charter</t>
  </si>
  <si>
    <t>Harmony Magnet Academy</t>
  </si>
  <si>
    <t>Roche Elementary</t>
  </si>
  <si>
    <t>Los Robles Elementary</t>
  </si>
  <si>
    <t>West Putnam Elementary</t>
  </si>
  <si>
    <t>John J. Doyle Elementary</t>
  </si>
  <si>
    <t>Bartlett Middle</t>
  </si>
  <si>
    <t>Santa Fe Elementary</t>
  </si>
  <si>
    <t>Monache High</t>
  </si>
  <si>
    <t>Vandalia Elementary</t>
  </si>
  <si>
    <t>Westfield Elementary</t>
  </si>
  <si>
    <t>Porterville High</t>
  </si>
  <si>
    <t>Sequoia Elementary Charter</t>
  </si>
  <si>
    <t>Springville Elementary</t>
  </si>
  <si>
    <t>Strathmore Elementary</t>
  </si>
  <si>
    <t>Strathmore Community Day</t>
  </si>
  <si>
    <t>Sundale Elementary</t>
  </si>
  <si>
    <t>Terra Bella Elementary</t>
  </si>
  <si>
    <t>Carl Smith Middle</t>
  </si>
  <si>
    <t>Three Rivers Elementary</t>
  </si>
  <si>
    <t>Traver Elementary</t>
  </si>
  <si>
    <t>Tulare Support</t>
  </si>
  <si>
    <t>Frank Kohn Elementary</t>
  </si>
  <si>
    <t>Cherry Avenue Middle</t>
  </si>
  <si>
    <t>Mulcahy Middle</t>
  </si>
  <si>
    <t>Pleasant Elementary</t>
  </si>
  <si>
    <t>Los Tules Middle</t>
  </si>
  <si>
    <t>Garden Elementary</t>
  </si>
  <si>
    <t>Alpine Vista</t>
  </si>
  <si>
    <t>Tulare City Community Day</t>
  </si>
  <si>
    <t>University Preparatory High</t>
  </si>
  <si>
    <t>Tulare County Court</t>
  </si>
  <si>
    <t>Tulare County Community</t>
  </si>
  <si>
    <t>Tulare Technical Preparatory High</t>
  </si>
  <si>
    <t>Countryside Community Day</t>
  </si>
  <si>
    <t>Accelerated Charter High</t>
  </si>
  <si>
    <t>Tulare Union High</t>
  </si>
  <si>
    <t>Mission Oak High</t>
  </si>
  <si>
    <t>Tulare Western High</t>
  </si>
  <si>
    <t>Sierra Vista Charter High</t>
  </si>
  <si>
    <t>Creekside Community Day</t>
  </si>
  <si>
    <t>Visalia Technical Early College</t>
  </si>
  <si>
    <t>Visalia Charter Independent Study</t>
  </si>
  <si>
    <t>Global Learning Charter</t>
  </si>
  <si>
    <t>Charter Home School Academy</t>
  </si>
  <si>
    <t>Mt. Whitney High</t>
  </si>
  <si>
    <t>Royal Oaks Elementary</t>
  </si>
  <si>
    <t>Green Acres Middle</t>
  </si>
  <si>
    <t>Golden West High</t>
  </si>
  <si>
    <t>El Diamante High</t>
  </si>
  <si>
    <t>Linwood Elementary</t>
  </si>
  <si>
    <t>Pinkham Elementary</t>
  </si>
  <si>
    <t>La Joya Middle</t>
  </si>
  <si>
    <t>Manuel F. Hernandez</t>
  </si>
  <si>
    <t>Valley Oak Middle</t>
  </si>
  <si>
    <t>Mineral King Elementary</t>
  </si>
  <si>
    <t>Shannon Ranch Elementary</t>
  </si>
  <si>
    <t>Houston Elementary</t>
  </si>
  <si>
    <t>Veva Blunt Elementary</t>
  </si>
  <si>
    <t>Ridgeview Middle</t>
  </si>
  <si>
    <t>Riverway Elementary</t>
  </si>
  <si>
    <t>Goshen Elementary</t>
  </si>
  <si>
    <t>Crowley Elementary</t>
  </si>
  <si>
    <t>Crestwood Elementary</t>
  </si>
  <si>
    <t>Four Creeks Elementary</t>
  </si>
  <si>
    <t>Elbow Creek Elementary</t>
  </si>
  <si>
    <t>Conyer Elementary</t>
  </si>
  <si>
    <t>Divisadero Middle</t>
  </si>
  <si>
    <t>Annie R. Mitchell</t>
  </si>
  <si>
    <t>Denton Elementary</t>
  </si>
  <si>
    <t>Cottonwood Creek Elementary</t>
  </si>
  <si>
    <t>River Bend</t>
  </si>
  <si>
    <t>Bravo Lake High</t>
  </si>
  <si>
    <t>Woodlake Community Day</t>
  </si>
  <si>
    <t>Francis J. White Learning Center</t>
  </si>
  <si>
    <t>Woodlake High</t>
  </si>
  <si>
    <t>Woodlake Valley Middle</t>
  </si>
  <si>
    <t>Woodville Elementary</t>
  </si>
  <si>
    <t>Don Pedro High</t>
  </si>
  <si>
    <t>Tioga High</t>
  </si>
  <si>
    <t>Tenaya Elementary</t>
  </si>
  <si>
    <t>Chinese Camp Elementary</t>
  </si>
  <si>
    <t>Dario Cassina High</t>
  </si>
  <si>
    <t>Theodore Bird High</t>
  </si>
  <si>
    <t>Cold Springs High</t>
  </si>
  <si>
    <t>Summerville High</t>
  </si>
  <si>
    <t>Long Barn High</t>
  </si>
  <si>
    <t>Connections Visual and Performing Arts Academy</t>
  </si>
  <si>
    <t>Tuolumne County Special Education</t>
  </si>
  <si>
    <t>Gold Ridge Educational Center</t>
  </si>
  <si>
    <t>Tuolumne County Community/ISP</t>
  </si>
  <si>
    <t>Olivelands Elementary</t>
  </si>
  <si>
    <t>Conejo Valley High (Continuation)</t>
  </si>
  <si>
    <t>Madrona Elementary</t>
  </si>
  <si>
    <t>Aspen Elementary</t>
  </si>
  <si>
    <t>Ladera STARS Academy</t>
  </si>
  <si>
    <t>Conejo Elementary</t>
  </si>
  <si>
    <t>Acacia Magnet School for Enriched Learning</t>
  </si>
  <si>
    <t>Century Academy</t>
  </si>
  <si>
    <t>Thousand Oaks High</t>
  </si>
  <si>
    <t>Westlake Hills Elementary</t>
  </si>
  <si>
    <t>Los Cerritos Middle</t>
  </si>
  <si>
    <t>Environmental Academy of Research Technology and Earth Sciences</t>
  </si>
  <si>
    <t>Colina Middle</t>
  </si>
  <si>
    <t>Weathersfield Elementary</t>
  </si>
  <si>
    <t>Newbury Park High</t>
  </si>
  <si>
    <t>Sycamore Canyon</t>
  </si>
  <si>
    <t>Lang Ranch</t>
  </si>
  <si>
    <t>Westlake High</t>
  </si>
  <si>
    <t>San Cayetano Elementary</t>
  </si>
  <si>
    <t>Piru Elementary</t>
  </si>
  <si>
    <t>Mountain Vista</t>
  </si>
  <si>
    <t>Fillmore Middle</t>
  </si>
  <si>
    <t>Fillmore Senior High</t>
  </si>
  <si>
    <t>Heritage Valley Independent Study</t>
  </si>
  <si>
    <t>Richard Bard Elementary</t>
  </si>
  <si>
    <t>Charles Blackstock Junior High</t>
  </si>
  <si>
    <t>Hollywood Beach Elementary</t>
  </si>
  <si>
    <t>Julien Hathaway Elementary</t>
  </si>
  <si>
    <t>Ansgar Larsen Elementary</t>
  </si>
  <si>
    <t>Art Haycox Elementary</t>
  </si>
  <si>
    <t>Fred L. Williams Elementary</t>
  </si>
  <si>
    <t>E. O. Green Junior High</t>
  </si>
  <si>
    <t>The High School at Moorpark College</t>
  </si>
  <si>
    <t>Moorpark High</t>
  </si>
  <si>
    <t>Flory Academy of Sciences and Technology</t>
  </si>
  <si>
    <t>Walnut Canyon Elementary</t>
  </si>
  <si>
    <t>Mountain Meadows Elementary</t>
  </si>
  <si>
    <t>Arroyo West Elementary</t>
  </si>
  <si>
    <t>Peach Hill Academy</t>
  </si>
  <si>
    <t>Campus Canyon Elementary</t>
  </si>
  <si>
    <t>Oak View High</t>
  </si>
  <si>
    <t>Oak Park High</t>
  </si>
  <si>
    <t>Red Oak Elementary</t>
  </si>
  <si>
    <t>Medea Creek Middle</t>
  </si>
  <si>
    <t>Oak Park Independent</t>
  </si>
  <si>
    <t>Laguna Vista Elementary</t>
  </si>
  <si>
    <t>Tierra Vista Elementary</t>
  </si>
  <si>
    <t>Ocean View Junior High</t>
  </si>
  <si>
    <t>Meiners Oaks Elementary</t>
  </si>
  <si>
    <t>Topa Topa Elementary</t>
  </si>
  <si>
    <t>Matilija Middle</t>
  </si>
  <si>
    <t>Nordhoff High</t>
  </si>
  <si>
    <t>Mira Monte Elementary</t>
  </si>
  <si>
    <t>Summit</t>
  </si>
  <si>
    <t>Fremont Academy of Environmental Science &amp; Innovative Design</t>
  </si>
  <si>
    <t>Marina West Elementary</t>
  </si>
  <si>
    <t>R.J. Frank Academy of Marine Science &amp; Engineering</t>
  </si>
  <si>
    <t>Dr. Manuel M. Lopez Academy of Arts &amp; Sciences</t>
  </si>
  <si>
    <t>Emilie Ritchen Elementary</t>
  </si>
  <si>
    <t>Norman R. Brekke Elementary</t>
  </si>
  <si>
    <t>Harrington Elementary</t>
  </si>
  <si>
    <t>Sierra Linda Elementary</t>
  </si>
  <si>
    <t>Elm Street Elementary</t>
  </si>
  <si>
    <t>Lemonwood Elementary</t>
  </si>
  <si>
    <t>Curren Elementary</t>
  </si>
  <si>
    <t>McKinna Elementary</t>
  </si>
  <si>
    <t>Driffill Elementary</t>
  </si>
  <si>
    <t>Juan Lagunas Soria Elementary</t>
  </si>
  <si>
    <t>Kamala Elementary</t>
  </si>
  <si>
    <t>Condor High</t>
  </si>
  <si>
    <t>Rio Mesa High</t>
  </si>
  <si>
    <t>Adolfo Camarillo High</t>
  </si>
  <si>
    <t>Hueneme High</t>
  </si>
  <si>
    <t>Channel Islands High</t>
  </si>
  <si>
    <t>Rancho Campana High</t>
  </si>
  <si>
    <t>Oxnard High</t>
  </si>
  <si>
    <t>Oxnard Middle College High</t>
  </si>
  <si>
    <t>Camarillo Heights STEM Academy</t>
  </si>
  <si>
    <t>Dos Caminos Elementary</t>
  </si>
  <si>
    <t>Tierra Linda Elementary</t>
  </si>
  <si>
    <t>Rancho Rosal Elementary</t>
  </si>
  <si>
    <t>Las Posas Elementary</t>
  </si>
  <si>
    <t>La Mariposa</t>
  </si>
  <si>
    <t>Los Primeros School of Sciences &amp; Arts</t>
  </si>
  <si>
    <t>Pleasant Valley School of Engineering and Arts</t>
  </si>
  <si>
    <t>Las Colinas Middle</t>
  </si>
  <si>
    <t>Santa Rosa Technology Magnet</t>
  </si>
  <si>
    <t>Rio del Sol</t>
  </si>
  <si>
    <t>Rio del Valle Middle</t>
  </si>
  <si>
    <t>Rio Real Elementary</t>
  </si>
  <si>
    <t>Rio Plaza Elementary</t>
  </si>
  <si>
    <t>Rio Rosales</t>
  </si>
  <si>
    <t>Rio del Norte</t>
  </si>
  <si>
    <t>Rio Lindo Elementary</t>
  </si>
  <si>
    <t>Rio Del Mar</t>
  </si>
  <si>
    <t>Renaissance High</t>
  </si>
  <si>
    <t>Barbara Webster Elementary</t>
  </si>
  <si>
    <t>Blanchard Elementary</t>
  </si>
  <si>
    <t>Grace Thille Elementary</t>
  </si>
  <si>
    <t>McKevett Elementary</t>
  </si>
  <si>
    <t>Thelma Bedell Elementary</t>
  </si>
  <si>
    <t>Glen City Elementary</t>
  </si>
  <si>
    <t>Isbell Middle</t>
  </si>
  <si>
    <t>Santa Paula High</t>
  </si>
  <si>
    <t>Justin Early Learners Academy</t>
  </si>
  <si>
    <t>Santa Susana Elementary</t>
  </si>
  <si>
    <t>Knolls Elementary</t>
  </si>
  <si>
    <t>Santa Susana High</t>
  </si>
  <si>
    <t>Berylwood Elementary</t>
  </si>
  <si>
    <t>Simi Valley High</t>
  </si>
  <si>
    <t>Royal High</t>
  </si>
  <si>
    <t>Township Elementary</t>
  </si>
  <si>
    <t>Katherine Elementary</t>
  </si>
  <si>
    <t>Hillside Middle</t>
  </si>
  <si>
    <t>Wood Ranch Elementary</t>
  </si>
  <si>
    <t>Atherwood Elementary</t>
  </si>
  <si>
    <t>Vista Elementary</t>
  </si>
  <si>
    <t>Hollow Hills Elementary</t>
  </si>
  <si>
    <t>Somis Elementary</t>
  </si>
  <si>
    <t>Triton Academy</t>
  </si>
  <si>
    <t>Ventura County Special Education</t>
  </si>
  <si>
    <t>Phoenix</t>
  </si>
  <si>
    <t>Providence</t>
  </si>
  <si>
    <t>Gateway Community</t>
  </si>
  <si>
    <t>Career Education Center</t>
  </si>
  <si>
    <t>Juanamaria Elementary</t>
  </si>
  <si>
    <t>De Anza Academy of Technology and the Arts</t>
  </si>
  <si>
    <t>Elmhurst Elementary</t>
  </si>
  <si>
    <t>E. P. Foster Elementary</t>
  </si>
  <si>
    <t>Pierpont Elementary</t>
  </si>
  <si>
    <t>Sheridan Way Elementary</t>
  </si>
  <si>
    <t>Ventura High</t>
  </si>
  <si>
    <t>Montalvo Elementary</t>
  </si>
  <si>
    <t>Buena High</t>
  </si>
  <si>
    <t>Academy of Technology &amp; Leadership at Saticoy</t>
  </si>
  <si>
    <t>Citrus Glen Elementary</t>
  </si>
  <si>
    <t>Mound Elementary</t>
  </si>
  <si>
    <t>Anacapa Middle</t>
  </si>
  <si>
    <t>Balboa Middle</t>
  </si>
  <si>
    <t>Foothill Technology High</t>
  </si>
  <si>
    <t>Cabrillo Middle</t>
  </si>
  <si>
    <t>Homestead (Alternative)</t>
  </si>
  <si>
    <t>Davis School for Independent Study</t>
  </si>
  <si>
    <t>King (Martin Luther) High (Continuation)</t>
  </si>
  <si>
    <t>Fairfield Elementary</t>
  </si>
  <si>
    <t>Ralph Waldo Emerson Junior High</t>
  </si>
  <si>
    <t>Patwin Elementary</t>
  </si>
  <si>
    <t>Fred T. Korematsu Elementary at Mace Ranch</t>
  </si>
  <si>
    <t>Marguerite Montgomery Elementary</t>
  </si>
  <si>
    <t>North Davis Elementary</t>
  </si>
  <si>
    <t>Robert E. Willett Elementary</t>
  </si>
  <si>
    <t>Da Vinci Charter Academy</t>
  </si>
  <si>
    <t>Birch Lane Elementary</t>
  </si>
  <si>
    <t>Frances Ellen Watkins Harper Junior High</t>
  </si>
  <si>
    <t>Oliver Wendell Holmes Junior High</t>
  </si>
  <si>
    <t>Davis Senior High</t>
  </si>
  <si>
    <t>Madison Community High</t>
  </si>
  <si>
    <t>Esparto High</t>
  </si>
  <si>
    <t>Esparto Elementary</t>
  </si>
  <si>
    <t>Esparto Middle</t>
  </si>
  <si>
    <t>Yolo High</t>
  </si>
  <si>
    <t>Westmore Oaks Elementary</t>
  </si>
  <si>
    <t>Elkhorn Village Elementary</t>
  </si>
  <si>
    <t>Riverbank Elementary</t>
  </si>
  <si>
    <t>Westfield Village Elementary</t>
  </si>
  <si>
    <t>Washington Middle College High</t>
  </si>
  <si>
    <t>River City High</t>
  </si>
  <si>
    <t>Southport Elementary</t>
  </si>
  <si>
    <t>Bridgeway Island Elementary</t>
  </si>
  <si>
    <t>West Sacramento School for Independent Study</t>
  </si>
  <si>
    <t>Wolfskill High</t>
  </si>
  <si>
    <t>Winters High</t>
  </si>
  <si>
    <t>Winters Middle</t>
  </si>
  <si>
    <t>Waggoner Elementary</t>
  </si>
  <si>
    <t>Shirley Rominger Intermediate</t>
  </si>
  <si>
    <t>Woodland Community Day</t>
  </si>
  <si>
    <t>Cache Creek High (Continuation)</t>
  </si>
  <si>
    <t>Science &amp; Technology Academy at Knights Landing</t>
  </si>
  <si>
    <t>Rhoda Maxwell Elementary</t>
  </si>
  <si>
    <t>Lee Middle</t>
  </si>
  <si>
    <t>Zamora Elementary</t>
  </si>
  <si>
    <t>Woodland Senior High</t>
  </si>
  <si>
    <t>Dingle Elementary</t>
  </si>
  <si>
    <t>Plainfield Elementary</t>
  </si>
  <si>
    <t>Freeman Elementary</t>
  </si>
  <si>
    <t>Douglass Middle</t>
  </si>
  <si>
    <t>T. L. Whitehead Elementary</t>
  </si>
  <si>
    <t>Woodland Prairie Elementary</t>
  </si>
  <si>
    <t>Beamer Elementary</t>
  </si>
  <si>
    <t>Ramon S. Tafoya Elementary</t>
  </si>
  <si>
    <t>Spring Lake Elementary</t>
  </si>
  <si>
    <t>Woodland Middle Grade Community Day</t>
  </si>
  <si>
    <t>Dan Jacobs</t>
  </si>
  <si>
    <t>Yolo County Special Education</t>
  </si>
  <si>
    <t>Cesar Chavez Community</t>
  </si>
  <si>
    <t>Marysville Community Day</t>
  </si>
  <si>
    <t>Dobbins Elementary</t>
  </si>
  <si>
    <t>Loma Rica Elementary</t>
  </si>
  <si>
    <t>South Lindhurst Continuation High</t>
  </si>
  <si>
    <t>Cordua Elementary</t>
  </si>
  <si>
    <t>Yuba Feather Elementary</t>
  </si>
  <si>
    <t>Foothill Intermediate</t>
  </si>
  <si>
    <t>Marysville High</t>
  </si>
  <si>
    <t>Lindhurst High</t>
  </si>
  <si>
    <t>Kynoch Elementary</t>
  </si>
  <si>
    <t>Cedar Lane Elementary</t>
  </si>
  <si>
    <t>Yuba Gardens Intermediate</t>
  </si>
  <si>
    <t>Covillaud Elementary</t>
  </si>
  <si>
    <t>Linda Elementary</t>
  </si>
  <si>
    <t>Olivehurst Elementary</t>
  </si>
  <si>
    <t>Johnson Park Elementary</t>
  </si>
  <si>
    <t>Ella Elementary</t>
  </si>
  <si>
    <t>Arboga Elementary</t>
  </si>
  <si>
    <t>Edgewater Elementary</t>
  </si>
  <si>
    <t>Anna McKenney Intermediate</t>
  </si>
  <si>
    <t>Marysville Charter Academy for the Arts</t>
  </si>
  <si>
    <t>Lincoln (Abraham) (Alternative)</t>
  </si>
  <si>
    <t>Riverside Meadows Intermediate</t>
  </si>
  <si>
    <t>Rio Del Oro Elementary</t>
  </si>
  <si>
    <t>Wheatland Charter Academy</t>
  </si>
  <si>
    <t>Wheatland Elementary</t>
  </si>
  <si>
    <t>Bear River</t>
  </si>
  <si>
    <t>Edward P. Duplex</t>
  </si>
  <si>
    <t>Wheatland Community Day High</t>
  </si>
  <si>
    <t>Yuba County Special Education</t>
  </si>
  <si>
    <t>Harry P B Carden</t>
  </si>
  <si>
    <t>Thomas E. Mathews Community</t>
  </si>
  <si>
    <t>Yuba County Career Preparatory Charter</t>
  </si>
  <si>
    <t>LEA Level Every Student Succeeds Act Per-Pupil Expenditure Reporting</t>
  </si>
  <si>
    <t>California Department of Education</t>
  </si>
  <si>
    <t>Legend:</t>
  </si>
  <si>
    <t>School Year 2020-21</t>
  </si>
  <si>
    <t>School Level Every Student Succeeds Act Per-Pupil Expenditure Reporting</t>
  </si>
  <si>
    <r>
      <rPr>
        <b/>
        <sz val="12"/>
        <color theme="1"/>
        <rFont val="Arial"/>
        <family val="2"/>
      </rPr>
      <t>DNR</t>
    </r>
    <r>
      <rPr>
        <sz val="12"/>
        <color theme="1"/>
        <rFont val="Arial"/>
        <family val="2"/>
      </rPr>
      <t xml:space="preserve"> = Did Not Report; </t>
    </r>
    <r>
      <rPr>
        <b/>
        <sz val="12"/>
        <color theme="1"/>
        <rFont val="Arial"/>
        <family val="2"/>
      </rPr>
      <t>LEA</t>
    </r>
    <r>
      <rPr>
        <sz val="12"/>
        <color theme="1"/>
        <rFont val="Arial"/>
        <family val="2"/>
      </rPr>
      <t xml:space="preserve"> = Local Education Agency; </t>
    </r>
    <r>
      <rPr>
        <b/>
        <sz val="12"/>
        <color theme="1"/>
        <rFont val="Arial"/>
        <family val="2"/>
      </rPr>
      <t>CDS</t>
    </r>
    <r>
      <rPr>
        <sz val="12"/>
        <color theme="1"/>
        <rFont val="Arial"/>
        <family val="2"/>
      </rPr>
      <t xml:space="preserve"> = County District School</t>
    </r>
  </si>
  <si>
    <t>Charter Type</t>
  </si>
  <si>
    <t>01100170130625</t>
  </si>
  <si>
    <t>Directly funded</t>
  </si>
  <si>
    <t>01100170137448</t>
  </si>
  <si>
    <t>01100170123968</t>
  </si>
  <si>
    <t>01100170136101</t>
  </si>
  <si>
    <t>01100176001788</t>
  </si>
  <si>
    <t>01100170112607</t>
  </si>
  <si>
    <t>01100170138867</t>
  </si>
  <si>
    <t>01100176002000</t>
  </si>
  <si>
    <t>01100170131581</t>
  </si>
  <si>
    <t>01100170125567</t>
  </si>
  <si>
    <t>01100170124172</t>
  </si>
  <si>
    <t>01611190130609</t>
  </si>
  <si>
    <t>01611190119222</t>
  </si>
  <si>
    <t>01611190122085</t>
  </si>
  <si>
    <t>01611190131805</t>
  </si>
  <si>
    <t>01611920127944</t>
  </si>
  <si>
    <t>01611920137646</t>
  </si>
  <si>
    <t>01611920127696</t>
  </si>
  <si>
    <t>01611920108670</t>
  </si>
  <si>
    <t>01612590111476</t>
  </si>
  <si>
    <t>01612590111856</t>
  </si>
  <si>
    <t>01612596113807</t>
  </si>
  <si>
    <t>01612590114363</t>
  </si>
  <si>
    <t>01612590115238</t>
  </si>
  <si>
    <t>01612596118608</t>
  </si>
  <si>
    <t>01612590109819</t>
  </si>
  <si>
    <t>01612590128413</t>
  </si>
  <si>
    <t>01612590118224</t>
  </si>
  <si>
    <t>01612590130666</t>
  </si>
  <si>
    <t>01612596117568</t>
  </si>
  <si>
    <t>01612590130732</t>
  </si>
  <si>
    <t>01612590106906</t>
  </si>
  <si>
    <t>01612590129635</t>
  </si>
  <si>
    <t>01612590129932</t>
  </si>
  <si>
    <t>01612590132514</t>
  </si>
  <si>
    <t>01612590115014</t>
  </si>
  <si>
    <t>01612590115592</t>
  </si>
  <si>
    <t>01612590130633</t>
  </si>
  <si>
    <t>01612590108944</t>
  </si>
  <si>
    <t>01612590134015</t>
  </si>
  <si>
    <t>01612590126748</t>
  </si>
  <si>
    <t>01612596117972</t>
  </si>
  <si>
    <t>01612596111660</t>
  </si>
  <si>
    <t>01612590114868</t>
  </si>
  <si>
    <t>01612590130617</t>
  </si>
  <si>
    <t>01612593030772</t>
  </si>
  <si>
    <t>01612590100065</t>
  </si>
  <si>
    <t>01613090114421</t>
  </si>
  <si>
    <t>01613090101212</t>
  </si>
  <si>
    <t>01771800138289</t>
  </si>
  <si>
    <t>04100410114991</t>
  </si>
  <si>
    <t>04614246119523</t>
  </si>
  <si>
    <t>04614246113773</t>
  </si>
  <si>
    <t>04614240118042</t>
  </si>
  <si>
    <t>04614240120394</t>
  </si>
  <si>
    <t>04614240110551</t>
  </si>
  <si>
    <t>04614240137828</t>
  </si>
  <si>
    <t>04614240121475</t>
  </si>
  <si>
    <t>04614240123810</t>
  </si>
  <si>
    <t>04615070121509</t>
  </si>
  <si>
    <t>04615070129577</t>
  </si>
  <si>
    <t>04615310110338</t>
  </si>
  <si>
    <t>04615316113765</t>
  </si>
  <si>
    <t>04615316112585</t>
  </si>
  <si>
    <t>04615316112999</t>
  </si>
  <si>
    <t>07616486115703</t>
  </si>
  <si>
    <t>07616480115063</t>
  </si>
  <si>
    <t>07616480137430</t>
  </si>
  <si>
    <t>07616630130930</t>
  </si>
  <si>
    <t>07100740129528</t>
  </si>
  <si>
    <t>07100740731380</t>
  </si>
  <si>
    <t>07100740134114</t>
  </si>
  <si>
    <t>07100740137026</t>
  </si>
  <si>
    <t>07100740114470</t>
  </si>
  <si>
    <t>07100746118368</t>
  </si>
  <si>
    <t>07100740129684</t>
  </si>
  <si>
    <t>07617540134072</t>
  </si>
  <si>
    <t>07773540132233</t>
  </si>
  <si>
    <t>07617960132100</t>
  </si>
  <si>
    <t>07617960132118</t>
  </si>
  <si>
    <t>07617960101477</t>
  </si>
  <si>
    <t>07617960126805</t>
  </si>
  <si>
    <t>07617960129643</t>
  </si>
  <si>
    <t>07617960110973</t>
  </si>
  <si>
    <t>07617960133637</t>
  </si>
  <si>
    <t>07617960136903</t>
  </si>
  <si>
    <t>08618200137729</t>
  </si>
  <si>
    <t>09618380111724</t>
  </si>
  <si>
    <t>09618380136200</t>
  </si>
  <si>
    <t>09618380139006</t>
  </si>
  <si>
    <t>09618380129965</t>
  </si>
  <si>
    <t>09618460123125</t>
  </si>
  <si>
    <t>09100900136036</t>
  </si>
  <si>
    <t>10101080119628</t>
  </si>
  <si>
    <t>10101080136291</t>
  </si>
  <si>
    <t>10101080140186</t>
  </si>
  <si>
    <t>10101080109991</t>
  </si>
  <si>
    <t>10101086085112</t>
  </si>
  <si>
    <t>10101080111682</t>
  </si>
  <si>
    <t>10101080127514</t>
  </si>
  <si>
    <t>10621660133942</t>
  </si>
  <si>
    <t>10621660106740</t>
  </si>
  <si>
    <t>10621661030840</t>
  </si>
  <si>
    <t>10621660140038</t>
  </si>
  <si>
    <t>10621661030642</t>
  </si>
  <si>
    <t>10621660114355</t>
  </si>
  <si>
    <t>10621660114553</t>
  </si>
  <si>
    <t>10623310137661</t>
  </si>
  <si>
    <t>10623800136499</t>
  </si>
  <si>
    <t>10767781030774</t>
  </si>
  <si>
    <t>10625470136523</t>
  </si>
  <si>
    <t>10625470135103</t>
  </si>
  <si>
    <t>11101160124909</t>
  </si>
  <si>
    <t>11625960139550</t>
  </si>
  <si>
    <t>12626796120562</t>
  </si>
  <si>
    <t>12626790109975</t>
  </si>
  <si>
    <t>12626790137653</t>
  </si>
  <si>
    <t>12626790111708</t>
  </si>
  <si>
    <t>12755151230150</t>
  </si>
  <si>
    <t>12768020124164</t>
  </si>
  <si>
    <t>12101246008221</t>
  </si>
  <si>
    <t>12101240134163</t>
  </si>
  <si>
    <t>12101240137364</t>
  </si>
  <si>
    <t>12626870124263</t>
  </si>
  <si>
    <t>12630320111203</t>
  </si>
  <si>
    <t>13631230118455</t>
  </si>
  <si>
    <t>14101400128454</t>
  </si>
  <si>
    <t>14101400128447</t>
  </si>
  <si>
    <t>14101400117994</t>
  </si>
  <si>
    <t>15101570124040</t>
  </si>
  <si>
    <t>15101571530500</t>
  </si>
  <si>
    <t>15101570119669</t>
  </si>
  <si>
    <t>15101570135467</t>
  </si>
  <si>
    <t>15636280134312</t>
  </si>
  <si>
    <t>15636280137687</t>
  </si>
  <si>
    <t>15636280138131</t>
  </si>
  <si>
    <t>15636280127209</t>
  </si>
  <si>
    <t>15636280128504</t>
  </si>
  <si>
    <t>15635780135186</t>
  </si>
  <si>
    <t>16638750112698</t>
  </si>
  <si>
    <t>16639580136556</t>
  </si>
  <si>
    <t>16639820110205</t>
  </si>
  <si>
    <t>16639820136234</t>
  </si>
  <si>
    <t>17640550129601</t>
  </si>
  <si>
    <t>17640550108340</t>
  </si>
  <si>
    <t>18750366010763</t>
  </si>
  <si>
    <t>18641960135756</t>
  </si>
  <si>
    <t>19753090127100</t>
  </si>
  <si>
    <t>19753090132654</t>
  </si>
  <si>
    <t>19753090135145</t>
  </si>
  <si>
    <t>19753090134619</t>
  </si>
  <si>
    <t>19753090138297</t>
  </si>
  <si>
    <t>19753090131987</t>
  </si>
  <si>
    <t>19753090136531</t>
  </si>
  <si>
    <t>19753090137703</t>
  </si>
  <si>
    <t>19753090137786</t>
  </si>
  <si>
    <t>19753090136648</t>
  </si>
  <si>
    <t>19753090131383</t>
  </si>
  <si>
    <t>19642461996537</t>
  </si>
  <si>
    <t>19642871996479</t>
  </si>
  <si>
    <t>19643520128488</t>
  </si>
  <si>
    <t>19643520128496</t>
  </si>
  <si>
    <t>19734370137984</t>
  </si>
  <si>
    <t>19734370118760</t>
  </si>
  <si>
    <t>19734370137240</t>
  </si>
  <si>
    <t>19734370134338</t>
  </si>
  <si>
    <t>19734370137893</t>
  </si>
  <si>
    <t>19734370115725</t>
  </si>
  <si>
    <t>19734370132845</t>
  </si>
  <si>
    <t>19644690134858</t>
  </si>
  <si>
    <t>19644690128736</t>
  </si>
  <si>
    <t>19644690139535</t>
  </si>
  <si>
    <t>19645841996305</t>
  </si>
  <si>
    <t>19646341996586</t>
  </si>
  <si>
    <t>19646340128991</t>
  </si>
  <si>
    <t>19646340120303</t>
  </si>
  <si>
    <t>19646340101667</t>
  </si>
  <si>
    <t>19646340116822</t>
  </si>
  <si>
    <t>19646420136127</t>
  </si>
  <si>
    <t>19646670125559</t>
  </si>
  <si>
    <t>19646670123174</t>
  </si>
  <si>
    <t>19646911996438</t>
  </si>
  <si>
    <t>19647091996313</t>
  </si>
  <si>
    <t>19647090107508</t>
  </si>
  <si>
    <t>19647090100602</t>
  </si>
  <si>
    <t>19647250131938</t>
  </si>
  <si>
    <t>19647250127506</t>
  </si>
  <si>
    <t>19101990135368</t>
  </si>
  <si>
    <t>19101990136119</t>
  </si>
  <si>
    <t>19101990109660</t>
  </si>
  <si>
    <t>19101990112128</t>
  </si>
  <si>
    <t>19101990138669</t>
  </si>
  <si>
    <t>19101990121772</t>
  </si>
  <si>
    <t>19101990127498</t>
  </si>
  <si>
    <t>19101990134346</t>
  </si>
  <si>
    <t>19101990106880</t>
  </si>
  <si>
    <t>19101990128025</t>
  </si>
  <si>
    <t>19101990139170</t>
  </si>
  <si>
    <t>19101996119945</t>
  </si>
  <si>
    <t>19101990115212</t>
  </si>
  <si>
    <t>19101990115030</t>
  </si>
  <si>
    <t>19101990137679</t>
  </si>
  <si>
    <t>19101990100776</t>
  </si>
  <si>
    <t>19101996116883</t>
  </si>
  <si>
    <t>19101990135582</t>
  </si>
  <si>
    <t>19101990134361</t>
  </si>
  <si>
    <t>19101990137166</t>
  </si>
  <si>
    <t>19101990132605</t>
  </si>
  <si>
    <t>19101990139345</t>
  </si>
  <si>
    <t>19647330120097</t>
  </si>
  <si>
    <t>19647330139055</t>
  </si>
  <si>
    <t>19647336112536</t>
  </si>
  <si>
    <t>19647330100743</t>
  </si>
  <si>
    <t>19647330118588</t>
  </si>
  <si>
    <t>19647330121285</t>
  </si>
  <si>
    <t>19647330128058</t>
  </si>
  <si>
    <t>19647330120030</t>
  </si>
  <si>
    <t>19647330128033</t>
  </si>
  <si>
    <t>19647330108936</t>
  </si>
  <si>
    <t>19647330111500</t>
  </si>
  <si>
    <t>19647330106864</t>
  </si>
  <si>
    <t>19647330111518</t>
  </si>
  <si>
    <t>19647330108894</t>
  </si>
  <si>
    <t>19647330128041</t>
  </si>
  <si>
    <t>19647330117606</t>
  </si>
  <si>
    <t>19647330111658</t>
  </si>
  <si>
    <t>19647330124941</t>
  </si>
  <si>
    <t>19647330132084</t>
  </si>
  <si>
    <t>19647330116509</t>
  </si>
  <si>
    <t>19647330111641</t>
  </si>
  <si>
    <t>19647330111492</t>
  </si>
  <si>
    <t>19647330117598</t>
  </si>
  <si>
    <t>19647330124891</t>
  </si>
  <si>
    <t>19647330123133</t>
  </si>
  <si>
    <t>19647330123141</t>
  </si>
  <si>
    <t>19647330121293</t>
  </si>
  <si>
    <t>19647330128009</t>
  </si>
  <si>
    <t>19647330132928</t>
  </si>
  <si>
    <t>19647330123992</t>
  </si>
  <si>
    <t>19647330134023</t>
  </si>
  <si>
    <t>19647330111583</t>
  </si>
  <si>
    <t>19647330124008</t>
  </si>
  <si>
    <t>19647330122481</t>
  </si>
  <si>
    <t>19647330124016</t>
  </si>
  <si>
    <t>19647330129270</t>
  </si>
  <si>
    <t>19647330106849</t>
  </si>
  <si>
    <t>19647330111575</t>
  </si>
  <si>
    <t>19647330102434</t>
  </si>
  <si>
    <t>19647330106831</t>
  </si>
  <si>
    <t>19647330111625</t>
  </si>
  <si>
    <t>19647330122499</t>
  </si>
  <si>
    <t>19647330117077</t>
  </si>
  <si>
    <t>19647330121079</t>
  </si>
  <si>
    <t>19647330123158</t>
  </si>
  <si>
    <t>19647330134205</t>
  </si>
  <si>
    <t>19647330126797</t>
  </si>
  <si>
    <t>19647330122622</t>
  </si>
  <si>
    <t>19647330122614</t>
  </si>
  <si>
    <t>19647330124800</t>
  </si>
  <si>
    <t>19647330124792</t>
  </si>
  <si>
    <t>19647330114884</t>
  </si>
  <si>
    <t>19647330122721</t>
  </si>
  <si>
    <t>19647330124784</t>
  </si>
  <si>
    <t>19647330120477</t>
  </si>
  <si>
    <t>19647330106872</t>
  </si>
  <si>
    <t>19647330132126</t>
  </si>
  <si>
    <t>19647331931047</t>
  </si>
  <si>
    <t>19647330112508</t>
  </si>
  <si>
    <t>19647336117667</t>
  </si>
  <si>
    <t>19647330122861</t>
  </si>
  <si>
    <t>19647330124826</t>
  </si>
  <si>
    <t>19647330122564</t>
  </si>
  <si>
    <t>19647330127910</t>
  </si>
  <si>
    <t>19647330101659</t>
  </si>
  <si>
    <t>19647330115139</t>
  </si>
  <si>
    <t>19647330100800</t>
  </si>
  <si>
    <t>19647330108878</t>
  </si>
  <si>
    <t>19647336119531</t>
  </si>
  <si>
    <t>19647330139832</t>
  </si>
  <si>
    <t>19647330122556</t>
  </si>
  <si>
    <t>19647330126193</t>
  </si>
  <si>
    <t>19647330126177</t>
  </si>
  <si>
    <t>19647330127886</t>
  </si>
  <si>
    <t>19647330131821</t>
  </si>
  <si>
    <t>19647330135616</t>
  </si>
  <si>
    <t>19647330121848</t>
  </si>
  <si>
    <t>19647330115253</t>
  </si>
  <si>
    <t>19647336119903</t>
  </si>
  <si>
    <t>19647330135723</t>
  </si>
  <si>
    <t>19647330132282</t>
  </si>
  <si>
    <t>19647330135715</t>
  </si>
  <si>
    <t>19647330140129</t>
  </si>
  <si>
    <t>19647330125864</t>
  </si>
  <si>
    <t>19647331932623</t>
  </si>
  <si>
    <t>19647330140004</t>
  </si>
  <si>
    <t>19647330126169</t>
  </si>
  <si>
    <t>19647330129650</t>
  </si>
  <si>
    <t>19647330133686</t>
  </si>
  <si>
    <t>19647330139121</t>
  </si>
  <si>
    <t>19647330138883</t>
  </si>
  <si>
    <t>19647330119982</t>
  </si>
  <si>
    <t>19647330129858</t>
  </si>
  <si>
    <t>19647330124198</t>
  </si>
  <si>
    <t>19647330128132</t>
  </si>
  <si>
    <t>19647336017016</t>
  </si>
  <si>
    <t>19647330131722</t>
  </si>
  <si>
    <t>19647330115048</t>
  </si>
  <si>
    <t>19647330131466</t>
  </si>
  <si>
    <t>19647330108886</t>
  </si>
  <si>
    <t>19647330135509</t>
  </si>
  <si>
    <t>19647330133710</t>
  </si>
  <si>
    <t>19647330114967</t>
  </si>
  <si>
    <t>19647330129833</t>
  </si>
  <si>
    <t>19647330117978</t>
  </si>
  <si>
    <t>19647331933746</t>
  </si>
  <si>
    <t>19647330100677</t>
  </si>
  <si>
    <t>19647330137471</t>
  </si>
  <si>
    <t>19647330117952</t>
  </si>
  <si>
    <t>19647336117048</t>
  </si>
  <si>
    <t>19647330101196</t>
  </si>
  <si>
    <t>19647336121081</t>
  </si>
  <si>
    <t>19647330117937</t>
  </si>
  <si>
    <t>19647330115287</t>
  </si>
  <si>
    <t>19647330121137</t>
  </si>
  <si>
    <t>19647330127985</t>
  </si>
  <si>
    <t>19647330140111</t>
  </si>
  <si>
    <t>19647330123984</t>
  </si>
  <si>
    <t>19647330135954</t>
  </si>
  <si>
    <t>19647330108910</t>
  </si>
  <si>
    <t>19647330122655</t>
  </si>
  <si>
    <t>19647330123166</t>
  </si>
  <si>
    <t>19647330106351</t>
  </si>
  <si>
    <t>19647330128389</t>
  </si>
  <si>
    <t>19647330115113</t>
  </si>
  <si>
    <t>19647330109884</t>
  </si>
  <si>
    <t>19647330128512</t>
  </si>
  <si>
    <t>19647330101444</t>
  </si>
  <si>
    <t>19647330121707</t>
  </si>
  <si>
    <t>19647330135517</t>
  </si>
  <si>
    <t>19647330121699</t>
  </si>
  <si>
    <t>19647330120014</t>
  </si>
  <si>
    <t>19647330131771</t>
  </si>
  <si>
    <t>19647330127670</t>
  </si>
  <si>
    <t>19647330100867</t>
  </si>
  <si>
    <t>19647330125609</t>
  </si>
  <si>
    <t>19647330131797</t>
  </si>
  <si>
    <t>19647330139071</t>
  </si>
  <si>
    <t>19647330117903</t>
  </si>
  <si>
    <t>19647330125625</t>
  </si>
  <si>
    <t>19647330125641</t>
  </si>
  <si>
    <t>19647330129460</t>
  </si>
  <si>
    <t>19647330108928</t>
  </si>
  <si>
    <t>19647330137513</t>
  </si>
  <si>
    <t>19647330131904</t>
  </si>
  <si>
    <t>19647330110304</t>
  </si>
  <si>
    <t>19647331996610</t>
  </si>
  <si>
    <t>19647330124818</t>
  </si>
  <si>
    <t>19647330137463</t>
  </si>
  <si>
    <t>19647330112235</t>
  </si>
  <si>
    <t>19647330117622</t>
  </si>
  <si>
    <t>19647330117648</t>
  </si>
  <si>
    <t>19647330117655</t>
  </si>
  <si>
    <t>19647330122747</t>
  </si>
  <si>
    <t>19647330126136</t>
  </si>
  <si>
    <t>19647330137562</t>
  </si>
  <si>
    <t>19647330114959</t>
  </si>
  <si>
    <t>19647336018204</t>
  </si>
  <si>
    <t>19647336119044</t>
  </si>
  <si>
    <t>19647330102483</t>
  </si>
  <si>
    <t>19647330100289</t>
  </si>
  <si>
    <t>19647330102541</t>
  </si>
  <si>
    <t>19647330120071</t>
  </si>
  <si>
    <t>19647330111211</t>
  </si>
  <si>
    <t>19647330128371</t>
  </si>
  <si>
    <t>19647330117614</t>
  </si>
  <si>
    <t>19647330133702</t>
  </si>
  <si>
    <t>19647330117911</t>
  </si>
  <si>
    <t>19647330111484</t>
  </si>
  <si>
    <t>19647330102335</t>
  </si>
  <si>
    <t>19647330101675</t>
  </si>
  <si>
    <t>19647330109934</t>
  </si>
  <si>
    <t>19647336018642</t>
  </si>
  <si>
    <t>19647331995836</t>
  </si>
  <si>
    <t>19647330122630</t>
  </si>
  <si>
    <t>19647336120489</t>
  </si>
  <si>
    <t>19647330117846</t>
  </si>
  <si>
    <t>19647330107755</t>
  </si>
  <si>
    <t>19647330127936</t>
  </si>
  <si>
    <t>19647330133298</t>
  </si>
  <si>
    <t>19647330129619</t>
  </si>
  <si>
    <t>19647336116750</t>
  </si>
  <si>
    <t>19647330124933</t>
  </si>
  <si>
    <t>19647330112201</t>
  </si>
  <si>
    <t>19647330129593</t>
  </si>
  <si>
    <t>19647330102442</t>
  </si>
  <si>
    <t>19647330122606</t>
  </si>
  <si>
    <t>19647330102426</t>
  </si>
  <si>
    <t>19647330133280</t>
  </si>
  <si>
    <t>19647330133272</t>
  </si>
  <si>
    <t>19647336120471</t>
  </si>
  <si>
    <t>19647330101683</t>
  </si>
  <si>
    <t>19647330131870</t>
  </si>
  <si>
    <t>19647330136994</t>
  </si>
  <si>
    <t>19647330133868</t>
  </si>
  <si>
    <t>19647330124222</t>
  </si>
  <si>
    <t>19647336019079</t>
  </si>
  <si>
    <t>19647330139097</t>
  </si>
  <si>
    <t>19647330137604</t>
  </si>
  <si>
    <t>19647330100669</t>
  </si>
  <si>
    <t>19647330136986</t>
  </si>
  <si>
    <t>19647330106427</t>
  </si>
  <si>
    <t>19647330117895</t>
  </si>
  <si>
    <t>19647330124560</t>
  </si>
  <si>
    <t>19647330122242</t>
  </si>
  <si>
    <t>19647330138305</t>
  </si>
  <si>
    <t>19647330129627</t>
  </si>
  <si>
    <t>19647330134148</t>
  </si>
  <si>
    <t>19647330132027</t>
  </si>
  <si>
    <t>19647330122754</t>
  </si>
  <si>
    <t>19647330122838</t>
  </si>
  <si>
    <t>19647330137612</t>
  </si>
  <si>
    <t>19647330133694</t>
  </si>
  <si>
    <t>19647330127894</t>
  </si>
  <si>
    <t>19647330120022</t>
  </si>
  <si>
    <t>19647336019715</t>
  </si>
  <si>
    <t>19647330129866</t>
  </si>
  <si>
    <t>19647330122739</t>
  </si>
  <si>
    <t>19647330139089</t>
  </si>
  <si>
    <t>19647330137521</t>
  </si>
  <si>
    <t>19647330100750</t>
  </si>
  <si>
    <t>19647336114912</t>
  </si>
  <si>
    <t>19647330120527</t>
  </si>
  <si>
    <t>19647330135632</t>
  </si>
  <si>
    <t>19647330135921</t>
  </si>
  <si>
    <t>19648570112714</t>
  </si>
  <si>
    <t>19648570125377</t>
  </si>
  <si>
    <t>19648810113464</t>
  </si>
  <si>
    <t>19648810113472</t>
  </si>
  <si>
    <t>19648810118075</t>
  </si>
  <si>
    <t>19648810136945</t>
  </si>
  <si>
    <t>19648810113894</t>
  </si>
  <si>
    <t>19649071996693</t>
  </si>
  <si>
    <t>19734520120600</t>
  </si>
  <si>
    <t>19752911996016</t>
  </si>
  <si>
    <t>19769680109926</t>
  </si>
  <si>
    <t>19772890109942</t>
  </si>
  <si>
    <t>19756636120158</t>
  </si>
  <si>
    <t>19650940112706</t>
  </si>
  <si>
    <t>19650946023527</t>
  </si>
  <si>
    <t>19651360114439</t>
  </si>
  <si>
    <t>19651361996263</t>
  </si>
  <si>
    <t>19651360117234</t>
  </si>
  <si>
    <t>19768690131128</t>
  </si>
  <si>
    <t>19768690128728</t>
  </si>
  <si>
    <t>19768690119636</t>
  </si>
  <si>
    <t>19768690119016</t>
  </si>
  <si>
    <t>20651850129015</t>
  </si>
  <si>
    <t>20652430107938</t>
  </si>
  <si>
    <t>20652430100016</t>
  </si>
  <si>
    <t>20652430118950</t>
  </si>
  <si>
    <t>20652430134510</t>
  </si>
  <si>
    <t>20764142030237</t>
  </si>
  <si>
    <t>20764146110076</t>
  </si>
  <si>
    <t>21102150135350</t>
  </si>
  <si>
    <t>21654176113229</t>
  </si>
  <si>
    <t>22655320125823</t>
  </si>
  <si>
    <t>23655576116669</t>
  </si>
  <si>
    <t>23655650123737</t>
  </si>
  <si>
    <t>23656072330272</t>
  </si>
  <si>
    <t>23656152330454</t>
  </si>
  <si>
    <t>23656152330413</t>
  </si>
  <si>
    <t>23656150115055</t>
  </si>
  <si>
    <t>23656156117386</t>
  </si>
  <si>
    <t>23656230112300</t>
  </si>
  <si>
    <t>23656232330363</t>
  </si>
  <si>
    <t>23656230125658</t>
  </si>
  <si>
    <t>27751500118349</t>
  </si>
  <si>
    <t>27102720124297</t>
  </si>
  <si>
    <t>27102720112177</t>
  </si>
  <si>
    <t>27102726119663</t>
  </si>
  <si>
    <t>27102720116491</t>
  </si>
  <si>
    <t>27660926118962</t>
  </si>
  <si>
    <t>27660922730240</t>
  </si>
  <si>
    <t>28662660108605</t>
  </si>
  <si>
    <t>29102980130823</t>
  </si>
  <si>
    <t>29102982930147</t>
  </si>
  <si>
    <t>29102980114330</t>
  </si>
  <si>
    <t>29102980114322</t>
  </si>
  <si>
    <t>29663570124834</t>
  </si>
  <si>
    <t>30664236027379</t>
  </si>
  <si>
    <t>30664230131417</t>
  </si>
  <si>
    <t>30664640106765</t>
  </si>
  <si>
    <t>30664640123729</t>
  </si>
  <si>
    <t>30664646117758</t>
  </si>
  <si>
    <t>30664640140061</t>
  </si>
  <si>
    <t>30664646120356</t>
  </si>
  <si>
    <t>30664640124743</t>
  </si>
  <si>
    <t>30665300134221</t>
  </si>
  <si>
    <t>30103060134940</t>
  </si>
  <si>
    <t>30103060133983</t>
  </si>
  <si>
    <t>30103060134239</t>
  </si>
  <si>
    <t>30103060139469</t>
  </si>
  <si>
    <t>30103063030723</t>
  </si>
  <si>
    <t>30103060134056</t>
  </si>
  <si>
    <t>30103060134841</t>
  </si>
  <si>
    <t>30103060133785</t>
  </si>
  <si>
    <t>30103060126037</t>
  </si>
  <si>
    <t>30103060134288</t>
  </si>
  <si>
    <t>30103060138800</t>
  </si>
  <si>
    <t>30103060139352</t>
  </si>
  <si>
    <t>30103060137976</t>
  </si>
  <si>
    <t>30103060133959</t>
  </si>
  <si>
    <t>30103060137000</t>
  </si>
  <si>
    <t>30103060132613</t>
  </si>
  <si>
    <t>30666210139964</t>
  </si>
  <si>
    <t>30666216085328</t>
  </si>
  <si>
    <t>30666700101626</t>
  </si>
  <si>
    <t>30666706119127</t>
  </si>
  <si>
    <t>30666700106567</t>
  </si>
  <si>
    <t>30666700109066</t>
  </si>
  <si>
    <t>30768930130765</t>
  </si>
  <si>
    <t>31668520120105</t>
  </si>
  <si>
    <t>31668520138008</t>
  </si>
  <si>
    <t>31668520121608</t>
  </si>
  <si>
    <t>31668520127928</t>
  </si>
  <si>
    <t>31750850117879</t>
  </si>
  <si>
    <t>31750850137927</t>
  </si>
  <si>
    <t>31750856118392</t>
  </si>
  <si>
    <t>31750850114371</t>
  </si>
  <si>
    <t>31750850119487</t>
  </si>
  <si>
    <t>31669280121418</t>
  </si>
  <si>
    <t>31669440121624</t>
  </si>
  <si>
    <t>31669513130168</t>
  </si>
  <si>
    <t>31669510135871</t>
  </si>
  <si>
    <t>32669693230083</t>
  </si>
  <si>
    <t>33669930127142</t>
  </si>
  <si>
    <t>33669930139360</t>
  </si>
  <si>
    <t>33736760121673</t>
  </si>
  <si>
    <t>33751760120204</t>
  </si>
  <si>
    <t>33671160109843</t>
  </si>
  <si>
    <t>33671810138610</t>
  </si>
  <si>
    <t>33103300137869</t>
  </si>
  <si>
    <t>33103300139428</t>
  </si>
  <si>
    <t>33103300128777</t>
  </si>
  <si>
    <t>33103300125385</t>
  </si>
  <si>
    <t>33103300138602</t>
  </si>
  <si>
    <t>33103300138024</t>
  </si>
  <si>
    <t>33103300137851</t>
  </si>
  <si>
    <t>33103300125237</t>
  </si>
  <si>
    <t>33103300137836</t>
  </si>
  <si>
    <t>33103300110833</t>
  </si>
  <si>
    <t>33103300136168</t>
  </si>
  <si>
    <t>33672150126128</t>
  </si>
  <si>
    <t>33672496114748</t>
  </si>
  <si>
    <t>33751923330917</t>
  </si>
  <si>
    <t>33751926112551</t>
  </si>
  <si>
    <t>34673140111732</t>
  </si>
  <si>
    <t>34673140137281</t>
  </si>
  <si>
    <t>34752833430659</t>
  </si>
  <si>
    <t>34674130114660</t>
  </si>
  <si>
    <t>34674210137950</t>
  </si>
  <si>
    <t>34674210132019</t>
  </si>
  <si>
    <t>34674390102343</t>
  </si>
  <si>
    <t>34674390111757</t>
  </si>
  <si>
    <t>34674390123901</t>
  </si>
  <si>
    <t>34674390135343</t>
  </si>
  <si>
    <t>34674390102038</t>
  </si>
  <si>
    <t>34674390137406</t>
  </si>
  <si>
    <t>34674390101295</t>
  </si>
  <si>
    <t>34674390101048</t>
  </si>
  <si>
    <t>34674390106898</t>
  </si>
  <si>
    <t>34674390121665</t>
  </si>
  <si>
    <t>34103480140160</t>
  </si>
  <si>
    <t>34103480136275</t>
  </si>
  <si>
    <t>34674470120469</t>
  </si>
  <si>
    <t>34674470121467</t>
  </si>
  <si>
    <t>34674470112169</t>
  </si>
  <si>
    <t>34674470128124</t>
  </si>
  <si>
    <t>34674470132399</t>
  </si>
  <si>
    <t>34674470114983</t>
  </si>
  <si>
    <t>34674473430691</t>
  </si>
  <si>
    <t>34674473430717</t>
  </si>
  <si>
    <t>34765050139584</t>
  </si>
  <si>
    <t>34765050108837</t>
  </si>
  <si>
    <t>34765050101766</t>
  </si>
  <si>
    <t>34765050101832</t>
  </si>
  <si>
    <t>34765050108415</t>
  </si>
  <si>
    <t>34765050113878</t>
  </si>
  <si>
    <t>34765050130757</t>
  </si>
  <si>
    <t>34765050114272</t>
  </si>
  <si>
    <t>35674700127688</t>
  </si>
  <si>
    <t>36675870128462</t>
  </si>
  <si>
    <t>36750773631207</t>
  </si>
  <si>
    <t>36676780137547</t>
  </si>
  <si>
    <t>36677360128439</t>
  </si>
  <si>
    <t>36677360139576</t>
  </si>
  <si>
    <t>36677360136069</t>
  </si>
  <si>
    <t>36677360136937</t>
  </si>
  <si>
    <t>36750440116707</t>
  </si>
  <si>
    <t>36750440118059</t>
  </si>
  <si>
    <t>36750440114389</t>
  </si>
  <si>
    <t>36750440112441</t>
  </si>
  <si>
    <t>36750440107516</t>
  </si>
  <si>
    <t>36750510136432</t>
  </si>
  <si>
    <t>36750510136960</t>
  </si>
  <si>
    <t>36750510137794</t>
  </si>
  <si>
    <t>36750510139188</t>
  </si>
  <si>
    <t>36750510115089</t>
  </si>
  <si>
    <t>36750510138107</t>
  </si>
  <si>
    <t>36678270137174</t>
  </si>
  <si>
    <t>36678270137232</t>
  </si>
  <si>
    <t>36678270137182</t>
  </si>
  <si>
    <t>36678270137190</t>
  </si>
  <si>
    <t>36678270137216</t>
  </si>
  <si>
    <t>36678270137208</t>
  </si>
  <si>
    <t>36678270137224</t>
  </si>
  <si>
    <t>36678270113928</t>
  </si>
  <si>
    <t>36678433630928</t>
  </si>
  <si>
    <t>36678760107730</t>
  </si>
  <si>
    <t>36678760133892</t>
  </si>
  <si>
    <t>36678760136952</t>
  </si>
  <si>
    <t>36678760122317</t>
  </si>
  <si>
    <t>36678760121343</t>
  </si>
  <si>
    <t>36678760120006</t>
  </si>
  <si>
    <t>36678760120568</t>
  </si>
  <si>
    <t>36678763630993</t>
  </si>
  <si>
    <t>36678760109850</t>
  </si>
  <si>
    <t>36678760137935</t>
  </si>
  <si>
    <t>36678760117192</t>
  </si>
  <si>
    <t>36678760126714</t>
  </si>
  <si>
    <t>36103636111918</t>
  </si>
  <si>
    <t>36103633630761</t>
  </si>
  <si>
    <t>36103630115808</t>
  </si>
  <si>
    <t>36103630139147</t>
  </si>
  <si>
    <t>36679343630670</t>
  </si>
  <si>
    <t>36679590114256</t>
  </si>
  <si>
    <t>37679830134890</t>
  </si>
  <si>
    <t>37679910108563</t>
  </si>
  <si>
    <t>37679910119255</t>
  </si>
  <si>
    <t>37679910139394</t>
  </si>
  <si>
    <t>37680236116859</t>
  </si>
  <si>
    <t>37680236115778</t>
  </si>
  <si>
    <t>37680236111322</t>
  </si>
  <si>
    <t>37680236037956</t>
  </si>
  <si>
    <t>37680230138073</t>
  </si>
  <si>
    <t>37680230119594</t>
  </si>
  <si>
    <t>37680236037980</t>
  </si>
  <si>
    <t>37680490132506</t>
  </si>
  <si>
    <t>37680490136614</t>
  </si>
  <si>
    <t>37680490129221</t>
  </si>
  <si>
    <t>37680490136416</t>
  </si>
  <si>
    <t>37680490127118</t>
  </si>
  <si>
    <t>37680986116776</t>
  </si>
  <si>
    <t>37680980101535</t>
  </si>
  <si>
    <t>37681060137034</t>
  </si>
  <si>
    <t>37681060111195</t>
  </si>
  <si>
    <t>37681063731023</t>
  </si>
  <si>
    <t>37681303732732</t>
  </si>
  <si>
    <t>37681303731262</t>
  </si>
  <si>
    <t>37681300139063</t>
  </si>
  <si>
    <t>37681556117303</t>
  </si>
  <si>
    <t>37681630139402</t>
  </si>
  <si>
    <t>37681630137109</t>
  </si>
  <si>
    <t>37681630128421</t>
  </si>
  <si>
    <t>37681630138628</t>
  </si>
  <si>
    <t>37681630138156</t>
  </si>
  <si>
    <t>37681633731239</t>
  </si>
  <si>
    <t>37681970136408</t>
  </si>
  <si>
    <t>37681896120901</t>
  </si>
  <si>
    <t>37681893731072</t>
  </si>
  <si>
    <t>37682130127084</t>
  </si>
  <si>
    <t>37682130136978</t>
  </si>
  <si>
    <t>37682130138636</t>
  </si>
  <si>
    <t>37682130129668</t>
  </si>
  <si>
    <t>37682130123224</t>
  </si>
  <si>
    <t>37682210101360</t>
  </si>
  <si>
    <t>37735690136267</t>
  </si>
  <si>
    <t>37735693731221</t>
  </si>
  <si>
    <t>37103710134577</t>
  </si>
  <si>
    <t>37103710138404</t>
  </si>
  <si>
    <t>37103710137695</t>
  </si>
  <si>
    <t>37103710137752</t>
  </si>
  <si>
    <t>37103710138594</t>
  </si>
  <si>
    <t>37103710124321</t>
  </si>
  <si>
    <t>37103710108548</t>
  </si>
  <si>
    <t>37103710138792</t>
  </si>
  <si>
    <t>37103716119119</t>
  </si>
  <si>
    <t>37103710138016</t>
  </si>
  <si>
    <t>37103710136085</t>
  </si>
  <si>
    <t>37683380111898</t>
  </si>
  <si>
    <t>37683380136663</t>
  </si>
  <si>
    <t>37683383731395</t>
  </si>
  <si>
    <t>37683383730959</t>
  </si>
  <si>
    <t>37683380124347</t>
  </si>
  <si>
    <t>37683386039457</t>
  </si>
  <si>
    <t>37683380127647</t>
  </si>
  <si>
    <t>37683380129395</t>
  </si>
  <si>
    <t>37683380129387</t>
  </si>
  <si>
    <t>37683380119610</t>
  </si>
  <si>
    <t>37683386040018</t>
  </si>
  <si>
    <t>37683380114462</t>
  </si>
  <si>
    <t>37683380131565</t>
  </si>
  <si>
    <t>37683386117683</t>
  </si>
  <si>
    <t>37683383731247</t>
  </si>
  <si>
    <t>37683380106732</t>
  </si>
  <si>
    <t>37683380108787</t>
  </si>
  <si>
    <t>37683380101204</t>
  </si>
  <si>
    <t>37683380107573</t>
  </si>
  <si>
    <t>37683386117279</t>
  </si>
  <si>
    <t>37683380131979</t>
  </si>
  <si>
    <t>37683380118083</t>
  </si>
  <si>
    <t>37683380126730</t>
  </si>
  <si>
    <t>37683386039812</t>
  </si>
  <si>
    <t>37683386119598</t>
  </si>
  <si>
    <t>37683380109033</t>
  </si>
  <si>
    <t>37683380118851</t>
  </si>
  <si>
    <t>37683380111906</t>
  </si>
  <si>
    <t>37683386040190</t>
  </si>
  <si>
    <t>37683380101345</t>
  </si>
  <si>
    <t>37683380106799</t>
  </si>
  <si>
    <t>37683380109157</t>
  </si>
  <si>
    <t>37683386113211</t>
  </si>
  <si>
    <t>37683386115570</t>
  </si>
  <si>
    <t>37683380123778</t>
  </si>
  <si>
    <t>37683383731189</t>
  </si>
  <si>
    <t>37683386119168</t>
  </si>
  <si>
    <t>37683380121681</t>
  </si>
  <si>
    <t>37683380122788</t>
  </si>
  <si>
    <t>37683386061964</t>
  </si>
  <si>
    <t>37683380135913</t>
  </si>
  <si>
    <t>37737910138222</t>
  </si>
  <si>
    <t>37764710123059</t>
  </si>
  <si>
    <t>37764710138776</t>
  </si>
  <si>
    <t>37764710127605</t>
  </si>
  <si>
    <t>37764710114678</t>
  </si>
  <si>
    <t>37764710137067</t>
  </si>
  <si>
    <t>37764710114694</t>
  </si>
  <si>
    <t>37764710123042</t>
  </si>
  <si>
    <t>37764710138768</t>
  </si>
  <si>
    <t>37764710119271</t>
  </si>
  <si>
    <t>37771720138099</t>
  </si>
  <si>
    <t>37771640137356</t>
  </si>
  <si>
    <t>37770990136077</t>
  </si>
  <si>
    <t>37771070136473</t>
  </si>
  <si>
    <t>37771560137323</t>
  </si>
  <si>
    <t>37684036120893</t>
  </si>
  <si>
    <t>37684030125401</t>
  </si>
  <si>
    <t>37684110126086</t>
  </si>
  <si>
    <t>37684113731304</t>
  </si>
  <si>
    <t>37684520128223</t>
  </si>
  <si>
    <t>37684520124917</t>
  </si>
  <si>
    <t>37684523730942</t>
  </si>
  <si>
    <t>37684520114264</t>
  </si>
  <si>
    <t>37684520106120</t>
  </si>
  <si>
    <t>37754166119275</t>
  </si>
  <si>
    <t>37754160122796</t>
  </si>
  <si>
    <t>37754160132472</t>
  </si>
  <si>
    <t>37754160139386</t>
  </si>
  <si>
    <t>37754160139451</t>
  </si>
  <si>
    <t>37754160139378</t>
  </si>
  <si>
    <t>37754160138651</t>
  </si>
  <si>
    <t>38684780107300</t>
  </si>
  <si>
    <t>38684786112601</t>
  </si>
  <si>
    <t>38684780118133</t>
  </si>
  <si>
    <t>38684780101774</t>
  </si>
  <si>
    <t>38684780118141</t>
  </si>
  <si>
    <t>38684783830437</t>
  </si>
  <si>
    <t>38684780123265</t>
  </si>
  <si>
    <t>38684780101337</t>
  </si>
  <si>
    <t>38684780101352</t>
  </si>
  <si>
    <t>38684780127530</t>
  </si>
  <si>
    <t>38684783830411</t>
  </si>
  <si>
    <t>38684783830429</t>
  </si>
  <si>
    <t>38684780123505</t>
  </si>
  <si>
    <t>38684786040935</t>
  </si>
  <si>
    <t>38771310137307</t>
  </si>
  <si>
    <t>38769270132183</t>
  </si>
  <si>
    <t>39773880140392</t>
  </si>
  <si>
    <t>39773880131789</t>
  </si>
  <si>
    <t>39773880127134</t>
  </si>
  <si>
    <t>39685020126011</t>
  </si>
  <si>
    <t>39685850101956</t>
  </si>
  <si>
    <t>39685850133678</t>
  </si>
  <si>
    <t>39685856118921</t>
  </si>
  <si>
    <t>39685856116594</t>
  </si>
  <si>
    <t>39685850122580</t>
  </si>
  <si>
    <t>39686270127191</t>
  </si>
  <si>
    <t>39686270126755</t>
  </si>
  <si>
    <t>39686270133116</t>
  </si>
  <si>
    <t>39686270129916</t>
  </si>
  <si>
    <t>39686500125849</t>
  </si>
  <si>
    <t>39103970120717</t>
  </si>
  <si>
    <t>39103970124958</t>
  </si>
  <si>
    <t>39103973930476</t>
  </si>
  <si>
    <t>39686760121541</t>
  </si>
  <si>
    <t>39686760118497</t>
  </si>
  <si>
    <t>39686760114876</t>
  </si>
  <si>
    <t>39686760108647</t>
  </si>
  <si>
    <t>39686760139865</t>
  </si>
  <si>
    <t>39686760139923</t>
  </si>
  <si>
    <t>39686760117853</t>
  </si>
  <si>
    <t>39686760120725</t>
  </si>
  <si>
    <t>39686760120733</t>
  </si>
  <si>
    <t>39686760136283</t>
  </si>
  <si>
    <t>39686760139907</t>
  </si>
  <si>
    <t>39754996118665</t>
  </si>
  <si>
    <t>39754990102392</t>
  </si>
  <si>
    <t>39754990102384</t>
  </si>
  <si>
    <t>40688096043194</t>
  </si>
  <si>
    <t>40104050125807</t>
  </si>
  <si>
    <t>41689160112284</t>
  </si>
  <si>
    <t>41689240127548</t>
  </si>
  <si>
    <t>41689990134197</t>
  </si>
  <si>
    <t>41689990135608</t>
  </si>
  <si>
    <t>41690050127282</t>
  </si>
  <si>
    <t>41690050132068</t>
  </si>
  <si>
    <t>41690050132076</t>
  </si>
  <si>
    <t>41690216112213</t>
  </si>
  <si>
    <t>41104130135269</t>
  </si>
  <si>
    <t>41690470129759</t>
  </si>
  <si>
    <t>41690620126722</t>
  </si>
  <si>
    <t>41690620119503</t>
  </si>
  <si>
    <t>41690620139915</t>
  </si>
  <si>
    <t>41690620112722</t>
  </si>
  <si>
    <t>42691120111773</t>
  </si>
  <si>
    <t>42691120124255</t>
  </si>
  <si>
    <t>42691120137877</t>
  </si>
  <si>
    <t>42691120137885</t>
  </si>
  <si>
    <t>42691796118434</t>
  </si>
  <si>
    <t>42750100138891</t>
  </si>
  <si>
    <t>42692290116921</t>
  </si>
  <si>
    <t>42767866118202</t>
  </si>
  <si>
    <t>42767866045918</t>
  </si>
  <si>
    <t>42772140138388</t>
  </si>
  <si>
    <t>42772060138370</t>
  </si>
  <si>
    <t>42771980138362</t>
  </si>
  <si>
    <t>42772220138396</t>
  </si>
  <si>
    <t>43693690125526</t>
  </si>
  <si>
    <t>43693690106633</t>
  </si>
  <si>
    <t>43693690129924</t>
  </si>
  <si>
    <t>43694270125617</t>
  </si>
  <si>
    <t>43694270132274</t>
  </si>
  <si>
    <t>43694270131995</t>
  </si>
  <si>
    <t>43694274330726</t>
  </si>
  <si>
    <t>43694270107151</t>
  </si>
  <si>
    <t>43694270116889</t>
  </si>
  <si>
    <t>43694274330668</t>
  </si>
  <si>
    <t>43694270130856</t>
  </si>
  <si>
    <t>43694274330676</t>
  </si>
  <si>
    <t>43694500129247</t>
  </si>
  <si>
    <t>43694500129205</t>
  </si>
  <si>
    <t>43694500123299</t>
  </si>
  <si>
    <t>43694500128108</t>
  </si>
  <si>
    <t>43694500113662</t>
  </si>
  <si>
    <t>43694840123760</t>
  </si>
  <si>
    <t>43695836118541</t>
  </si>
  <si>
    <t>43696660131656</t>
  </si>
  <si>
    <t>43696664330585</t>
  </si>
  <si>
    <t>43696660129718</t>
  </si>
  <si>
    <t>43104390116814</t>
  </si>
  <si>
    <t>43104390121483</t>
  </si>
  <si>
    <t>43104390129213</t>
  </si>
  <si>
    <t>43104390106534</t>
  </si>
  <si>
    <t>43104390111880</t>
  </si>
  <si>
    <t>43104390127969</t>
  </si>
  <si>
    <t>43104390123257</t>
  </si>
  <si>
    <t>43104390125781</t>
  </si>
  <si>
    <t>43104390125799</t>
  </si>
  <si>
    <t>43104390123281</t>
  </si>
  <si>
    <t>43104390131110</t>
  </si>
  <si>
    <t>43104390120642</t>
  </si>
  <si>
    <t>43104390113704</t>
  </si>
  <si>
    <t>43104390133496</t>
  </si>
  <si>
    <t>43104390119024</t>
  </si>
  <si>
    <t>43104390128090</t>
  </si>
  <si>
    <t>43104390123794</t>
  </si>
  <si>
    <t>43104390124065</t>
  </si>
  <si>
    <t>43104390113431</t>
  </si>
  <si>
    <t>43104390131748</t>
  </si>
  <si>
    <t>43104390132530</t>
  </si>
  <si>
    <t>43771490137315</t>
  </si>
  <si>
    <t>43771150137059</t>
  </si>
  <si>
    <t>44697990117804</t>
  </si>
  <si>
    <t>44698070110007</t>
  </si>
  <si>
    <t>44104474430252</t>
  </si>
  <si>
    <t>44772480138909</t>
  </si>
  <si>
    <t>44754320139410</t>
  </si>
  <si>
    <t>45699140135624</t>
  </si>
  <si>
    <t>45699480134122</t>
  </si>
  <si>
    <t>45699480139543</t>
  </si>
  <si>
    <t>45699550121640</t>
  </si>
  <si>
    <t>45752670113407</t>
  </si>
  <si>
    <t>45701106117931</t>
  </si>
  <si>
    <t>45104540111674</t>
  </si>
  <si>
    <t>45104540129957</t>
  </si>
  <si>
    <t>45104540132944</t>
  </si>
  <si>
    <t>45701364530267</t>
  </si>
  <si>
    <t>45701360106013</t>
  </si>
  <si>
    <t>45701690136440</t>
  </si>
  <si>
    <t>47104700117168</t>
  </si>
  <si>
    <t>47104700137372</t>
  </si>
  <si>
    <t>48705320122267</t>
  </si>
  <si>
    <t>48104880139030</t>
  </si>
  <si>
    <t>48705730129494</t>
  </si>
  <si>
    <t>48705810134262</t>
  </si>
  <si>
    <t>48705810139816</t>
  </si>
  <si>
    <t>48705816116255</t>
  </si>
  <si>
    <t>48705814830196</t>
  </si>
  <si>
    <t>48705810137380</t>
  </si>
  <si>
    <t>49738820123786</t>
  </si>
  <si>
    <t>49707220139048</t>
  </si>
  <si>
    <t>49707306120588</t>
  </si>
  <si>
    <t>49707970107284</t>
  </si>
  <si>
    <t>49707970139568</t>
  </si>
  <si>
    <t>49708390138065</t>
  </si>
  <si>
    <t>49708470119750</t>
  </si>
  <si>
    <t>49708546119036</t>
  </si>
  <si>
    <t>49708706109144</t>
  </si>
  <si>
    <t>49708700106344</t>
  </si>
  <si>
    <t>49708706066344</t>
  </si>
  <si>
    <t>49708706113492</t>
  </si>
  <si>
    <t>49709040101923</t>
  </si>
  <si>
    <t>49709126116958</t>
  </si>
  <si>
    <t>49709380120121</t>
  </si>
  <si>
    <t>49709386113039</t>
  </si>
  <si>
    <t>49709536111678</t>
  </si>
  <si>
    <t>49709530105866</t>
  </si>
  <si>
    <t>49753580114934</t>
  </si>
  <si>
    <t>50710430112292</t>
  </si>
  <si>
    <t>50711670137265</t>
  </si>
  <si>
    <t>50711670138057</t>
  </si>
  <si>
    <t>50711750120212</t>
  </si>
  <si>
    <t>50712660124768</t>
  </si>
  <si>
    <t>50105040117457</t>
  </si>
  <si>
    <t>50105040129023</t>
  </si>
  <si>
    <t>50105045030234</t>
  </si>
  <si>
    <t>50757390124669</t>
  </si>
  <si>
    <t>50757390131185</t>
  </si>
  <si>
    <t>50755725030317</t>
  </si>
  <si>
    <t>51714070109793</t>
  </si>
  <si>
    <t>51714150129007</t>
  </si>
  <si>
    <t>51714230132977</t>
  </si>
  <si>
    <t>51105120138040</t>
  </si>
  <si>
    <t>51714560133934</t>
  </si>
  <si>
    <t>51714566053334</t>
  </si>
  <si>
    <t>51714640107318</t>
  </si>
  <si>
    <t>51714645130125</t>
  </si>
  <si>
    <t>52105206119671</t>
  </si>
  <si>
    <t>53105380125633</t>
  </si>
  <si>
    <t>54718030112458</t>
  </si>
  <si>
    <t>54718110139477</t>
  </si>
  <si>
    <t>54721400136507</t>
  </si>
  <si>
    <t>54105460135459</t>
  </si>
  <si>
    <t>54105466119291</t>
  </si>
  <si>
    <t>54105460125542</t>
  </si>
  <si>
    <t>54105460124057</t>
  </si>
  <si>
    <t>55724130112276</t>
  </si>
  <si>
    <t>56724705630363</t>
  </si>
  <si>
    <t>56739400121426</t>
  </si>
  <si>
    <t>56725205630405</t>
  </si>
  <si>
    <t>56725460120634</t>
  </si>
  <si>
    <t>56725460115105</t>
  </si>
  <si>
    <t>56725530139592</t>
  </si>
  <si>
    <t>56725536120620</t>
  </si>
  <si>
    <t>56105610121756</t>
  </si>
  <si>
    <t>56105616055974</t>
  </si>
  <si>
    <t>56105610122713</t>
  </si>
  <si>
    <t>56105610112417</t>
  </si>
  <si>
    <t>56105610109900</t>
  </si>
  <si>
    <t>57726940131706</t>
  </si>
  <si>
    <t>57726940124875</t>
  </si>
  <si>
    <t>57727020139436</t>
  </si>
  <si>
    <t>57105790132464</t>
  </si>
  <si>
    <t>58727286115935</t>
  </si>
  <si>
    <t>58727360121632</t>
  </si>
  <si>
    <t>58105870117242</t>
  </si>
  <si>
    <t>19101990127522</t>
  </si>
  <si>
    <t>39686760139998</t>
  </si>
  <si>
    <t>37683380137802</t>
  </si>
  <si>
    <t>45701690137117</t>
  </si>
  <si>
    <t>19753090134585</t>
  </si>
  <si>
    <t>37680980133991</t>
  </si>
  <si>
    <t>19769920133900</t>
  </si>
  <si>
    <t>19647330133884</t>
  </si>
  <si>
    <t>01612590132555</t>
  </si>
  <si>
    <t>21654746118491</t>
  </si>
  <si>
    <t>27659790139980</t>
  </si>
  <si>
    <t>19647330127217</t>
  </si>
  <si>
    <t>01612590123711</t>
  </si>
  <si>
    <t>01612590120188</t>
  </si>
  <si>
    <t>19647330120048</t>
  </si>
  <si>
    <t>01611920119248</t>
  </si>
  <si>
    <t>01612590115386</t>
  </si>
  <si>
    <t>19647330106435</t>
  </si>
  <si>
    <t>37683386120935</t>
  </si>
  <si>
    <t>19647330131847</t>
  </si>
  <si>
    <t>01100170000000</t>
  </si>
  <si>
    <t>01611190000000</t>
  </si>
  <si>
    <t>01611270000000</t>
  </si>
  <si>
    <t>01611430000000</t>
  </si>
  <si>
    <t>01611500000000</t>
  </si>
  <si>
    <t>01750930000000</t>
  </si>
  <si>
    <t>01611680000000</t>
  </si>
  <si>
    <t>01611760000000</t>
  </si>
  <si>
    <t>01611920000000</t>
  </si>
  <si>
    <t>01612000000000</t>
  </si>
  <si>
    <t>01740210000000</t>
  </si>
  <si>
    <t>01612180000000</t>
  </si>
  <si>
    <t>01612420000000</t>
  </si>
  <si>
    <t>01612340000000</t>
  </si>
  <si>
    <t>01612590000000</t>
  </si>
  <si>
    <t>01612750000000</t>
  </si>
  <si>
    <t>01751010000000</t>
  </si>
  <si>
    <t>01612910000000</t>
  </si>
  <si>
    <t>01613090000000</t>
  </si>
  <si>
    <t>01751190000000</t>
  </si>
  <si>
    <t>02100250000000</t>
  </si>
  <si>
    <t>02613330000000</t>
  </si>
  <si>
    <t>03100330000000</t>
  </si>
  <si>
    <t>03739810000000</t>
  </si>
  <si>
    <t>04613820000000</t>
  </si>
  <si>
    <t>04614080000000</t>
  </si>
  <si>
    <t>04100410000000</t>
  </si>
  <si>
    <t>04614240000000</t>
  </si>
  <si>
    <t>04614320000000</t>
  </si>
  <si>
    <t>04614570000000</t>
  </si>
  <si>
    <t>04755070000000</t>
  </si>
  <si>
    <t>04614990000000</t>
  </si>
  <si>
    <t>04615070000000</t>
  </si>
  <si>
    <t>04615150000000</t>
  </si>
  <si>
    <t>04615230000000</t>
  </si>
  <si>
    <t>04615310000000</t>
  </si>
  <si>
    <t>04733790000000</t>
  </si>
  <si>
    <t>04615490000000</t>
  </si>
  <si>
    <t>05615560000000</t>
  </si>
  <si>
    <t>05100580000000</t>
  </si>
  <si>
    <t>05615640000000</t>
  </si>
  <si>
    <t>05615720000000</t>
  </si>
  <si>
    <t>05615800000000</t>
  </si>
  <si>
    <t>06100660000000</t>
  </si>
  <si>
    <t>06615980000000</t>
  </si>
  <si>
    <t>06616060000000</t>
  </si>
  <si>
    <t>06616140000000</t>
  </si>
  <si>
    <t>06616220000000</t>
  </si>
  <si>
    <t>07616300000000</t>
  </si>
  <si>
    <t>07616480000000</t>
  </si>
  <si>
    <t>07616550000000</t>
  </si>
  <si>
    <t>07616630000000</t>
  </si>
  <si>
    <t>07616710000000</t>
  </si>
  <si>
    <t>07100740000000</t>
  </si>
  <si>
    <t>07616970000000</t>
  </si>
  <si>
    <t>07617050000000</t>
  </si>
  <si>
    <t>07617130000000</t>
  </si>
  <si>
    <t>07617210000000</t>
  </si>
  <si>
    <t>07617390000000</t>
  </si>
  <si>
    <t>07617470000000</t>
  </si>
  <si>
    <t>07617540000000</t>
  </si>
  <si>
    <t>07617620000000</t>
  </si>
  <si>
    <t>07617700000000</t>
  </si>
  <si>
    <t>07617880000000</t>
  </si>
  <si>
    <t>07618040000000</t>
  </si>
  <si>
    <t>07618120000000</t>
  </si>
  <si>
    <t>07617960000000</t>
  </si>
  <si>
    <t>08100820000000</t>
  </si>
  <si>
    <t>08618200000000</t>
  </si>
  <si>
    <t>09737830000000</t>
  </si>
  <si>
    <t>09618380000000</t>
  </si>
  <si>
    <t>09618460000000</t>
  </si>
  <si>
    <t>09100900000000</t>
  </si>
  <si>
    <t>09618530000000</t>
  </si>
  <si>
    <t>09618790000000</t>
  </si>
  <si>
    <t>09618870000000</t>
  </si>
  <si>
    <t>09618950000000</t>
  </si>
  <si>
    <t>09619030000000</t>
  </si>
  <si>
    <t>09619110000000</t>
  </si>
  <si>
    <t>09619290000000</t>
  </si>
  <si>
    <t>09619450000000</t>
  </si>
  <si>
    <t>09619520000000</t>
  </si>
  <si>
    <t>09619600000000</t>
  </si>
  <si>
    <t>09619780000000</t>
  </si>
  <si>
    <t>09619860000000</t>
  </si>
  <si>
    <t>10619940000000</t>
  </si>
  <si>
    <t>10620260000000</t>
  </si>
  <si>
    <t>10620420000000</t>
  </si>
  <si>
    <t>10755980000000</t>
  </si>
  <si>
    <t>10739650000000</t>
  </si>
  <si>
    <t>10621090000000</t>
  </si>
  <si>
    <t>10621170000000</t>
  </si>
  <si>
    <t>10621250000000</t>
  </si>
  <si>
    <t>10738090000000</t>
  </si>
  <si>
    <t>10621580000000</t>
  </si>
  <si>
    <t>10101080000000</t>
  </si>
  <si>
    <t>10621660000000</t>
  </si>
  <si>
    <t>10752340000000</t>
  </si>
  <si>
    <t>10739990000000</t>
  </si>
  <si>
    <t>10622650000000</t>
  </si>
  <si>
    <t>10622400000000</t>
  </si>
  <si>
    <t>10622570000000</t>
  </si>
  <si>
    <t>10622810000000</t>
  </si>
  <si>
    <t>10751270000000</t>
  </si>
  <si>
    <t>10623230000000</t>
  </si>
  <si>
    <t>10623310000000</t>
  </si>
  <si>
    <t>10623560000000</t>
  </si>
  <si>
    <t>10623640000000</t>
  </si>
  <si>
    <t>10623720000000</t>
  </si>
  <si>
    <t>10623800000000</t>
  </si>
  <si>
    <t>10754080000000</t>
  </si>
  <si>
    <t>10624140000000</t>
  </si>
  <si>
    <t>10624300000000</t>
  </si>
  <si>
    <t>10752750000000</t>
  </si>
  <si>
    <t>10625130000000</t>
  </si>
  <si>
    <t>10767780000000</t>
  </si>
  <si>
    <t>10625390000000</t>
  </si>
  <si>
    <t>10625470000000</t>
  </si>
  <si>
    <t>11625540000000</t>
  </si>
  <si>
    <t>11101160000000</t>
  </si>
  <si>
    <t>11765620000000</t>
  </si>
  <si>
    <t>11625960000000</t>
  </si>
  <si>
    <t>11754810000000</t>
  </si>
  <si>
    <t>11626380000000</t>
  </si>
  <si>
    <t>11626460000000</t>
  </si>
  <si>
    <t>11626530000000</t>
  </si>
  <si>
    <t>11626610000000</t>
  </si>
  <si>
    <t>12626790000000</t>
  </si>
  <si>
    <t>12626950000000</t>
  </si>
  <si>
    <t>12627030000000</t>
  </si>
  <si>
    <t>12627290000000</t>
  </si>
  <si>
    <t>12627370000000</t>
  </si>
  <si>
    <t>12627450000000</t>
  </si>
  <si>
    <t>12755150000000</t>
  </si>
  <si>
    <t>12753740000000</t>
  </si>
  <si>
    <t>12627940000000</t>
  </si>
  <si>
    <t>12768020000000</t>
  </si>
  <si>
    <t>12628100000000</t>
  </si>
  <si>
    <t>12628280000000</t>
  </si>
  <si>
    <t>12628360000000</t>
  </si>
  <si>
    <t>12628510000000</t>
  </si>
  <si>
    <t>12101240000000</t>
  </si>
  <si>
    <t>12628850000000</t>
  </si>
  <si>
    <t>12628930000000</t>
  </si>
  <si>
    <t>12629010000000</t>
  </si>
  <si>
    <t>12629190000000</t>
  </si>
  <si>
    <t>12629270000000</t>
  </si>
  <si>
    <t>12629350000000</t>
  </si>
  <si>
    <t>12753820000000</t>
  </si>
  <si>
    <t>12629500000000</t>
  </si>
  <si>
    <t>12626870000000</t>
  </si>
  <si>
    <t>12629680000000</t>
  </si>
  <si>
    <t>12629760000000</t>
  </si>
  <si>
    <t>12629840000000</t>
  </si>
  <si>
    <t>12630080000000</t>
  </si>
  <si>
    <t>12630240000000</t>
  </si>
  <si>
    <t>12630320000000</t>
  </si>
  <si>
    <t>12630400000000</t>
  </si>
  <si>
    <t>12630570000000</t>
  </si>
  <si>
    <t>13630730000000</t>
  </si>
  <si>
    <t>13630810000000</t>
  </si>
  <si>
    <t>13630990000000</t>
  </si>
  <si>
    <t>13631070000000</t>
  </si>
  <si>
    <t>13631150000000</t>
  </si>
  <si>
    <t>13631230000000</t>
  </si>
  <si>
    <t>13631310000000</t>
  </si>
  <si>
    <t>13631490000000</t>
  </si>
  <si>
    <t>13101320000000</t>
  </si>
  <si>
    <t>13631640000000</t>
  </si>
  <si>
    <t>13631720000000</t>
  </si>
  <si>
    <t>13631800000000</t>
  </si>
  <si>
    <t>13631980000000</t>
  </si>
  <si>
    <t>13632060000000</t>
  </si>
  <si>
    <t>13632140000000</t>
  </si>
  <si>
    <t>13632220000000</t>
  </si>
  <si>
    <t>13632300000000</t>
  </si>
  <si>
    <t>14632480000000</t>
  </si>
  <si>
    <t>14766870000000</t>
  </si>
  <si>
    <t>14632710000000</t>
  </si>
  <si>
    <t>14101400000000</t>
  </si>
  <si>
    <t>14632890000000</t>
  </si>
  <si>
    <t>14632970000000</t>
  </si>
  <si>
    <t>14633050000000</t>
  </si>
  <si>
    <t>15633130000000</t>
  </si>
  <si>
    <t>15633210000000</t>
  </si>
  <si>
    <t>15633390000000</t>
  </si>
  <si>
    <t>15633540000000</t>
  </si>
  <si>
    <t>15633700000000</t>
  </si>
  <si>
    <t>15633880000000</t>
  </si>
  <si>
    <t>15634120000000</t>
  </si>
  <si>
    <t>15634040000000</t>
  </si>
  <si>
    <t>15634200000000</t>
  </si>
  <si>
    <t>15634380000000</t>
  </si>
  <si>
    <t>15751680000000</t>
  </si>
  <si>
    <t>15634460000000</t>
  </si>
  <si>
    <t>15634610000000</t>
  </si>
  <si>
    <t>15634790000000</t>
  </si>
  <si>
    <t>15634870000000</t>
  </si>
  <si>
    <t>15635030000000</t>
  </si>
  <si>
    <t>15101570000000</t>
  </si>
  <si>
    <t>15635290000000</t>
  </si>
  <si>
    <t>15748070000000</t>
  </si>
  <si>
    <t>15635450000000</t>
  </si>
  <si>
    <t>15635520000000</t>
  </si>
  <si>
    <t>15635600000000</t>
  </si>
  <si>
    <t>15635860000000</t>
  </si>
  <si>
    <t>15635940000000</t>
  </si>
  <si>
    <t>15636100000000</t>
  </si>
  <si>
    <t>15636280000000</t>
  </si>
  <si>
    <t>15739080000000</t>
  </si>
  <si>
    <t>15636510000000</t>
  </si>
  <si>
    <t>15636690000000</t>
  </si>
  <si>
    <t>15636770000000</t>
  </si>
  <si>
    <t>15636850000000</t>
  </si>
  <si>
    <t>15636930000000</t>
  </si>
  <si>
    <t>15633620000000</t>
  </si>
  <si>
    <t>15637190000000</t>
  </si>
  <si>
    <t>15635780000000</t>
  </si>
  <si>
    <t>15735440000000</t>
  </si>
  <si>
    <t>15637500000000</t>
  </si>
  <si>
    <t>15737420000000</t>
  </si>
  <si>
    <t>15637840000000</t>
  </si>
  <si>
    <t>15637760000000</t>
  </si>
  <si>
    <t>15637920000000</t>
  </si>
  <si>
    <t>15638000000000</t>
  </si>
  <si>
    <t>15638180000000</t>
  </si>
  <si>
    <t>15638260000000</t>
  </si>
  <si>
    <t>15638340000000</t>
  </si>
  <si>
    <t>15638420000000</t>
  </si>
  <si>
    <t>15638590000000</t>
  </si>
  <si>
    <t>16638750000000</t>
  </si>
  <si>
    <t>16638830000000</t>
  </si>
  <si>
    <t>16638910000000</t>
  </si>
  <si>
    <t>16639170000000</t>
  </si>
  <si>
    <t>16639250000000</t>
  </si>
  <si>
    <t>16639330000000</t>
  </si>
  <si>
    <t>16101650000000</t>
  </si>
  <si>
    <t>16639410000000</t>
  </si>
  <si>
    <t>16639580000000</t>
  </si>
  <si>
    <t>16639660000000</t>
  </si>
  <si>
    <t>16639740000000</t>
  </si>
  <si>
    <t>16639820000000</t>
  </si>
  <si>
    <t>16639900000000</t>
  </si>
  <si>
    <t>16739320000000</t>
  </si>
  <si>
    <t>17640140000000</t>
  </si>
  <si>
    <t>17640220000000</t>
  </si>
  <si>
    <t>17101730000000</t>
  </si>
  <si>
    <t>17640300000000</t>
  </si>
  <si>
    <t>17640480000000</t>
  </si>
  <si>
    <t>17640550000000</t>
  </si>
  <si>
    <t>17769760000000</t>
  </si>
  <si>
    <t>18640890000000</t>
  </si>
  <si>
    <t>18750360000000</t>
  </si>
  <si>
    <t>18641050000000</t>
  </si>
  <si>
    <t>18641130000000</t>
  </si>
  <si>
    <t>18101810000000</t>
  </si>
  <si>
    <t>18641390000000</t>
  </si>
  <si>
    <t>18641620000000</t>
  </si>
  <si>
    <t>18641700000000</t>
  </si>
  <si>
    <t>18641880000000</t>
  </si>
  <si>
    <t>18641960000000</t>
  </si>
  <si>
    <t>18642040000000</t>
  </si>
  <si>
    <t>19642120000000</t>
  </si>
  <si>
    <t>19753090000000</t>
  </si>
  <si>
    <t>19757130000000</t>
  </si>
  <si>
    <t>19642460000000</t>
  </si>
  <si>
    <t>19642610000000</t>
  </si>
  <si>
    <t>19642790000000</t>
  </si>
  <si>
    <t>19642870000000</t>
  </si>
  <si>
    <t>19642950000000</t>
  </si>
  <si>
    <t>19643030000000</t>
  </si>
  <si>
    <t>19643110000000</t>
  </si>
  <si>
    <t>19643290000000</t>
  </si>
  <si>
    <t>19643370000000</t>
  </si>
  <si>
    <t>19770160000000</t>
  </si>
  <si>
    <t>19643450000000</t>
  </si>
  <si>
    <t>19643520000000</t>
  </si>
  <si>
    <t>19643780000000</t>
  </si>
  <si>
    <t>19643940000000</t>
  </si>
  <si>
    <t>19734370000000</t>
  </si>
  <si>
    <t>19644360000000</t>
  </si>
  <si>
    <t>19644440000000</t>
  </si>
  <si>
    <t>19644510000000</t>
  </si>
  <si>
    <t>19644690000000</t>
  </si>
  <si>
    <t>19644850000000</t>
  </si>
  <si>
    <t>19644770000000</t>
  </si>
  <si>
    <t>19645010000000</t>
  </si>
  <si>
    <t>19645190000000</t>
  </si>
  <si>
    <t>19645270000000</t>
  </si>
  <si>
    <t>19645350000000</t>
  </si>
  <si>
    <t>19645500000000</t>
  </si>
  <si>
    <t>19645680000000</t>
  </si>
  <si>
    <t>19645760000000</t>
  </si>
  <si>
    <t>19645840000000</t>
  </si>
  <si>
    <t>19734450000000</t>
  </si>
  <si>
    <t>19645920000000</t>
  </si>
  <si>
    <t>19646000000000</t>
  </si>
  <si>
    <t>19646260000000</t>
  </si>
  <si>
    <t>19646340000000</t>
  </si>
  <si>
    <t>19646420000000</t>
  </si>
  <si>
    <t>19646590000000</t>
  </si>
  <si>
    <t>19646670000000</t>
  </si>
  <si>
    <t>19646830000000</t>
  </si>
  <si>
    <t>19646910000000</t>
  </si>
  <si>
    <t>19647090000000</t>
  </si>
  <si>
    <t>19647170000000</t>
  </si>
  <si>
    <t>19647250000000</t>
  </si>
  <si>
    <t>19101990000000</t>
  </si>
  <si>
    <t>19647330000000</t>
  </si>
  <si>
    <t>19744350000000</t>
  </si>
  <si>
    <t>19647580000000</t>
  </si>
  <si>
    <t>19647740000000</t>
  </si>
  <si>
    <t>19753330000000</t>
  </si>
  <si>
    <t>19647900000000</t>
  </si>
  <si>
    <t>19648080000000</t>
  </si>
  <si>
    <t>19648160000000</t>
  </si>
  <si>
    <t>19648320000000</t>
  </si>
  <si>
    <t>19648400000000</t>
  </si>
  <si>
    <t>19648570000000</t>
  </si>
  <si>
    <t>19648650000000</t>
  </si>
  <si>
    <t>19648730000000</t>
  </si>
  <si>
    <t>19648810000000</t>
  </si>
  <si>
    <t>19649070000000</t>
  </si>
  <si>
    <t>19753410000000</t>
  </si>
  <si>
    <t>19649310000000</t>
  </si>
  <si>
    <t>19734520000000</t>
  </si>
  <si>
    <t>19752910000000</t>
  </si>
  <si>
    <t>19649640000000</t>
  </si>
  <si>
    <t>19649800000000</t>
  </si>
  <si>
    <t>19649980000000</t>
  </si>
  <si>
    <t>19650290000000</t>
  </si>
  <si>
    <t>19650370000000</t>
  </si>
  <si>
    <t>19743360000000</t>
  </si>
  <si>
    <t>19650450000000</t>
  </si>
  <si>
    <t>19650520000000</t>
  </si>
  <si>
    <t>19650600000000</t>
  </si>
  <si>
    <t>19650780000000</t>
  </si>
  <si>
    <t>19734600000000</t>
  </si>
  <si>
    <t>19650940000000</t>
  </si>
  <si>
    <t>19651020000000</t>
  </si>
  <si>
    <t>19651100000000</t>
  </si>
  <si>
    <t>19651280000000</t>
  </si>
  <si>
    <t>19651360000000</t>
  </si>
  <si>
    <t>19651510000000</t>
  </si>
  <si>
    <t>19768690000000</t>
  </si>
  <si>
    <t>20651770000000</t>
  </si>
  <si>
    <t>20651850000000</t>
  </si>
  <si>
    <t>20756060000000</t>
  </si>
  <si>
    <t>20651930000000</t>
  </si>
  <si>
    <t>20652010000000</t>
  </si>
  <si>
    <t>20755800000000</t>
  </si>
  <si>
    <t>20102070000000</t>
  </si>
  <si>
    <t>20652430000000</t>
  </si>
  <si>
    <t>20652760000000</t>
  </si>
  <si>
    <t>20764140000000</t>
  </si>
  <si>
    <t>21653000000000</t>
  </si>
  <si>
    <t>21653340000000</t>
  </si>
  <si>
    <t>21653420000000</t>
  </si>
  <si>
    <t>21653590000000</t>
  </si>
  <si>
    <t>21653670000000</t>
  </si>
  <si>
    <t>21102150000000</t>
  </si>
  <si>
    <t>21653910000000</t>
  </si>
  <si>
    <t>21653180000000</t>
  </si>
  <si>
    <t>21654090000000</t>
  </si>
  <si>
    <t>21654170000000</t>
  </si>
  <si>
    <t>21654250000000</t>
  </si>
  <si>
    <t>21654330000000</t>
  </si>
  <si>
    <t>21750020000000</t>
  </si>
  <si>
    <t>21654580000000</t>
  </si>
  <si>
    <t>21654660000000</t>
  </si>
  <si>
    <t>21654740000000</t>
  </si>
  <si>
    <t>21733610000000</t>
  </si>
  <si>
    <t>21654820000000</t>
  </si>
  <si>
    <t>22102230000000</t>
  </si>
  <si>
    <t>22655320000000</t>
  </si>
  <si>
    <t>23655400000000</t>
  </si>
  <si>
    <t>23655570000000</t>
  </si>
  <si>
    <t>23655650000000</t>
  </si>
  <si>
    <t>23739160000000</t>
  </si>
  <si>
    <t>23752180000000</t>
  </si>
  <si>
    <t>23655730000000</t>
  </si>
  <si>
    <t>23102310000000</t>
  </si>
  <si>
    <t>23655810000000</t>
  </si>
  <si>
    <t>23655990000000</t>
  </si>
  <si>
    <t>23738660000000</t>
  </si>
  <si>
    <t>23656070000000</t>
  </si>
  <si>
    <t>23656150000000</t>
  </si>
  <si>
    <t>23656230000000</t>
  </si>
  <si>
    <t>24656310000000</t>
  </si>
  <si>
    <t>24656490000000</t>
  </si>
  <si>
    <t>24753660000000</t>
  </si>
  <si>
    <t>24753170000000</t>
  </si>
  <si>
    <t>24656800000000</t>
  </si>
  <si>
    <t>24736190000000</t>
  </si>
  <si>
    <t>24656980000000</t>
  </si>
  <si>
    <t>24657220000000</t>
  </si>
  <si>
    <t>24657300000000</t>
  </si>
  <si>
    <t>24657480000000</t>
  </si>
  <si>
    <t>24657550000000</t>
  </si>
  <si>
    <t>24657630000000</t>
  </si>
  <si>
    <t>24657710000000</t>
  </si>
  <si>
    <t>24102490000000</t>
  </si>
  <si>
    <t>24737260000000</t>
  </si>
  <si>
    <t>24657890000000</t>
  </si>
  <si>
    <t>24658130000000</t>
  </si>
  <si>
    <t>24658210000000</t>
  </si>
  <si>
    <t>24658390000000</t>
  </si>
  <si>
    <t>24658620000000</t>
  </si>
  <si>
    <t>24658700000000</t>
  </si>
  <si>
    <t>25102560000000</t>
  </si>
  <si>
    <t>25735850000000</t>
  </si>
  <si>
    <t>25658960000000</t>
  </si>
  <si>
    <t>25735930000000</t>
  </si>
  <si>
    <t>26736680000000</t>
  </si>
  <si>
    <t>26736920000000</t>
  </si>
  <si>
    <t>26102640000000</t>
  </si>
  <si>
    <t>27659610000000</t>
  </si>
  <si>
    <t>27751500000000</t>
  </si>
  <si>
    <t>27659790000000</t>
  </si>
  <si>
    <t>27659870000000</t>
  </si>
  <si>
    <t>27659950000000</t>
  </si>
  <si>
    <t>27754730000000</t>
  </si>
  <si>
    <t>27660270000000</t>
  </si>
  <si>
    <t>27660350000000</t>
  </si>
  <si>
    <t>27660500000000</t>
  </si>
  <si>
    <t>27660760000000</t>
  </si>
  <si>
    <t>27660840000000</t>
  </si>
  <si>
    <t>27102720000000</t>
  </si>
  <si>
    <t>27660920000000</t>
  </si>
  <si>
    <t>27738250000000</t>
  </si>
  <si>
    <t>27661340000000</t>
  </si>
  <si>
    <t>27661420000000</t>
  </si>
  <si>
    <t>27661590000000</t>
  </si>
  <si>
    <t>27661670000000</t>
  </si>
  <si>
    <t>27661750000000</t>
  </si>
  <si>
    <t>27661830000000</t>
  </si>
  <si>
    <t>27661910000000</t>
  </si>
  <si>
    <t>27754400000000</t>
  </si>
  <si>
    <t>27660680000000</t>
  </si>
  <si>
    <t>27662250000000</t>
  </si>
  <si>
    <t>27662330000000</t>
  </si>
  <si>
    <t>28662410000000</t>
  </si>
  <si>
    <t>28662580000000</t>
  </si>
  <si>
    <t>28102800000000</t>
  </si>
  <si>
    <t>28662660000000</t>
  </si>
  <si>
    <t>28662820000000</t>
  </si>
  <si>
    <t>28662900000000</t>
  </si>
  <si>
    <t>29663160000000</t>
  </si>
  <si>
    <t>29663240000000</t>
  </si>
  <si>
    <t>29663320000000</t>
  </si>
  <si>
    <t>29663400000000</t>
  </si>
  <si>
    <t>29102980000000</t>
  </si>
  <si>
    <t>29663570000000</t>
  </si>
  <si>
    <t>29768770000000</t>
  </si>
  <si>
    <t>29663730000000</t>
  </si>
  <si>
    <t>29664150000000</t>
  </si>
  <si>
    <t>29664070000000</t>
  </si>
  <si>
    <t>30664230000000</t>
  </si>
  <si>
    <t>30664310000000</t>
  </si>
  <si>
    <t>30664490000000</t>
  </si>
  <si>
    <t>30664560000000</t>
  </si>
  <si>
    <t>30664640000000</t>
  </si>
  <si>
    <t>30742520000000</t>
  </si>
  <si>
    <t>30664720000000</t>
  </si>
  <si>
    <t>30741120000000</t>
  </si>
  <si>
    <t>30664800000000</t>
  </si>
  <si>
    <t>30664980000000</t>
  </si>
  <si>
    <t>30665060000000</t>
  </si>
  <si>
    <t>30665140000000</t>
  </si>
  <si>
    <t>30665220000000</t>
  </si>
  <si>
    <t>30665300000000</t>
  </si>
  <si>
    <t>30665480000000</t>
  </si>
  <si>
    <t>30736500000000</t>
  </si>
  <si>
    <t>30665630000000</t>
  </si>
  <si>
    <t>30665550000000</t>
  </si>
  <si>
    <t>30739240000000</t>
  </si>
  <si>
    <t>30647660000000</t>
  </si>
  <si>
    <t>30665890000000</t>
  </si>
  <si>
    <t>30665970000000</t>
  </si>
  <si>
    <t>30666130000000</t>
  </si>
  <si>
    <t>30103060000000</t>
  </si>
  <si>
    <t>30666210000000</t>
  </si>
  <si>
    <t>30666470000000</t>
  </si>
  <si>
    <t>30736350000000</t>
  </si>
  <si>
    <t>30666700000000</t>
  </si>
  <si>
    <t>30666960000000</t>
  </si>
  <si>
    <t>30736430000000</t>
  </si>
  <si>
    <t>30667460000000</t>
  </si>
  <si>
    <t>31667610000000</t>
  </si>
  <si>
    <t>31667790000000</t>
  </si>
  <si>
    <t>31667870000000</t>
  </si>
  <si>
    <t>31667950000000</t>
  </si>
  <si>
    <t>31668030000000</t>
  </si>
  <si>
    <t>31668290000000</t>
  </si>
  <si>
    <t>31668370000000</t>
  </si>
  <si>
    <t>31668450000000</t>
  </si>
  <si>
    <t>31668520000000</t>
  </si>
  <si>
    <t>31103140000000</t>
  </si>
  <si>
    <t>31668860000000</t>
  </si>
  <si>
    <t>31668940000000</t>
  </si>
  <si>
    <t>31750850000000</t>
  </si>
  <si>
    <t>31669100000000</t>
  </si>
  <si>
    <t>31669280000000</t>
  </si>
  <si>
    <t>31669440000000</t>
  </si>
  <si>
    <t>31669510000000</t>
  </si>
  <si>
    <t>32103220000000</t>
  </si>
  <si>
    <t>32669690000000</t>
  </si>
  <si>
    <t>33669770000000</t>
  </si>
  <si>
    <t>33669850000000</t>
  </si>
  <si>
    <t>33669930000000</t>
  </si>
  <si>
    <t>33736760000000</t>
  </si>
  <si>
    <t>33670330000000</t>
  </si>
  <si>
    <t>33670410000000</t>
  </si>
  <si>
    <t>33670580000000</t>
  </si>
  <si>
    <t>33670820000000</t>
  </si>
  <si>
    <t>33670900000000</t>
  </si>
  <si>
    <t>33751760000000</t>
  </si>
  <si>
    <t>33671160000000</t>
  </si>
  <si>
    <t>33671240000000</t>
  </si>
  <si>
    <t>33752000000000</t>
  </si>
  <si>
    <t>33671570000000</t>
  </si>
  <si>
    <t>33671730000000</t>
  </si>
  <si>
    <t>33671810000000</t>
  </si>
  <si>
    <t>33671990000000</t>
  </si>
  <si>
    <t>33672070000000</t>
  </si>
  <si>
    <t>33103300000000</t>
  </si>
  <si>
    <t>33672150000000</t>
  </si>
  <si>
    <t>33672310000000</t>
  </si>
  <si>
    <t>33672490000000</t>
  </si>
  <si>
    <t>33751920000000</t>
  </si>
  <si>
    <t>33752420000000</t>
  </si>
  <si>
    <t>34672800000000</t>
  </si>
  <si>
    <t>34322760000000</t>
  </si>
  <si>
    <t>34739730000000</t>
  </si>
  <si>
    <t>34673140000000</t>
  </si>
  <si>
    <t>34673220000000</t>
  </si>
  <si>
    <t>34673300000000</t>
  </si>
  <si>
    <t>34673480000000</t>
  </si>
  <si>
    <t>34673550000000</t>
  </si>
  <si>
    <t>34752830000000</t>
  </si>
  <si>
    <t>34674130000000</t>
  </si>
  <si>
    <t>34674210000000</t>
  </si>
  <si>
    <t>34674390000000</t>
  </si>
  <si>
    <t>34103480000000</t>
  </si>
  <si>
    <t>34674470000000</t>
  </si>
  <si>
    <t>34765050000000</t>
  </si>
  <si>
    <t>35752590000000</t>
  </si>
  <si>
    <t>35674540000000</t>
  </si>
  <si>
    <t>35674620000000</t>
  </si>
  <si>
    <t>35674700000000</t>
  </si>
  <si>
    <t>35674880000000</t>
  </si>
  <si>
    <t>35675040000000</t>
  </si>
  <si>
    <t>35675200000000</t>
  </si>
  <si>
    <t>35103550000000</t>
  </si>
  <si>
    <t>35675380000000</t>
  </si>
  <si>
    <t>35675530000000</t>
  </si>
  <si>
    <t>35675610000000</t>
  </si>
  <si>
    <t>35675790000000</t>
  </si>
  <si>
    <t>36675870000000</t>
  </si>
  <si>
    <t>36675950000000</t>
  </si>
  <si>
    <t>36750770000000</t>
  </si>
  <si>
    <t>36738580000000</t>
  </si>
  <si>
    <t>36676110000000</t>
  </si>
  <si>
    <t>36676370000000</t>
  </si>
  <si>
    <t>36676450000000</t>
  </si>
  <si>
    <t>36676520000000</t>
  </si>
  <si>
    <t>36676780000000</t>
  </si>
  <si>
    <t>36676860000000</t>
  </si>
  <si>
    <t>36676940000000</t>
  </si>
  <si>
    <t>36677020000000</t>
  </si>
  <si>
    <t>36677100000000</t>
  </si>
  <si>
    <t>36677360000000</t>
  </si>
  <si>
    <t>36750440000000</t>
  </si>
  <si>
    <t>36750510000000</t>
  </si>
  <si>
    <t>36677770000000</t>
  </si>
  <si>
    <t>36677850000000</t>
  </si>
  <si>
    <t>36677930000000</t>
  </si>
  <si>
    <t>36678010000000</t>
  </si>
  <si>
    <t>36678190000000</t>
  </si>
  <si>
    <t>36678270000000</t>
  </si>
  <si>
    <t>36678430000000</t>
  </si>
  <si>
    <t>36678500000000</t>
  </si>
  <si>
    <t>36678680000000</t>
  </si>
  <si>
    <t>36678760000000</t>
  </si>
  <si>
    <t>36103630000000</t>
  </si>
  <si>
    <t>36738900000000</t>
  </si>
  <si>
    <t>36739570000000</t>
  </si>
  <si>
    <t>36678920000000</t>
  </si>
  <si>
    <t>36750690000000</t>
  </si>
  <si>
    <t>36679180000000</t>
  </si>
  <si>
    <t>36679340000000</t>
  </si>
  <si>
    <t>36679590000000</t>
  </si>
  <si>
    <t>37679670000000</t>
  </si>
  <si>
    <t>37768510000000</t>
  </si>
  <si>
    <t>37679830000000</t>
  </si>
  <si>
    <t>37679910000000</t>
  </si>
  <si>
    <t>37680070000000</t>
  </si>
  <si>
    <t>37735510000000</t>
  </si>
  <si>
    <t>37680230000000</t>
  </si>
  <si>
    <t>37680310000000</t>
  </si>
  <si>
    <t>37680490000000</t>
  </si>
  <si>
    <t>37680560000000</t>
  </si>
  <si>
    <t>37680800000000</t>
  </si>
  <si>
    <t>37680980000000</t>
  </si>
  <si>
    <t>37681060000000</t>
  </si>
  <si>
    <t>37681140000000</t>
  </si>
  <si>
    <t>37681220000000</t>
  </si>
  <si>
    <t>37681300000000</t>
  </si>
  <si>
    <t>37681550000000</t>
  </si>
  <si>
    <t>37681630000000</t>
  </si>
  <si>
    <t>37681710000000</t>
  </si>
  <si>
    <t>37681970000000</t>
  </si>
  <si>
    <t>37681890000000</t>
  </si>
  <si>
    <t>37682050000000</t>
  </si>
  <si>
    <t>37682130000000</t>
  </si>
  <si>
    <t>37682210000000</t>
  </si>
  <si>
    <t>37735690000000</t>
  </si>
  <si>
    <t>37682960000000</t>
  </si>
  <si>
    <t>37683040000000</t>
  </si>
  <si>
    <t>37683120000000</t>
  </si>
  <si>
    <t>37103710000000</t>
  </si>
  <si>
    <t>37683380000000</t>
  </si>
  <si>
    <t>37683460000000</t>
  </si>
  <si>
    <t>37737910000000</t>
  </si>
  <si>
    <t>37683530000000</t>
  </si>
  <si>
    <t>37683790000000</t>
  </si>
  <si>
    <t>37683610000000</t>
  </si>
  <si>
    <t>37683870000000</t>
  </si>
  <si>
    <t>37683950000000</t>
  </si>
  <si>
    <t>37684030000000</t>
  </si>
  <si>
    <t>37684110000000</t>
  </si>
  <si>
    <t>37684370000000</t>
  </si>
  <si>
    <t>37756140000000</t>
  </si>
  <si>
    <t>37684520000000</t>
  </si>
  <si>
    <t>37754160000000</t>
  </si>
  <si>
    <t>38103890000000</t>
  </si>
  <si>
    <t>38684780000000</t>
  </si>
  <si>
    <t>39773880000000</t>
  </si>
  <si>
    <t>39685020000000</t>
  </si>
  <si>
    <t>39685440000000</t>
  </si>
  <si>
    <t>39767600000000</t>
  </si>
  <si>
    <t>39685690000000</t>
  </si>
  <si>
    <t>39685770000000</t>
  </si>
  <si>
    <t>39685850000000</t>
  </si>
  <si>
    <t>39685930000000</t>
  </si>
  <si>
    <t>39686190000000</t>
  </si>
  <si>
    <t>39686270000000</t>
  </si>
  <si>
    <t>39686350000000</t>
  </si>
  <si>
    <t>39686500000000</t>
  </si>
  <si>
    <t>39103970000000</t>
  </si>
  <si>
    <t>39745420000000</t>
  </si>
  <si>
    <t>39686760000000</t>
  </si>
  <si>
    <t>39754990000000</t>
  </si>
  <si>
    <t>40687000000000</t>
  </si>
  <si>
    <t>40687260000000</t>
  </si>
  <si>
    <t>40754650000000</t>
  </si>
  <si>
    <t>40687590000000</t>
  </si>
  <si>
    <t>40754570000000</t>
  </si>
  <si>
    <t>40687910000000</t>
  </si>
  <si>
    <t>40688090000000</t>
  </si>
  <si>
    <t>40104050000000</t>
  </si>
  <si>
    <t>40688250000000</t>
  </si>
  <si>
    <t>40688330000000</t>
  </si>
  <si>
    <t>40688410000000</t>
  </si>
  <si>
    <t>41688580000000</t>
  </si>
  <si>
    <t>41688660000000</t>
  </si>
  <si>
    <t>41688740000000</t>
  </si>
  <si>
    <t>41688820000000</t>
  </si>
  <si>
    <t>41688900000000</t>
  </si>
  <si>
    <t>41689080000000</t>
  </si>
  <si>
    <t>41689160000000</t>
  </si>
  <si>
    <t>41689240000000</t>
  </si>
  <si>
    <t>41689400000000</t>
  </si>
  <si>
    <t>41689570000000</t>
  </si>
  <si>
    <t>41689650000000</t>
  </si>
  <si>
    <t>41689730000000</t>
  </si>
  <si>
    <t>41689320000000</t>
  </si>
  <si>
    <t>41689810000000</t>
  </si>
  <si>
    <t>41689990000000</t>
  </si>
  <si>
    <t>41690050000000</t>
  </si>
  <si>
    <t>41690130000000</t>
  </si>
  <si>
    <t>41690210000000</t>
  </si>
  <si>
    <t>41104130000000</t>
  </si>
  <si>
    <t>41690470000000</t>
  </si>
  <si>
    <t>41690390000000</t>
  </si>
  <si>
    <t>41690620000000</t>
  </si>
  <si>
    <t>41690700000000</t>
  </si>
  <si>
    <t>41690880000000</t>
  </si>
  <si>
    <t>42691040000000</t>
  </si>
  <si>
    <t>42691120000000</t>
  </si>
  <si>
    <t>42691380000000</t>
  </si>
  <si>
    <t>42691460000000</t>
  </si>
  <si>
    <t>42691610000000</t>
  </si>
  <si>
    <t>42691790000000</t>
  </si>
  <si>
    <t>42750100000000</t>
  </si>
  <si>
    <t>42691950000000</t>
  </si>
  <si>
    <t>42692030000000</t>
  </si>
  <si>
    <t>42692110000000</t>
  </si>
  <si>
    <t>42692290000000</t>
  </si>
  <si>
    <t>42692450000000</t>
  </si>
  <si>
    <t>42692520000000</t>
  </si>
  <si>
    <t>42692600000000</t>
  </si>
  <si>
    <t>42104210000000</t>
  </si>
  <si>
    <t>42767860000000</t>
  </si>
  <si>
    <t>42693100000000</t>
  </si>
  <si>
    <t>42691200000000</t>
  </si>
  <si>
    <t>42693280000000</t>
  </si>
  <si>
    <t>42693360000000</t>
  </si>
  <si>
    <t>42693440000000</t>
  </si>
  <si>
    <t>43693690000000</t>
  </si>
  <si>
    <t>43693770000000</t>
  </si>
  <si>
    <t>43693850000000</t>
  </si>
  <si>
    <t>43693930000000</t>
  </si>
  <si>
    <t>43694010000000</t>
  </si>
  <si>
    <t>43694190000000</t>
  </si>
  <si>
    <t>43694270000000</t>
  </si>
  <si>
    <t>43694350000000</t>
  </si>
  <si>
    <t>43694500000000</t>
  </si>
  <si>
    <t>43694680000000</t>
  </si>
  <si>
    <t>43694840000000</t>
  </si>
  <si>
    <t>43694920000000</t>
  </si>
  <si>
    <t>43695000000000</t>
  </si>
  <si>
    <t>43695180000000</t>
  </si>
  <si>
    <t>43695260000000</t>
  </si>
  <si>
    <t>43695340000000</t>
  </si>
  <si>
    <t>43695420000000</t>
  </si>
  <si>
    <t>43742940000000</t>
  </si>
  <si>
    <t>43733870000000</t>
  </si>
  <si>
    <t>43695750000000</t>
  </si>
  <si>
    <t>43695830000000</t>
  </si>
  <si>
    <t>43696170000000</t>
  </si>
  <si>
    <t>43695910000000</t>
  </si>
  <si>
    <t>43696090000000</t>
  </si>
  <si>
    <t>43766200000000</t>
  </si>
  <si>
    <t>43696250000000</t>
  </si>
  <si>
    <t>43696330000000</t>
  </si>
  <si>
    <t>43696410000000</t>
  </si>
  <si>
    <t>43696660000000</t>
  </si>
  <si>
    <t>43104390000000</t>
  </si>
  <si>
    <t>43696740000000</t>
  </si>
  <si>
    <t>43696820000000</t>
  </si>
  <si>
    <t>43696900000000</t>
  </si>
  <si>
    <t>43697080000000</t>
  </si>
  <si>
    <t>44697320000000</t>
  </si>
  <si>
    <t>44697570000000</t>
  </si>
  <si>
    <t>44697650000000</t>
  </si>
  <si>
    <t>44697730000000</t>
  </si>
  <si>
    <t>44697810000000</t>
  </si>
  <si>
    <t>44697990000000</t>
  </si>
  <si>
    <t>44698070000000</t>
  </si>
  <si>
    <t>44698150000000</t>
  </si>
  <si>
    <t>44698230000000</t>
  </si>
  <si>
    <t>44104470000000</t>
  </si>
  <si>
    <t>44754320000000</t>
  </si>
  <si>
    <t>44698490000000</t>
  </si>
  <si>
    <t>45698560000000</t>
  </si>
  <si>
    <t>45698720000000</t>
  </si>
  <si>
    <t>45698800000000</t>
  </si>
  <si>
    <t>45699140000000</t>
  </si>
  <si>
    <t>45699220000000</t>
  </si>
  <si>
    <t>45699480000000</t>
  </si>
  <si>
    <t>45699550000000</t>
  </si>
  <si>
    <t>45699710000000</t>
  </si>
  <si>
    <t>45699890000000</t>
  </si>
  <si>
    <t>45699970000000</t>
  </si>
  <si>
    <t>45752670000000</t>
  </si>
  <si>
    <t>45700030000000</t>
  </si>
  <si>
    <t>45700110000000</t>
  </si>
  <si>
    <t>45700290000000</t>
  </si>
  <si>
    <t>45700370000000</t>
  </si>
  <si>
    <t>45700450000000</t>
  </si>
  <si>
    <t>45700520000000</t>
  </si>
  <si>
    <t>45737000000000</t>
  </si>
  <si>
    <t>45700780000000</t>
  </si>
  <si>
    <t>45700860000000</t>
  </si>
  <si>
    <t>45700940000000</t>
  </si>
  <si>
    <t>45701100000000</t>
  </si>
  <si>
    <t>45104540000000</t>
  </si>
  <si>
    <t>45701280000000</t>
  </si>
  <si>
    <t>45701360000000</t>
  </si>
  <si>
    <t>45701690000000</t>
  </si>
  <si>
    <t>46104620000000</t>
  </si>
  <si>
    <t>46701770000000</t>
  </si>
  <si>
    <t>47701850000000</t>
  </si>
  <si>
    <t>47701930000000</t>
  </si>
  <si>
    <t>47736840000000</t>
  </si>
  <si>
    <t>47702010000000</t>
  </si>
  <si>
    <t>47702270000000</t>
  </si>
  <si>
    <t>47702430000000</t>
  </si>
  <si>
    <t>47702500000000</t>
  </si>
  <si>
    <t>47702920000000</t>
  </si>
  <si>
    <t>47703180000000</t>
  </si>
  <si>
    <t>47703260000000</t>
  </si>
  <si>
    <t>47703340000000</t>
  </si>
  <si>
    <t>47703590000000</t>
  </si>
  <si>
    <t>47703670000000</t>
  </si>
  <si>
    <t>47703750000000</t>
  </si>
  <si>
    <t>47703830000000</t>
  </si>
  <si>
    <t>47704090000000</t>
  </si>
  <si>
    <t>47704170000000</t>
  </si>
  <si>
    <t>47704250000000</t>
  </si>
  <si>
    <t>47764550000000</t>
  </si>
  <si>
    <t>47704580000000</t>
  </si>
  <si>
    <t>47104700000000</t>
  </si>
  <si>
    <t>47704660000000</t>
  </si>
  <si>
    <t>47704820000000</t>
  </si>
  <si>
    <t>47704900000000</t>
  </si>
  <si>
    <t>47705080000000</t>
  </si>
  <si>
    <t>47705160000000</t>
  </si>
  <si>
    <t>48705240000000</t>
  </si>
  <si>
    <t>48705320000000</t>
  </si>
  <si>
    <t>48705400000000</t>
  </si>
  <si>
    <t>48104880000000</t>
  </si>
  <si>
    <t>48705650000000</t>
  </si>
  <si>
    <t>48705730000000</t>
  </si>
  <si>
    <t>48705810000000</t>
  </si>
  <si>
    <t>49705990000000</t>
  </si>
  <si>
    <t>49706150000000</t>
  </si>
  <si>
    <t>49706230000000</t>
  </si>
  <si>
    <t>49706490000000</t>
  </si>
  <si>
    <t>49706560000000</t>
  </si>
  <si>
    <t>49738820000000</t>
  </si>
  <si>
    <t>49706720000000</t>
  </si>
  <si>
    <t>49706800000000</t>
  </si>
  <si>
    <t>49706980000000</t>
  </si>
  <si>
    <t>49707060000000</t>
  </si>
  <si>
    <t>49707140000000</t>
  </si>
  <si>
    <t>49707220000000</t>
  </si>
  <si>
    <t>49707300000000</t>
  </si>
  <si>
    <t>49753900000000</t>
  </si>
  <si>
    <t>49707630000000</t>
  </si>
  <si>
    <t>49708880000000</t>
  </si>
  <si>
    <t>49707890000000</t>
  </si>
  <si>
    <t>49707970000000</t>
  </si>
  <si>
    <t>49708050000000</t>
  </si>
  <si>
    <t>49708130000000</t>
  </si>
  <si>
    <t>49708210000000</t>
  </si>
  <si>
    <t>49708390000000</t>
  </si>
  <si>
    <t>49708470000000</t>
  </si>
  <si>
    <t>49708540000000</t>
  </si>
  <si>
    <t>49708620000000</t>
  </si>
  <si>
    <t>49708700000000</t>
  </si>
  <si>
    <t>49708960000000</t>
  </si>
  <si>
    <t>49709040000000</t>
  </si>
  <si>
    <t>49709120000000</t>
  </si>
  <si>
    <t>49709200000000</t>
  </si>
  <si>
    <t>49709380000000</t>
  </si>
  <si>
    <t>49104960000000</t>
  </si>
  <si>
    <t>49709530000000</t>
  </si>
  <si>
    <t>49709610000000</t>
  </si>
  <si>
    <t>49709790000000</t>
  </si>
  <si>
    <t>49709950000000</t>
  </si>
  <si>
    <t>49710010000000</t>
  </si>
  <si>
    <t>49706070000000</t>
  </si>
  <si>
    <t>49710190000000</t>
  </si>
  <si>
    <t>49753580000000</t>
  </si>
  <si>
    <t>49710350000000</t>
  </si>
  <si>
    <t>50710430000000</t>
  </si>
  <si>
    <t>50710500000000</t>
  </si>
  <si>
    <t>50710680000000</t>
  </si>
  <si>
    <t>50710760000000</t>
  </si>
  <si>
    <t>50710840000000</t>
  </si>
  <si>
    <t>50710920000000</t>
  </si>
  <si>
    <t>50711000000000</t>
  </si>
  <si>
    <t>50755490000000</t>
  </si>
  <si>
    <t>50711340000000</t>
  </si>
  <si>
    <t>50711420000000</t>
  </si>
  <si>
    <t>50711670000000</t>
  </si>
  <si>
    <t>50711750000000</t>
  </si>
  <si>
    <t>50736010000000</t>
  </si>
  <si>
    <t>50755640000000</t>
  </si>
  <si>
    <t>50712090000000</t>
  </si>
  <si>
    <t>50712170000000</t>
  </si>
  <si>
    <t>50755560000000</t>
  </si>
  <si>
    <t>50712330000000</t>
  </si>
  <si>
    <t>50712660000000</t>
  </si>
  <si>
    <t>50712740000000</t>
  </si>
  <si>
    <t>50105040000000</t>
  </si>
  <si>
    <t>50712820000000</t>
  </si>
  <si>
    <t>50712900000000</t>
  </si>
  <si>
    <t>50757390000000</t>
  </si>
  <si>
    <t>50713240000000</t>
  </si>
  <si>
    <t>50755720000000</t>
  </si>
  <si>
    <t>51713570000000</t>
  </si>
  <si>
    <t>51713650000000</t>
  </si>
  <si>
    <t>51713730000000</t>
  </si>
  <si>
    <t>51713810000000</t>
  </si>
  <si>
    <t>51713990000000</t>
  </si>
  <si>
    <t>51714070000000</t>
  </si>
  <si>
    <t>51714150000000</t>
  </si>
  <si>
    <t>51714230000000</t>
  </si>
  <si>
    <t>51714310000000</t>
  </si>
  <si>
    <t>51105120000000</t>
  </si>
  <si>
    <t>51714490000000</t>
  </si>
  <si>
    <t>51714560000000</t>
  </si>
  <si>
    <t>51714640000000</t>
  </si>
  <si>
    <t>52714720000000</t>
  </si>
  <si>
    <t>52714980000000</t>
  </si>
  <si>
    <t>52715060000000</t>
  </si>
  <si>
    <t>52715220000000</t>
  </si>
  <si>
    <t>52715300000000</t>
  </si>
  <si>
    <t>52715480000000</t>
  </si>
  <si>
    <t>52715550000000</t>
  </si>
  <si>
    <t>52715630000000</t>
  </si>
  <si>
    <t>52715710000000</t>
  </si>
  <si>
    <t>52716390000000</t>
  </si>
  <si>
    <t>52716210000000</t>
  </si>
  <si>
    <t>52716470000000</t>
  </si>
  <si>
    <t>52716540000000</t>
  </si>
  <si>
    <t>52105200000000</t>
  </si>
  <si>
    <t>53716620000000</t>
  </si>
  <si>
    <t>53716700000000</t>
  </si>
  <si>
    <t>53716960000000</t>
  </si>
  <si>
    <t>53717380000000</t>
  </si>
  <si>
    <t>53717460000000</t>
  </si>
  <si>
    <t>53750280000000</t>
  </si>
  <si>
    <t>53738330000000</t>
  </si>
  <si>
    <t>53765130000000</t>
  </si>
  <si>
    <t>53717610000000</t>
  </si>
  <si>
    <t>53105380000000</t>
  </si>
  <si>
    <t>54717950000000</t>
  </si>
  <si>
    <t>54718030000000</t>
  </si>
  <si>
    <t>54718110000000</t>
  </si>
  <si>
    <t>54718290000000</t>
  </si>
  <si>
    <t>54718370000000</t>
  </si>
  <si>
    <t>54718520000000</t>
  </si>
  <si>
    <t>54718600000000</t>
  </si>
  <si>
    <t>54755310000000</t>
  </si>
  <si>
    <t>54718940000000</t>
  </si>
  <si>
    <t>54719020000000</t>
  </si>
  <si>
    <t>54768360000000</t>
  </si>
  <si>
    <t>54753250000000</t>
  </si>
  <si>
    <t>54719440000000</t>
  </si>
  <si>
    <t>54719510000000</t>
  </si>
  <si>
    <t>54719690000000</t>
  </si>
  <si>
    <t>54719850000000</t>
  </si>
  <si>
    <t>54719930000000</t>
  </si>
  <si>
    <t>54720090000000</t>
  </si>
  <si>
    <t>54720170000000</t>
  </si>
  <si>
    <t>54720250000000</t>
  </si>
  <si>
    <t>54720330000000</t>
  </si>
  <si>
    <t>54720410000000</t>
  </si>
  <si>
    <t>54720580000000</t>
  </si>
  <si>
    <t>54755230000000</t>
  </si>
  <si>
    <t>54720820000000</t>
  </si>
  <si>
    <t>54720900000000</t>
  </si>
  <si>
    <t>54721080000000</t>
  </si>
  <si>
    <t>54721160000000</t>
  </si>
  <si>
    <t>54721320000000</t>
  </si>
  <si>
    <t>54721400000000</t>
  </si>
  <si>
    <t>54721570000000</t>
  </si>
  <si>
    <t>54721730000000</t>
  </si>
  <si>
    <t>54721810000000</t>
  </si>
  <si>
    <t>54721990000000</t>
  </si>
  <si>
    <t>54722070000000</t>
  </si>
  <si>
    <t>54722150000000</t>
  </si>
  <si>
    <t>54722230000000</t>
  </si>
  <si>
    <t>54722310000000</t>
  </si>
  <si>
    <t>54105460000000</t>
  </si>
  <si>
    <t>54722490000000</t>
  </si>
  <si>
    <t>54722560000000</t>
  </si>
  <si>
    <t>54722640000000</t>
  </si>
  <si>
    <t>54767940000000</t>
  </si>
  <si>
    <t>54722980000000</t>
  </si>
  <si>
    <t>55723060000000</t>
  </si>
  <si>
    <t>55751840000000</t>
  </si>
  <si>
    <t>55723480000000</t>
  </si>
  <si>
    <t>55723550000000</t>
  </si>
  <si>
    <t>55723630000000</t>
  </si>
  <si>
    <t>55723710000000</t>
  </si>
  <si>
    <t>55723890000000</t>
  </si>
  <si>
    <t>55723970000000</t>
  </si>
  <si>
    <t>55724050000000</t>
  </si>
  <si>
    <t>55724130000000</t>
  </si>
  <si>
    <t>55105530000000</t>
  </si>
  <si>
    <t>55724210000000</t>
  </si>
  <si>
    <t>56724470000000</t>
  </si>
  <si>
    <t>56737590000000</t>
  </si>
  <si>
    <t>56724540000000</t>
  </si>
  <si>
    <t>56724620000000</t>
  </si>
  <si>
    <t>56724700000000</t>
  </si>
  <si>
    <t>56739400000000</t>
  </si>
  <si>
    <t>56725040000000</t>
  </si>
  <si>
    <t>56738740000000</t>
  </si>
  <si>
    <t>56725120000000</t>
  </si>
  <si>
    <t>56725200000000</t>
  </si>
  <si>
    <t>56725380000000</t>
  </si>
  <si>
    <t>56725460000000</t>
  </si>
  <si>
    <t>56725530000000</t>
  </si>
  <si>
    <t>56725610000000</t>
  </si>
  <si>
    <t>56725790000000</t>
  </si>
  <si>
    <t>56768280000000</t>
  </si>
  <si>
    <t>56726030000000</t>
  </si>
  <si>
    <t>56726110000000</t>
  </si>
  <si>
    <t>56105610000000</t>
  </si>
  <si>
    <t>56746170000000</t>
  </si>
  <si>
    <t>56726520000000</t>
  </si>
  <si>
    <t>57726780000000</t>
  </si>
  <si>
    <t>57726860000000</t>
  </si>
  <si>
    <t>57726940000000</t>
  </si>
  <si>
    <t>57727020000000</t>
  </si>
  <si>
    <t>57727100000000</t>
  </si>
  <si>
    <t>57105790000000</t>
  </si>
  <si>
    <t>58727280000000</t>
  </si>
  <si>
    <t>58727360000000</t>
  </si>
  <si>
    <t>58727440000000</t>
  </si>
  <si>
    <t>58727510000000</t>
  </si>
  <si>
    <t>58727690000000</t>
  </si>
  <si>
    <t>58105870000000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</si>
</sst>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m\ d\,\ yyyy;@"/>
  </numFmts>
  <fonts count="13" x14ac:knownFonts="1">
    <font>
      <sz val="12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1"/>
      <name val="Calibri"/>
      <family val="2"/>
    </font>
    <font>
      <sz val="12"/>
      <name val="Arial"/>
      <family val="2"/>
    </font>
    <font>
      <u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9">
    <xf numFmtId="0" fontId="0" fillId="0" borderId="0"/>
    <xf numFmtId="44" fontId="4" fillId="0" borderId="0" applyFont="0" applyFill="0" applyBorder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9" fillId="0" borderId="0"/>
    <xf numFmtId="0" fontId="10" fillId="0" borderId="0"/>
    <xf numFmtId="0" fontId="11" fillId="0" borderId="0"/>
    <xf numFmtId="0" fontId="12" fillId="0" borderId="0"/>
  </cellStyleXfs>
  <cellXfs count="10">
    <xf numFmtId="0" fontId="0" fillId="0" borderId="0" xfId="0"/>
    <xf numFmtId="44" fontId="0" fillId="0" borderId="0" xfId="1" applyFont="1" applyFill="1"/>
    <xf numFmtId="0" fontId="5" fillId="0" borderId="0" xfId="2" applyFont="1" applyBorder="1"/>
    <xf numFmtId="0" fontId="6" fillId="0" borderId="0" xfId="3" applyFont="1" applyBorder="1"/>
    <xf numFmtId="0" fontId="7" fillId="0" borderId="0" xfId="4" applyFont="1" applyBorder="1"/>
    <xf numFmtId="164" fontId="7" fillId="0" borderId="0" xfId="4" applyNumberFormat="1" applyFont="1" applyBorder="1" applyAlignment="1">
      <alignment horizontal="left"/>
    </xf>
    <xf numFmtId="49" fontId="8" fillId="0" borderId="0" xfId="0" applyNumberFormat="1" applyFont="1"/>
    <xf numFmtId="0" fontId="4" fillId="0" borderId="0" xfId="0" applyFont="1"/>
    <xf numFmtId="37" fontId="0" fillId="0" borderId="0" xfId="1" applyNumberFormat="1" applyFont="1" applyFill="1" applyAlignment="1">
      <alignment horizontal="center"/>
    </xf>
    <xf numFmtId="3" fontId="0" fillId="0" borderId="0" xfId="0" applyNumberFormat="1" applyAlignment="1">
      <alignment horizontal="center"/>
    </xf>
  </cellXfs>
  <cellStyles count="9">
    <cellStyle name="Currency" xfId="1" builtinId="4"/>
    <cellStyle name="Heading 1" xfId="2" builtinId="16"/>
    <cellStyle name="Heading 2" xfId="3" builtinId="17"/>
    <cellStyle name="Heading 3" xfId="4" builtinId="18"/>
    <cellStyle name="HyperLink 2" xfId="8" xr:uid="{45512541-2E19-4B07-999D-C9749F559128}"/>
    <cellStyle name="Normal" xfId="0" builtinId="0"/>
    <cellStyle name="Normal 2" xfId="6" xr:uid="{8FCB3D9D-DC30-46F0-9AB9-38A0C63B238D}"/>
    <cellStyle name="Table Body" xfId="7" xr:uid="{FE42D6AE-B4C0-41B7-B940-6DBC9CDF29D5}"/>
    <cellStyle name="Table Header" xfId="5" xr:uid="{ADDE842B-C4DE-4CCF-9D39-EEF449976C85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5" formatCode="#,##0_);\(#,##0\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5" formatCode="#,##0_);\(#,##0\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5" formatCode="#,##0_);\(#,##0\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5" formatCode="#,##0_);\(#,##0\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3EF47C-6C61-4A26-B2C1-38FC15FE46D6}" name="Table5" displayName="Table5" ref="A7:G2012" totalsRowShown="0">
  <autoFilter ref="A7:G2012" xr:uid="{9829A299-4D5C-483C-BBC8-EAF2EEA63C58}"/>
  <tableColumns count="7">
    <tableColumn id="1" xr3:uid="{A6506EA5-5433-464C-82F6-A06362A01DDA}" name="County"/>
    <tableColumn id="2" xr3:uid="{36541AA3-83FB-47A7-8FB2-CA70A544DAE1}" name="LEA Name"/>
    <tableColumn id="3" xr3:uid="{22A9A8A9-40E0-4B1A-81F7-A14FF50607AD}" name="CDS Code"/>
    <tableColumn id="4" xr3:uid="{182A34F6-6A54-4C4B-9FE1-E496A75C6A35}" name="Charter Type"/>
    <tableColumn id="5" xr3:uid="{33CC0C85-0569-41F4-AC00-874F57576EEA}" name="Expenditures - Federal" dataDxfId="13"/>
    <tableColumn id="6" xr3:uid="{F98625A3-A3BA-428A-AF6E-AC0E2F96B1AC}" name="Expenditures - State &amp; Local" dataDxfId="12"/>
    <tableColumn id="7" xr3:uid="{E57CFC41-B525-49F8-9B17-B5548E80D3AB}" name="Expenditures - Excluded" dataDxfId="11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List of ESSA Per-Pupil Expenditures data for local educational agency level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88046B-F2DD-4557-916C-1C995BFBB087}" name="Table1343" displayName="Table1343" ref="A7:I9119" totalsRowShown="0" headerRowDxfId="10" dataDxfId="9" headerRowCellStyle="Currency" dataCellStyle="Currency">
  <autoFilter ref="A7:I9119" xr:uid="{B9793B34-4572-4798-A0FA-3BB2451E7002}"/>
  <sortState xmlns:xlrd2="http://schemas.microsoft.com/office/spreadsheetml/2017/richdata2" ref="A8:I9119">
    <sortCondition ref="A8:A9119"/>
    <sortCondition ref="B8:B9119"/>
  </sortState>
  <tableColumns count="9">
    <tableColumn id="1" xr3:uid="{CA4F8A90-99BA-486D-99AA-AEF6BCAE8D29}" name="County" dataDxfId="8"/>
    <tableColumn id="2" xr3:uid="{4909B0A7-6282-468C-B59B-AB13015E7828}" name="LEA Name" dataDxfId="7"/>
    <tableColumn id="3" xr3:uid="{9EBB9D05-1047-4479-9429-78D2342D2C80}" name="LEA CDS Code" dataDxfId="6">
      <calculatedColumnFormula>"58105870000000"</calculatedColumnFormula>
    </tableColumn>
    <tableColumn id="4" xr3:uid="{EB7C459E-1D4E-411D-8A45-A1C189B6F80A}" name="School Name" dataDxfId="5"/>
    <tableColumn id="5" xr3:uid="{23F100CB-F41D-4BCD-A8D5-90D6D0321F92}" name="School CDS Code" dataDxfId="4"/>
    <tableColumn id="6" xr3:uid="{D3C0AAAD-C079-4558-A868-975995C55AD3}" name="School Expenditures - Federal" dataDxfId="3" dataCellStyle="Currency"/>
    <tableColumn id="7" xr3:uid="{F3E61727-39CE-4F4A-A595-37CA4B78421D}" name="School Expenditures - State &amp; Local" dataDxfId="2" dataCellStyle="Currency"/>
    <tableColumn id="8" xr3:uid="{4B165C17-0D58-4786-9ECE-87F247B1C1AF}" name="Central Expenditures - Federal" dataDxfId="1" dataCellStyle="Currency"/>
    <tableColumn id="9" xr3:uid="{7CC26771-361B-45AB-B007-99C0D58B92DF}" name="Central Expenditures - State &amp; Local" dataDxfId="0" dataCellStyle="Currency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List of ESSA Per-Pupil Expenditures data for school level.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1D0B-01C5-48D5-9952-3F2E47703821}">
  <dimension ref="A1:G2012"/>
  <sheetViews>
    <sheetView tabSelected="1" workbookViewId="0"/>
  </sheetViews>
  <sheetFormatPr defaultRowHeight="15" x14ac:dyDescent="0.2"/>
  <cols>
    <col min="1" max="1" width="70" customWidth="1"/>
    <col min="2" max="2" width="83.33203125" bestFit="1" customWidth="1"/>
    <col min="3" max="3" width="15.6640625" bestFit="1" customWidth="1"/>
    <col min="4" max="4" width="14.33203125" bestFit="1" customWidth="1"/>
    <col min="5" max="5" width="23.109375" bestFit="1" customWidth="1"/>
    <col min="6" max="6" width="28.33203125" bestFit="1" customWidth="1"/>
    <col min="7" max="7" width="24.88671875" bestFit="1" customWidth="1"/>
  </cols>
  <sheetData>
    <row r="1" spans="1:7" ht="20.25" x14ac:dyDescent="0.3">
      <c r="A1" s="2" t="s">
        <v>9707</v>
      </c>
    </row>
    <row r="2" spans="1:7" ht="18" x14ac:dyDescent="0.25">
      <c r="A2" s="3" t="s">
        <v>9708</v>
      </c>
    </row>
    <row r="3" spans="1:7" ht="15.75" x14ac:dyDescent="0.25">
      <c r="A3" s="4" t="s">
        <v>9710</v>
      </c>
    </row>
    <row r="4" spans="1:7" ht="15.75" x14ac:dyDescent="0.25">
      <c r="A4" s="5">
        <v>44742</v>
      </c>
    </row>
    <row r="5" spans="1:7" ht="15.75" x14ac:dyDescent="0.25">
      <c r="A5" s="6" t="s">
        <v>9709</v>
      </c>
    </row>
    <row r="6" spans="1:7" ht="15.75" x14ac:dyDescent="0.25">
      <c r="A6" s="7" t="s">
        <v>9712</v>
      </c>
    </row>
    <row r="7" spans="1:7" x14ac:dyDescent="0.2">
      <c r="A7" t="s">
        <v>0</v>
      </c>
      <c r="B7" t="s">
        <v>1</v>
      </c>
      <c r="C7" t="s">
        <v>2</v>
      </c>
      <c r="D7" t="s">
        <v>9713</v>
      </c>
      <c r="E7" t="s">
        <v>3</v>
      </c>
      <c r="F7" t="s">
        <v>4</v>
      </c>
      <c r="G7" t="s">
        <v>5</v>
      </c>
    </row>
    <row r="8" spans="1:7" x14ac:dyDescent="0.2">
      <c r="A8" t="s">
        <v>6</v>
      </c>
      <c r="B8" t="s">
        <v>7</v>
      </c>
      <c r="C8" t="s">
        <v>9734</v>
      </c>
      <c r="D8" t="s">
        <v>9715</v>
      </c>
      <c r="E8" s="9">
        <v>1184</v>
      </c>
      <c r="F8" s="9">
        <v>11953</v>
      </c>
      <c r="G8" s="9">
        <v>0</v>
      </c>
    </row>
    <row r="9" spans="1:7" x14ac:dyDescent="0.2">
      <c r="A9" t="s">
        <v>6</v>
      </c>
      <c r="B9" t="s">
        <v>8</v>
      </c>
      <c r="C9" t="s">
        <v>9735</v>
      </c>
      <c r="D9" t="s">
        <v>9715</v>
      </c>
      <c r="E9" s="9">
        <v>3218</v>
      </c>
      <c r="F9" s="9">
        <v>10668</v>
      </c>
      <c r="G9" s="9">
        <v>8685</v>
      </c>
    </row>
    <row r="10" spans="1:7" x14ac:dyDescent="0.2">
      <c r="A10" t="s">
        <v>6</v>
      </c>
      <c r="B10" t="s">
        <v>9</v>
      </c>
      <c r="C10" t="s">
        <v>9736</v>
      </c>
      <c r="D10" t="s">
        <v>9715</v>
      </c>
      <c r="E10" s="9">
        <v>3161</v>
      </c>
      <c r="F10" s="9">
        <v>9493</v>
      </c>
      <c r="G10" s="9">
        <v>183908</v>
      </c>
    </row>
    <row r="11" spans="1:7" x14ac:dyDescent="0.2">
      <c r="A11" t="s">
        <v>6</v>
      </c>
      <c r="B11" t="s">
        <v>10</v>
      </c>
      <c r="C11" t="s">
        <v>9726</v>
      </c>
      <c r="D11" t="s">
        <v>9715</v>
      </c>
      <c r="E11" s="9">
        <v>585</v>
      </c>
      <c r="F11" s="9">
        <v>10926</v>
      </c>
      <c r="G11" s="9">
        <v>10575</v>
      </c>
    </row>
    <row r="12" spans="1:7" x14ac:dyDescent="0.2">
      <c r="A12" t="s">
        <v>6</v>
      </c>
      <c r="B12" t="s">
        <v>11</v>
      </c>
      <c r="C12" t="s">
        <v>10711</v>
      </c>
      <c r="D12" t="e">
        <v>#N/A</v>
      </c>
      <c r="E12" s="9">
        <v>10358</v>
      </c>
      <c r="F12" s="9">
        <v>26170</v>
      </c>
      <c r="G12" s="9">
        <v>25919367</v>
      </c>
    </row>
    <row r="13" spans="1:7" x14ac:dyDescent="0.2">
      <c r="A13" t="s">
        <v>6</v>
      </c>
      <c r="B13" t="s">
        <v>12</v>
      </c>
      <c r="C13" t="s">
        <v>10712</v>
      </c>
      <c r="D13" t="e">
        <v>#N/A</v>
      </c>
      <c r="E13" s="9">
        <v>1149</v>
      </c>
      <c r="F13" s="9">
        <v>13864</v>
      </c>
      <c r="G13" s="9">
        <v>52989818</v>
      </c>
    </row>
    <row r="14" spans="1:7" x14ac:dyDescent="0.2">
      <c r="A14" t="s">
        <v>6</v>
      </c>
      <c r="B14" t="s">
        <v>13</v>
      </c>
      <c r="C14" t="s">
        <v>10713</v>
      </c>
      <c r="D14" t="e">
        <v>#N/A</v>
      </c>
      <c r="E14" s="9">
        <v>927</v>
      </c>
      <c r="F14" s="9">
        <v>12949</v>
      </c>
      <c r="G14" s="9">
        <v>0</v>
      </c>
    </row>
    <row r="15" spans="1:7" x14ac:dyDescent="0.2">
      <c r="A15" t="s">
        <v>6</v>
      </c>
      <c r="B15" t="s">
        <v>14</v>
      </c>
      <c r="C15" t="s">
        <v>9714</v>
      </c>
      <c r="D15" t="s">
        <v>9715</v>
      </c>
      <c r="E15" s="9">
        <v>3280</v>
      </c>
      <c r="F15" s="9">
        <v>10332</v>
      </c>
      <c r="G15" s="9">
        <v>108411</v>
      </c>
    </row>
    <row r="16" spans="1:7" x14ac:dyDescent="0.2">
      <c r="A16" t="s">
        <v>6</v>
      </c>
      <c r="B16" t="s">
        <v>15</v>
      </c>
      <c r="C16" t="s">
        <v>9737</v>
      </c>
      <c r="D16" t="s">
        <v>9715</v>
      </c>
      <c r="E16" s="9">
        <v>3146</v>
      </c>
      <c r="F16" s="9">
        <v>9517</v>
      </c>
      <c r="G16" s="9">
        <v>559101</v>
      </c>
    </row>
    <row r="17" spans="1:7" x14ac:dyDescent="0.2">
      <c r="A17" t="s">
        <v>6</v>
      </c>
      <c r="B17" t="s">
        <v>16</v>
      </c>
      <c r="C17" t="s">
        <v>9738</v>
      </c>
      <c r="D17" t="s">
        <v>9715</v>
      </c>
      <c r="E17" s="9">
        <v>1899</v>
      </c>
      <c r="F17" s="9">
        <v>13592</v>
      </c>
      <c r="G17" s="9">
        <v>114084</v>
      </c>
    </row>
    <row r="18" spans="1:7" x14ac:dyDescent="0.2">
      <c r="A18" t="s">
        <v>6</v>
      </c>
      <c r="B18" t="s">
        <v>17</v>
      </c>
      <c r="C18" t="s">
        <v>9739</v>
      </c>
      <c r="D18" t="s">
        <v>9715</v>
      </c>
      <c r="E18" s="9">
        <v>1122</v>
      </c>
      <c r="F18" s="9">
        <v>12496</v>
      </c>
      <c r="G18" s="9">
        <v>0</v>
      </c>
    </row>
    <row r="19" spans="1:7" x14ac:dyDescent="0.2">
      <c r="A19" t="s">
        <v>6</v>
      </c>
      <c r="B19" t="s">
        <v>18</v>
      </c>
      <c r="C19" t="s">
        <v>9740</v>
      </c>
      <c r="D19" t="s">
        <v>9715</v>
      </c>
      <c r="E19" s="9">
        <v>1753</v>
      </c>
      <c r="F19" s="9">
        <v>9134</v>
      </c>
      <c r="G19" s="9">
        <v>293</v>
      </c>
    </row>
    <row r="20" spans="1:7" x14ac:dyDescent="0.2">
      <c r="A20" t="s">
        <v>6</v>
      </c>
      <c r="B20" t="s">
        <v>19</v>
      </c>
      <c r="C20" t="s">
        <v>9741</v>
      </c>
      <c r="D20" t="s">
        <v>9715</v>
      </c>
      <c r="E20" s="9">
        <v>2474</v>
      </c>
      <c r="F20" s="9">
        <v>4810</v>
      </c>
      <c r="G20" s="9">
        <v>194</v>
      </c>
    </row>
    <row r="21" spans="1:7" x14ac:dyDescent="0.2">
      <c r="A21" t="s">
        <v>6</v>
      </c>
      <c r="B21" t="s">
        <v>20</v>
      </c>
      <c r="C21" t="s">
        <v>10704</v>
      </c>
      <c r="D21" t="s">
        <v>9715</v>
      </c>
      <c r="E21" s="9">
        <v>2133</v>
      </c>
      <c r="F21" s="9">
        <v>4544</v>
      </c>
      <c r="G21" s="9">
        <v>239</v>
      </c>
    </row>
    <row r="22" spans="1:7" x14ac:dyDescent="0.2">
      <c r="A22" t="s">
        <v>6</v>
      </c>
      <c r="B22" t="s">
        <v>21</v>
      </c>
      <c r="C22" t="s">
        <v>9742</v>
      </c>
      <c r="D22" t="s">
        <v>9715</v>
      </c>
      <c r="E22" s="9">
        <v>1880</v>
      </c>
      <c r="F22" s="9">
        <v>9087</v>
      </c>
      <c r="G22" s="9">
        <v>678</v>
      </c>
    </row>
    <row r="23" spans="1:7" x14ac:dyDescent="0.2">
      <c r="A23" t="s">
        <v>6</v>
      </c>
      <c r="B23" t="s">
        <v>22</v>
      </c>
      <c r="C23" t="s">
        <v>9743</v>
      </c>
      <c r="D23" t="s">
        <v>9715</v>
      </c>
      <c r="E23" s="9">
        <v>1940</v>
      </c>
      <c r="F23" s="9">
        <v>10651</v>
      </c>
      <c r="G23" s="9">
        <v>480</v>
      </c>
    </row>
    <row r="24" spans="1:7" x14ac:dyDescent="0.2">
      <c r="A24" t="s">
        <v>6</v>
      </c>
      <c r="B24" t="s">
        <v>23</v>
      </c>
      <c r="C24" t="s">
        <v>9744</v>
      </c>
      <c r="D24" t="s">
        <v>9715</v>
      </c>
      <c r="E24" s="9">
        <v>1828</v>
      </c>
      <c r="F24" s="9">
        <v>9125</v>
      </c>
      <c r="G24" s="9">
        <v>162</v>
      </c>
    </row>
    <row r="25" spans="1:7" x14ac:dyDescent="0.2">
      <c r="A25" t="s">
        <v>6</v>
      </c>
      <c r="B25" t="s">
        <v>24</v>
      </c>
      <c r="C25" t="s">
        <v>9745</v>
      </c>
      <c r="D25" t="s">
        <v>9715</v>
      </c>
      <c r="E25" s="9">
        <v>2551</v>
      </c>
      <c r="F25" s="9">
        <v>12512</v>
      </c>
      <c r="G25" s="9">
        <v>177</v>
      </c>
    </row>
    <row r="26" spans="1:7" x14ac:dyDescent="0.2">
      <c r="A26" t="s">
        <v>6</v>
      </c>
      <c r="B26" t="s">
        <v>25</v>
      </c>
      <c r="C26" t="s">
        <v>9716</v>
      </c>
      <c r="D26" t="s">
        <v>9715</v>
      </c>
      <c r="E26" s="9">
        <v>1341</v>
      </c>
      <c r="F26" s="9">
        <v>10918</v>
      </c>
      <c r="G26" s="9">
        <v>0</v>
      </c>
    </row>
    <row r="27" spans="1:7" x14ac:dyDescent="0.2">
      <c r="A27" t="s">
        <v>6</v>
      </c>
      <c r="B27" t="s">
        <v>26</v>
      </c>
      <c r="C27" t="s">
        <v>9746</v>
      </c>
      <c r="D27" t="s">
        <v>9715</v>
      </c>
      <c r="E27" s="9">
        <v>2635</v>
      </c>
      <c r="F27" s="9">
        <v>11497</v>
      </c>
      <c r="G27" s="9">
        <v>30637</v>
      </c>
    </row>
    <row r="28" spans="1:7" x14ac:dyDescent="0.2">
      <c r="A28" t="s">
        <v>6</v>
      </c>
      <c r="B28" t="s">
        <v>27</v>
      </c>
      <c r="C28" t="s">
        <v>10714</v>
      </c>
      <c r="D28" t="e">
        <v>#N/A</v>
      </c>
      <c r="E28" s="9">
        <v>19586</v>
      </c>
      <c r="F28" s="9">
        <v>30222</v>
      </c>
      <c r="G28" s="9">
        <v>10723</v>
      </c>
    </row>
    <row r="29" spans="1:7" x14ac:dyDescent="0.2">
      <c r="A29" t="s">
        <v>6</v>
      </c>
      <c r="B29" t="s">
        <v>28</v>
      </c>
      <c r="C29" t="s">
        <v>10715</v>
      </c>
      <c r="D29" t="e">
        <v>#N/A</v>
      </c>
      <c r="E29" s="9">
        <v>683</v>
      </c>
      <c r="F29" s="9">
        <v>10416</v>
      </c>
      <c r="G29" s="9">
        <v>84240698</v>
      </c>
    </row>
    <row r="30" spans="1:7" x14ac:dyDescent="0.2">
      <c r="A30" t="s">
        <v>6</v>
      </c>
      <c r="B30" t="s">
        <v>29</v>
      </c>
      <c r="C30" t="s">
        <v>10707</v>
      </c>
      <c r="D30" t="s">
        <v>9715</v>
      </c>
      <c r="E30" s="9" t="s">
        <v>30</v>
      </c>
      <c r="F30" s="9" t="s">
        <v>30</v>
      </c>
      <c r="G30" s="9" t="s">
        <v>30</v>
      </c>
    </row>
    <row r="31" spans="1:7" x14ac:dyDescent="0.2">
      <c r="A31" t="s">
        <v>6</v>
      </c>
      <c r="B31" t="s">
        <v>31</v>
      </c>
      <c r="C31" t="s">
        <v>9717</v>
      </c>
      <c r="D31" t="s">
        <v>9715</v>
      </c>
      <c r="E31" s="9">
        <v>534</v>
      </c>
      <c r="F31" s="9">
        <v>11403</v>
      </c>
      <c r="G31" s="9" t="s">
        <v>30</v>
      </c>
    </row>
    <row r="32" spans="1:7" x14ac:dyDescent="0.2">
      <c r="A32" t="s">
        <v>6</v>
      </c>
      <c r="B32" t="s">
        <v>32</v>
      </c>
      <c r="C32" t="s">
        <v>9718</v>
      </c>
      <c r="D32" t="s">
        <v>9715</v>
      </c>
      <c r="E32" s="9">
        <v>195</v>
      </c>
      <c r="F32" s="9">
        <v>9178</v>
      </c>
      <c r="G32" s="9" t="s">
        <v>30</v>
      </c>
    </row>
    <row r="33" spans="1:7" x14ac:dyDescent="0.2">
      <c r="A33" t="s">
        <v>6</v>
      </c>
      <c r="B33" t="s">
        <v>33</v>
      </c>
      <c r="C33" t="s">
        <v>10699</v>
      </c>
      <c r="D33" t="s">
        <v>9715</v>
      </c>
      <c r="E33" s="9">
        <v>5159</v>
      </c>
      <c r="F33" s="9">
        <v>15562</v>
      </c>
      <c r="G33" s="9" t="s">
        <v>30</v>
      </c>
    </row>
    <row r="34" spans="1:7" x14ac:dyDescent="0.2">
      <c r="A34" t="s">
        <v>6</v>
      </c>
      <c r="B34" t="s">
        <v>34</v>
      </c>
      <c r="C34" t="s">
        <v>9719</v>
      </c>
      <c r="D34" t="s">
        <v>9715</v>
      </c>
      <c r="E34" s="9">
        <v>1180</v>
      </c>
      <c r="F34" s="9">
        <v>13117</v>
      </c>
      <c r="G34" s="9" t="s">
        <v>30</v>
      </c>
    </row>
    <row r="35" spans="1:7" x14ac:dyDescent="0.2">
      <c r="A35" t="s">
        <v>6</v>
      </c>
      <c r="B35" t="s">
        <v>35</v>
      </c>
      <c r="C35" t="s">
        <v>9747</v>
      </c>
      <c r="D35" t="s">
        <v>9715</v>
      </c>
      <c r="E35" s="9">
        <v>2297</v>
      </c>
      <c r="F35" s="9">
        <v>11211</v>
      </c>
      <c r="G35" s="9" t="s">
        <v>30</v>
      </c>
    </row>
    <row r="36" spans="1:7" x14ac:dyDescent="0.2">
      <c r="A36" t="s">
        <v>6</v>
      </c>
      <c r="B36" t="s">
        <v>36</v>
      </c>
      <c r="C36" t="s">
        <v>10716</v>
      </c>
      <c r="D36" t="e">
        <v>#N/A</v>
      </c>
      <c r="E36" s="9">
        <v>744</v>
      </c>
      <c r="F36" s="9">
        <v>10240</v>
      </c>
      <c r="G36" s="9" t="s">
        <v>30</v>
      </c>
    </row>
    <row r="37" spans="1:7" x14ac:dyDescent="0.2">
      <c r="A37" t="s">
        <v>6</v>
      </c>
      <c r="B37" t="s">
        <v>37</v>
      </c>
      <c r="C37" t="s">
        <v>9748</v>
      </c>
      <c r="D37" t="s">
        <v>9715</v>
      </c>
      <c r="E37" s="9">
        <v>779</v>
      </c>
      <c r="F37" s="9">
        <v>10354</v>
      </c>
      <c r="G37" s="9" t="s">
        <v>30</v>
      </c>
    </row>
    <row r="38" spans="1:7" x14ac:dyDescent="0.2">
      <c r="A38" t="s">
        <v>6</v>
      </c>
      <c r="B38" t="s">
        <v>38</v>
      </c>
      <c r="C38" t="s">
        <v>10717</v>
      </c>
      <c r="D38" t="e">
        <v>#N/A</v>
      </c>
      <c r="E38" s="9">
        <v>1695</v>
      </c>
      <c r="F38" s="9">
        <v>17742</v>
      </c>
      <c r="G38" s="9" t="s">
        <v>30</v>
      </c>
    </row>
    <row r="39" spans="1:7" x14ac:dyDescent="0.2">
      <c r="A39" t="s">
        <v>6</v>
      </c>
      <c r="B39" t="s">
        <v>39</v>
      </c>
      <c r="C39" t="s">
        <v>9720</v>
      </c>
      <c r="D39" t="s">
        <v>9715</v>
      </c>
      <c r="E39" s="9">
        <v>2228</v>
      </c>
      <c r="F39" s="9">
        <v>13521</v>
      </c>
      <c r="G39" s="9" t="s">
        <v>30</v>
      </c>
    </row>
    <row r="40" spans="1:7" x14ac:dyDescent="0.2">
      <c r="A40" t="s">
        <v>6</v>
      </c>
      <c r="B40" t="s">
        <v>40</v>
      </c>
      <c r="C40" t="s">
        <v>9749</v>
      </c>
      <c r="D40" t="s">
        <v>9715</v>
      </c>
      <c r="E40" s="9">
        <v>963</v>
      </c>
      <c r="F40" s="9">
        <v>11062</v>
      </c>
      <c r="G40" s="9" t="s">
        <v>30</v>
      </c>
    </row>
    <row r="41" spans="1:7" x14ac:dyDescent="0.2">
      <c r="A41" t="s">
        <v>6</v>
      </c>
      <c r="B41" t="s">
        <v>41</v>
      </c>
      <c r="C41" t="s">
        <v>10718</v>
      </c>
      <c r="D41" t="e">
        <v>#N/A</v>
      </c>
      <c r="E41" s="9">
        <v>973</v>
      </c>
      <c r="F41" s="9">
        <v>10376</v>
      </c>
      <c r="G41" s="9" t="s">
        <v>30</v>
      </c>
    </row>
    <row r="42" spans="1:7" x14ac:dyDescent="0.2">
      <c r="A42" t="s">
        <v>6</v>
      </c>
      <c r="B42" t="s">
        <v>42</v>
      </c>
      <c r="C42" t="s">
        <v>10706</v>
      </c>
      <c r="D42" t="s">
        <v>9715</v>
      </c>
      <c r="E42" s="9">
        <v>1005</v>
      </c>
      <c r="F42" s="9">
        <v>8699</v>
      </c>
      <c r="G42" s="9" t="s">
        <v>30</v>
      </c>
    </row>
    <row r="43" spans="1:7" x14ac:dyDescent="0.2">
      <c r="A43" t="s">
        <v>6</v>
      </c>
      <c r="B43" t="s">
        <v>43</v>
      </c>
      <c r="C43" t="s">
        <v>9721</v>
      </c>
      <c r="D43" t="s">
        <v>9715</v>
      </c>
      <c r="E43" s="9">
        <v>2177</v>
      </c>
      <c r="F43" s="9">
        <v>10663</v>
      </c>
      <c r="G43" s="9" t="s">
        <v>30</v>
      </c>
    </row>
    <row r="44" spans="1:7" x14ac:dyDescent="0.2">
      <c r="A44" t="s">
        <v>6</v>
      </c>
      <c r="B44" t="s">
        <v>44</v>
      </c>
      <c r="C44" t="s">
        <v>9730</v>
      </c>
      <c r="D44" t="s">
        <v>9715</v>
      </c>
      <c r="E44" s="9">
        <v>1159</v>
      </c>
      <c r="F44" s="9">
        <v>11269</v>
      </c>
      <c r="G44" s="9" t="s">
        <v>30</v>
      </c>
    </row>
    <row r="45" spans="1:7" x14ac:dyDescent="0.2">
      <c r="A45" t="s">
        <v>6</v>
      </c>
      <c r="B45" t="s">
        <v>45</v>
      </c>
      <c r="C45" t="s">
        <v>10719</v>
      </c>
      <c r="D45" t="e">
        <v>#N/A</v>
      </c>
      <c r="E45" s="9">
        <v>2642</v>
      </c>
      <c r="F45" s="9">
        <v>13459</v>
      </c>
      <c r="G45" s="9" t="s">
        <v>30</v>
      </c>
    </row>
    <row r="46" spans="1:7" x14ac:dyDescent="0.2">
      <c r="A46" t="s">
        <v>6</v>
      </c>
      <c r="B46" t="s">
        <v>46</v>
      </c>
      <c r="C46" t="s">
        <v>9731</v>
      </c>
      <c r="D46" t="s">
        <v>9715</v>
      </c>
      <c r="E46" s="9">
        <v>1303</v>
      </c>
      <c r="F46" s="9">
        <v>11468</v>
      </c>
      <c r="G46" s="9" t="s">
        <v>30</v>
      </c>
    </row>
    <row r="47" spans="1:7" x14ac:dyDescent="0.2">
      <c r="A47" t="s">
        <v>6</v>
      </c>
      <c r="B47" t="s">
        <v>47</v>
      </c>
      <c r="C47" t="s">
        <v>9750</v>
      </c>
      <c r="D47" t="s">
        <v>9715</v>
      </c>
      <c r="E47" s="9">
        <v>1937</v>
      </c>
      <c r="F47" s="9">
        <v>11797</v>
      </c>
      <c r="G47" s="9" t="s">
        <v>30</v>
      </c>
    </row>
    <row r="48" spans="1:7" x14ac:dyDescent="0.2">
      <c r="A48" t="s">
        <v>6</v>
      </c>
      <c r="B48" t="s">
        <v>48</v>
      </c>
      <c r="C48" t="s">
        <v>9762</v>
      </c>
      <c r="D48" t="s">
        <v>9715</v>
      </c>
      <c r="E48" s="9">
        <v>1141</v>
      </c>
      <c r="F48" s="9">
        <v>11279</v>
      </c>
      <c r="G48" s="9" t="s">
        <v>30</v>
      </c>
    </row>
    <row r="49" spans="1:7" x14ac:dyDescent="0.2">
      <c r="A49" t="s">
        <v>6</v>
      </c>
      <c r="B49" t="s">
        <v>49</v>
      </c>
      <c r="C49" t="s">
        <v>9763</v>
      </c>
      <c r="D49" t="s">
        <v>9715</v>
      </c>
      <c r="E49" s="9">
        <v>1405</v>
      </c>
      <c r="F49" s="9">
        <v>10894</v>
      </c>
      <c r="G49" s="9" t="s">
        <v>30</v>
      </c>
    </row>
    <row r="50" spans="1:7" x14ac:dyDescent="0.2">
      <c r="A50" t="s">
        <v>6</v>
      </c>
      <c r="B50" t="s">
        <v>50</v>
      </c>
      <c r="C50" t="s">
        <v>9732</v>
      </c>
      <c r="D50" t="s">
        <v>9715</v>
      </c>
      <c r="E50" s="9">
        <v>1157</v>
      </c>
      <c r="F50" s="9">
        <v>10819</v>
      </c>
      <c r="G50" s="9" t="s">
        <v>30</v>
      </c>
    </row>
    <row r="51" spans="1:7" x14ac:dyDescent="0.2">
      <c r="A51" t="s">
        <v>6</v>
      </c>
      <c r="B51" t="s">
        <v>51</v>
      </c>
      <c r="C51" t="s">
        <v>9764</v>
      </c>
      <c r="D51" t="s">
        <v>9715</v>
      </c>
      <c r="E51" s="9">
        <v>1878</v>
      </c>
      <c r="F51" s="9">
        <v>23590</v>
      </c>
      <c r="G51" s="9" t="s">
        <v>30</v>
      </c>
    </row>
    <row r="52" spans="1:7" x14ac:dyDescent="0.2">
      <c r="A52" t="s">
        <v>6</v>
      </c>
      <c r="B52" t="s">
        <v>52</v>
      </c>
      <c r="C52" t="s">
        <v>9722</v>
      </c>
      <c r="D52" t="s">
        <v>9715</v>
      </c>
      <c r="E52" s="9">
        <v>964</v>
      </c>
      <c r="F52" s="9">
        <v>12171</v>
      </c>
      <c r="G52" s="9" t="s">
        <v>30</v>
      </c>
    </row>
    <row r="53" spans="1:7" x14ac:dyDescent="0.2">
      <c r="A53" t="s">
        <v>6</v>
      </c>
      <c r="B53" t="s">
        <v>53</v>
      </c>
      <c r="C53" t="s">
        <v>9733</v>
      </c>
      <c r="D53" t="s">
        <v>9715</v>
      </c>
      <c r="E53" s="9">
        <v>1636</v>
      </c>
      <c r="F53" s="9">
        <v>11826</v>
      </c>
      <c r="G53" s="9" t="s">
        <v>30</v>
      </c>
    </row>
    <row r="54" spans="1:7" x14ac:dyDescent="0.2">
      <c r="A54" t="s">
        <v>6</v>
      </c>
      <c r="B54" t="s">
        <v>54</v>
      </c>
      <c r="C54" t="s">
        <v>9751</v>
      </c>
      <c r="D54" t="s">
        <v>9715</v>
      </c>
      <c r="E54" s="9">
        <v>895</v>
      </c>
      <c r="F54" s="9">
        <v>11527</v>
      </c>
      <c r="G54" s="9" t="s">
        <v>30</v>
      </c>
    </row>
    <row r="55" spans="1:7" x14ac:dyDescent="0.2">
      <c r="A55" t="s">
        <v>6</v>
      </c>
      <c r="B55" t="s">
        <v>55</v>
      </c>
      <c r="C55" t="s">
        <v>9752</v>
      </c>
      <c r="D55" t="s">
        <v>9715</v>
      </c>
      <c r="E55" s="9">
        <v>3457</v>
      </c>
      <c r="F55" s="9">
        <v>11622</v>
      </c>
      <c r="G55" s="9" t="s">
        <v>30</v>
      </c>
    </row>
    <row r="56" spans="1:7" x14ac:dyDescent="0.2">
      <c r="A56" t="s">
        <v>6</v>
      </c>
      <c r="B56" t="s">
        <v>56</v>
      </c>
      <c r="C56" t="s">
        <v>9753</v>
      </c>
      <c r="D56" t="s">
        <v>9715</v>
      </c>
      <c r="E56" s="9">
        <v>3959</v>
      </c>
      <c r="F56" s="9">
        <v>12437</v>
      </c>
      <c r="G56" s="9" t="s">
        <v>30</v>
      </c>
    </row>
    <row r="57" spans="1:7" x14ac:dyDescent="0.2">
      <c r="A57" t="s">
        <v>6</v>
      </c>
      <c r="B57" t="s">
        <v>57</v>
      </c>
      <c r="C57" t="s">
        <v>10720</v>
      </c>
      <c r="D57" t="e">
        <v>#N/A</v>
      </c>
      <c r="E57" s="9">
        <v>1047</v>
      </c>
      <c r="F57" s="9">
        <v>11447</v>
      </c>
      <c r="G57" s="9" t="s">
        <v>30</v>
      </c>
    </row>
    <row r="58" spans="1:7" x14ac:dyDescent="0.2">
      <c r="A58" t="s">
        <v>6</v>
      </c>
      <c r="B58" t="s">
        <v>58</v>
      </c>
      <c r="C58" t="s">
        <v>9754</v>
      </c>
      <c r="D58" t="s">
        <v>9715</v>
      </c>
      <c r="E58" s="9">
        <v>3003</v>
      </c>
      <c r="F58" s="9">
        <v>11274</v>
      </c>
      <c r="G58" s="9" t="s">
        <v>30</v>
      </c>
    </row>
    <row r="59" spans="1:7" x14ac:dyDescent="0.2">
      <c r="A59" t="s">
        <v>6</v>
      </c>
      <c r="B59" t="s">
        <v>59</v>
      </c>
      <c r="C59" t="s">
        <v>9755</v>
      </c>
      <c r="D59" t="s">
        <v>9715</v>
      </c>
      <c r="E59" s="9">
        <v>1927</v>
      </c>
      <c r="F59" s="9">
        <v>11931</v>
      </c>
      <c r="G59" s="9" t="s">
        <v>30</v>
      </c>
    </row>
    <row r="60" spans="1:7" x14ac:dyDescent="0.2">
      <c r="A60" t="s">
        <v>6</v>
      </c>
      <c r="B60" t="s">
        <v>60</v>
      </c>
      <c r="C60" t="s">
        <v>10721</v>
      </c>
      <c r="D60" t="e">
        <v>#N/A</v>
      </c>
      <c r="E60" s="9" t="s">
        <v>30</v>
      </c>
      <c r="F60" s="9" t="s">
        <v>30</v>
      </c>
      <c r="G60" s="9" t="s">
        <v>30</v>
      </c>
    </row>
    <row r="61" spans="1:7" x14ac:dyDescent="0.2">
      <c r="A61" t="s">
        <v>6</v>
      </c>
      <c r="B61" t="s">
        <v>61</v>
      </c>
      <c r="C61" t="s">
        <v>10722</v>
      </c>
      <c r="D61" t="e">
        <v>#N/A</v>
      </c>
      <c r="E61" s="9">
        <v>3539</v>
      </c>
      <c r="F61" s="9">
        <v>29202</v>
      </c>
      <c r="G61" s="9" t="s">
        <v>30</v>
      </c>
    </row>
    <row r="62" spans="1:7" x14ac:dyDescent="0.2">
      <c r="A62" t="s">
        <v>6</v>
      </c>
      <c r="B62" t="s">
        <v>62</v>
      </c>
      <c r="C62" t="s">
        <v>9727</v>
      </c>
      <c r="D62" t="s">
        <v>9715</v>
      </c>
      <c r="E62" s="9">
        <v>823</v>
      </c>
      <c r="F62" s="9">
        <v>11187</v>
      </c>
      <c r="G62" s="9" t="s">
        <v>30</v>
      </c>
    </row>
    <row r="63" spans="1:7" x14ac:dyDescent="0.2">
      <c r="A63" t="s">
        <v>6</v>
      </c>
      <c r="B63" t="s">
        <v>63</v>
      </c>
      <c r="C63" t="s">
        <v>10723</v>
      </c>
      <c r="D63" t="e">
        <v>#N/A</v>
      </c>
      <c r="E63" s="9">
        <v>1337</v>
      </c>
      <c r="F63" s="9">
        <v>10735</v>
      </c>
      <c r="G63" s="9" t="s">
        <v>30</v>
      </c>
    </row>
    <row r="64" spans="1:7" x14ac:dyDescent="0.2">
      <c r="A64" t="s">
        <v>6</v>
      </c>
      <c r="B64" t="s">
        <v>64</v>
      </c>
      <c r="C64" t="s">
        <v>10724</v>
      </c>
      <c r="D64" t="e">
        <v>#N/A</v>
      </c>
      <c r="E64" s="9">
        <v>1059</v>
      </c>
      <c r="F64" s="9">
        <v>11467</v>
      </c>
      <c r="G64" s="9" t="s">
        <v>30</v>
      </c>
    </row>
    <row r="65" spans="1:7" x14ac:dyDescent="0.2">
      <c r="A65" t="s">
        <v>6</v>
      </c>
      <c r="B65" t="s">
        <v>65</v>
      </c>
      <c r="C65" t="s">
        <v>9756</v>
      </c>
      <c r="D65" t="s">
        <v>9715</v>
      </c>
      <c r="E65" s="9">
        <v>1117</v>
      </c>
      <c r="F65" s="9">
        <v>12542</v>
      </c>
      <c r="G65" s="9" t="s">
        <v>30</v>
      </c>
    </row>
    <row r="66" spans="1:7" x14ac:dyDescent="0.2">
      <c r="A66" t="s">
        <v>6</v>
      </c>
      <c r="B66" t="s">
        <v>66</v>
      </c>
      <c r="C66" t="s">
        <v>9757</v>
      </c>
      <c r="D66" t="s">
        <v>9715</v>
      </c>
      <c r="E66" s="9">
        <v>2118</v>
      </c>
      <c r="F66" s="9">
        <v>11095</v>
      </c>
      <c r="G66" s="9" t="s">
        <v>30</v>
      </c>
    </row>
    <row r="67" spans="1:7" x14ac:dyDescent="0.2">
      <c r="A67" t="s">
        <v>6</v>
      </c>
      <c r="B67" t="s">
        <v>67</v>
      </c>
      <c r="C67" t="s">
        <v>9758</v>
      </c>
      <c r="D67" t="s">
        <v>9715</v>
      </c>
      <c r="E67" s="9">
        <v>1854</v>
      </c>
      <c r="F67" s="9">
        <v>11853</v>
      </c>
      <c r="G67" s="9" t="s">
        <v>30</v>
      </c>
    </row>
    <row r="68" spans="1:7" x14ac:dyDescent="0.2">
      <c r="A68" t="s">
        <v>6</v>
      </c>
      <c r="B68" t="s">
        <v>68</v>
      </c>
      <c r="C68" t="s">
        <v>9759</v>
      </c>
      <c r="D68" t="s">
        <v>9715</v>
      </c>
      <c r="E68" s="9">
        <v>4310</v>
      </c>
      <c r="F68" s="9">
        <v>12813</v>
      </c>
      <c r="G68" s="9" t="s">
        <v>30</v>
      </c>
    </row>
    <row r="69" spans="1:7" x14ac:dyDescent="0.2">
      <c r="A69" t="s">
        <v>6</v>
      </c>
      <c r="B69" t="s">
        <v>69</v>
      </c>
      <c r="C69" t="s">
        <v>9760</v>
      </c>
      <c r="D69" t="s">
        <v>9715</v>
      </c>
      <c r="E69" s="9">
        <v>2422</v>
      </c>
      <c r="F69" s="9">
        <v>11513</v>
      </c>
      <c r="G69" s="9" t="s">
        <v>30</v>
      </c>
    </row>
    <row r="70" spans="1:7" x14ac:dyDescent="0.2">
      <c r="A70" t="s">
        <v>6</v>
      </c>
      <c r="B70" t="s">
        <v>70</v>
      </c>
      <c r="C70" t="s">
        <v>10725</v>
      </c>
      <c r="D70" t="e">
        <v>#N/A</v>
      </c>
      <c r="E70" s="9">
        <v>2427</v>
      </c>
      <c r="F70" s="9">
        <v>6179</v>
      </c>
      <c r="G70" s="9" t="s">
        <v>30</v>
      </c>
    </row>
    <row r="71" spans="1:7" x14ac:dyDescent="0.2">
      <c r="A71" t="s">
        <v>6</v>
      </c>
      <c r="B71" t="s">
        <v>71</v>
      </c>
      <c r="C71" t="s">
        <v>9761</v>
      </c>
      <c r="D71" t="s">
        <v>9715</v>
      </c>
      <c r="E71" s="9">
        <v>2214</v>
      </c>
      <c r="F71" s="9">
        <v>12859</v>
      </c>
      <c r="G71" s="9" t="s">
        <v>30</v>
      </c>
    </row>
    <row r="72" spans="1:7" x14ac:dyDescent="0.2">
      <c r="A72" t="s">
        <v>6</v>
      </c>
      <c r="B72" t="s">
        <v>72</v>
      </c>
      <c r="C72" t="s">
        <v>9723</v>
      </c>
      <c r="D72" t="s">
        <v>9715</v>
      </c>
      <c r="E72" s="9">
        <v>3766</v>
      </c>
      <c r="F72" s="9">
        <v>10970</v>
      </c>
      <c r="G72" s="9" t="s">
        <v>30</v>
      </c>
    </row>
    <row r="73" spans="1:7" x14ac:dyDescent="0.2">
      <c r="A73" t="s">
        <v>6</v>
      </c>
      <c r="B73" t="s">
        <v>73</v>
      </c>
      <c r="C73" t="s">
        <v>10726</v>
      </c>
      <c r="D73" t="e">
        <v>#N/A</v>
      </c>
      <c r="E73" s="9">
        <v>833</v>
      </c>
      <c r="F73" s="9">
        <v>17200</v>
      </c>
      <c r="G73" s="9" t="s">
        <v>30</v>
      </c>
    </row>
    <row r="74" spans="1:7" x14ac:dyDescent="0.2">
      <c r="A74" t="s">
        <v>6</v>
      </c>
      <c r="B74" t="s">
        <v>74</v>
      </c>
      <c r="C74" t="s">
        <v>10727</v>
      </c>
      <c r="D74" t="e">
        <v>#N/A</v>
      </c>
      <c r="E74" s="9">
        <v>807</v>
      </c>
      <c r="F74" s="9">
        <v>11357</v>
      </c>
      <c r="G74" s="9" t="s">
        <v>30</v>
      </c>
    </row>
    <row r="75" spans="1:7" x14ac:dyDescent="0.2">
      <c r="A75" t="s">
        <v>6</v>
      </c>
      <c r="B75" t="s">
        <v>75</v>
      </c>
      <c r="C75" t="s">
        <v>10728</v>
      </c>
      <c r="D75" t="e">
        <v>#N/A</v>
      </c>
      <c r="E75" s="9">
        <v>2234</v>
      </c>
      <c r="F75" s="9">
        <v>11572</v>
      </c>
      <c r="G75" s="9" t="s">
        <v>30</v>
      </c>
    </row>
    <row r="76" spans="1:7" x14ac:dyDescent="0.2">
      <c r="A76" t="s">
        <v>6</v>
      </c>
      <c r="B76" t="s">
        <v>76</v>
      </c>
      <c r="C76" t="s">
        <v>10729</v>
      </c>
      <c r="D76" t="e">
        <v>#N/A</v>
      </c>
      <c r="E76" s="9">
        <v>1981</v>
      </c>
      <c r="F76" s="9">
        <v>12922</v>
      </c>
      <c r="G76" s="9" t="s">
        <v>30</v>
      </c>
    </row>
    <row r="77" spans="1:7" x14ac:dyDescent="0.2">
      <c r="A77" t="s">
        <v>6</v>
      </c>
      <c r="B77" t="s">
        <v>77</v>
      </c>
      <c r="C77" t="s">
        <v>10730</v>
      </c>
      <c r="D77" t="e">
        <v>#N/A</v>
      </c>
      <c r="E77" s="9">
        <v>729</v>
      </c>
      <c r="F77" s="9">
        <v>12178</v>
      </c>
      <c r="G77" s="9" t="s">
        <v>30</v>
      </c>
    </row>
    <row r="78" spans="1:7" x14ac:dyDescent="0.2">
      <c r="A78" t="s">
        <v>6</v>
      </c>
      <c r="B78" t="s">
        <v>78</v>
      </c>
      <c r="C78" t="s">
        <v>9728</v>
      </c>
      <c r="D78" t="s">
        <v>9715</v>
      </c>
      <c r="E78" s="9">
        <v>1064</v>
      </c>
      <c r="F78" s="9">
        <v>10469</v>
      </c>
      <c r="G78" s="9" t="s">
        <v>30</v>
      </c>
    </row>
    <row r="79" spans="1:7" x14ac:dyDescent="0.2">
      <c r="A79" t="s">
        <v>6</v>
      </c>
      <c r="B79" t="s">
        <v>79</v>
      </c>
      <c r="C79" t="s">
        <v>9729</v>
      </c>
      <c r="D79" t="s">
        <v>9715</v>
      </c>
      <c r="E79" s="9">
        <v>880</v>
      </c>
      <c r="F79" s="9">
        <v>9895</v>
      </c>
      <c r="G79" s="9" t="s">
        <v>30</v>
      </c>
    </row>
    <row r="80" spans="1:7" x14ac:dyDescent="0.2">
      <c r="A80" t="s">
        <v>6</v>
      </c>
      <c r="B80" t="s">
        <v>80</v>
      </c>
      <c r="C80" t="s">
        <v>9724</v>
      </c>
      <c r="D80" t="s">
        <v>9715</v>
      </c>
      <c r="E80" s="9">
        <v>834</v>
      </c>
      <c r="F80" s="9">
        <v>9588</v>
      </c>
      <c r="G80" s="9" t="s">
        <v>30</v>
      </c>
    </row>
    <row r="81" spans="1:7" x14ac:dyDescent="0.2">
      <c r="A81" t="s">
        <v>6</v>
      </c>
      <c r="B81" t="s">
        <v>81</v>
      </c>
      <c r="C81" t="s">
        <v>10703</v>
      </c>
      <c r="D81" t="s">
        <v>9715</v>
      </c>
      <c r="E81" s="9" t="s">
        <v>30</v>
      </c>
      <c r="F81" s="9" t="s">
        <v>30</v>
      </c>
      <c r="G81" s="9" t="s">
        <v>30</v>
      </c>
    </row>
    <row r="82" spans="1:7" x14ac:dyDescent="0.2">
      <c r="A82" t="s">
        <v>6</v>
      </c>
      <c r="B82" t="s">
        <v>82</v>
      </c>
      <c r="C82" t="s">
        <v>9725</v>
      </c>
      <c r="D82" t="s">
        <v>9715</v>
      </c>
      <c r="E82" s="9">
        <v>413</v>
      </c>
      <c r="F82" s="9">
        <v>12181</v>
      </c>
      <c r="G82" s="9">
        <v>0</v>
      </c>
    </row>
    <row r="83" spans="1:7" x14ac:dyDescent="0.2">
      <c r="A83" t="s">
        <v>83</v>
      </c>
      <c r="B83" t="s">
        <v>84</v>
      </c>
      <c r="C83" t="s">
        <v>10731</v>
      </c>
      <c r="D83" t="e">
        <v>#N/A</v>
      </c>
      <c r="E83" s="9">
        <v>0</v>
      </c>
      <c r="F83" s="9">
        <v>0</v>
      </c>
      <c r="G83" s="9">
        <v>1911095</v>
      </c>
    </row>
    <row r="84" spans="1:7" x14ac:dyDescent="0.2">
      <c r="A84" t="s">
        <v>83</v>
      </c>
      <c r="B84" t="s">
        <v>85</v>
      </c>
      <c r="C84" t="s">
        <v>10732</v>
      </c>
      <c r="D84" t="e">
        <v>#N/A</v>
      </c>
      <c r="E84" s="9">
        <v>6307</v>
      </c>
      <c r="F84" s="9">
        <v>44009</v>
      </c>
      <c r="G84" s="9">
        <v>1058228</v>
      </c>
    </row>
    <row r="85" spans="1:7" x14ac:dyDescent="0.2">
      <c r="A85" t="s">
        <v>86</v>
      </c>
      <c r="B85" t="s">
        <v>87</v>
      </c>
      <c r="C85" t="s">
        <v>10733</v>
      </c>
      <c r="D85" t="e">
        <v>#N/A</v>
      </c>
      <c r="E85" s="9">
        <v>21324</v>
      </c>
      <c r="F85" s="9">
        <v>238430</v>
      </c>
      <c r="G85" s="9">
        <v>1332176</v>
      </c>
    </row>
    <row r="86" spans="1:7" x14ac:dyDescent="0.2">
      <c r="A86" t="s">
        <v>86</v>
      </c>
      <c r="B86" t="s">
        <v>88</v>
      </c>
      <c r="C86" t="s">
        <v>10734</v>
      </c>
      <c r="D86" t="e">
        <v>#N/A</v>
      </c>
      <c r="E86" s="9">
        <v>1385</v>
      </c>
      <c r="F86" s="9">
        <v>10340</v>
      </c>
      <c r="G86" s="9">
        <v>4093169</v>
      </c>
    </row>
    <row r="87" spans="1:7" x14ac:dyDescent="0.2">
      <c r="A87" t="s">
        <v>89</v>
      </c>
      <c r="B87" t="s">
        <v>90</v>
      </c>
      <c r="C87" t="s">
        <v>9776</v>
      </c>
      <c r="D87" t="s">
        <v>9715</v>
      </c>
      <c r="E87" s="9">
        <v>136</v>
      </c>
      <c r="F87" s="9">
        <v>12565</v>
      </c>
      <c r="G87" s="9">
        <v>1471</v>
      </c>
    </row>
    <row r="88" spans="1:7" x14ac:dyDescent="0.2">
      <c r="A88" t="s">
        <v>89</v>
      </c>
      <c r="B88" t="s">
        <v>91</v>
      </c>
      <c r="C88" t="s">
        <v>10735</v>
      </c>
      <c r="D88" t="e">
        <v>#N/A</v>
      </c>
      <c r="E88" s="9">
        <v>2273</v>
      </c>
      <c r="F88" s="9">
        <v>10676</v>
      </c>
      <c r="G88" s="9">
        <v>204397</v>
      </c>
    </row>
    <row r="89" spans="1:7" x14ac:dyDescent="0.2">
      <c r="A89" t="s">
        <v>89</v>
      </c>
      <c r="B89" t="s">
        <v>92</v>
      </c>
      <c r="C89" t="s">
        <v>10736</v>
      </c>
      <c r="D89" t="e">
        <v>#N/A</v>
      </c>
      <c r="E89" s="9">
        <v>1549</v>
      </c>
      <c r="F89" s="9">
        <v>21496</v>
      </c>
      <c r="G89" s="9">
        <v>0</v>
      </c>
    </row>
    <row r="90" spans="1:7" x14ac:dyDescent="0.2">
      <c r="A90" t="s">
        <v>89</v>
      </c>
      <c r="B90" t="s">
        <v>93</v>
      </c>
      <c r="C90" t="s">
        <v>9766</v>
      </c>
      <c r="D90" t="s">
        <v>9715</v>
      </c>
      <c r="E90" s="9">
        <v>1010</v>
      </c>
      <c r="F90" s="9">
        <v>11089</v>
      </c>
      <c r="G90" s="9">
        <v>19426</v>
      </c>
    </row>
    <row r="91" spans="1:7" x14ac:dyDescent="0.2">
      <c r="A91" t="s">
        <v>89</v>
      </c>
      <c r="B91" t="s">
        <v>94</v>
      </c>
      <c r="C91" t="s">
        <v>10737</v>
      </c>
      <c r="D91" t="e">
        <v>#N/A</v>
      </c>
      <c r="E91" s="9">
        <v>4930</v>
      </c>
      <c r="F91" s="9">
        <v>23918</v>
      </c>
      <c r="G91" s="9">
        <v>93177</v>
      </c>
    </row>
    <row r="92" spans="1:7" x14ac:dyDescent="0.2">
      <c r="A92" t="s">
        <v>89</v>
      </c>
      <c r="B92" t="s">
        <v>95</v>
      </c>
      <c r="C92" t="s">
        <v>9767</v>
      </c>
      <c r="D92" t="s">
        <v>9715</v>
      </c>
      <c r="E92" s="9">
        <v>520</v>
      </c>
      <c r="F92" s="9">
        <v>8350</v>
      </c>
      <c r="G92" s="9">
        <v>856163</v>
      </c>
    </row>
    <row r="93" spans="1:7" x14ac:dyDescent="0.2">
      <c r="A93" t="s">
        <v>89</v>
      </c>
      <c r="B93" t="s">
        <v>96</v>
      </c>
      <c r="C93" t="s">
        <v>10738</v>
      </c>
      <c r="D93" t="e">
        <v>#N/A</v>
      </c>
      <c r="E93" s="9">
        <v>1676</v>
      </c>
      <c r="F93" s="9">
        <v>11783</v>
      </c>
      <c r="G93" s="9">
        <v>3922887</v>
      </c>
    </row>
    <row r="94" spans="1:7" x14ac:dyDescent="0.2">
      <c r="A94" t="s">
        <v>89</v>
      </c>
      <c r="B94" t="s">
        <v>97</v>
      </c>
      <c r="C94" t="s">
        <v>9777</v>
      </c>
      <c r="D94" t="s">
        <v>9715</v>
      </c>
      <c r="E94" s="9">
        <v>21171</v>
      </c>
      <c r="F94" s="9">
        <v>2361</v>
      </c>
      <c r="G94" s="9">
        <v>199322</v>
      </c>
    </row>
    <row r="95" spans="1:7" x14ac:dyDescent="0.2">
      <c r="A95" t="s">
        <v>89</v>
      </c>
      <c r="B95" t="s">
        <v>98</v>
      </c>
      <c r="C95" t="s">
        <v>9765</v>
      </c>
      <c r="D95" t="s">
        <v>9715</v>
      </c>
      <c r="E95" s="9">
        <v>769</v>
      </c>
      <c r="F95" s="9">
        <v>9914</v>
      </c>
      <c r="G95" s="9">
        <v>742419</v>
      </c>
    </row>
    <row r="96" spans="1:7" x14ac:dyDescent="0.2">
      <c r="A96" t="s">
        <v>89</v>
      </c>
      <c r="B96" t="s">
        <v>99</v>
      </c>
      <c r="C96" t="s">
        <v>10739</v>
      </c>
      <c r="D96" t="e">
        <v>#N/A</v>
      </c>
      <c r="E96" s="9">
        <v>1244</v>
      </c>
      <c r="F96" s="9">
        <v>10368</v>
      </c>
      <c r="G96" s="9">
        <v>892072</v>
      </c>
    </row>
    <row r="97" spans="1:7" x14ac:dyDescent="0.2">
      <c r="A97" t="s">
        <v>89</v>
      </c>
      <c r="B97" t="s">
        <v>100</v>
      </c>
      <c r="C97" t="s">
        <v>9768</v>
      </c>
      <c r="D97" t="s">
        <v>9715</v>
      </c>
      <c r="E97" s="9">
        <v>330</v>
      </c>
      <c r="F97" s="9">
        <v>8239</v>
      </c>
      <c r="G97" s="9">
        <v>204124</v>
      </c>
    </row>
    <row r="98" spans="1:7" x14ac:dyDescent="0.2">
      <c r="A98" t="s">
        <v>89</v>
      </c>
      <c r="B98" t="s">
        <v>101</v>
      </c>
      <c r="C98" t="s">
        <v>10740</v>
      </c>
      <c r="D98" t="e">
        <v>#N/A</v>
      </c>
      <c r="E98" s="9">
        <v>12208</v>
      </c>
      <c r="F98" s="9">
        <v>19157</v>
      </c>
      <c r="G98" s="9">
        <v>574084</v>
      </c>
    </row>
    <row r="99" spans="1:7" x14ac:dyDescent="0.2">
      <c r="A99" t="s">
        <v>89</v>
      </c>
      <c r="B99" t="s">
        <v>102</v>
      </c>
      <c r="C99" t="s">
        <v>10741</v>
      </c>
      <c r="D99" t="e">
        <v>#N/A</v>
      </c>
      <c r="E99" s="9">
        <v>2326</v>
      </c>
      <c r="F99" s="9">
        <v>11694</v>
      </c>
      <c r="G99" s="9">
        <v>3040248</v>
      </c>
    </row>
    <row r="100" spans="1:7" x14ac:dyDescent="0.2">
      <c r="A100" t="s">
        <v>89</v>
      </c>
      <c r="B100" t="s">
        <v>103</v>
      </c>
      <c r="C100" t="s">
        <v>9778</v>
      </c>
      <c r="D100" t="s">
        <v>9715</v>
      </c>
      <c r="E100" s="9">
        <v>171</v>
      </c>
      <c r="F100" s="9">
        <v>7749</v>
      </c>
      <c r="G100" s="9">
        <v>61973</v>
      </c>
    </row>
    <row r="101" spans="1:7" x14ac:dyDescent="0.2">
      <c r="A101" t="s">
        <v>89</v>
      </c>
      <c r="B101" t="s">
        <v>104</v>
      </c>
      <c r="C101" t="s">
        <v>9769</v>
      </c>
      <c r="D101" t="s">
        <v>9715</v>
      </c>
      <c r="E101" s="9">
        <v>1005</v>
      </c>
      <c r="F101" s="9">
        <v>9739</v>
      </c>
      <c r="G101" s="9">
        <v>0</v>
      </c>
    </row>
    <row r="102" spans="1:7" x14ac:dyDescent="0.2">
      <c r="A102" t="s">
        <v>89</v>
      </c>
      <c r="B102" t="s">
        <v>105</v>
      </c>
      <c r="C102" t="s">
        <v>9774</v>
      </c>
      <c r="D102" t="s">
        <v>9715</v>
      </c>
      <c r="E102" s="9">
        <v>406</v>
      </c>
      <c r="F102" s="9">
        <v>10998</v>
      </c>
      <c r="G102" s="9">
        <v>69555</v>
      </c>
    </row>
    <row r="103" spans="1:7" x14ac:dyDescent="0.2">
      <c r="A103" t="s">
        <v>89</v>
      </c>
      <c r="B103" t="s">
        <v>106</v>
      </c>
      <c r="C103" t="s">
        <v>10742</v>
      </c>
      <c r="D103" t="e">
        <v>#N/A</v>
      </c>
      <c r="E103" s="9">
        <v>1491</v>
      </c>
      <c r="F103" s="9">
        <v>9357</v>
      </c>
      <c r="G103" s="9">
        <v>275856</v>
      </c>
    </row>
    <row r="104" spans="1:7" x14ac:dyDescent="0.2">
      <c r="A104" t="s">
        <v>89</v>
      </c>
      <c r="B104" t="s">
        <v>107</v>
      </c>
      <c r="C104" t="s">
        <v>9770</v>
      </c>
      <c r="D104" t="s">
        <v>9715</v>
      </c>
      <c r="E104" s="9">
        <v>2337</v>
      </c>
      <c r="F104" s="9">
        <v>8627</v>
      </c>
      <c r="G104" s="9">
        <v>100365</v>
      </c>
    </row>
    <row r="105" spans="1:7" x14ac:dyDescent="0.2">
      <c r="A105" t="s">
        <v>89</v>
      </c>
      <c r="B105" t="s">
        <v>108</v>
      </c>
      <c r="C105" t="s">
        <v>10743</v>
      </c>
      <c r="D105" t="e">
        <v>#N/A</v>
      </c>
      <c r="E105" s="9">
        <v>2526</v>
      </c>
      <c r="F105" s="9">
        <v>11274</v>
      </c>
      <c r="G105" s="9">
        <v>2922897</v>
      </c>
    </row>
    <row r="106" spans="1:7" x14ac:dyDescent="0.2">
      <c r="A106" t="s">
        <v>89</v>
      </c>
      <c r="B106" t="s">
        <v>109</v>
      </c>
      <c r="C106" t="s">
        <v>10744</v>
      </c>
      <c r="D106" t="e">
        <v>#N/A</v>
      </c>
      <c r="E106" s="9">
        <v>1954</v>
      </c>
      <c r="F106" s="9">
        <v>10852</v>
      </c>
      <c r="G106" s="9">
        <v>607</v>
      </c>
    </row>
    <row r="107" spans="1:7" x14ac:dyDescent="0.2">
      <c r="A107" t="s">
        <v>89</v>
      </c>
      <c r="B107" t="s">
        <v>110</v>
      </c>
      <c r="C107" t="s">
        <v>10745</v>
      </c>
      <c r="D107" t="e">
        <v>#N/A</v>
      </c>
      <c r="E107" s="9">
        <v>1723</v>
      </c>
      <c r="F107" s="9">
        <v>12295</v>
      </c>
      <c r="G107" s="9">
        <v>1314</v>
      </c>
    </row>
    <row r="108" spans="1:7" x14ac:dyDescent="0.2">
      <c r="A108" t="s">
        <v>89</v>
      </c>
      <c r="B108" t="s">
        <v>111</v>
      </c>
      <c r="C108" t="s">
        <v>9779</v>
      </c>
      <c r="D108" t="s">
        <v>9715</v>
      </c>
      <c r="E108" s="9">
        <v>471</v>
      </c>
      <c r="F108" s="9">
        <v>9014</v>
      </c>
      <c r="G108" s="9">
        <v>47752</v>
      </c>
    </row>
    <row r="109" spans="1:7" x14ac:dyDescent="0.2">
      <c r="A109" t="s">
        <v>89</v>
      </c>
      <c r="B109" t="s">
        <v>112</v>
      </c>
      <c r="C109" t="s">
        <v>10746</v>
      </c>
      <c r="D109" t="e">
        <v>#N/A</v>
      </c>
      <c r="E109" s="9">
        <v>4976</v>
      </c>
      <c r="F109" s="9">
        <v>14577</v>
      </c>
      <c r="G109" s="9">
        <v>2219975</v>
      </c>
    </row>
    <row r="110" spans="1:7" x14ac:dyDescent="0.2">
      <c r="A110" t="s">
        <v>89</v>
      </c>
      <c r="B110" t="s">
        <v>113</v>
      </c>
      <c r="C110" t="s">
        <v>10747</v>
      </c>
      <c r="D110" t="e">
        <v>#N/A</v>
      </c>
      <c r="E110" s="9">
        <v>4753</v>
      </c>
      <c r="F110" s="9">
        <v>15808</v>
      </c>
      <c r="G110" s="9">
        <v>188912</v>
      </c>
    </row>
    <row r="111" spans="1:7" x14ac:dyDescent="0.2">
      <c r="A111" t="s">
        <v>89</v>
      </c>
      <c r="B111" t="s">
        <v>114</v>
      </c>
      <c r="C111" t="s">
        <v>9771</v>
      </c>
      <c r="D111" t="s">
        <v>9715</v>
      </c>
      <c r="E111" s="9">
        <v>497</v>
      </c>
      <c r="F111" s="9">
        <v>9600</v>
      </c>
      <c r="G111" s="9">
        <v>18350</v>
      </c>
    </row>
    <row r="112" spans="1:7" x14ac:dyDescent="0.2">
      <c r="A112" t="s">
        <v>89</v>
      </c>
      <c r="B112" t="s">
        <v>115</v>
      </c>
      <c r="C112" t="s">
        <v>9772</v>
      </c>
      <c r="D112" t="s">
        <v>9715</v>
      </c>
      <c r="E112" s="9">
        <v>880</v>
      </c>
      <c r="F112" s="9">
        <v>11844</v>
      </c>
      <c r="G112" s="9">
        <v>0</v>
      </c>
    </row>
    <row r="113" spans="1:7" x14ac:dyDescent="0.2">
      <c r="A113" t="s">
        <v>89</v>
      </c>
      <c r="B113" t="s">
        <v>116</v>
      </c>
      <c r="C113" t="s">
        <v>9775</v>
      </c>
      <c r="D113" t="s">
        <v>9715</v>
      </c>
      <c r="E113" s="9">
        <v>1915</v>
      </c>
      <c r="F113" s="9">
        <v>10551</v>
      </c>
      <c r="G113" s="9">
        <v>19442</v>
      </c>
    </row>
    <row r="114" spans="1:7" x14ac:dyDescent="0.2">
      <c r="A114" t="s">
        <v>89</v>
      </c>
      <c r="B114" t="s">
        <v>117</v>
      </c>
      <c r="C114" t="s">
        <v>10748</v>
      </c>
      <c r="D114" t="e">
        <v>#N/A</v>
      </c>
      <c r="E114" s="9">
        <v>3258</v>
      </c>
      <c r="F114" s="9">
        <v>14343</v>
      </c>
      <c r="G114" s="9">
        <v>3940860</v>
      </c>
    </row>
    <row r="115" spans="1:7" x14ac:dyDescent="0.2">
      <c r="A115" t="s">
        <v>89</v>
      </c>
      <c r="B115" t="s">
        <v>118</v>
      </c>
      <c r="C115" t="s">
        <v>9773</v>
      </c>
      <c r="D115" t="s">
        <v>9715</v>
      </c>
      <c r="E115" s="9">
        <v>340</v>
      </c>
      <c r="F115" s="9">
        <v>9953</v>
      </c>
      <c r="G115" s="9">
        <v>230963</v>
      </c>
    </row>
    <row r="116" spans="1:7" x14ac:dyDescent="0.2">
      <c r="A116" t="s">
        <v>119</v>
      </c>
      <c r="B116" t="s">
        <v>120</v>
      </c>
      <c r="C116" t="s">
        <v>10749</v>
      </c>
      <c r="D116" t="e">
        <v>#N/A</v>
      </c>
      <c r="E116" s="9">
        <v>316</v>
      </c>
      <c r="F116" s="9">
        <v>13502</v>
      </c>
      <c r="G116" s="9">
        <v>0</v>
      </c>
    </row>
    <row r="117" spans="1:7" x14ac:dyDescent="0.2">
      <c r="A117" t="s">
        <v>119</v>
      </c>
      <c r="B117" t="s">
        <v>121</v>
      </c>
      <c r="C117" t="s">
        <v>10750</v>
      </c>
      <c r="D117" t="e">
        <v>#N/A</v>
      </c>
      <c r="E117" s="9">
        <v>20</v>
      </c>
      <c r="F117" s="9">
        <v>25019</v>
      </c>
      <c r="G117" s="9">
        <v>7780089</v>
      </c>
    </row>
    <row r="118" spans="1:7" x14ac:dyDescent="0.2">
      <c r="A118" t="s">
        <v>119</v>
      </c>
      <c r="B118" t="s">
        <v>122</v>
      </c>
      <c r="C118" t="s">
        <v>10751</v>
      </c>
      <c r="D118" t="e">
        <v>#N/A</v>
      </c>
      <c r="E118" s="9">
        <v>1935</v>
      </c>
      <c r="F118" s="9">
        <v>9452</v>
      </c>
      <c r="G118" s="9">
        <v>5144232</v>
      </c>
    </row>
    <row r="119" spans="1:7" x14ac:dyDescent="0.2">
      <c r="A119" t="s">
        <v>119</v>
      </c>
      <c r="B119" t="s">
        <v>123</v>
      </c>
      <c r="C119" t="s">
        <v>10752</v>
      </c>
      <c r="D119" t="e">
        <v>#N/A</v>
      </c>
      <c r="E119" s="9">
        <v>1012</v>
      </c>
      <c r="F119" s="9">
        <v>10371</v>
      </c>
      <c r="G119" s="9">
        <v>0</v>
      </c>
    </row>
    <row r="120" spans="1:7" x14ac:dyDescent="0.2">
      <c r="A120" t="s">
        <v>119</v>
      </c>
      <c r="B120" t="s">
        <v>124</v>
      </c>
      <c r="C120" t="s">
        <v>10753</v>
      </c>
      <c r="D120" t="e">
        <v>#N/A</v>
      </c>
      <c r="E120" s="9">
        <v>477</v>
      </c>
      <c r="F120" s="9">
        <v>10134</v>
      </c>
      <c r="G120" s="9">
        <v>0</v>
      </c>
    </row>
    <row r="121" spans="1:7" x14ac:dyDescent="0.2">
      <c r="A121" t="s">
        <v>125</v>
      </c>
      <c r="B121" t="s">
        <v>126</v>
      </c>
      <c r="C121" t="s">
        <v>10754</v>
      </c>
      <c r="D121" t="e">
        <v>#N/A</v>
      </c>
      <c r="E121" s="9">
        <v>1686</v>
      </c>
      <c r="F121" s="9">
        <v>44095</v>
      </c>
      <c r="G121" s="9">
        <v>22097973</v>
      </c>
    </row>
    <row r="122" spans="1:7" x14ac:dyDescent="0.2">
      <c r="A122" t="s">
        <v>125</v>
      </c>
      <c r="B122" t="s">
        <v>127</v>
      </c>
      <c r="C122" t="s">
        <v>10755</v>
      </c>
      <c r="D122" t="e">
        <v>#N/A</v>
      </c>
      <c r="E122" s="9">
        <v>1382</v>
      </c>
      <c r="F122" s="9">
        <v>9942</v>
      </c>
      <c r="G122" s="9">
        <v>1876659</v>
      </c>
    </row>
    <row r="123" spans="1:7" x14ac:dyDescent="0.2">
      <c r="A123" t="s">
        <v>125</v>
      </c>
      <c r="B123" t="s">
        <v>128</v>
      </c>
      <c r="C123" t="s">
        <v>10756</v>
      </c>
      <c r="D123" t="e">
        <v>#N/A</v>
      </c>
      <c r="E123" s="9">
        <v>1232</v>
      </c>
      <c r="F123" s="9">
        <v>12184</v>
      </c>
      <c r="G123" s="9">
        <v>169515</v>
      </c>
    </row>
    <row r="124" spans="1:7" x14ac:dyDescent="0.2">
      <c r="A124" t="s">
        <v>125</v>
      </c>
      <c r="B124" t="s">
        <v>129</v>
      </c>
      <c r="C124" t="s">
        <v>10757</v>
      </c>
      <c r="D124" t="e">
        <v>#N/A</v>
      </c>
      <c r="E124" s="9">
        <v>2025</v>
      </c>
      <c r="F124" s="9">
        <v>10083</v>
      </c>
      <c r="G124" s="9">
        <v>3277718</v>
      </c>
    </row>
    <row r="125" spans="1:7" x14ac:dyDescent="0.2">
      <c r="A125" t="s">
        <v>125</v>
      </c>
      <c r="B125" t="s">
        <v>130</v>
      </c>
      <c r="C125" t="s">
        <v>10758</v>
      </c>
      <c r="D125" t="e">
        <v>#N/A</v>
      </c>
      <c r="E125" s="9">
        <v>2612</v>
      </c>
      <c r="F125" s="9">
        <v>10257</v>
      </c>
      <c r="G125" s="9">
        <v>4126303</v>
      </c>
    </row>
    <row r="126" spans="1:7" x14ac:dyDescent="0.2">
      <c r="A126" t="s">
        <v>131</v>
      </c>
      <c r="B126" t="s">
        <v>132</v>
      </c>
      <c r="C126" t="s">
        <v>10759</v>
      </c>
      <c r="D126" t="e">
        <v>#N/A</v>
      </c>
      <c r="E126" s="9">
        <v>732</v>
      </c>
      <c r="F126" s="9">
        <v>16293</v>
      </c>
      <c r="G126" s="9">
        <v>19748989</v>
      </c>
    </row>
    <row r="127" spans="1:7" x14ac:dyDescent="0.2">
      <c r="A127" t="s">
        <v>131</v>
      </c>
      <c r="B127" t="s">
        <v>133</v>
      </c>
      <c r="C127" t="s">
        <v>9780</v>
      </c>
      <c r="D127" t="s">
        <v>9715</v>
      </c>
      <c r="E127" s="9">
        <v>740</v>
      </c>
      <c r="F127" s="9">
        <v>9495</v>
      </c>
      <c r="G127" s="9">
        <v>42825</v>
      </c>
    </row>
    <row r="128" spans="1:7" x14ac:dyDescent="0.2">
      <c r="A128" t="s">
        <v>131</v>
      </c>
      <c r="B128" t="s">
        <v>134</v>
      </c>
      <c r="C128" t="s">
        <v>9781</v>
      </c>
      <c r="D128" t="s">
        <v>9715</v>
      </c>
      <c r="E128" s="9">
        <v>964</v>
      </c>
      <c r="F128" s="9">
        <v>9052</v>
      </c>
      <c r="G128" s="9">
        <v>21487</v>
      </c>
    </row>
    <row r="129" spans="1:7" x14ac:dyDescent="0.2">
      <c r="A129" t="s">
        <v>131</v>
      </c>
      <c r="B129" t="s">
        <v>135</v>
      </c>
      <c r="C129" t="s">
        <v>10760</v>
      </c>
      <c r="D129" t="e">
        <v>#N/A</v>
      </c>
      <c r="E129" s="9">
        <v>1938</v>
      </c>
      <c r="F129" s="9">
        <v>11335</v>
      </c>
      <c r="G129" s="9">
        <v>15731791</v>
      </c>
    </row>
    <row r="130" spans="1:7" x14ac:dyDescent="0.2">
      <c r="A130" t="s">
        <v>131</v>
      </c>
      <c r="B130" t="s">
        <v>136</v>
      </c>
      <c r="C130" t="s">
        <v>9793</v>
      </c>
      <c r="D130" t="s">
        <v>9715</v>
      </c>
      <c r="E130" s="9">
        <v>1481</v>
      </c>
      <c r="F130" s="9">
        <v>8387</v>
      </c>
      <c r="G130" s="9">
        <v>268</v>
      </c>
    </row>
    <row r="131" spans="1:7" x14ac:dyDescent="0.2">
      <c r="A131" t="s">
        <v>131</v>
      </c>
      <c r="B131" t="s">
        <v>137</v>
      </c>
      <c r="C131" t="s">
        <v>9794</v>
      </c>
      <c r="D131" t="s">
        <v>9715</v>
      </c>
      <c r="E131" s="9">
        <v>1511</v>
      </c>
      <c r="F131" s="9">
        <v>16694</v>
      </c>
      <c r="G131" s="9">
        <v>280</v>
      </c>
    </row>
    <row r="132" spans="1:7" x14ac:dyDescent="0.2">
      <c r="A132" t="s">
        <v>131</v>
      </c>
      <c r="B132" t="s">
        <v>138</v>
      </c>
      <c r="C132" t="s">
        <v>10761</v>
      </c>
      <c r="D132" t="e">
        <v>#N/A</v>
      </c>
      <c r="E132" s="9">
        <v>1205</v>
      </c>
      <c r="F132" s="9">
        <v>9884</v>
      </c>
      <c r="G132" s="9">
        <v>12126795</v>
      </c>
    </row>
    <row r="133" spans="1:7" x14ac:dyDescent="0.2">
      <c r="A133" t="s">
        <v>131</v>
      </c>
      <c r="B133" t="s">
        <v>139</v>
      </c>
      <c r="C133" t="s">
        <v>10762</v>
      </c>
      <c r="D133" t="e">
        <v>#N/A</v>
      </c>
      <c r="E133" s="9">
        <v>1610</v>
      </c>
      <c r="F133" s="9">
        <v>10590</v>
      </c>
      <c r="G133" s="9">
        <v>117</v>
      </c>
    </row>
    <row r="134" spans="1:7" x14ac:dyDescent="0.2">
      <c r="A134" t="s">
        <v>131</v>
      </c>
      <c r="B134" t="s">
        <v>140</v>
      </c>
      <c r="C134" t="s">
        <v>9784</v>
      </c>
      <c r="D134" t="s">
        <v>9715</v>
      </c>
      <c r="E134" s="9">
        <v>879</v>
      </c>
      <c r="F134" s="9">
        <v>10152</v>
      </c>
      <c r="G134" s="9">
        <v>0</v>
      </c>
    </row>
    <row r="135" spans="1:7" x14ac:dyDescent="0.2">
      <c r="A135" t="s">
        <v>131</v>
      </c>
      <c r="B135" t="s">
        <v>141</v>
      </c>
      <c r="C135" t="s">
        <v>10763</v>
      </c>
      <c r="D135" t="e">
        <v>#N/A</v>
      </c>
      <c r="E135" s="9">
        <v>456</v>
      </c>
      <c r="F135" s="9">
        <v>9323</v>
      </c>
      <c r="G135" s="9">
        <v>40801</v>
      </c>
    </row>
    <row r="136" spans="1:7" x14ac:dyDescent="0.2">
      <c r="A136" t="s">
        <v>131</v>
      </c>
      <c r="B136" t="s">
        <v>142</v>
      </c>
      <c r="C136" t="s">
        <v>9785</v>
      </c>
      <c r="D136" t="s">
        <v>9715</v>
      </c>
      <c r="E136" s="9">
        <v>689</v>
      </c>
      <c r="F136" s="9">
        <v>11872</v>
      </c>
      <c r="G136" s="9">
        <v>288359</v>
      </c>
    </row>
    <row r="137" spans="1:7" x14ac:dyDescent="0.2">
      <c r="A137" t="s">
        <v>131</v>
      </c>
      <c r="B137" t="s">
        <v>143</v>
      </c>
      <c r="C137" t="s">
        <v>10764</v>
      </c>
      <c r="D137" t="e">
        <v>#N/A</v>
      </c>
      <c r="E137" s="9">
        <v>5040</v>
      </c>
      <c r="F137" s="9">
        <v>50321</v>
      </c>
      <c r="G137" s="9">
        <v>45093019</v>
      </c>
    </row>
    <row r="138" spans="1:7" x14ac:dyDescent="0.2">
      <c r="A138" t="s">
        <v>131</v>
      </c>
      <c r="B138" t="s">
        <v>144</v>
      </c>
      <c r="C138" t="s">
        <v>9786</v>
      </c>
      <c r="D138" t="s">
        <v>9715</v>
      </c>
      <c r="E138" s="9">
        <v>595</v>
      </c>
      <c r="F138" s="9">
        <v>9912</v>
      </c>
      <c r="G138" s="9">
        <v>58706</v>
      </c>
    </row>
    <row r="139" spans="1:7" x14ac:dyDescent="0.2">
      <c r="A139" t="s">
        <v>131</v>
      </c>
      <c r="B139" t="s">
        <v>145</v>
      </c>
      <c r="C139" t="s">
        <v>9787</v>
      </c>
      <c r="D139" t="s">
        <v>9715</v>
      </c>
      <c r="E139" s="9">
        <v>860</v>
      </c>
      <c r="F139" s="9">
        <v>11546</v>
      </c>
      <c r="G139" s="9">
        <v>0</v>
      </c>
    </row>
    <row r="140" spans="1:7" x14ac:dyDescent="0.2">
      <c r="A140" t="s">
        <v>131</v>
      </c>
      <c r="B140" t="s">
        <v>146</v>
      </c>
      <c r="C140" t="s">
        <v>9792</v>
      </c>
      <c r="D140" t="s">
        <v>9715</v>
      </c>
      <c r="E140" s="9">
        <v>2113</v>
      </c>
      <c r="F140" s="9">
        <v>14788</v>
      </c>
      <c r="G140" s="9">
        <v>0</v>
      </c>
    </row>
    <row r="141" spans="1:7" x14ac:dyDescent="0.2">
      <c r="A141" t="s">
        <v>131</v>
      </c>
      <c r="B141" t="s">
        <v>147</v>
      </c>
      <c r="C141" t="s">
        <v>10765</v>
      </c>
      <c r="D141" t="e">
        <v>#N/A</v>
      </c>
      <c r="E141" s="9">
        <v>3127</v>
      </c>
      <c r="F141" s="9">
        <v>11152</v>
      </c>
      <c r="G141" s="9">
        <v>27391164</v>
      </c>
    </row>
    <row r="142" spans="1:7" x14ac:dyDescent="0.2">
      <c r="A142" t="s">
        <v>131</v>
      </c>
      <c r="B142" t="s">
        <v>148</v>
      </c>
      <c r="C142" t="s">
        <v>10766</v>
      </c>
      <c r="D142" t="e">
        <v>#N/A</v>
      </c>
      <c r="E142" s="9">
        <v>1604</v>
      </c>
      <c r="F142" s="9">
        <v>18179</v>
      </c>
      <c r="G142" s="9">
        <v>272877</v>
      </c>
    </row>
    <row r="143" spans="1:7" x14ac:dyDescent="0.2">
      <c r="A143" t="s">
        <v>131</v>
      </c>
      <c r="B143" t="s">
        <v>149</v>
      </c>
      <c r="C143" t="s">
        <v>10767</v>
      </c>
      <c r="D143" t="e">
        <v>#N/A</v>
      </c>
      <c r="E143" s="9">
        <v>546</v>
      </c>
      <c r="F143" s="9">
        <v>11407</v>
      </c>
      <c r="G143" s="9">
        <v>9429565</v>
      </c>
    </row>
    <row r="144" spans="1:7" x14ac:dyDescent="0.2">
      <c r="A144" t="s">
        <v>131</v>
      </c>
      <c r="B144" t="s">
        <v>150</v>
      </c>
      <c r="C144" t="s">
        <v>9795</v>
      </c>
      <c r="D144" t="s">
        <v>9715</v>
      </c>
      <c r="E144" s="9">
        <v>2406</v>
      </c>
      <c r="F144" s="9">
        <v>12306</v>
      </c>
      <c r="G144" s="9">
        <v>0</v>
      </c>
    </row>
    <row r="145" spans="1:7" x14ac:dyDescent="0.2">
      <c r="A145" t="s">
        <v>131</v>
      </c>
      <c r="B145" t="s">
        <v>151</v>
      </c>
      <c r="C145" t="s">
        <v>10768</v>
      </c>
      <c r="D145" t="e">
        <v>#N/A</v>
      </c>
      <c r="E145" s="9">
        <v>841</v>
      </c>
      <c r="F145" s="9">
        <v>9999</v>
      </c>
      <c r="G145" s="9">
        <v>7851305</v>
      </c>
    </row>
    <row r="146" spans="1:7" x14ac:dyDescent="0.2">
      <c r="A146" t="s">
        <v>131</v>
      </c>
      <c r="B146" t="s">
        <v>152</v>
      </c>
      <c r="C146" t="s">
        <v>9788</v>
      </c>
      <c r="D146" t="s">
        <v>9715</v>
      </c>
      <c r="E146" s="9">
        <v>1920</v>
      </c>
      <c r="F146" s="9">
        <v>13168</v>
      </c>
      <c r="G146" s="9">
        <v>18201</v>
      </c>
    </row>
    <row r="147" spans="1:7" x14ac:dyDescent="0.2">
      <c r="A147" t="s">
        <v>131</v>
      </c>
      <c r="B147" t="s">
        <v>153</v>
      </c>
      <c r="C147" t="s">
        <v>9789</v>
      </c>
      <c r="D147" t="s">
        <v>9715</v>
      </c>
      <c r="E147" s="9">
        <v>1024</v>
      </c>
      <c r="F147" s="9">
        <v>12473</v>
      </c>
      <c r="G147" s="9">
        <v>0</v>
      </c>
    </row>
    <row r="148" spans="1:7" x14ac:dyDescent="0.2">
      <c r="A148" t="s">
        <v>131</v>
      </c>
      <c r="B148" t="s">
        <v>154</v>
      </c>
      <c r="C148" t="s">
        <v>10769</v>
      </c>
      <c r="D148" t="e">
        <v>#N/A</v>
      </c>
      <c r="E148" s="9">
        <v>938</v>
      </c>
      <c r="F148" s="9">
        <v>12805</v>
      </c>
      <c r="G148" s="9">
        <v>38995670</v>
      </c>
    </row>
    <row r="149" spans="1:7" x14ac:dyDescent="0.2">
      <c r="A149" t="s">
        <v>131</v>
      </c>
      <c r="B149" t="s">
        <v>155</v>
      </c>
      <c r="C149" t="s">
        <v>10770</v>
      </c>
      <c r="D149" t="e">
        <v>#N/A</v>
      </c>
      <c r="E149" s="9">
        <v>587</v>
      </c>
      <c r="F149" s="9">
        <v>13347</v>
      </c>
      <c r="G149" s="9">
        <v>19482322</v>
      </c>
    </row>
    <row r="150" spans="1:7" x14ac:dyDescent="0.2">
      <c r="A150" t="s">
        <v>131</v>
      </c>
      <c r="B150" t="s">
        <v>156</v>
      </c>
      <c r="C150" t="s">
        <v>10771</v>
      </c>
      <c r="D150" t="e">
        <v>#N/A</v>
      </c>
      <c r="E150" s="9">
        <v>1342</v>
      </c>
      <c r="F150" s="9">
        <v>10187</v>
      </c>
      <c r="G150" s="9">
        <v>97951351</v>
      </c>
    </row>
    <row r="151" spans="1:7" x14ac:dyDescent="0.2">
      <c r="A151" t="s">
        <v>131</v>
      </c>
      <c r="B151" t="s">
        <v>157</v>
      </c>
      <c r="C151" t="s">
        <v>10772</v>
      </c>
      <c r="D151" t="e">
        <v>#N/A</v>
      </c>
      <c r="E151" s="9">
        <v>884</v>
      </c>
      <c r="F151" s="9">
        <v>10275</v>
      </c>
      <c r="G151" s="9">
        <v>8634818</v>
      </c>
    </row>
    <row r="152" spans="1:7" x14ac:dyDescent="0.2">
      <c r="A152" t="s">
        <v>131</v>
      </c>
      <c r="B152" t="s">
        <v>158</v>
      </c>
      <c r="C152" t="s">
        <v>10773</v>
      </c>
      <c r="D152" t="e">
        <v>#N/A</v>
      </c>
      <c r="E152" s="9">
        <v>437</v>
      </c>
      <c r="F152" s="9">
        <v>12091</v>
      </c>
      <c r="G152" s="9">
        <v>1971723</v>
      </c>
    </row>
    <row r="153" spans="1:7" x14ac:dyDescent="0.2">
      <c r="A153" t="s">
        <v>131</v>
      </c>
      <c r="B153" t="s">
        <v>159</v>
      </c>
      <c r="C153" t="s">
        <v>10774</v>
      </c>
      <c r="D153" t="e">
        <v>#N/A</v>
      </c>
      <c r="E153" s="9">
        <v>1931</v>
      </c>
      <c r="F153" s="9">
        <v>11383</v>
      </c>
      <c r="G153" s="9">
        <v>43066232</v>
      </c>
    </row>
    <row r="154" spans="1:7" x14ac:dyDescent="0.2">
      <c r="A154" t="s">
        <v>131</v>
      </c>
      <c r="B154" t="s">
        <v>160</v>
      </c>
      <c r="C154" t="s">
        <v>9796</v>
      </c>
      <c r="D154" t="s">
        <v>9715</v>
      </c>
      <c r="E154" s="9">
        <v>1865</v>
      </c>
      <c r="F154" s="9">
        <v>12180</v>
      </c>
      <c r="G154" s="9">
        <v>0</v>
      </c>
    </row>
    <row r="155" spans="1:7" x14ac:dyDescent="0.2">
      <c r="A155" t="s">
        <v>131</v>
      </c>
      <c r="B155" t="s">
        <v>161</v>
      </c>
      <c r="C155" t="s">
        <v>9797</v>
      </c>
      <c r="D155" t="s">
        <v>9715</v>
      </c>
      <c r="E155" s="9">
        <v>1450</v>
      </c>
      <c r="F155" s="9">
        <v>12485</v>
      </c>
      <c r="G155" s="9">
        <v>0</v>
      </c>
    </row>
    <row r="156" spans="1:7" x14ac:dyDescent="0.2">
      <c r="A156" t="s">
        <v>131</v>
      </c>
      <c r="B156" t="s">
        <v>162</v>
      </c>
      <c r="C156" t="s">
        <v>9798</v>
      </c>
      <c r="D156" t="s">
        <v>9715</v>
      </c>
      <c r="E156" s="9">
        <v>2947</v>
      </c>
      <c r="F156" s="9">
        <v>9244</v>
      </c>
      <c r="G156" s="9">
        <v>75698</v>
      </c>
    </row>
    <row r="157" spans="1:7" x14ac:dyDescent="0.2">
      <c r="A157" t="s">
        <v>131</v>
      </c>
      <c r="B157" t="s">
        <v>163</v>
      </c>
      <c r="C157" t="s">
        <v>9782</v>
      </c>
      <c r="D157" t="s">
        <v>9715</v>
      </c>
      <c r="E157" s="9">
        <v>1454</v>
      </c>
      <c r="F157" s="9">
        <v>11481</v>
      </c>
      <c r="G157" s="9">
        <v>37</v>
      </c>
    </row>
    <row r="158" spans="1:7" x14ac:dyDescent="0.2">
      <c r="A158" t="s">
        <v>131</v>
      </c>
      <c r="B158" t="s">
        <v>164</v>
      </c>
      <c r="C158" t="s">
        <v>9791</v>
      </c>
      <c r="D158" t="s">
        <v>9715</v>
      </c>
      <c r="E158" s="9">
        <v>1653</v>
      </c>
      <c r="F158" s="9">
        <v>9846</v>
      </c>
      <c r="G158" s="9">
        <v>72</v>
      </c>
    </row>
    <row r="159" spans="1:7" x14ac:dyDescent="0.2">
      <c r="A159" t="s">
        <v>131</v>
      </c>
      <c r="B159" t="s">
        <v>165</v>
      </c>
      <c r="C159" t="s">
        <v>10775</v>
      </c>
      <c r="D159" t="e">
        <v>#N/A</v>
      </c>
      <c r="E159" s="9">
        <v>516</v>
      </c>
      <c r="F159" s="9">
        <v>10797</v>
      </c>
      <c r="G159" s="9">
        <v>24933629</v>
      </c>
    </row>
    <row r="160" spans="1:7" x14ac:dyDescent="0.2">
      <c r="A160" t="s">
        <v>131</v>
      </c>
      <c r="B160" t="s">
        <v>166</v>
      </c>
      <c r="C160" t="s">
        <v>9790</v>
      </c>
      <c r="D160" t="s">
        <v>9715</v>
      </c>
      <c r="E160" s="9">
        <v>1673</v>
      </c>
      <c r="F160" s="9">
        <v>12349</v>
      </c>
      <c r="G160" s="9">
        <v>27</v>
      </c>
    </row>
    <row r="161" spans="1:7" x14ac:dyDescent="0.2">
      <c r="A161" t="s">
        <v>131</v>
      </c>
      <c r="B161" t="s">
        <v>167</v>
      </c>
      <c r="C161" t="s">
        <v>9799</v>
      </c>
      <c r="D161" t="s">
        <v>9715</v>
      </c>
      <c r="E161" s="9">
        <v>1704</v>
      </c>
      <c r="F161" s="9">
        <v>12273</v>
      </c>
      <c r="G161" s="9">
        <v>52</v>
      </c>
    </row>
    <row r="162" spans="1:7" x14ac:dyDescent="0.2">
      <c r="A162" t="s">
        <v>131</v>
      </c>
      <c r="B162" t="s">
        <v>168</v>
      </c>
      <c r="C162" t="s">
        <v>9783</v>
      </c>
      <c r="D162" t="s">
        <v>9715</v>
      </c>
      <c r="E162" s="9">
        <v>476</v>
      </c>
      <c r="F162" s="9">
        <v>9252</v>
      </c>
      <c r="G162" s="9">
        <v>78178</v>
      </c>
    </row>
    <row r="163" spans="1:7" x14ac:dyDescent="0.2">
      <c r="A163" t="s">
        <v>131</v>
      </c>
      <c r="B163" t="s">
        <v>169</v>
      </c>
      <c r="C163" t="s">
        <v>9800</v>
      </c>
      <c r="D163" t="s">
        <v>9715</v>
      </c>
      <c r="E163" s="9">
        <v>1992</v>
      </c>
      <c r="F163" s="9">
        <v>7869</v>
      </c>
      <c r="G163" s="9">
        <v>4942</v>
      </c>
    </row>
    <row r="164" spans="1:7" x14ac:dyDescent="0.2">
      <c r="A164" t="s">
        <v>131</v>
      </c>
      <c r="B164" t="s">
        <v>170</v>
      </c>
      <c r="C164" t="s">
        <v>10776</v>
      </c>
      <c r="D164" t="e">
        <v>#N/A</v>
      </c>
      <c r="E164" s="9">
        <v>738</v>
      </c>
      <c r="F164" s="9">
        <v>10559</v>
      </c>
      <c r="G164" s="9">
        <v>0</v>
      </c>
    </row>
    <row r="165" spans="1:7" x14ac:dyDescent="0.2">
      <c r="A165" t="s">
        <v>131</v>
      </c>
      <c r="B165" t="s">
        <v>171</v>
      </c>
      <c r="C165" t="s">
        <v>10777</v>
      </c>
      <c r="D165" t="e">
        <v>#N/A</v>
      </c>
      <c r="E165" s="9">
        <v>2917</v>
      </c>
      <c r="F165" s="9">
        <v>4725</v>
      </c>
      <c r="G165" s="9">
        <v>166469603</v>
      </c>
    </row>
    <row r="166" spans="1:7" x14ac:dyDescent="0.2">
      <c r="A166" t="s">
        <v>172</v>
      </c>
      <c r="B166" t="s">
        <v>173</v>
      </c>
      <c r="C166" t="s">
        <v>10778</v>
      </c>
      <c r="D166" t="e">
        <v>#N/A</v>
      </c>
      <c r="E166" s="9">
        <v>4505</v>
      </c>
      <c r="F166" s="9">
        <v>9452</v>
      </c>
      <c r="G166" s="9">
        <v>646757</v>
      </c>
    </row>
    <row r="167" spans="1:7" x14ac:dyDescent="0.2">
      <c r="A167" t="s">
        <v>172</v>
      </c>
      <c r="B167" t="s">
        <v>174</v>
      </c>
      <c r="C167" t="s">
        <v>10779</v>
      </c>
      <c r="D167" t="e">
        <v>#N/A</v>
      </c>
      <c r="E167" s="9">
        <v>2015</v>
      </c>
      <c r="F167" s="9">
        <v>12185</v>
      </c>
      <c r="G167" s="9">
        <v>680181</v>
      </c>
    </row>
    <row r="168" spans="1:7" x14ac:dyDescent="0.2">
      <c r="A168" t="s">
        <v>172</v>
      </c>
      <c r="B168" t="s">
        <v>175</v>
      </c>
      <c r="C168" t="s">
        <v>9801</v>
      </c>
      <c r="D168" t="s">
        <v>9715</v>
      </c>
      <c r="E168" s="9">
        <v>861</v>
      </c>
      <c r="F168" s="9">
        <v>10918</v>
      </c>
      <c r="G168" s="9">
        <v>0</v>
      </c>
    </row>
    <row r="169" spans="1:7" x14ac:dyDescent="0.2">
      <c r="A169" t="s">
        <v>176</v>
      </c>
      <c r="B169" t="s">
        <v>177</v>
      </c>
      <c r="C169" t="s">
        <v>10780</v>
      </c>
      <c r="D169" t="e">
        <v>#N/A</v>
      </c>
      <c r="E169" s="9">
        <v>1648</v>
      </c>
      <c r="F169" s="9">
        <v>7651</v>
      </c>
      <c r="G169" s="9">
        <v>1685077</v>
      </c>
    </row>
    <row r="170" spans="1:7" x14ac:dyDescent="0.2">
      <c r="A170" t="s">
        <v>176</v>
      </c>
      <c r="B170" t="s">
        <v>178</v>
      </c>
      <c r="C170" t="s">
        <v>10781</v>
      </c>
      <c r="D170" t="e">
        <v>#N/A</v>
      </c>
      <c r="E170" s="9">
        <v>1402</v>
      </c>
      <c r="F170" s="9">
        <v>9537</v>
      </c>
      <c r="G170" s="9">
        <v>2570937</v>
      </c>
    </row>
    <row r="171" spans="1:7" x14ac:dyDescent="0.2">
      <c r="A171" t="s">
        <v>176</v>
      </c>
      <c r="B171" t="s">
        <v>179</v>
      </c>
      <c r="C171" t="s">
        <v>9802</v>
      </c>
      <c r="D171" t="s">
        <v>9715</v>
      </c>
      <c r="E171" s="9">
        <v>740</v>
      </c>
      <c r="F171" s="9">
        <v>9554</v>
      </c>
      <c r="G171" s="9">
        <v>473692</v>
      </c>
    </row>
    <row r="172" spans="1:7" x14ac:dyDescent="0.2">
      <c r="A172" t="s">
        <v>176</v>
      </c>
      <c r="B172" t="s">
        <v>180</v>
      </c>
      <c r="C172" t="s">
        <v>9806</v>
      </c>
      <c r="D172" t="s">
        <v>9715</v>
      </c>
      <c r="E172" s="9">
        <v>2344</v>
      </c>
      <c r="F172" s="9">
        <v>8369</v>
      </c>
      <c r="G172" s="9">
        <v>17236</v>
      </c>
    </row>
    <row r="173" spans="1:7" x14ac:dyDescent="0.2">
      <c r="A173" t="s">
        <v>176</v>
      </c>
      <c r="B173" t="s">
        <v>181</v>
      </c>
      <c r="C173" t="s">
        <v>10782</v>
      </c>
      <c r="D173" t="e">
        <v>#N/A</v>
      </c>
      <c r="E173" s="9">
        <v>2339</v>
      </c>
      <c r="F173" s="9">
        <v>8349</v>
      </c>
      <c r="G173" s="9">
        <v>609206</v>
      </c>
    </row>
    <row r="174" spans="1:7" x14ac:dyDescent="0.2">
      <c r="A174" t="s">
        <v>176</v>
      </c>
      <c r="B174" t="s">
        <v>182</v>
      </c>
      <c r="C174" t="s">
        <v>9803</v>
      </c>
      <c r="D174" t="s">
        <v>9715</v>
      </c>
      <c r="E174" s="9">
        <v>218</v>
      </c>
      <c r="F174" s="9">
        <v>10282</v>
      </c>
      <c r="G174" s="9">
        <v>181486</v>
      </c>
    </row>
    <row r="175" spans="1:7" x14ac:dyDescent="0.2">
      <c r="A175" t="s">
        <v>176</v>
      </c>
      <c r="B175" t="s">
        <v>183</v>
      </c>
      <c r="C175" t="s">
        <v>9804</v>
      </c>
      <c r="D175" t="s">
        <v>9715</v>
      </c>
      <c r="E175" s="9">
        <v>351</v>
      </c>
      <c r="F175" s="9">
        <v>9344</v>
      </c>
      <c r="G175" s="9">
        <v>99578</v>
      </c>
    </row>
    <row r="176" spans="1:7" x14ac:dyDescent="0.2">
      <c r="A176" t="s">
        <v>176</v>
      </c>
      <c r="B176" t="s">
        <v>184</v>
      </c>
      <c r="C176" t="s">
        <v>10783</v>
      </c>
      <c r="D176" t="e">
        <v>#N/A</v>
      </c>
      <c r="E176" s="9">
        <v>19041</v>
      </c>
      <c r="F176" s="9">
        <v>24997</v>
      </c>
      <c r="G176" s="9">
        <v>248058186</v>
      </c>
    </row>
    <row r="177" spans="1:7" x14ac:dyDescent="0.2">
      <c r="A177" t="s">
        <v>176</v>
      </c>
      <c r="B177" t="s">
        <v>185</v>
      </c>
      <c r="C177" t="s">
        <v>10784</v>
      </c>
      <c r="D177" t="e">
        <v>#N/A</v>
      </c>
      <c r="E177" s="9">
        <v>800</v>
      </c>
      <c r="F177" s="9">
        <v>9013</v>
      </c>
      <c r="G177" s="9">
        <v>27643578</v>
      </c>
    </row>
    <row r="178" spans="1:7" x14ac:dyDescent="0.2">
      <c r="A178" t="s">
        <v>176</v>
      </c>
      <c r="B178" t="s">
        <v>186</v>
      </c>
      <c r="C178" t="s">
        <v>10785</v>
      </c>
      <c r="D178" t="e">
        <v>#N/A</v>
      </c>
      <c r="E178" s="9">
        <v>1959</v>
      </c>
      <c r="F178" s="9">
        <v>10063</v>
      </c>
      <c r="G178" s="9">
        <v>774487</v>
      </c>
    </row>
    <row r="179" spans="1:7" x14ac:dyDescent="0.2">
      <c r="A179" t="s">
        <v>176</v>
      </c>
      <c r="B179" t="s">
        <v>187</v>
      </c>
      <c r="C179" t="s">
        <v>10786</v>
      </c>
      <c r="D179" t="e">
        <v>#N/A</v>
      </c>
      <c r="E179" s="9">
        <v>881</v>
      </c>
      <c r="F179" s="9">
        <v>8666</v>
      </c>
      <c r="G179" s="9">
        <v>160635</v>
      </c>
    </row>
    <row r="180" spans="1:7" x14ac:dyDescent="0.2">
      <c r="A180" t="s">
        <v>176</v>
      </c>
      <c r="B180" t="s">
        <v>188</v>
      </c>
      <c r="C180" t="s">
        <v>10787</v>
      </c>
      <c r="D180" t="e">
        <v>#N/A</v>
      </c>
      <c r="E180" s="9">
        <v>1913</v>
      </c>
      <c r="F180" s="9">
        <v>16005</v>
      </c>
      <c r="G180" s="9">
        <v>37944</v>
      </c>
    </row>
    <row r="181" spans="1:7" x14ac:dyDescent="0.2">
      <c r="A181" t="s">
        <v>176</v>
      </c>
      <c r="B181" t="s">
        <v>189</v>
      </c>
      <c r="C181" t="s">
        <v>9807</v>
      </c>
      <c r="D181" t="s">
        <v>9715</v>
      </c>
      <c r="E181" s="9">
        <v>420</v>
      </c>
      <c r="F181" s="9">
        <v>8266</v>
      </c>
      <c r="G181" s="9">
        <v>0</v>
      </c>
    </row>
    <row r="182" spans="1:7" x14ac:dyDescent="0.2">
      <c r="A182" t="s">
        <v>176</v>
      </c>
      <c r="B182" t="s">
        <v>190</v>
      </c>
      <c r="C182" t="s">
        <v>10788</v>
      </c>
      <c r="D182" t="e">
        <v>#N/A</v>
      </c>
      <c r="E182" s="9">
        <v>1440</v>
      </c>
      <c r="F182" s="9">
        <v>11272</v>
      </c>
      <c r="G182" s="9">
        <v>2924648</v>
      </c>
    </row>
    <row r="183" spans="1:7" x14ac:dyDescent="0.2">
      <c r="A183" t="s">
        <v>176</v>
      </c>
      <c r="B183" t="s">
        <v>191</v>
      </c>
      <c r="C183" t="s">
        <v>10789</v>
      </c>
      <c r="D183" t="e">
        <v>#N/A</v>
      </c>
      <c r="E183" s="9">
        <v>567</v>
      </c>
      <c r="F183" s="9">
        <v>15317</v>
      </c>
      <c r="G183" s="9">
        <v>191096</v>
      </c>
    </row>
    <row r="184" spans="1:7" x14ac:dyDescent="0.2">
      <c r="A184" t="s">
        <v>176</v>
      </c>
      <c r="B184" t="s">
        <v>192</v>
      </c>
      <c r="C184" t="s">
        <v>10790</v>
      </c>
      <c r="D184" t="e">
        <v>#N/A</v>
      </c>
      <c r="E184" s="9">
        <v>997</v>
      </c>
      <c r="F184" s="9">
        <v>7850</v>
      </c>
      <c r="G184" s="9">
        <v>1615358</v>
      </c>
    </row>
    <row r="185" spans="1:7" x14ac:dyDescent="0.2">
      <c r="A185" t="s">
        <v>176</v>
      </c>
      <c r="B185" t="s">
        <v>113</v>
      </c>
      <c r="C185" t="s">
        <v>10791</v>
      </c>
      <c r="D185" t="e">
        <v>#N/A</v>
      </c>
      <c r="E185" s="9">
        <v>1419</v>
      </c>
      <c r="F185" s="9">
        <v>10231</v>
      </c>
      <c r="G185" s="9">
        <v>11650</v>
      </c>
    </row>
    <row r="186" spans="1:7" x14ac:dyDescent="0.2">
      <c r="A186" t="s">
        <v>176</v>
      </c>
      <c r="B186" t="s">
        <v>193</v>
      </c>
      <c r="C186" t="s">
        <v>10792</v>
      </c>
      <c r="D186" t="e">
        <v>#N/A</v>
      </c>
      <c r="E186" s="9">
        <v>1121</v>
      </c>
      <c r="F186" s="9">
        <v>10214</v>
      </c>
      <c r="G186" s="9">
        <v>2577023</v>
      </c>
    </row>
    <row r="187" spans="1:7" x14ac:dyDescent="0.2">
      <c r="A187" t="s">
        <v>176</v>
      </c>
      <c r="B187" t="s">
        <v>194</v>
      </c>
      <c r="C187" t="s">
        <v>10793</v>
      </c>
      <c r="D187" t="e">
        <v>#N/A</v>
      </c>
      <c r="E187" s="9">
        <v>2018</v>
      </c>
      <c r="F187" s="9">
        <v>18230</v>
      </c>
      <c r="G187" s="9">
        <v>1528205</v>
      </c>
    </row>
    <row r="188" spans="1:7" x14ac:dyDescent="0.2">
      <c r="A188" t="s">
        <v>176</v>
      </c>
      <c r="B188" t="s">
        <v>195</v>
      </c>
      <c r="C188" t="s">
        <v>10794</v>
      </c>
      <c r="D188" t="e">
        <v>#N/A</v>
      </c>
      <c r="E188" s="9">
        <v>1423</v>
      </c>
      <c r="F188" s="9">
        <v>9379</v>
      </c>
      <c r="G188" s="9">
        <v>149602</v>
      </c>
    </row>
    <row r="189" spans="1:7" x14ac:dyDescent="0.2">
      <c r="A189" t="s">
        <v>176</v>
      </c>
      <c r="B189" t="s">
        <v>196</v>
      </c>
      <c r="C189" t="s">
        <v>9805</v>
      </c>
      <c r="D189" t="s">
        <v>9715</v>
      </c>
      <c r="E189" s="9" t="s">
        <v>30</v>
      </c>
      <c r="F189" s="9" t="s">
        <v>30</v>
      </c>
      <c r="G189" s="9" t="s">
        <v>30</v>
      </c>
    </row>
    <row r="190" spans="1:7" x14ac:dyDescent="0.2">
      <c r="A190" t="s">
        <v>176</v>
      </c>
      <c r="B190" t="s">
        <v>197</v>
      </c>
      <c r="C190" t="s">
        <v>10795</v>
      </c>
      <c r="D190" t="e">
        <v>#N/A</v>
      </c>
      <c r="E190" s="9">
        <v>1040</v>
      </c>
      <c r="F190" s="9">
        <v>22058</v>
      </c>
      <c r="G190" s="9" t="s">
        <v>30</v>
      </c>
    </row>
    <row r="191" spans="1:7" x14ac:dyDescent="0.2">
      <c r="A191" t="s">
        <v>198</v>
      </c>
      <c r="B191" t="s">
        <v>199</v>
      </c>
      <c r="C191" t="s">
        <v>10796</v>
      </c>
      <c r="D191" t="e">
        <v>#N/A</v>
      </c>
      <c r="E191" s="9">
        <v>2145</v>
      </c>
      <c r="F191" s="9">
        <v>12398</v>
      </c>
      <c r="G191" s="9" t="s">
        <v>30</v>
      </c>
    </row>
    <row r="192" spans="1:7" x14ac:dyDescent="0.2">
      <c r="A192" t="s">
        <v>198</v>
      </c>
      <c r="B192" t="s">
        <v>200</v>
      </c>
      <c r="C192" t="s">
        <v>9823</v>
      </c>
      <c r="D192" t="s">
        <v>9715</v>
      </c>
      <c r="E192" s="9">
        <v>1194</v>
      </c>
      <c r="F192" s="9">
        <v>12394</v>
      </c>
      <c r="G192" s="9" t="s">
        <v>30</v>
      </c>
    </row>
    <row r="193" spans="1:7" x14ac:dyDescent="0.2">
      <c r="A193" t="s">
        <v>198</v>
      </c>
      <c r="B193" t="s">
        <v>201</v>
      </c>
      <c r="C193" t="s">
        <v>9815</v>
      </c>
      <c r="D193" t="s">
        <v>9715</v>
      </c>
      <c r="E193" s="9">
        <v>1035</v>
      </c>
      <c r="F193" s="9">
        <v>14130</v>
      </c>
      <c r="G193" s="9" t="s">
        <v>30</v>
      </c>
    </row>
    <row r="194" spans="1:7" x14ac:dyDescent="0.2">
      <c r="A194" t="s">
        <v>198</v>
      </c>
      <c r="B194" t="s">
        <v>202</v>
      </c>
      <c r="C194" t="s">
        <v>9816</v>
      </c>
      <c r="D194" t="s">
        <v>9715</v>
      </c>
      <c r="E194" s="9">
        <v>984</v>
      </c>
      <c r="F194" s="9">
        <v>12325</v>
      </c>
      <c r="G194" s="9" t="s">
        <v>30</v>
      </c>
    </row>
    <row r="195" spans="1:7" x14ac:dyDescent="0.2">
      <c r="A195" t="s">
        <v>198</v>
      </c>
      <c r="B195" t="s">
        <v>203</v>
      </c>
      <c r="C195" t="s">
        <v>10797</v>
      </c>
      <c r="D195" t="e">
        <v>#N/A</v>
      </c>
      <c r="E195" s="9">
        <v>1384</v>
      </c>
      <c r="F195" s="9">
        <v>23797</v>
      </c>
      <c r="G195" s="9" t="s">
        <v>30</v>
      </c>
    </row>
    <row r="196" spans="1:7" x14ac:dyDescent="0.2">
      <c r="A196" t="s">
        <v>198</v>
      </c>
      <c r="B196" t="s">
        <v>204</v>
      </c>
      <c r="C196" t="s">
        <v>9808</v>
      </c>
      <c r="D196" t="s">
        <v>9715</v>
      </c>
      <c r="E196" s="9">
        <v>842</v>
      </c>
      <c r="F196" s="9">
        <v>12213</v>
      </c>
      <c r="G196" s="9" t="s">
        <v>30</v>
      </c>
    </row>
    <row r="197" spans="1:7" x14ac:dyDescent="0.2">
      <c r="A197" t="s">
        <v>198</v>
      </c>
      <c r="B197" t="s">
        <v>205</v>
      </c>
      <c r="C197" t="s">
        <v>10798</v>
      </c>
      <c r="D197" t="e">
        <v>#N/A</v>
      </c>
      <c r="E197" s="9">
        <v>2301</v>
      </c>
      <c r="F197" s="9">
        <v>12125</v>
      </c>
      <c r="G197" s="9" t="s">
        <v>30</v>
      </c>
    </row>
    <row r="198" spans="1:7" x14ac:dyDescent="0.2">
      <c r="A198" t="s">
        <v>198</v>
      </c>
      <c r="B198" t="s">
        <v>206</v>
      </c>
      <c r="C198" t="s">
        <v>9822</v>
      </c>
      <c r="D198" t="s">
        <v>9715</v>
      </c>
      <c r="E198" s="9">
        <v>1372</v>
      </c>
      <c r="F198" s="9">
        <v>6845</v>
      </c>
      <c r="G198" s="9" t="s">
        <v>30</v>
      </c>
    </row>
    <row r="199" spans="1:7" x14ac:dyDescent="0.2">
      <c r="A199" t="s">
        <v>198</v>
      </c>
      <c r="B199" t="s">
        <v>207</v>
      </c>
      <c r="C199" t="s">
        <v>9809</v>
      </c>
      <c r="D199" t="s">
        <v>9715</v>
      </c>
      <c r="E199" s="9">
        <v>1464</v>
      </c>
      <c r="F199" s="9">
        <v>19091</v>
      </c>
      <c r="G199" s="9" t="s">
        <v>30</v>
      </c>
    </row>
    <row r="200" spans="1:7" x14ac:dyDescent="0.2">
      <c r="A200" t="s">
        <v>198</v>
      </c>
      <c r="B200" t="s">
        <v>208</v>
      </c>
      <c r="C200" t="s">
        <v>9817</v>
      </c>
      <c r="D200" t="s">
        <v>9715</v>
      </c>
      <c r="E200" s="9">
        <v>1222</v>
      </c>
      <c r="F200" s="9">
        <v>12459</v>
      </c>
      <c r="G200" s="9" t="s">
        <v>30</v>
      </c>
    </row>
    <row r="201" spans="1:7" x14ac:dyDescent="0.2">
      <c r="A201" t="s">
        <v>198</v>
      </c>
      <c r="B201" t="s">
        <v>209</v>
      </c>
      <c r="C201" t="s">
        <v>10799</v>
      </c>
      <c r="D201" t="e">
        <v>#N/A</v>
      </c>
      <c r="E201" s="9">
        <v>2459</v>
      </c>
      <c r="F201" s="9">
        <v>12691</v>
      </c>
      <c r="G201" s="9" t="s">
        <v>30</v>
      </c>
    </row>
    <row r="202" spans="1:7" x14ac:dyDescent="0.2">
      <c r="A202" t="s">
        <v>198</v>
      </c>
      <c r="B202" t="s">
        <v>210</v>
      </c>
      <c r="C202" t="s">
        <v>10800</v>
      </c>
      <c r="D202" t="e">
        <v>#N/A</v>
      </c>
      <c r="E202" s="9">
        <v>1893</v>
      </c>
      <c r="F202" s="9">
        <v>10682</v>
      </c>
      <c r="G202" s="9" t="s">
        <v>30</v>
      </c>
    </row>
    <row r="203" spans="1:7" x14ac:dyDescent="0.2">
      <c r="A203" t="s">
        <v>198</v>
      </c>
      <c r="B203" t="s">
        <v>211</v>
      </c>
      <c r="C203" t="s">
        <v>10801</v>
      </c>
      <c r="D203" t="e">
        <v>#N/A</v>
      </c>
      <c r="E203" s="9">
        <v>974</v>
      </c>
      <c r="F203" s="9">
        <v>8739</v>
      </c>
      <c r="G203" s="9" t="s">
        <v>30</v>
      </c>
    </row>
    <row r="204" spans="1:7" x14ac:dyDescent="0.2">
      <c r="A204" t="s">
        <v>198</v>
      </c>
      <c r="B204" t="s">
        <v>212</v>
      </c>
      <c r="C204" t="s">
        <v>9810</v>
      </c>
      <c r="D204" t="s">
        <v>9715</v>
      </c>
      <c r="E204" s="9">
        <v>2237</v>
      </c>
      <c r="F204" s="9">
        <v>13115</v>
      </c>
      <c r="G204" s="9" t="s">
        <v>30</v>
      </c>
    </row>
    <row r="205" spans="1:7" x14ac:dyDescent="0.2">
      <c r="A205" t="s">
        <v>198</v>
      </c>
      <c r="B205" t="s">
        <v>213</v>
      </c>
      <c r="C205" t="s">
        <v>10802</v>
      </c>
      <c r="D205" t="e">
        <v>#N/A</v>
      </c>
      <c r="E205" s="9">
        <v>515</v>
      </c>
      <c r="F205" s="9">
        <v>10203</v>
      </c>
      <c r="G205" s="9" t="s">
        <v>30</v>
      </c>
    </row>
    <row r="206" spans="1:7" x14ac:dyDescent="0.2">
      <c r="A206" t="s">
        <v>198</v>
      </c>
      <c r="B206" t="s">
        <v>214</v>
      </c>
      <c r="C206" t="s">
        <v>10803</v>
      </c>
      <c r="D206" t="e">
        <v>#N/A</v>
      </c>
      <c r="E206" s="9">
        <v>2458</v>
      </c>
      <c r="F206" s="9">
        <v>11456</v>
      </c>
      <c r="G206" s="9" t="s">
        <v>30</v>
      </c>
    </row>
    <row r="207" spans="1:7" x14ac:dyDescent="0.2">
      <c r="A207" t="s">
        <v>198</v>
      </c>
      <c r="B207" t="s">
        <v>215</v>
      </c>
      <c r="C207" t="s">
        <v>9825</v>
      </c>
      <c r="D207" t="s">
        <v>9715</v>
      </c>
      <c r="E207" s="9">
        <v>1045</v>
      </c>
      <c r="F207" s="9">
        <v>11429</v>
      </c>
      <c r="G207" s="9" t="s">
        <v>30</v>
      </c>
    </row>
    <row r="208" spans="1:7" x14ac:dyDescent="0.2">
      <c r="A208" t="s">
        <v>198</v>
      </c>
      <c r="B208" t="s">
        <v>216</v>
      </c>
      <c r="C208" t="s">
        <v>9811</v>
      </c>
      <c r="D208" t="s">
        <v>9715</v>
      </c>
      <c r="E208" s="9">
        <v>1097</v>
      </c>
      <c r="F208" s="9">
        <v>11925</v>
      </c>
      <c r="G208" s="9" t="s">
        <v>30</v>
      </c>
    </row>
    <row r="209" spans="1:7" x14ac:dyDescent="0.2">
      <c r="A209" t="s">
        <v>198</v>
      </c>
      <c r="B209" t="s">
        <v>217</v>
      </c>
      <c r="C209" t="s">
        <v>9812</v>
      </c>
      <c r="D209" t="s">
        <v>9715</v>
      </c>
      <c r="E209" s="9">
        <v>2388</v>
      </c>
      <c r="F209" s="9">
        <v>9201</v>
      </c>
      <c r="G209" s="9" t="s">
        <v>30</v>
      </c>
    </row>
    <row r="210" spans="1:7" x14ac:dyDescent="0.2">
      <c r="A210" t="s">
        <v>198</v>
      </c>
      <c r="B210" t="s">
        <v>218</v>
      </c>
      <c r="C210" t="s">
        <v>9818</v>
      </c>
      <c r="D210" t="s">
        <v>9715</v>
      </c>
      <c r="E210" s="9">
        <v>0</v>
      </c>
      <c r="F210" s="9">
        <v>10956</v>
      </c>
      <c r="G210" s="9" t="s">
        <v>30</v>
      </c>
    </row>
    <row r="211" spans="1:7" x14ac:dyDescent="0.2">
      <c r="A211" t="s">
        <v>198</v>
      </c>
      <c r="B211" t="s">
        <v>219</v>
      </c>
      <c r="C211" t="s">
        <v>10804</v>
      </c>
      <c r="D211" t="e">
        <v>#N/A</v>
      </c>
      <c r="E211" s="9">
        <v>2436</v>
      </c>
      <c r="F211" s="9">
        <v>12319</v>
      </c>
      <c r="G211" s="9" t="s">
        <v>30</v>
      </c>
    </row>
    <row r="212" spans="1:7" x14ac:dyDescent="0.2">
      <c r="A212" t="s">
        <v>198</v>
      </c>
      <c r="B212" t="s">
        <v>220</v>
      </c>
      <c r="C212" t="s">
        <v>10805</v>
      </c>
      <c r="D212" t="e">
        <v>#N/A</v>
      </c>
      <c r="E212" s="9">
        <v>1686</v>
      </c>
      <c r="F212" s="9">
        <v>12559</v>
      </c>
      <c r="G212" s="9" t="s">
        <v>30</v>
      </c>
    </row>
    <row r="213" spans="1:7" x14ac:dyDescent="0.2">
      <c r="A213" t="s">
        <v>198</v>
      </c>
      <c r="B213" t="s">
        <v>221</v>
      </c>
      <c r="C213" t="s">
        <v>10806</v>
      </c>
      <c r="D213" t="e">
        <v>#N/A</v>
      </c>
      <c r="E213" s="9">
        <v>26896</v>
      </c>
      <c r="F213" s="9">
        <v>90308</v>
      </c>
      <c r="G213" s="9" t="s">
        <v>30</v>
      </c>
    </row>
    <row r="214" spans="1:7" x14ac:dyDescent="0.2">
      <c r="A214" t="s">
        <v>198</v>
      </c>
      <c r="B214" t="s">
        <v>222</v>
      </c>
      <c r="C214" t="s">
        <v>10807</v>
      </c>
      <c r="D214" t="e">
        <v>#N/A</v>
      </c>
      <c r="E214" s="9">
        <v>2754</v>
      </c>
      <c r="F214" s="9">
        <v>11705</v>
      </c>
      <c r="G214" s="9" t="s">
        <v>30</v>
      </c>
    </row>
    <row r="215" spans="1:7" x14ac:dyDescent="0.2">
      <c r="A215" t="s">
        <v>198</v>
      </c>
      <c r="B215" t="s">
        <v>223</v>
      </c>
      <c r="C215" t="s">
        <v>10808</v>
      </c>
      <c r="D215" t="e">
        <v>#N/A</v>
      </c>
      <c r="E215" s="9">
        <v>2817</v>
      </c>
      <c r="F215" s="9">
        <v>12870</v>
      </c>
      <c r="G215" s="9" t="s">
        <v>30</v>
      </c>
    </row>
    <row r="216" spans="1:7" x14ac:dyDescent="0.2">
      <c r="A216" t="s">
        <v>198</v>
      </c>
      <c r="B216" t="s">
        <v>224</v>
      </c>
      <c r="C216" t="s">
        <v>9813</v>
      </c>
      <c r="D216" t="s">
        <v>9715</v>
      </c>
      <c r="E216" s="9">
        <v>881</v>
      </c>
      <c r="F216" s="9">
        <v>9857</v>
      </c>
      <c r="G216" s="9" t="s">
        <v>30</v>
      </c>
    </row>
    <row r="217" spans="1:7" x14ac:dyDescent="0.2">
      <c r="A217" t="s">
        <v>198</v>
      </c>
      <c r="B217" t="s">
        <v>225</v>
      </c>
      <c r="C217" t="s">
        <v>9814</v>
      </c>
      <c r="D217" t="s">
        <v>9715</v>
      </c>
      <c r="E217" s="9">
        <v>1613</v>
      </c>
      <c r="F217" s="9">
        <v>10100</v>
      </c>
      <c r="G217" s="9" t="s">
        <v>30</v>
      </c>
    </row>
    <row r="218" spans="1:7" x14ac:dyDescent="0.2">
      <c r="A218" t="s">
        <v>198</v>
      </c>
      <c r="B218" t="s">
        <v>226</v>
      </c>
      <c r="C218" t="s">
        <v>10809</v>
      </c>
      <c r="D218" t="e">
        <v>#N/A</v>
      </c>
      <c r="E218" s="9">
        <v>1666</v>
      </c>
      <c r="F218" s="9">
        <v>9842</v>
      </c>
      <c r="G218" s="9" t="s">
        <v>30</v>
      </c>
    </row>
    <row r="219" spans="1:7" x14ac:dyDescent="0.2">
      <c r="A219" t="s">
        <v>198</v>
      </c>
      <c r="B219" t="s">
        <v>227</v>
      </c>
      <c r="C219" t="s">
        <v>10810</v>
      </c>
      <c r="D219" t="e">
        <v>#N/A</v>
      </c>
      <c r="E219" s="9">
        <v>3161</v>
      </c>
      <c r="F219" s="9">
        <v>12377</v>
      </c>
      <c r="G219" s="9" t="s">
        <v>30</v>
      </c>
    </row>
    <row r="220" spans="1:7" x14ac:dyDescent="0.2">
      <c r="A220" t="s">
        <v>198</v>
      </c>
      <c r="B220" t="s">
        <v>228</v>
      </c>
      <c r="C220" t="s">
        <v>10811</v>
      </c>
      <c r="D220" t="e">
        <v>#N/A</v>
      </c>
      <c r="E220" s="9">
        <v>1686</v>
      </c>
      <c r="F220" s="9">
        <v>10689</v>
      </c>
      <c r="G220" s="9" t="s">
        <v>30</v>
      </c>
    </row>
    <row r="221" spans="1:7" x14ac:dyDescent="0.2">
      <c r="A221" t="s">
        <v>198</v>
      </c>
      <c r="B221" t="s">
        <v>229</v>
      </c>
      <c r="C221" t="s">
        <v>10812</v>
      </c>
      <c r="D221" t="e">
        <v>#N/A</v>
      </c>
      <c r="E221" s="9">
        <v>1890</v>
      </c>
      <c r="F221" s="9">
        <v>11813</v>
      </c>
      <c r="G221" s="9" t="s">
        <v>30</v>
      </c>
    </row>
    <row r="222" spans="1:7" x14ac:dyDescent="0.2">
      <c r="A222" t="s">
        <v>198</v>
      </c>
      <c r="B222" t="s">
        <v>230</v>
      </c>
      <c r="C222" t="s">
        <v>10813</v>
      </c>
      <c r="D222" t="e">
        <v>#N/A</v>
      </c>
      <c r="E222" s="9">
        <v>1872</v>
      </c>
      <c r="F222" s="9">
        <v>11482</v>
      </c>
      <c r="G222" s="9" t="s">
        <v>30</v>
      </c>
    </row>
    <row r="223" spans="1:7" x14ac:dyDescent="0.2">
      <c r="A223" t="s">
        <v>198</v>
      </c>
      <c r="B223" t="s">
        <v>231</v>
      </c>
      <c r="C223" t="s">
        <v>10814</v>
      </c>
      <c r="D223" t="e">
        <v>#N/A</v>
      </c>
      <c r="E223" s="9">
        <v>1404</v>
      </c>
      <c r="F223" s="9">
        <v>10305</v>
      </c>
      <c r="G223" s="9" t="s">
        <v>30</v>
      </c>
    </row>
    <row r="224" spans="1:7" x14ac:dyDescent="0.2">
      <c r="A224" t="s">
        <v>198</v>
      </c>
      <c r="B224" t="s">
        <v>232</v>
      </c>
      <c r="C224" t="s">
        <v>10815</v>
      </c>
      <c r="D224" t="e">
        <v>#N/A</v>
      </c>
      <c r="E224" s="9">
        <v>3349</v>
      </c>
      <c r="F224" s="9">
        <v>12789</v>
      </c>
      <c r="G224" s="9" t="s">
        <v>30</v>
      </c>
    </row>
    <row r="225" spans="1:7" x14ac:dyDescent="0.2">
      <c r="A225" t="s">
        <v>198</v>
      </c>
      <c r="B225" t="s">
        <v>233</v>
      </c>
      <c r="C225" t="s">
        <v>10816</v>
      </c>
      <c r="D225" t="e">
        <v>#N/A</v>
      </c>
      <c r="E225" s="9">
        <v>2555</v>
      </c>
      <c r="F225" s="9">
        <v>13160</v>
      </c>
      <c r="G225" s="9" t="s">
        <v>30</v>
      </c>
    </row>
    <row r="226" spans="1:7" x14ac:dyDescent="0.2">
      <c r="A226" t="s">
        <v>198</v>
      </c>
      <c r="B226" t="s">
        <v>234</v>
      </c>
      <c r="C226" t="s">
        <v>10817</v>
      </c>
      <c r="D226" t="e">
        <v>#N/A</v>
      </c>
      <c r="E226" s="9" t="s">
        <v>30</v>
      </c>
      <c r="F226" s="9" t="s">
        <v>30</v>
      </c>
      <c r="G226" s="9" t="s">
        <v>30</v>
      </c>
    </row>
    <row r="227" spans="1:7" x14ac:dyDescent="0.2">
      <c r="A227" t="s">
        <v>198</v>
      </c>
      <c r="B227" t="s">
        <v>235</v>
      </c>
      <c r="C227" t="s">
        <v>10818</v>
      </c>
      <c r="D227" t="e">
        <v>#N/A</v>
      </c>
      <c r="E227" s="9">
        <v>3353</v>
      </c>
      <c r="F227" s="9">
        <v>12765</v>
      </c>
      <c r="G227" s="9" t="s">
        <v>30</v>
      </c>
    </row>
    <row r="228" spans="1:7" x14ac:dyDescent="0.2">
      <c r="A228" t="s">
        <v>198</v>
      </c>
      <c r="B228" t="s">
        <v>236</v>
      </c>
      <c r="C228" t="s">
        <v>10819</v>
      </c>
      <c r="D228" t="e">
        <v>#N/A</v>
      </c>
      <c r="E228" s="9">
        <v>1</v>
      </c>
      <c r="F228" s="9">
        <v>47358</v>
      </c>
      <c r="G228" s="9" t="s">
        <v>30</v>
      </c>
    </row>
    <row r="229" spans="1:7" x14ac:dyDescent="0.2">
      <c r="A229" t="s">
        <v>198</v>
      </c>
      <c r="B229" t="s">
        <v>237</v>
      </c>
      <c r="C229" t="s">
        <v>10820</v>
      </c>
      <c r="D229" t="e">
        <v>#N/A</v>
      </c>
      <c r="E229" s="9">
        <v>4237</v>
      </c>
      <c r="F229" s="9">
        <v>9907</v>
      </c>
      <c r="G229" s="9" t="s">
        <v>30</v>
      </c>
    </row>
    <row r="230" spans="1:7" x14ac:dyDescent="0.2">
      <c r="A230" t="s">
        <v>198</v>
      </c>
      <c r="B230" t="s">
        <v>238</v>
      </c>
      <c r="C230" t="s">
        <v>10821</v>
      </c>
      <c r="D230" t="e">
        <v>#N/A</v>
      </c>
      <c r="E230" s="9">
        <v>3017</v>
      </c>
      <c r="F230" s="9">
        <v>13017</v>
      </c>
      <c r="G230" s="9" t="s">
        <v>30</v>
      </c>
    </row>
    <row r="231" spans="1:7" x14ac:dyDescent="0.2">
      <c r="A231" t="s">
        <v>198</v>
      </c>
      <c r="B231" t="s">
        <v>239</v>
      </c>
      <c r="C231" t="s">
        <v>10822</v>
      </c>
      <c r="D231" t="e">
        <v>#N/A</v>
      </c>
      <c r="E231" s="9">
        <v>1831</v>
      </c>
      <c r="F231" s="9">
        <v>10918</v>
      </c>
      <c r="G231" s="9" t="s">
        <v>30</v>
      </c>
    </row>
    <row r="232" spans="1:7" x14ac:dyDescent="0.2">
      <c r="A232" t="s">
        <v>198</v>
      </c>
      <c r="B232" t="s">
        <v>240</v>
      </c>
      <c r="C232" t="s">
        <v>9819</v>
      </c>
      <c r="D232" t="s">
        <v>9715</v>
      </c>
      <c r="E232" s="9">
        <v>1276</v>
      </c>
      <c r="F232" s="9">
        <v>13238</v>
      </c>
      <c r="G232" s="9" t="s">
        <v>30</v>
      </c>
    </row>
    <row r="233" spans="1:7" x14ac:dyDescent="0.2">
      <c r="A233" t="s">
        <v>198</v>
      </c>
      <c r="B233" t="s">
        <v>241</v>
      </c>
      <c r="C233" t="s">
        <v>10823</v>
      </c>
      <c r="D233" t="e">
        <v>#N/A</v>
      </c>
      <c r="E233" s="9">
        <v>2815</v>
      </c>
      <c r="F233" s="9">
        <v>11525</v>
      </c>
      <c r="G233" s="9" t="s">
        <v>30</v>
      </c>
    </row>
    <row r="234" spans="1:7" x14ac:dyDescent="0.2">
      <c r="A234" t="s">
        <v>198</v>
      </c>
      <c r="B234" t="s">
        <v>242</v>
      </c>
      <c r="C234" t="s">
        <v>9820</v>
      </c>
      <c r="D234" t="s">
        <v>9715</v>
      </c>
      <c r="E234" s="9">
        <v>1030</v>
      </c>
      <c r="F234" s="9">
        <v>13162</v>
      </c>
      <c r="G234" s="9" t="s">
        <v>30</v>
      </c>
    </row>
    <row r="235" spans="1:7" x14ac:dyDescent="0.2">
      <c r="A235" t="s">
        <v>198</v>
      </c>
      <c r="B235" t="s">
        <v>243</v>
      </c>
      <c r="C235" t="s">
        <v>10824</v>
      </c>
      <c r="D235" t="e">
        <v>#N/A</v>
      </c>
      <c r="E235" s="9">
        <v>1126</v>
      </c>
      <c r="F235" s="9">
        <v>13874</v>
      </c>
      <c r="G235" s="9" t="s">
        <v>30</v>
      </c>
    </row>
    <row r="236" spans="1:7" x14ac:dyDescent="0.2">
      <c r="A236" t="s">
        <v>198</v>
      </c>
      <c r="B236" t="s">
        <v>244</v>
      </c>
      <c r="C236" t="s">
        <v>9821</v>
      </c>
      <c r="D236" t="s">
        <v>9715</v>
      </c>
      <c r="E236" s="9">
        <v>557</v>
      </c>
      <c r="F236" s="9">
        <v>6677</v>
      </c>
      <c r="G236" s="9" t="s">
        <v>30</v>
      </c>
    </row>
    <row r="237" spans="1:7" x14ac:dyDescent="0.2">
      <c r="A237" t="s">
        <v>198</v>
      </c>
      <c r="B237" t="s">
        <v>245</v>
      </c>
      <c r="C237" t="s">
        <v>9824</v>
      </c>
      <c r="D237" t="s">
        <v>9715</v>
      </c>
      <c r="E237" s="9">
        <v>932</v>
      </c>
      <c r="F237" s="9">
        <v>13033</v>
      </c>
      <c r="G237" s="9" t="s">
        <v>30</v>
      </c>
    </row>
    <row r="238" spans="1:7" x14ac:dyDescent="0.2">
      <c r="A238" t="s">
        <v>198</v>
      </c>
      <c r="B238" t="s">
        <v>246</v>
      </c>
      <c r="C238" t="s">
        <v>10825</v>
      </c>
      <c r="D238" t="e">
        <v>#N/A</v>
      </c>
      <c r="E238" s="9">
        <v>1711</v>
      </c>
      <c r="F238" s="9">
        <v>10630</v>
      </c>
      <c r="G238" s="9" t="s">
        <v>30</v>
      </c>
    </row>
    <row r="239" spans="1:7" x14ac:dyDescent="0.2">
      <c r="A239" t="s">
        <v>198</v>
      </c>
      <c r="B239" t="s">
        <v>247</v>
      </c>
      <c r="C239" t="s">
        <v>10826</v>
      </c>
      <c r="D239" t="e">
        <v>#N/A</v>
      </c>
      <c r="E239" s="9" t="s">
        <v>30</v>
      </c>
      <c r="F239" s="9" t="s">
        <v>30</v>
      </c>
      <c r="G239" s="9" t="s">
        <v>30</v>
      </c>
    </row>
    <row r="240" spans="1:7" x14ac:dyDescent="0.2">
      <c r="A240" t="s">
        <v>198</v>
      </c>
      <c r="B240" t="s">
        <v>248</v>
      </c>
      <c r="C240" t="s">
        <v>10827</v>
      </c>
      <c r="D240" t="e">
        <v>#N/A</v>
      </c>
      <c r="E240" s="9">
        <v>1565</v>
      </c>
      <c r="F240" s="9">
        <v>11463</v>
      </c>
      <c r="G240" s="9" t="s">
        <v>30</v>
      </c>
    </row>
    <row r="241" spans="1:7" x14ac:dyDescent="0.2">
      <c r="A241" t="s">
        <v>198</v>
      </c>
      <c r="B241" t="s">
        <v>249</v>
      </c>
      <c r="C241" t="s">
        <v>10828</v>
      </c>
      <c r="D241" t="e">
        <v>#N/A</v>
      </c>
      <c r="E241" s="9">
        <v>3770</v>
      </c>
      <c r="F241" s="9">
        <v>16861</v>
      </c>
      <c r="G241" s="9" t="s">
        <v>30</v>
      </c>
    </row>
    <row r="242" spans="1:7" x14ac:dyDescent="0.2">
      <c r="A242" t="s">
        <v>198</v>
      </c>
      <c r="B242" t="s">
        <v>250</v>
      </c>
      <c r="C242" t="s">
        <v>9826</v>
      </c>
      <c r="D242" t="s">
        <v>9715</v>
      </c>
      <c r="E242" s="9">
        <v>194</v>
      </c>
      <c r="F242" s="9">
        <v>11604</v>
      </c>
      <c r="G242" s="9" t="s">
        <v>30</v>
      </c>
    </row>
    <row r="243" spans="1:7" x14ac:dyDescent="0.2">
      <c r="A243" t="s">
        <v>251</v>
      </c>
      <c r="B243" t="s">
        <v>252</v>
      </c>
      <c r="C243" t="s">
        <v>10829</v>
      </c>
      <c r="D243" t="e">
        <v>#N/A</v>
      </c>
      <c r="E243" s="9">
        <v>390</v>
      </c>
      <c r="F243" s="9">
        <v>9433</v>
      </c>
      <c r="G243" s="9" t="s">
        <v>30</v>
      </c>
    </row>
    <row r="244" spans="1:7" x14ac:dyDescent="0.2">
      <c r="A244" t="s">
        <v>251</v>
      </c>
      <c r="B244" t="s">
        <v>253</v>
      </c>
      <c r="C244" t="s">
        <v>10830</v>
      </c>
      <c r="D244" t="e">
        <v>#N/A</v>
      </c>
      <c r="E244" s="9" t="s">
        <v>30</v>
      </c>
      <c r="F244" s="9" t="s">
        <v>30</v>
      </c>
      <c r="G244" s="9" t="s">
        <v>30</v>
      </c>
    </row>
    <row r="245" spans="1:7" x14ac:dyDescent="0.2">
      <c r="A245" t="s">
        <v>251</v>
      </c>
      <c r="B245" t="s">
        <v>254</v>
      </c>
      <c r="C245" t="s">
        <v>10831</v>
      </c>
      <c r="D245" t="e">
        <v>#N/A</v>
      </c>
      <c r="E245" s="9">
        <v>1826</v>
      </c>
      <c r="F245" s="9">
        <v>9898</v>
      </c>
      <c r="G245" s="9" t="s">
        <v>30</v>
      </c>
    </row>
    <row r="246" spans="1:7" x14ac:dyDescent="0.2">
      <c r="A246" t="s">
        <v>251</v>
      </c>
      <c r="B246" t="s">
        <v>255</v>
      </c>
      <c r="C246" t="s">
        <v>10832</v>
      </c>
      <c r="D246" t="e">
        <v>#N/A</v>
      </c>
      <c r="E246" s="9">
        <v>1803</v>
      </c>
      <c r="F246" s="9">
        <v>10067</v>
      </c>
      <c r="G246" s="9" t="s">
        <v>30</v>
      </c>
    </row>
    <row r="247" spans="1:7" x14ac:dyDescent="0.2">
      <c r="A247" t="s">
        <v>251</v>
      </c>
      <c r="B247" t="s">
        <v>256</v>
      </c>
      <c r="C247" t="s">
        <v>9828</v>
      </c>
      <c r="D247" t="s">
        <v>9715</v>
      </c>
      <c r="E247" s="9">
        <v>199</v>
      </c>
      <c r="F247" s="9">
        <v>11315</v>
      </c>
      <c r="G247" s="9" t="s">
        <v>30</v>
      </c>
    </row>
    <row r="248" spans="1:7" x14ac:dyDescent="0.2">
      <c r="A248" t="s">
        <v>251</v>
      </c>
      <c r="B248" t="s">
        <v>257</v>
      </c>
      <c r="C248" t="s">
        <v>10833</v>
      </c>
      <c r="D248" t="e">
        <v>#N/A</v>
      </c>
      <c r="E248" s="9">
        <v>2054</v>
      </c>
      <c r="F248" s="9">
        <v>11820</v>
      </c>
      <c r="G248" s="9" t="s">
        <v>30</v>
      </c>
    </row>
    <row r="249" spans="1:7" x14ac:dyDescent="0.2">
      <c r="A249" t="s">
        <v>251</v>
      </c>
      <c r="B249" t="s">
        <v>258</v>
      </c>
      <c r="C249" t="s">
        <v>10834</v>
      </c>
      <c r="D249" t="e">
        <v>#N/A</v>
      </c>
      <c r="E249" s="9">
        <v>1912</v>
      </c>
      <c r="F249" s="9">
        <v>10208</v>
      </c>
      <c r="G249" s="9" t="s">
        <v>30</v>
      </c>
    </row>
    <row r="250" spans="1:7" x14ac:dyDescent="0.2">
      <c r="A250" t="s">
        <v>251</v>
      </c>
      <c r="B250" t="s">
        <v>259</v>
      </c>
      <c r="C250" t="s">
        <v>10835</v>
      </c>
      <c r="D250" t="e">
        <v>#N/A</v>
      </c>
      <c r="E250" s="9">
        <v>1885</v>
      </c>
      <c r="F250" s="9">
        <v>17995</v>
      </c>
      <c r="G250" s="9" t="s">
        <v>30</v>
      </c>
    </row>
    <row r="251" spans="1:7" x14ac:dyDescent="0.2">
      <c r="A251" t="s">
        <v>251</v>
      </c>
      <c r="B251" t="s">
        <v>260</v>
      </c>
      <c r="C251" t="s">
        <v>10836</v>
      </c>
      <c r="D251" t="e">
        <v>#N/A</v>
      </c>
      <c r="E251" s="9">
        <v>8657</v>
      </c>
      <c r="F251" s="9">
        <v>21173</v>
      </c>
      <c r="G251" s="9" t="s">
        <v>30</v>
      </c>
    </row>
    <row r="252" spans="1:7" x14ac:dyDescent="0.2">
      <c r="A252" t="s">
        <v>251</v>
      </c>
      <c r="B252" t="s">
        <v>261</v>
      </c>
      <c r="C252" t="s">
        <v>9827</v>
      </c>
      <c r="D252" t="s">
        <v>9715</v>
      </c>
      <c r="E252" s="9">
        <v>1746</v>
      </c>
      <c r="F252" s="9">
        <v>7485</v>
      </c>
      <c r="G252" s="9" t="s">
        <v>30</v>
      </c>
    </row>
    <row r="253" spans="1:7" x14ac:dyDescent="0.2">
      <c r="A253" t="s">
        <v>251</v>
      </c>
      <c r="B253" t="s">
        <v>262</v>
      </c>
      <c r="C253" t="s">
        <v>10837</v>
      </c>
      <c r="D253" t="e">
        <v>#N/A</v>
      </c>
      <c r="E253" s="9">
        <v>1957</v>
      </c>
      <c r="F253" s="9">
        <v>12437</v>
      </c>
      <c r="G253" s="9" t="s">
        <v>30</v>
      </c>
    </row>
    <row r="254" spans="1:7" x14ac:dyDescent="0.2">
      <c r="A254" t="s">
        <v>263</v>
      </c>
      <c r="B254" t="s">
        <v>264</v>
      </c>
      <c r="C254" t="s">
        <v>9835</v>
      </c>
      <c r="D254" t="s">
        <v>9715</v>
      </c>
      <c r="E254" s="9">
        <v>371</v>
      </c>
      <c r="F254" s="9">
        <v>8073</v>
      </c>
      <c r="G254" s="9" t="s">
        <v>30</v>
      </c>
    </row>
    <row r="255" spans="1:7" x14ac:dyDescent="0.2">
      <c r="A255" t="s">
        <v>263</v>
      </c>
      <c r="B255" t="s">
        <v>265</v>
      </c>
      <c r="C255" t="s">
        <v>9839</v>
      </c>
      <c r="D255" t="s">
        <v>9715</v>
      </c>
      <c r="E255" s="9">
        <v>1122</v>
      </c>
      <c r="F255" s="9">
        <v>16289</v>
      </c>
      <c r="G255" s="9" t="s">
        <v>30</v>
      </c>
    </row>
    <row r="256" spans="1:7" x14ac:dyDescent="0.2">
      <c r="A256" t="s">
        <v>263</v>
      </c>
      <c r="B256" t="s">
        <v>266</v>
      </c>
      <c r="C256" t="s">
        <v>10838</v>
      </c>
      <c r="D256" t="e">
        <v>#N/A</v>
      </c>
      <c r="E256" s="9">
        <v>2398</v>
      </c>
      <c r="F256" s="9">
        <v>11375</v>
      </c>
      <c r="G256" s="9" t="s">
        <v>30</v>
      </c>
    </row>
    <row r="257" spans="1:7" x14ac:dyDescent="0.2">
      <c r="A257" t="s">
        <v>263</v>
      </c>
      <c r="B257" t="s">
        <v>267</v>
      </c>
      <c r="C257" t="s">
        <v>10839</v>
      </c>
      <c r="D257" t="e">
        <v>#N/A</v>
      </c>
      <c r="E257" s="9">
        <v>1762</v>
      </c>
      <c r="F257" s="9">
        <v>15967</v>
      </c>
      <c r="G257" s="9" t="s">
        <v>30</v>
      </c>
    </row>
    <row r="258" spans="1:7" x14ac:dyDescent="0.2">
      <c r="A258" t="s">
        <v>263</v>
      </c>
      <c r="B258" t="s">
        <v>268</v>
      </c>
      <c r="C258" t="s">
        <v>10840</v>
      </c>
      <c r="D258" t="e">
        <v>#N/A</v>
      </c>
      <c r="E258" s="9">
        <v>3284</v>
      </c>
      <c r="F258" s="9">
        <v>11639</v>
      </c>
      <c r="G258" s="9" t="s">
        <v>30</v>
      </c>
    </row>
    <row r="259" spans="1:7" x14ac:dyDescent="0.2">
      <c r="A259" t="s">
        <v>263</v>
      </c>
      <c r="B259" t="s">
        <v>269</v>
      </c>
      <c r="C259" t="s">
        <v>10841</v>
      </c>
      <c r="D259" t="e">
        <v>#N/A</v>
      </c>
      <c r="E259" s="9">
        <v>3929</v>
      </c>
      <c r="F259" s="9">
        <v>12170</v>
      </c>
      <c r="G259" s="9" t="s">
        <v>30</v>
      </c>
    </row>
    <row r="260" spans="1:7" x14ac:dyDescent="0.2">
      <c r="A260" t="s">
        <v>263</v>
      </c>
      <c r="B260" t="s">
        <v>270</v>
      </c>
      <c r="C260" t="s">
        <v>9829</v>
      </c>
      <c r="D260" t="s">
        <v>9715</v>
      </c>
      <c r="E260" s="9">
        <v>1820</v>
      </c>
      <c r="F260" s="9">
        <v>10258</v>
      </c>
      <c r="G260" s="9" t="s">
        <v>30</v>
      </c>
    </row>
    <row r="261" spans="1:7" x14ac:dyDescent="0.2">
      <c r="A261" t="s">
        <v>263</v>
      </c>
      <c r="B261" t="s">
        <v>271</v>
      </c>
      <c r="C261" t="s">
        <v>10842</v>
      </c>
      <c r="D261" t="e">
        <v>#N/A</v>
      </c>
      <c r="E261" s="9">
        <v>2235</v>
      </c>
      <c r="F261" s="9">
        <v>11129</v>
      </c>
      <c r="G261" s="9" t="s">
        <v>30</v>
      </c>
    </row>
    <row r="262" spans="1:7" x14ac:dyDescent="0.2">
      <c r="A262" t="s">
        <v>263</v>
      </c>
      <c r="B262" t="s">
        <v>272</v>
      </c>
      <c r="C262" t="s">
        <v>10843</v>
      </c>
      <c r="D262" t="e">
        <v>#N/A</v>
      </c>
      <c r="E262" s="9">
        <v>1393</v>
      </c>
      <c r="F262" s="9">
        <v>9547</v>
      </c>
      <c r="G262" s="9" t="s">
        <v>30</v>
      </c>
    </row>
    <row r="263" spans="1:7" x14ac:dyDescent="0.2">
      <c r="A263" t="s">
        <v>263</v>
      </c>
      <c r="B263" t="s">
        <v>273</v>
      </c>
      <c r="C263" t="s">
        <v>10844</v>
      </c>
      <c r="D263" t="e">
        <v>#N/A</v>
      </c>
      <c r="E263" s="9">
        <v>2658</v>
      </c>
      <c r="F263" s="9">
        <v>11426</v>
      </c>
      <c r="G263" s="9" t="s">
        <v>30</v>
      </c>
    </row>
    <row r="264" spans="1:7" x14ac:dyDescent="0.2">
      <c r="A264" t="s">
        <v>263</v>
      </c>
      <c r="B264" t="s">
        <v>274</v>
      </c>
      <c r="C264" t="s">
        <v>10845</v>
      </c>
      <c r="D264" t="e">
        <v>#N/A</v>
      </c>
      <c r="E264" s="9">
        <v>2157</v>
      </c>
      <c r="F264" s="9">
        <v>7721</v>
      </c>
      <c r="G264" s="9" t="s">
        <v>30</v>
      </c>
    </row>
    <row r="265" spans="1:7" x14ac:dyDescent="0.2">
      <c r="A265" t="s">
        <v>263</v>
      </c>
      <c r="B265" t="s">
        <v>275</v>
      </c>
      <c r="C265" t="s">
        <v>10846</v>
      </c>
      <c r="D265" t="e">
        <v>#N/A</v>
      </c>
      <c r="E265" s="9">
        <v>1825</v>
      </c>
      <c r="F265" s="9">
        <v>10053</v>
      </c>
      <c r="G265" s="9" t="s">
        <v>30</v>
      </c>
    </row>
    <row r="266" spans="1:7" x14ac:dyDescent="0.2">
      <c r="A266" t="s">
        <v>263</v>
      </c>
      <c r="B266" t="s">
        <v>276</v>
      </c>
      <c r="C266" t="s">
        <v>10847</v>
      </c>
      <c r="D266" t="e">
        <v>#N/A</v>
      </c>
      <c r="E266" s="9">
        <v>3123</v>
      </c>
      <c r="F266" s="9">
        <v>10857</v>
      </c>
      <c r="G266" s="9" t="s">
        <v>30</v>
      </c>
    </row>
    <row r="267" spans="1:7" x14ac:dyDescent="0.2">
      <c r="A267" t="s">
        <v>263</v>
      </c>
      <c r="B267" t="s">
        <v>277</v>
      </c>
      <c r="C267" t="s">
        <v>10848</v>
      </c>
      <c r="D267" t="e">
        <v>#N/A</v>
      </c>
      <c r="E267" s="9">
        <v>1860</v>
      </c>
      <c r="F267" s="9">
        <v>10046</v>
      </c>
      <c r="G267" s="9" t="s">
        <v>30</v>
      </c>
    </row>
    <row r="268" spans="1:7" x14ac:dyDescent="0.2">
      <c r="A268" t="s">
        <v>263</v>
      </c>
      <c r="B268" t="s">
        <v>278</v>
      </c>
      <c r="C268" t="s">
        <v>10849</v>
      </c>
      <c r="D268" t="e">
        <v>#N/A</v>
      </c>
      <c r="E268" s="9">
        <v>1091</v>
      </c>
      <c r="F268" s="9">
        <v>10252</v>
      </c>
      <c r="G268" s="9" t="s">
        <v>30</v>
      </c>
    </row>
    <row r="269" spans="1:7" x14ac:dyDescent="0.2">
      <c r="A269" t="s">
        <v>263</v>
      </c>
      <c r="B269" t="s">
        <v>279</v>
      </c>
      <c r="C269" t="s">
        <v>9830</v>
      </c>
      <c r="D269" t="s">
        <v>9715</v>
      </c>
      <c r="E269" s="9">
        <v>660</v>
      </c>
      <c r="F269" s="9">
        <v>9103</v>
      </c>
      <c r="G269" s="9" t="s">
        <v>30</v>
      </c>
    </row>
    <row r="270" spans="1:7" x14ac:dyDescent="0.2">
      <c r="A270" t="s">
        <v>263</v>
      </c>
      <c r="B270" t="s">
        <v>280</v>
      </c>
      <c r="C270" t="s">
        <v>10850</v>
      </c>
      <c r="D270" t="e">
        <v>#N/A</v>
      </c>
      <c r="E270" s="9">
        <v>1160</v>
      </c>
      <c r="F270" s="9">
        <v>11893</v>
      </c>
      <c r="G270" s="9" t="s">
        <v>30</v>
      </c>
    </row>
    <row r="271" spans="1:7" x14ac:dyDescent="0.2">
      <c r="A271" t="s">
        <v>263</v>
      </c>
      <c r="B271" t="s">
        <v>281</v>
      </c>
      <c r="C271" t="s">
        <v>10851</v>
      </c>
      <c r="D271" t="e">
        <v>#N/A</v>
      </c>
      <c r="E271" s="9">
        <v>4674</v>
      </c>
      <c r="F271" s="9">
        <v>22798</v>
      </c>
      <c r="G271" s="9" t="s">
        <v>30</v>
      </c>
    </row>
    <row r="272" spans="1:7" x14ac:dyDescent="0.2">
      <c r="A272" t="s">
        <v>263</v>
      </c>
      <c r="B272" t="s">
        <v>282</v>
      </c>
      <c r="C272" t="s">
        <v>10852</v>
      </c>
      <c r="D272" t="e">
        <v>#N/A</v>
      </c>
      <c r="E272" s="9">
        <v>3665</v>
      </c>
      <c r="F272" s="9">
        <v>35939</v>
      </c>
      <c r="G272" s="9" t="s">
        <v>30</v>
      </c>
    </row>
    <row r="273" spans="1:7" x14ac:dyDescent="0.2">
      <c r="A273" t="s">
        <v>263</v>
      </c>
      <c r="B273" t="s">
        <v>283</v>
      </c>
      <c r="C273" t="s">
        <v>10853</v>
      </c>
      <c r="D273" t="e">
        <v>#N/A</v>
      </c>
      <c r="E273" s="9">
        <v>1212</v>
      </c>
      <c r="F273" s="9">
        <v>9901</v>
      </c>
      <c r="G273" s="9" t="s">
        <v>30</v>
      </c>
    </row>
    <row r="274" spans="1:7" x14ac:dyDescent="0.2">
      <c r="A274" t="s">
        <v>263</v>
      </c>
      <c r="B274" t="s">
        <v>284</v>
      </c>
      <c r="C274" t="s">
        <v>10854</v>
      </c>
      <c r="D274" t="e">
        <v>#N/A</v>
      </c>
      <c r="E274" s="9">
        <v>926</v>
      </c>
      <c r="F274" s="9">
        <v>8218</v>
      </c>
      <c r="G274" s="9" t="s">
        <v>30</v>
      </c>
    </row>
    <row r="275" spans="1:7" x14ac:dyDescent="0.2">
      <c r="A275" t="s">
        <v>263</v>
      </c>
      <c r="B275" t="s">
        <v>285</v>
      </c>
      <c r="C275" t="s">
        <v>10855</v>
      </c>
      <c r="D275" t="e">
        <v>#N/A</v>
      </c>
      <c r="E275" s="9">
        <v>9650</v>
      </c>
      <c r="F275" s="9">
        <v>3213</v>
      </c>
      <c r="G275" s="9" t="s">
        <v>30</v>
      </c>
    </row>
    <row r="276" spans="1:7" x14ac:dyDescent="0.2">
      <c r="A276" t="s">
        <v>263</v>
      </c>
      <c r="B276" t="s">
        <v>286</v>
      </c>
      <c r="C276" t="s">
        <v>10856</v>
      </c>
      <c r="D276" t="e">
        <v>#N/A</v>
      </c>
      <c r="E276" s="9">
        <v>1783</v>
      </c>
      <c r="F276" s="9">
        <v>12363</v>
      </c>
      <c r="G276" s="9" t="s">
        <v>30</v>
      </c>
    </row>
    <row r="277" spans="1:7" x14ac:dyDescent="0.2">
      <c r="A277" t="s">
        <v>263</v>
      </c>
      <c r="B277" t="s">
        <v>287</v>
      </c>
      <c r="C277" t="s">
        <v>9838</v>
      </c>
      <c r="D277" t="s">
        <v>9715</v>
      </c>
      <c r="E277" s="9">
        <v>1661</v>
      </c>
      <c r="F277" s="9">
        <v>10626</v>
      </c>
      <c r="G277" s="9" t="s">
        <v>30</v>
      </c>
    </row>
    <row r="278" spans="1:7" x14ac:dyDescent="0.2">
      <c r="A278" t="s">
        <v>263</v>
      </c>
      <c r="B278" t="s">
        <v>288</v>
      </c>
      <c r="C278" t="s">
        <v>10857</v>
      </c>
      <c r="D278" t="e">
        <v>#N/A</v>
      </c>
      <c r="E278" s="9" t="s">
        <v>30</v>
      </c>
      <c r="F278" s="9" t="s">
        <v>30</v>
      </c>
      <c r="G278" s="9" t="s">
        <v>30</v>
      </c>
    </row>
    <row r="279" spans="1:7" x14ac:dyDescent="0.2">
      <c r="A279" t="s">
        <v>263</v>
      </c>
      <c r="B279" t="s">
        <v>289</v>
      </c>
      <c r="C279" t="s">
        <v>10858</v>
      </c>
      <c r="D279" t="e">
        <v>#N/A</v>
      </c>
      <c r="E279" s="9">
        <v>3389</v>
      </c>
      <c r="F279" s="9">
        <v>27481</v>
      </c>
      <c r="G279" s="9" t="s">
        <v>30</v>
      </c>
    </row>
    <row r="280" spans="1:7" x14ac:dyDescent="0.2">
      <c r="A280" t="s">
        <v>263</v>
      </c>
      <c r="B280" t="s">
        <v>290</v>
      </c>
      <c r="C280" t="s">
        <v>10859</v>
      </c>
      <c r="D280" t="e">
        <v>#N/A</v>
      </c>
      <c r="E280" s="9">
        <v>789</v>
      </c>
      <c r="F280" s="9">
        <v>12626</v>
      </c>
      <c r="G280" s="9" t="s">
        <v>30</v>
      </c>
    </row>
    <row r="281" spans="1:7" x14ac:dyDescent="0.2">
      <c r="A281" t="s">
        <v>263</v>
      </c>
      <c r="B281" t="s">
        <v>291</v>
      </c>
      <c r="C281" t="s">
        <v>10860</v>
      </c>
      <c r="D281" t="e">
        <v>#N/A</v>
      </c>
      <c r="E281" s="9">
        <v>2530</v>
      </c>
      <c r="F281" s="9">
        <v>10503</v>
      </c>
      <c r="G281" s="9" t="s">
        <v>30</v>
      </c>
    </row>
    <row r="282" spans="1:7" x14ac:dyDescent="0.2">
      <c r="A282" t="s">
        <v>263</v>
      </c>
      <c r="B282" t="s">
        <v>292</v>
      </c>
      <c r="C282" t="s">
        <v>9836</v>
      </c>
      <c r="D282" t="s">
        <v>9715</v>
      </c>
      <c r="E282" s="9">
        <v>705</v>
      </c>
      <c r="F282" s="9">
        <v>8940</v>
      </c>
      <c r="G282" s="9" t="s">
        <v>30</v>
      </c>
    </row>
    <row r="283" spans="1:7" x14ac:dyDescent="0.2">
      <c r="A283" t="s">
        <v>263</v>
      </c>
      <c r="B283" t="s">
        <v>293</v>
      </c>
      <c r="C283" t="s">
        <v>10861</v>
      </c>
      <c r="D283" t="e">
        <v>#N/A</v>
      </c>
      <c r="E283" s="9">
        <v>1823</v>
      </c>
      <c r="F283" s="9">
        <v>11691</v>
      </c>
      <c r="G283" s="9" t="s">
        <v>30</v>
      </c>
    </row>
    <row r="284" spans="1:7" x14ac:dyDescent="0.2">
      <c r="A284" t="s">
        <v>263</v>
      </c>
      <c r="B284" t="s">
        <v>294</v>
      </c>
      <c r="C284" t="s">
        <v>9837</v>
      </c>
      <c r="D284" t="s">
        <v>9715</v>
      </c>
      <c r="E284" s="9">
        <v>683</v>
      </c>
      <c r="F284" s="9">
        <v>9562</v>
      </c>
      <c r="G284" s="9" t="s">
        <v>30</v>
      </c>
    </row>
    <row r="285" spans="1:7" x14ac:dyDescent="0.2">
      <c r="A285" t="s">
        <v>263</v>
      </c>
      <c r="B285" t="s">
        <v>295</v>
      </c>
      <c r="C285" t="s">
        <v>10862</v>
      </c>
      <c r="D285" t="e">
        <v>#N/A</v>
      </c>
      <c r="E285" s="9">
        <v>4264</v>
      </c>
      <c r="F285" s="9">
        <v>21999</v>
      </c>
      <c r="G285" s="9" t="s">
        <v>30</v>
      </c>
    </row>
    <row r="286" spans="1:7" x14ac:dyDescent="0.2">
      <c r="A286" t="s">
        <v>263</v>
      </c>
      <c r="B286" t="s">
        <v>234</v>
      </c>
      <c r="C286" t="s">
        <v>10863</v>
      </c>
      <c r="D286" t="e">
        <v>#N/A</v>
      </c>
      <c r="E286" s="9">
        <v>1602</v>
      </c>
      <c r="F286" s="9">
        <v>9047</v>
      </c>
      <c r="G286" s="9" t="s">
        <v>30</v>
      </c>
    </row>
    <row r="287" spans="1:7" x14ac:dyDescent="0.2">
      <c r="A287" t="s">
        <v>263</v>
      </c>
      <c r="B287" t="s">
        <v>296</v>
      </c>
      <c r="C287" t="s">
        <v>9833</v>
      </c>
      <c r="D287" t="s">
        <v>9715</v>
      </c>
      <c r="E287" s="9">
        <v>1080</v>
      </c>
      <c r="F287" s="9">
        <v>15098</v>
      </c>
      <c r="G287" s="9" t="s">
        <v>30</v>
      </c>
    </row>
    <row r="288" spans="1:7" x14ac:dyDescent="0.2">
      <c r="A288" t="s">
        <v>263</v>
      </c>
      <c r="B288" t="s">
        <v>297</v>
      </c>
      <c r="C288" t="s">
        <v>10864</v>
      </c>
      <c r="D288" t="e">
        <v>#N/A</v>
      </c>
      <c r="E288" s="9">
        <v>8391</v>
      </c>
      <c r="F288" s="9">
        <v>20384</v>
      </c>
      <c r="G288" s="9" t="s">
        <v>30</v>
      </c>
    </row>
    <row r="289" spans="1:7" x14ac:dyDescent="0.2">
      <c r="A289" t="s">
        <v>263</v>
      </c>
      <c r="B289" t="s">
        <v>298</v>
      </c>
      <c r="C289" t="s">
        <v>9831</v>
      </c>
      <c r="D289" t="s">
        <v>9715</v>
      </c>
      <c r="E289" s="9">
        <v>707</v>
      </c>
      <c r="F289" s="9">
        <v>10090</v>
      </c>
      <c r="G289" s="9" t="s">
        <v>30</v>
      </c>
    </row>
    <row r="290" spans="1:7" x14ac:dyDescent="0.2">
      <c r="A290" t="s">
        <v>263</v>
      </c>
      <c r="B290" t="s">
        <v>299</v>
      </c>
      <c r="C290" t="s">
        <v>9834</v>
      </c>
      <c r="D290" t="s">
        <v>9715</v>
      </c>
      <c r="E290" s="9">
        <v>1657</v>
      </c>
      <c r="F290" s="9">
        <v>9552</v>
      </c>
      <c r="G290" s="9" t="s">
        <v>30</v>
      </c>
    </row>
    <row r="291" spans="1:7" x14ac:dyDescent="0.2">
      <c r="A291" t="s">
        <v>263</v>
      </c>
      <c r="B291" t="s">
        <v>300</v>
      </c>
      <c r="C291" t="s">
        <v>10865</v>
      </c>
      <c r="D291" t="e">
        <v>#N/A</v>
      </c>
      <c r="E291" s="9">
        <v>2332</v>
      </c>
      <c r="F291" s="9">
        <v>9402</v>
      </c>
      <c r="G291" s="9" t="s">
        <v>30</v>
      </c>
    </row>
    <row r="292" spans="1:7" x14ac:dyDescent="0.2">
      <c r="A292" t="s">
        <v>263</v>
      </c>
      <c r="B292" t="s">
        <v>301</v>
      </c>
      <c r="C292" t="s">
        <v>10866</v>
      </c>
      <c r="D292" t="e">
        <v>#N/A</v>
      </c>
      <c r="E292" s="9">
        <v>1703</v>
      </c>
      <c r="F292" s="9">
        <v>10332</v>
      </c>
      <c r="G292" s="9" t="s">
        <v>30</v>
      </c>
    </row>
    <row r="293" spans="1:7" x14ac:dyDescent="0.2">
      <c r="A293" t="s">
        <v>263</v>
      </c>
      <c r="B293" t="s">
        <v>302</v>
      </c>
      <c r="C293" t="s">
        <v>10867</v>
      </c>
      <c r="D293" t="e">
        <v>#N/A</v>
      </c>
      <c r="E293" s="9">
        <v>2528</v>
      </c>
      <c r="F293" s="9">
        <v>8966</v>
      </c>
      <c r="G293" s="9" t="s">
        <v>30</v>
      </c>
    </row>
    <row r="294" spans="1:7" x14ac:dyDescent="0.2">
      <c r="A294" t="s">
        <v>263</v>
      </c>
      <c r="B294" t="s">
        <v>303</v>
      </c>
      <c r="C294" t="s">
        <v>10868</v>
      </c>
      <c r="D294" t="e">
        <v>#N/A</v>
      </c>
      <c r="E294" s="9">
        <v>2484</v>
      </c>
      <c r="F294" s="9">
        <v>12781</v>
      </c>
      <c r="G294" s="9" t="s">
        <v>30</v>
      </c>
    </row>
    <row r="295" spans="1:7" x14ac:dyDescent="0.2">
      <c r="A295" t="s">
        <v>263</v>
      </c>
      <c r="B295" t="s">
        <v>304</v>
      </c>
      <c r="C295" t="s">
        <v>10869</v>
      </c>
      <c r="D295" t="e">
        <v>#N/A</v>
      </c>
      <c r="E295" s="9">
        <v>2151</v>
      </c>
      <c r="F295" s="9">
        <v>10304</v>
      </c>
      <c r="G295" s="9" t="s">
        <v>30</v>
      </c>
    </row>
    <row r="296" spans="1:7" x14ac:dyDescent="0.2">
      <c r="A296" t="s">
        <v>263</v>
      </c>
      <c r="B296" t="s">
        <v>305</v>
      </c>
      <c r="C296" t="s">
        <v>9832</v>
      </c>
      <c r="D296" t="s">
        <v>9715</v>
      </c>
      <c r="E296" s="9">
        <v>557</v>
      </c>
      <c r="F296" s="9">
        <v>9681</v>
      </c>
      <c r="G296" s="9" t="s">
        <v>30</v>
      </c>
    </row>
    <row r="297" spans="1:7" x14ac:dyDescent="0.2">
      <c r="A297" t="s">
        <v>306</v>
      </c>
      <c r="B297" t="s">
        <v>307</v>
      </c>
      <c r="C297" t="s">
        <v>9840</v>
      </c>
      <c r="D297" t="s">
        <v>9715</v>
      </c>
      <c r="E297" s="9">
        <v>2750</v>
      </c>
      <c r="F297" s="9">
        <v>12549</v>
      </c>
      <c r="G297" s="9" t="s">
        <v>30</v>
      </c>
    </row>
    <row r="298" spans="1:7" x14ac:dyDescent="0.2">
      <c r="A298" t="s">
        <v>306</v>
      </c>
      <c r="B298" t="s">
        <v>308</v>
      </c>
      <c r="C298" t="s">
        <v>10870</v>
      </c>
      <c r="D298" t="e">
        <v>#N/A</v>
      </c>
      <c r="E298" s="9">
        <v>2543</v>
      </c>
      <c r="F298" s="9">
        <v>11307</v>
      </c>
      <c r="G298" s="9" t="s">
        <v>30</v>
      </c>
    </row>
    <row r="299" spans="1:7" x14ac:dyDescent="0.2">
      <c r="A299" t="s">
        <v>306</v>
      </c>
      <c r="B299" t="s">
        <v>309</v>
      </c>
      <c r="C299" t="s">
        <v>10871</v>
      </c>
      <c r="D299" t="e">
        <v>#N/A</v>
      </c>
      <c r="E299" s="9">
        <v>2138</v>
      </c>
      <c r="F299" s="9">
        <v>11455</v>
      </c>
      <c r="G299" s="9" t="s">
        <v>30</v>
      </c>
    </row>
    <row r="300" spans="1:7" x14ac:dyDescent="0.2">
      <c r="A300" t="s">
        <v>306</v>
      </c>
      <c r="B300" t="s">
        <v>310</v>
      </c>
      <c r="C300" t="s">
        <v>10872</v>
      </c>
      <c r="D300" t="e">
        <v>#N/A</v>
      </c>
      <c r="E300" s="9">
        <v>3210</v>
      </c>
      <c r="F300" s="9">
        <v>17462</v>
      </c>
      <c r="G300" s="9" t="s">
        <v>30</v>
      </c>
    </row>
    <row r="301" spans="1:7" x14ac:dyDescent="0.2">
      <c r="A301" t="s">
        <v>306</v>
      </c>
      <c r="B301" t="s">
        <v>311</v>
      </c>
      <c r="C301" t="s">
        <v>10873</v>
      </c>
      <c r="D301" t="e">
        <v>#N/A</v>
      </c>
      <c r="E301" s="9">
        <v>3052</v>
      </c>
      <c r="F301" s="9">
        <v>11795</v>
      </c>
      <c r="G301" s="9" t="s">
        <v>30</v>
      </c>
    </row>
    <row r="302" spans="1:7" x14ac:dyDescent="0.2">
      <c r="A302" t="s">
        <v>306</v>
      </c>
      <c r="B302" t="s">
        <v>312</v>
      </c>
      <c r="C302" t="s">
        <v>10874</v>
      </c>
      <c r="D302" t="e">
        <v>#N/A</v>
      </c>
      <c r="E302" s="9">
        <v>2463</v>
      </c>
      <c r="F302" s="9">
        <v>12513</v>
      </c>
      <c r="G302" s="9" t="s">
        <v>30</v>
      </c>
    </row>
    <row r="303" spans="1:7" x14ac:dyDescent="0.2">
      <c r="A303" t="s">
        <v>306</v>
      </c>
      <c r="B303" t="s">
        <v>313</v>
      </c>
      <c r="C303" t="s">
        <v>10875</v>
      </c>
      <c r="D303" t="e">
        <v>#N/A</v>
      </c>
      <c r="E303" s="9">
        <v>3605</v>
      </c>
      <c r="F303" s="9">
        <v>11615</v>
      </c>
      <c r="G303" s="9" t="s">
        <v>30</v>
      </c>
    </row>
    <row r="304" spans="1:7" x14ac:dyDescent="0.2">
      <c r="A304" t="s">
        <v>306</v>
      </c>
      <c r="B304" t="s">
        <v>314</v>
      </c>
      <c r="C304" t="s">
        <v>10876</v>
      </c>
      <c r="D304" t="e">
        <v>#N/A</v>
      </c>
      <c r="E304" s="9">
        <v>2044</v>
      </c>
      <c r="F304" s="9">
        <v>12502</v>
      </c>
      <c r="G304" s="9" t="s">
        <v>30</v>
      </c>
    </row>
    <row r="305" spans="1:7" x14ac:dyDescent="0.2">
      <c r="A305" t="s">
        <v>306</v>
      </c>
      <c r="B305" t="s">
        <v>315</v>
      </c>
      <c r="C305" t="s">
        <v>10877</v>
      </c>
      <c r="D305" t="e">
        <v>#N/A</v>
      </c>
      <c r="E305" s="9">
        <v>2019</v>
      </c>
      <c r="F305" s="9">
        <v>12570</v>
      </c>
      <c r="G305" s="9" t="s">
        <v>30</v>
      </c>
    </row>
    <row r="306" spans="1:7" x14ac:dyDescent="0.2">
      <c r="A306" t="s">
        <v>306</v>
      </c>
      <c r="B306" t="s">
        <v>316</v>
      </c>
      <c r="C306" t="s">
        <v>10878</v>
      </c>
      <c r="D306" t="e">
        <v>#N/A</v>
      </c>
      <c r="E306" s="9">
        <v>5194</v>
      </c>
      <c r="F306" s="9">
        <v>28399</v>
      </c>
      <c r="G306" s="9" t="s">
        <v>30</v>
      </c>
    </row>
    <row r="307" spans="1:7" x14ac:dyDescent="0.2">
      <c r="A307" t="s">
        <v>306</v>
      </c>
      <c r="B307" t="s">
        <v>317</v>
      </c>
      <c r="C307" t="s">
        <v>10879</v>
      </c>
      <c r="D307" t="e">
        <v>#N/A</v>
      </c>
      <c r="E307" s="9">
        <v>1633</v>
      </c>
      <c r="F307" s="9">
        <v>10767</v>
      </c>
      <c r="G307" s="9" t="s">
        <v>30</v>
      </c>
    </row>
    <row r="308" spans="1:7" x14ac:dyDescent="0.2">
      <c r="A308" t="s">
        <v>306</v>
      </c>
      <c r="B308" t="s">
        <v>318</v>
      </c>
      <c r="C308" t="s">
        <v>10880</v>
      </c>
      <c r="D308" t="e">
        <v>#N/A</v>
      </c>
      <c r="E308" s="9">
        <v>1165</v>
      </c>
      <c r="F308" s="9">
        <v>10232</v>
      </c>
      <c r="G308" s="9" t="s">
        <v>30</v>
      </c>
    </row>
    <row r="309" spans="1:7" x14ac:dyDescent="0.2">
      <c r="A309" t="s">
        <v>306</v>
      </c>
      <c r="B309" t="s">
        <v>319</v>
      </c>
      <c r="C309" t="s">
        <v>10881</v>
      </c>
      <c r="D309" t="e">
        <v>#N/A</v>
      </c>
      <c r="E309" s="9">
        <v>1078</v>
      </c>
      <c r="F309" s="9">
        <v>10002</v>
      </c>
      <c r="G309" s="9" t="s">
        <v>30</v>
      </c>
    </row>
    <row r="310" spans="1:7" x14ac:dyDescent="0.2">
      <c r="A310" t="s">
        <v>306</v>
      </c>
      <c r="B310" t="s">
        <v>320</v>
      </c>
      <c r="C310" t="s">
        <v>10882</v>
      </c>
      <c r="D310" t="e">
        <v>#N/A</v>
      </c>
      <c r="E310" s="9">
        <v>1197</v>
      </c>
      <c r="F310" s="9">
        <v>17760</v>
      </c>
      <c r="G310" s="9" t="s">
        <v>30</v>
      </c>
    </row>
    <row r="311" spans="1:7" x14ac:dyDescent="0.2">
      <c r="A311" t="s">
        <v>306</v>
      </c>
      <c r="B311" t="s">
        <v>321</v>
      </c>
      <c r="C311" t="s">
        <v>10883</v>
      </c>
      <c r="D311" t="e">
        <v>#N/A</v>
      </c>
      <c r="E311" s="9">
        <v>1992</v>
      </c>
      <c r="F311" s="9">
        <v>10562</v>
      </c>
      <c r="G311" s="9" t="s">
        <v>30</v>
      </c>
    </row>
    <row r="312" spans="1:7" x14ac:dyDescent="0.2">
      <c r="A312" t="s">
        <v>306</v>
      </c>
      <c r="B312" t="s">
        <v>322</v>
      </c>
      <c r="C312" t="s">
        <v>10884</v>
      </c>
      <c r="D312" t="e">
        <v>#N/A</v>
      </c>
      <c r="E312" s="9">
        <v>4060</v>
      </c>
      <c r="F312" s="9">
        <v>20451</v>
      </c>
      <c r="G312" s="9" t="s">
        <v>30</v>
      </c>
    </row>
    <row r="313" spans="1:7" x14ac:dyDescent="0.2">
      <c r="A313" t="s">
        <v>306</v>
      </c>
      <c r="B313" t="s">
        <v>323</v>
      </c>
      <c r="C313" t="s">
        <v>10885</v>
      </c>
      <c r="D313" t="e">
        <v>#N/A</v>
      </c>
      <c r="E313" s="9">
        <v>2282</v>
      </c>
      <c r="F313" s="9">
        <v>12180</v>
      </c>
      <c r="G313" s="9" t="s">
        <v>30</v>
      </c>
    </row>
    <row r="314" spans="1:7" x14ac:dyDescent="0.2">
      <c r="A314" t="s">
        <v>306</v>
      </c>
      <c r="B314" t="s">
        <v>324</v>
      </c>
      <c r="C314" t="s">
        <v>10886</v>
      </c>
      <c r="D314" t="e">
        <v>#N/A</v>
      </c>
      <c r="E314" s="9">
        <v>3346</v>
      </c>
      <c r="F314" s="9">
        <v>12431</v>
      </c>
      <c r="G314" s="9" t="s">
        <v>30</v>
      </c>
    </row>
    <row r="315" spans="1:7" x14ac:dyDescent="0.2">
      <c r="A315" t="s">
        <v>325</v>
      </c>
      <c r="B315" t="s">
        <v>326</v>
      </c>
      <c r="C315" t="s">
        <v>10887</v>
      </c>
      <c r="D315" t="e">
        <v>#N/A</v>
      </c>
      <c r="E315" s="9">
        <v>4366</v>
      </c>
      <c r="F315" s="9">
        <v>32996</v>
      </c>
      <c r="G315" s="9" t="s">
        <v>30</v>
      </c>
    </row>
    <row r="316" spans="1:7" x14ac:dyDescent="0.2">
      <c r="A316" t="s">
        <v>325</v>
      </c>
      <c r="B316" t="s">
        <v>327</v>
      </c>
      <c r="C316" t="s">
        <v>10888</v>
      </c>
      <c r="D316" t="e">
        <v>#N/A</v>
      </c>
      <c r="E316" s="9">
        <v>1647</v>
      </c>
      <c r="F316" s="9">
        <v>11942</v>
      </c>
      <c r="G316" s="9" t="s">
        <v>30</v>
      </c>
    </row>
    <row r="317" spans="1:7" x14ac:dyDescent="0.2">
      <c r="A317" t="s">
        <v>325</v>
      </c>
      <c r="B317" t="s">
        <v>328</v>
      </c>
      <c r="C317" t="s">
        <v>9841</v>
      </c>
      <c r="D317" t="s">
        <v>9715</v>
      </c>
      <c r="E317" s="9">
        <v>3368</v>
      </c>
      <c r="F317" s="9">
        <v>13872</v>
      </c>
      <c r="G317" s="9" t="s">
        <v>30</v>
      </c>
    </row>
    <row r="318" spans="1:7" x14ac:dyDescent="0.2">
      <c r="A318" t="s">
        <v>325</v>
      </c>
      <c r="B318" t="s">
        <v>329</v>
      </c>
      <c r="C318" t="s">
        <v>10889</v>
      </c>
      <c r="D318" t="e">
        <v>#N/A</v>
      </c>
      <c r="E318" s="9">
        <v>5832</v>
      </c>
      <c r="F318" s="9">
        <v>52881</v>
      </c>
      <c r="G318" s="9" t="s">
        <v>30</v>
      </c>
    </row>
    <row r="319" spans="1:7" x14ac:dyDescent="0.2">
      <c r="A319" t="s">
        <v>325</v>
      </c>
      <c r="B319" t="s">
        <v>330</v>
      </c>
      <c r="C319" t="s">
        <v>10890</v>
      </c>
      <c r="D319" t="e">
        <v>#N/A</v>
      </c>
      <c r="E319" s="9">
        <v>11189</v>
      </c>
      <c r="F319" s="9">
        <v>25845</v>
      </c>
      <c r="G319" s="9" t="s">
        <v>30</v>
      </c>
    </row>
    <row r="320" spans="1:7" x14ac:dyDescent="0.2">
      <c r="A320" t="s">
        <v>325</v>
      </c>
      <c r="B320" t="s">
        <v>331</v>
      </c>
      <c r="C320" t="s">
        <v>10891</v>
      </c>
      <c r="D320" t="e">
        <v>#N/A</v>
      </c>
      <c r="E320" s="9">
        <v>2328</v>
      </c>
      <c r="F320" s="9">
        <v>2573</v>
      </c>
      <c r="G320" s="9" t="s">
        <v>30</v>
      </c>
    </row>
    <row r="321" spans="1:7" x14ac:dyDescent="0.2">
      <c r="A321" t="s">
        <v>325</v>
      </c>
      <c r="B321" t="s">
        <v>332</v>
      </c>
      <c r="C321" t="s">
        <v>10892</v>
      </c>
      <c r="D321" t="e">
        <v>#N/A</v>
      </c>
      <c r="E321" s="9">
        <v>1515</v>
      </c>
      <c r="F321" s="9">
        <v>37342</v>
      </c>
      <c r="G321" s="9" t="s">
        <v>30</v>
      </c>
    </row>
    <row r="322" spans="1:7" x14ac:dyDescent="0.2">
      <c r="A322" t="s">
        <v>325</v>
      </c>
      <c r="B322" t="s">
        <v>333</v>
      </c>
      <c r="C322" t="s">
        <v>10893</v>
      </c>
      <c r="D322" t="e">
        <v>#N/A</v>
      </c>
      <c r="E322" s="9">
        <v>1803</v>
      </c>
      <c r="F322" s="9">
        <v>17523</v>
      </c>
      <c r="G322" s="9" t="s">
        <v>30</v>
      </c>
    </row>
    <row r="323" spans="1:7" x14ac:dyDescent="0.2">
      <c r="A323" t="s">
        <v>325</v>
      </c>
      <c r="B323" t="s">
        <v>334</v>
      </c>
      <c r="C323" t="s">
        <v>9842</v>
      </c>
      <c r="D323" t="s">
        <v>9715</v>
      </c>
      <c r="E323" s="9">
        <v>1686</v>
      </c>
      <c r="F323" s="9">
        <v>11105</v>
      </c>
      <c r="G323" s="9" t="s">
        <v>30</v>
      </c>
    </row>
    <row r="324" spans="1:7" x14ac:dyDescent="0.2">
      <c r="A324" t="s">
        <v>325</v>
      </c>
      <c r="B324" t="s">
        <v>335</v>
      </c>
      <c r="C324" t="s">
        <v>9843</v>
      </c>
      <c r="D324" t="s">
        <v>9715</v>
      </c>
      <c r="E324" s="9">
        <v>1092</v>
      </c>
      <c r="F324" s="9">
        <v>8430</v>
      </c>
      <c r="G324" s="9" t="s">
        <v>30</v>
      </c>
    </row>
    <row r="325" spans="1:7" x14ac:dyDescent="0.2">
      <c r="A325" t="s">
        <v>336</v>
      </c>
      <c r="B325" t="s">
        <v>337</v>
      </c>
      <c r="C325" t="s">
        <v>10894</v>
      </c>
      <c r="D325" t="e">
        <v>#N/A</v>
      </c>
      <c r="E325" s="9">
        <v>3611</v>
      </c>
      <c r="F325" s="9">
        <v>11568</v>
      </c>
      <c r="G325" s="9" t="s">
        <v>30</v>
      </c>
    </row>
    <row r="326" spans="1:7" x14ac:dyDescent="0.2">
      <c r="A326" t="s">
        <v>336</v>
      </c>
      <c r="B326" t="s">
        <v>338</v>
      </c>
      <c r="C326" t="s">
        <v>10895</v>
      </c>
      <c r="D326" t="e">
        <v>#N/A</v>
      </c>
      <c r="E326" s="9">
        <v>3120</v>
      </c>
      <c r="F326" s="9">
        <v>11461</v>
      </c>
      <c r="G326" s="9" t="s">
        <v>30</v>
      </c>
    </row>
    <row r="327" spans="1:7" x14ac:dyDescent="0.2">
      <c r="A327" t="s">
        <v>336</v>
      </c>
      <c r="B327" t="s">
        <v>339</v>
      </c>
      <c r="C327" t="s">
        <v>10896</v>
      </c>
      <c r="D327" t="e">
        <v>#N/A</v>
      </c>
      <c r="E327" s="9">
        <v>4191</v>
      </c>
      <c r="F327" s="9">
        <v>13064</v>
      </c>
      <c r="G327" s="9" t="s">
        <v>30</v>
      </c>
    </row>
    <row r="328" spans="1:7" x14ac:dyDescent="0.2">
      <c r="A328" t="s">
        <v>336</v>
      </c>
      <c r="B328" t="s">
        <v>340</v>
      </c>
      <c r="C328" t="s">
        <v>10897</v>
      </c>
      <c r="D328" t="e">
        <v>#N/A</v>
      </c>
      <c r="E328" s="9">
        <v>1264</v>
      </c>
      <c r="F328" s="9">
        <v>8855</v>
      </c>
      <c r="G328" s="9" t="s">
        <v>30</v>
      </c>
    </row>
    <row r="329" spans="1:7" x14ac:dyDescent="0.2">
      <c r="A329" t="s">
        <v>336</v>
      </c>
      <c r="B329" t="s">
        <v>341</v>
      </c>
      <c r="C329" t="s">
        <v>9848</v>
      </c>
      <c r="D329" t="s">
        <v>9715</v>
      </c>
      <c r="E329" s="9">
        <v>200</v>
      </c>
      <c r="F329" s="9">
        <v>10211</v>
      </c>
      <c r="G329" s="9" t="s">
        <v>30</v>
      </c>
    </row>
    <row r="330" spans="1:7" x14ac:dyDescent="0.2">
      <c r="A330" t="s">
        <v>336</v>
      </c>
      <c r="B330" t="s">
        <v>342</v>
      </c>
      <c r="C330" t="s">
        <v>10898</v>
      </c>
      <c r="D330" t="e">
        <v>#N/A</v>
      </c>
      <c r="E330" s="9">
        <v>2696</v>
      </c>
      <c r="F330" s="9">
        <v>13159</v>
      </c>
      <c r="G330" s="9" t="s">
        <v>30</v>
      </c>
    </row>
    <row r="331" spans="1:7" x14ac:dyDescent="0.2">
      <c r="A331" t="s">
        <v>336</v>
      </c>
      <c r="B331" t="s">
        <v>343</v>
      </c>
      <c r="C331" t="s">
        <v>10899</v>
      </c>
      <c r="D331" t="e">
        <v>#N/A</v>
      </c>
      <c r="E331" s="9">
        <v>3762</v>
      </c>
      <c r="F331" s="9">
        <v>13330</v>
      </c>
      <c r="G331" s="9" t="s">
        <v>30</v>
      </c>
    </row>
    <row r="332" spans="1:7" x14ac:dyDescent="0.2">
      <c r="A332" t="s">
        <v>336</v>
      </c>
      <c r="B332" t="s">
        <v>344</v>
      </c>
      <c r="C332" t="s">
        <v>9849</v>
      </c>
      <c r="D332" t="s">
        <v>9715</v>
      </c>
      <c r="E332" s="9">
        <v>762</v>
      </c>
      <c r="F332" s="9">
        <v>6555</v>
      </c>
      <c r="G332" s="9" t="s">
        <v>30</v>
      </c>
    </row>
    <row r="333" spans="1:7" x14ac:dyDescent="0.2">
      <c r="A333" t="s">
        <v>336</v>
      </c>
      <c r="B333" t="s">
        <v>345</v>
      </c>
      <c r="C333" t="s">
        <v>10900</v>
      </c>
      <c r="D333" t="e">
        <v>#N/A</v>
      </c>
      <c r="E333" s="9">
        <v>2643</v>
      </c>
      <c r="F333" s="9">
        <v>11543</v>
      </c>
      <c r="G333" s="9" t="s">
        <v>30</v>
      </c>
    </row>
    <row r="334" spans="1:7" x14ac:dyDescent="0.2">
      <c r="A334" t="s">
        <v>336</v>
      </c>
      <c r="B334" t="s">
        <v>346</v>
      </c>
      <c r="C334" t="s">
        <v>10901</v>
      </c>
      <c r="D334" t="e">
        <v>#N/A</v>
      </c>
      <c r="E334" s="9">
        <v>1787</v>
      </c>
      <c r="F334" s="9">
        <v>4886</v>
      </c>
      <c r="G334" s="9" t="s">
        <v>30</v>
      </c>
    </row>
    <row r="335" spans="1:7" x14ac:dyDescent="0.2">
      <c r="A335" t="s">
        <v>336</v>
      </c>
      <c r="B335" t="s">
        <v>347</v>
      </c>
      <c r="C335" t="s">
        <v>10902</v>
      </c>
      <c r="D335" t="e">
        <v>#N/A</v>
      </c>
      <c r="E335" s="9">
        <v>6409</v>
      </c>
      <c r="F335" s="9">
        <v>7970</v>
      </c>
      <c r="G335" s="9" t="s">
        <v>30</v>
      </c>
    </row>
    <row r="336" spans="1:7" x14ac:dyDescent="0.2">
      <c r="A336" t="s">
        <v>336</v>
      </c>
      <c r="B336" t="s">
        <v>348</v>
      </c>
      <c r="C336" t="s">
        <v>10903</v>
      </c>
      <c r="D336" t="e">
        <v>#N/A</v>
      </c>
      <c r="E336" s="9">
        <v>1863</v>
      </c>
      <c r="F336" s="9">
        <v>11016</v>
      </c>
      <c r="G336" s="9" t="s">
        <v>30</v>
      </c>
    </row>
    <row r="337" spans="1:7" x14ac:dyDescent="0.2">
      <c r="A337" t="s">
        <v>336</v>
      </c>
      <c r="B337" t="s">
        <v>349</v>
      </c>
      <c r="C337" t="s">
        <v>10904</v>
      </c>
      <c r="D337" t="e">
        <v>#N/A</v>
      </c>
      <c r="E337" s="9">
        <v>2916</v>
      </c>
      <c r="F337" s="9">
        <v>10442</v>
      </c>
      <c r="G337" s="9" t="s">
        <v>30</v>
      </c>
    </row>
    <row r="338" spans="1:7" x14ac:dyDescent="0.2">
      <c r="A338" t="s">
        <v>336</v>
      </c>
      <c r="B338" t="s">
        <v>350</v>
      </c>
      <c r="C338" t="s">
        <v>10905</v>
      </c>
      <c r="D338" t="e">
        <v>#N/A</v>
      </c>
      <c r="E338" s="9">
        <v>1298</v>
      </c>
      <c r="F338" s="9">
        <v>11395</v>
      </c>
      <c r="G338" s="9" t="s">
        <v>30</v>
      </c>
    </row>
    <row r="339" spans="1:7" x14ac:dyDescent="0.2">
      <c r="A339" t="s">
        <v>336</v>
      </c>
      <c r="B339" t="s">
        <v>351</v>
      </c>
      <c r="C339" t="s">
        <v>10906</v>
      </c>
      <c r="D339" t="e">
        <v>#N/A</v>
      </c>
      <c r="E339" s="9">
        <v>3789</v>
      </c>
      <c r="F339" s="9">
        <v>12840</v>
      </c>
      <c r="G339" s="9" t="s">
        <v>30</v>
      </c>
    </row>
    <row r="340" spans="1:7" x14ac:dyDescent="0.2">
      <c r="A340" t="s">
        <v>336</v>
      </c>
      <c r="B340" t="s">
        <v>352</v>
      </c>
      <c r="C340" t="s">
        <v>10907</v>
      </c>
      <c r="D340" t="e">
        <v>#N/A</v>
      </c>
      <c r="E340" s="9">
        <v>982</v>
      </c>
      <c r="F340" s="9">
        <v>10719</v>
      </c>
      <c r="G340" s="9" t="s">
        <v>30</v>
      </c>
    </row>
    <row r="341" spans="1:7" x14ac:dyDescent="0.2">
      <c r="A341" t="s">
        <v>336</v>
      </c>
      <c r="B341" t="s">
        <v>353</v>
      </c>
      <c r="C341" t="s">
        <v>10908</v>
      </c>
      <c r="D341" t="e">
        <v>#N/A</v>
      </c>
      <c r="E341" s="9">
        <v>1430</v>
      </c>
      <c r="F341" s="9">
        <v>13348</v>
      </c>
      <c r="G341" s="9" t="s">
        <v>30</v>
      </c>
    </row>
    <row r="342" spans="1:7" x14ac:dyDescent="0.2">
      <c r="A342" t="s">
        <v>336</v>
      </c>
      <c r="B342" t="s">
        <v>354</v>
      </c>
      <c r="C342" t="s">
        <v>10909</v>
      </c>
      <c r="D342" t="e">
        <v>#N/A</v>
      </c>
      <c r="E342" s="9">
        <v>2456</v>
      </c>
      <c r="F342" s="9">
        <v>10389</v>
      </c>
      <c r="G342" s="9" t="s">
        <v>30</v>
      </c>
    </row>
    <row r="343" spans="1:7" x14ac:dyDescent="0.2">
      <c r="A343" t="s">
        <v>336</v>
      </c>
      <c r="B343" t="s">
        <v>355</v>
      </c>
      <c r="C343" t="s">
        <v>9844</v>
      </c>
      <c r="D343" t="s">
        <v>9715</v>
      </c>
      <c r="E343" s="9">
        <v>3019</v>
      </c>
      <c r="F343" s="9">
        <v>9241</v>
      </c>
      <c r="G343" s="9" t="s">
        <v>30</v>
      </c>
    </row>
    <row r="344" spans="1:7" x14ac:dyDescent="0.2">
      <c r="A344" t="s">
        <v>336</v>
      </c>
      <c r="B344" t="s">
        <v>356</v>
      </c>
      <c r="C344" t="s">
        <v>9853</v>
      </c>
      <c r="D344" t="s">
        <v>9715</v>
      </c>
      <c r="E344" s="9">
        <v>3063</v>
      </c>
      <c r="F344" s="9">
        <v>10087</v>
      </c>
      <c r="G344" s="9" t="s">
        <v>30</v>
      </c>
    </row>
    <row r="345" spans="1:7" x14ac:dyDescent="0.2">
      <c r="A345" t="s">
        <v>336</v>
      </c>
      <c r="B345" t="s">
        <v>357</v>
      </c>
      <c r="C345" t="s">
        <v>9850</v>
      </c>
      <c r="D345" t="s">
        <v>9715</v>
      </c>
      <c r="E345" s="9">
        <v>288</v>
      </c>
      <c r="F345" s="9">
        <v>9897</v>
      </c>
      <c r="G345" s="9" t="s">
        <v>30</v>
      </c>
    </row>
    <row r="346" spans="1:7" x14ac:dyDescent="0.2">
      <c r="A346" t="s">
        <v>336</v>
      </c>
      <c r="B346" t="s">
        <v>358</v>
      </c>
      <c r="C346" t="s">
        <v>9851</v>
      </c>
      <c r="D346" t="s">
        <v>9715</v>
      </c>
      <c r="E346" s="9">
        <v>2275</v>
      </c>
      <c r="F346" s="9">
        <v>12717</v>
      </c>
      <c r="G346" s="9" t="s">
        <v>30</v>
      </c>
    </row>
    <row r="347" spans="1:7" x14ac:dyDescent="0.2">
      <c r="A347" t="s">
        <v>336</v>
      </c>
      <c r="B347" t="s">
        <v>359</v>
      </c>
      <c r="C347" t="s">
        <v>10910</v>
      </c>
      <c r="D347" t="e">
        <v>#N/A</v>
      </c>
      <c r="E347" s="9">
        <v>616</v>
      </c>
      <c r="F347" s="9">
        <v>39770</v>
      </c>
      <c r="G347" s="9" t="s">
        <v>30</v>
      </c>
    </row>
    <row r="348" spans="1:7" x14ac:dyDescent="0.2">
      <c r="A348" t="s">
        <v>336</v>
      </c>
      <c r="B348" t="s">
        <v>360</v>
      </c>
      <c r="C348" t="s">
        <v>10911</v>
      </c>
      <c r="D348" t="e">
        <v>#N/A</v>
      </c>
      <c r="E348" s="9">
        <v>2053</v>
      </c>
      <c r="F348" s="9">
        <v>11004</v>
      </c>
      <c r="G348" s="9" t="s">
        <v>30</v>
      </c>
    </row>
    <row r="349" spans="1:7" x14ac:dyDescent="0.2">
      <c r="A349" t="s">
        <v>336</v>
      </c>
      <c r="B349" t="s">
        <v>361</v>
      </c>
      <c r="C349" t="s">
        <v>10912</v>
      </c>
      <c r="D349" t="e">
        <v>#N/A</v>
      </c>
      <c r="E349" s="9" t="s">
        <v>30</v>
      </c>
      <c r="F349" s="9" t="s">
        <v>30</v>
      </c>
      <c r="G349" s="9" t="s">
        <v>30</v>
      </c>
    </row>
    <row r="350" spans="1:7" x14ac:dyDescent="0.2">
      <c r="A350" t="s">
        <v>336</v>
      </c>
      <c r="B350" t="s">
        <v>362</v>
      </c>
      <c r="C350" t="s">
        <v>10913</v>
      </c>
      <c r="D350" t="e">
        <v>#N/A</v>
      </c>
      <c r="E350" s="9">
        <v>4577</v>
      </c>
      <c r="F350" s="9">
        <v>10296</v>
      </c>
      <c r="G350" s="9" t="s">
        <v>30</v>
      </c>
    </row>
    <row r="351" spans="1:7" x14ac:dyDescent="0.2">
      <c r="A351" t="s">
        <v>336</v>
      </c>
      <c r="B351" t="s">
        <v>363</v>
      </c>
      <c r="C351" t="s">
        <v>10914</v>
      </c>
      <c r="D351" t="e">
        <v>#N/A</v>
      </c>
      <c r="E351" s="9" t="s">
        <v>30</v>
      </c>
      <c r="F351" s="9" t="s">
        <v>30</v>
      </c>
      <c r="G351" s="9" t="s">
        <v>30</v>
      </c>
    </row>
    <row r="352" spans="1:7" x14ac:dyDescent="0.2">
      <c r="A352" t="s">
        <v>336</v>
      </c>
      <c r="B352" t="s">
        <v>364</v>
      </c>
      <c r="C352" t="s">
        <v>10915</v>
      </c>
      <c r="D352" t="e">
        <v>#N/A</v>
      </c>
      <c r="E352" s="9">
        <v>5213</v>
      </c>
      <c r="F352" s="9">
        <v>8164</v>
      </c>
      <c r="G352" s="9" t="s">
        <v>30</v>
      </c>
    </row>
    <row r="353" spans="1:7" x14ac:dyDescent="0.2">
      <c r="A353" t="s">
        <v>336</v>
      </c>
      <c r="B353" t="s">
        <v>365</v>
      </c>
      <c r="C353" t="s">
        <v>10916</v>
      </c>
      <c r="D353" t="e">
        <v>#N/A</v>
      </c>
      <c r="E353" s="9">
        <v>7524</v>
      </c>
      <c r="F353" s="9">
        <v>32285</v>
      </c>
      <c r="G353" s="9" t="s">
        <v>30</v>
      </c>
    </row>
    <row r="354" spans="1:7" x14ac:dyDescent="0.2">
      <c r="A354" t="s">
        <v>336</v>
      </c>
      <c r="B354" t="s">
        <v>366</v>
      </c>
      <c r="C354" t="s">
        <v>10917</v>
      </c>
      <c r="D354" t="e">
        <v>#N/A</v>
      </c>
      <c r="E354" s="9">
        <v>5078</v>
      </c>
      <c r="F354" s="9">
        <v>14613</v>
      </c>
      <c r="G354" s="9" t="s">
        <v>30</v>
      </c>
    </row>
    <row r="355" spans="1:7" x14ac:dyDescent="0.2">
      <c r="A355" t="s">
        <v>336</v>
      </c>
      <c r="B355" t="s">
        <v>367</v>
      </c>
      <c r="C355" t="s">
        <v>10918</v>
      </c>
      <c r="D355" t="e">
        <v>#N/A</v>
      </c>
      <c r="E355" s="9">
        <v>9619</v>
      </c>
      <c r="F355" s="9">
        <v>1244</v>
      </c>
      <c r="G355" s="9" t="s">
        <v>30</v>
      </c>
    </row>
    <row r="356" spans="1:7" x14ac:dyDescent="0.2">
      <c r="A356" t="s">
        <v>336</v>
      </c>
      <c r="B356" t="s">
        <v>368</v>
      </c>
      <c r="C356" t="s">
        <v>10919</v>
      </c>
      <c r="D356" t="e">
        <v>#N/A</v>
      </c>
      <c r="E356" s="9">
        <v>4304</v>
      </c>
      <c r="F356" s="9">
        <v>4416</v>
      </c>
      <c r="G356" s="9" t="s">
        <v>30</v>
      </c>
    </row>
    <row r="357" spans="1:7" x14ac:dyDescent="0.2">
      <c r="A357" t="s">
        <v>336</v>
      </c>
      <c r="B357" t="s">
        <v>369</v>
      </c>
      <c r="C357" t="s">
        <v>10920</v>
      </c>
      <c r="D357" t="e">
        <v>#N/A</v>
      </c>
      <c r="E357" s="9">
        <v>2471</v>
      </c>
      <c r="F357" s="9">
        <v>12498</v>
      </c>
      <c r="G357" s="9" t="s">
        <v>30</v>
      </c>
    </row>
    <row r="358" spans="1:7" x14ac:dyDescent="0.2">
      <c r="A358" t="s">
        <v>336</v>
      </c>
      <c r="B358" t="s">
        <v>370</v>
      </c>
      <c r="C358" t="s">
        <v>10921</v>
      </c>
      <c r="D358" t="e">
        <v>#N/A</v>
      </c>
      <c r="E358" s="9" t="s">
        <v>30</v>
      </c>
      <c r="F358" s="9" t="s">
        <v>30</v>
      </c>
      <c r="G358" s="9" t="s">
        <v>30</v>
      </c>
    </row>
    <row r="359" spans="1:7" x14ac:dyDescent="0.2">
      <c r="A359" t="s">
        <v>336</v>
      </c>
      <c r="B359" t="s">
        <v>371</v>
      </c>
      <c r="C359" t="s">
        <v>10922</v>
      </c>
      <c r="D359" t="e">
        <v>#N/A</v>
      </c>
      <c r="E359" s="9">
        <v>2611</v>
      </c>
      <c r="F359" s="9">
        <v>23509</v>
      </c>
      <c r="G359" s="9" t="s">
        <v>30</v>
      </c>
    </row>
    <row r="360" spans="1:7" x14ac:dyDescent="0.2">
      <c r="A360" t="s">
        <v>336</v>
      </c>
      <c r="B360" t="s">
        <v>372</v>
      </c>
      <c r="C360" t="s">
        <v>10923</v>
      </c>
      <c r="D360" t="e">
        <v>#N/A</v>
      </c>
      <c r="E360" s="9">
        <v>691</v>
      </c>
      <c r="F360" s="9">
        <v>8752</v>
      </c>
      <c r="G360" s="9" t="s">
        <v>30</v>
      </c>
    </row>
    <row r="361" spans="1:7" x14ac:dyDescent="0.2">
      <c r="A361" t="s">
        <v>336</v>
      </c>
      <c r="B361" t="s">
        <v>373</v>
      </c>
      <c r="C361" t="s">
        <v>10924</v>
      </c>
      <c r="D361" t="e">
        <v>#N/A</v>
      </c>
      <c r="E361" s="9">
        <v>1080</v>
      </c>
      <c r="F361" s="9">
        <v>11599</v>
      </c>
      <c r="G361" s="9" t="s">
        <v>30</v>
      </c>
    </row>
    <row r="362" spans="1:7" x14ac:dyDescent="0.2">
      <c r="A362" t="s">
        <v>336</v>
      </c>
      <c r="B362" t="s">
        <v>374</v>
      </c>
      <c r="C362" t="s">
        <v>10925</v>
      </c>
      <c r="D362" t="e">
        <v>#N/A</v>
      </c>
      <c r="E362" s="9">
        <v>671</v>
      </c>
      <c r="F362" s="9">
        <v>9015</v>
      </c>
      <c r="G362" s="9" t="s">
        <v>30</v>
      </c>
    </row>
    <row r="363" spans="1:7" x14ac:dyDescent="0.2">
      <c r="A363" t="s">
        <v>336</v>
      </c>
      <c r="B363" t="s">
        <v>375</v>
      </c>
      <c r="C363" t="s">
        <v>10926</v>
      </c>
      <c r="D363" t="e">
        <v>#N/A</v>
      </c>
      <c r="E363" s="9">
        <v>2277</v>
      </c>
      <c r="F363" s="9">
        <v>11011</v>
      </c>
      <c r="G363" s="9" t="s">
        <v>30</v>
      </c>
    </row>
    <row r="364" spans="1:7" x14ac:dyDescent="0.2">
      <c r="A364" t="s">
        <v>336</v>
      </c>
      <c r="B364" t="s">
        <v>376</v>
      </c>
      <c r="C364" t="s">
        <v>9852</v>
      </c>
      <c r="D364" t="s">
        <v>9715</v>
      </c>
      <c r="E364" s="9">
        <v>8927</v>
      </c>
      <c r="F364" s="9">
        <v>154</v>
      </c>
      <c r="G364" s="9" t="s">
        <v>30</v>
      </c>
    </row>
    <row r="365" spans="1:7" x14ac:dyDescent="0.2">
      <c r="A365" t="s">
        <v>336</v>
      </c>
      <c r="B365" t="s">
        <v>377</v>
      </c>
      <c r="C365" t="s">
        <v>10927</v>
      </c>
      <c r="D365" t="e">
        <v>#N/A</v>
      </c>
      <c r="E365" s="9">
        <v>3094</v>
      </c>
      <c r="F365" s="9">
        <v>14014</v>
      </c>
      <c r="G365" s="9" t="s">
        <v>30</v>
      </c>
    </row>
    <row r="366" spans="1:7" x14ac:dyDescent="0.2">
      <c r="A366" t="s">
        <v>336</v>
      </c>
      <c r="B366" t="s">
        <v>378</v>
      </c>
      <c r="C366" t="s">
        <v>10928</v>
      </c>
      <c r="D366" t="e">
        <v>#N/A</v>
      </c>
      <c r="E366" s="9">
        <v>6111</v>
      </c>
      <c r="F366" s="9">
        <v>9204</v>
      </c>
      <c r="G366" s="9" t="s">
        <v>30</v>
      </c>
    </row>
    <row r="367" spans="1:7" x14ac:dyDescent="0.2">
      <c r="A367" t="s">
        <v>336</v>
      </c>
      <c r="B367" t="s">
        <v>379</v>
      </c>
      <c r="C367" t="s">
        <v>9845</v>
      </c>
      <c r="D367" t="s">
        <v>9715</v>
      </c>
      <c r="E367" s="9">
        <v>2494</v>
      </c>
      <c r="F367" s="9">
        <v>10266</v>
      </c>
      <c r="G367" s="9" t="s">
        <v>30</v>
      </c>
    </row>
    <row r="368" spans="1:7" x14ac:dyDescent="0.2">
      <c r="A368" t="s">
        <v>336</v>
      </c>
      <c r="B368" t="s">
        <v>380</v>
      </c>
      <c r="C368" t="s">
        <v>10929</v>
      </c>
      <c r="D368" t="e">
        <v>#N/A</v>
      </c>
      <c r="E368" s="9">
        <v>171929</v>
      </c>
      <c r="F368" s="9">
        <v>21543</v>
      </c>
      <c r="G368" s="9" t="s">
        <v>30</v>
      </c>
    </row>
    <row r="369" spans="1:7" x14ac:dyDescent="0.2">
      <c r="A369" t="s">
        <v>336</v>
      </c>
      <c r="B369" t="s">
        <v>381</v>
      </c>
      <c r="C369" t="s">
        <v>10930</v>
      </c>
      <c r="D369" t="e">
        <v>#N/A</v>
      </c>
      <c r="E369" s="9">
        <v>810</v>
      </c>
      <c r="F369" s="9">
        <v>9568</v>
      </c>
      <c r="G369" s="9" t="s">
        <v>30</v>
      </c>
    </row>
    <row r="370" spans="1:7" x14ac:dyDescent="0.2">
      <c r="A370" t="s">
        <v>336</v>
      </c>
      <c r="B370" t="s">
        <v>382</v>
      </c>
      <c r="C370" t="s">
        <v>10931</v>
      </c>
      <c r="D370" t="e">
        <v>#N/A</v>
      </c>
      <c r="E370" s="9">
        <v>3126</v>
      </c>
      <c r="F370" s="9">
        <v>9991</v>
      </c>
      <c r="G370" s="9" t="s">
        <v>30</v>
      </c>
    </row>
    <row r="371" spans="1:7" x14ac:dyDescent="0.2">
      <c r="A371" t="s">
        <v>336</v>
      </c>
      <c r="B371" t="s">
        <v>383</v>
      </c>
      <c r="C371" t="s">
        <v>10932</v>
      </c>
      <c r="D371" t="e">
        <v>#N/A</v>
      </c>
      <c r="E371" s="9">
        <v>1704</v>
      </c>
      <c r="F371" s="9">
        <v>8238</v>
      </c>
      <c r="G371" s="9" t="s">
        <v>30</v>
      </c>
    </row>
    <row r="372" spans="1:7" x14ac:dyDescent="0.2">
      <c r="A372" t="s">
        <v>336</v>
      </c>
      <c r="B372" t="s">
        <v>384</v>
      </c>
      <c r="C372" t="s">
        <v>10933</v>
      </c>
      <c r="D372" t="e">
        <v>#N/A</v>
      </c>
      <c r="E372" s="9">
        <v>2203</v>
      </c>
      <c r="F372" s="9">
        <v>9747</v>
      </c>
      <c r="G372" s="9" t="s">
        <v>30</v>
      </c>
    </row>
    <row r="373" spans="1:7" x14ac:dyDescent="0.2">
      <c r="A373" t="s">
        <v>336</v>
      </c>
      <c r="B373" t="s">
        <v>385</v>
      </c>
      <c r="C373" t="s">
        <v>10934</v>
      </c>
      <c r="D373" t="e">
        <v>#N/A</v>
      </c>
      <c r="E373" s="9">
        <v>46</v>
      </c>
      <c r="F373" s="9">
        <v>8316</v>
      </c>
      <c r="G373" s="9" t="s">
        <v>30</v>
      </c>
    </row>
    <row r="374" spans="1:7" x14ac:dyDescent="0.2">
      <c r="A374" t="s">
        <v>336</v>
      </c>
      <c r="B374" t="s">
        <v>386</v>
      </c>
      <c r="C374" t="s">
        <v>10935</v>
      </c>
      <c r="D374" t="e">
        <v>#N/A</v>
      </c>
      <c r="E374" s="9">
        <v>3145</v>
      </c>
      <c r="F374" s="9">
        <v>10306</v>
      </c>
      <c r="G374" s="9" t="s">
        <v>30</v>
      </c>
    </row>
    <row r="375" spans="1:7" x14ac:dyDescent="0.2">
      <c r="A375" t="s">
        <v>336</v>
      </c>
      <c r="B375" t="s">
        <v>387</v>
      </c>
      <c r="C375" t="s">
        <v>10936</v>
      </c>
      <c r="D375" t="e">
        <v>#N/A</v>
      </c>
      <c r="E375" s="9">
        <v>1473</v>
      </c>
      <c r="F375" s="9">
        <v>12689</v>
      </c>
      <c r="G375" s="9" t="s">
        <v>30</v>
      </c>
    </row>
    <row r="376" spans="1:7" x14ac:dyDescent="0.2">
      <c r="A376" t="s">
        <v>336</v>
      </c>
      <c r="B376" t="s">
        <v>388</v>
      </c>
      <c r="C376" t="s">
        <v>10937</v>
      </c>
      <c r="D376" t="e">
        <v>#N/A</v>
      </c>
      <c r="E376" s="9" t="s">
        <v>30</v>
      </c>
      <c r="F376" s="9" t="s">
        <v>30</v>
      </c>
      <c r="G376" s="9" t="s">
        <v>30</v>
      </c>
    </row>
    <row r="377" spans="1:7" x14ac:dyDescent="0.2">
      <c r="A377" t="s">
        <v>336</v>
      </c>
      <c r="B377" t="s">
        <v>389</v>
      </c>
      <c r="C377" t="s">
        <v>10938</v>
      </c>
      <c r="D377" t="e">
        <v>#N/A</v>
      </c>
      <c r="E377" s="9">
        <v>1702</v>
      </c>
      <c r="F377" s="9">
        <v>9562</v>
      </c>
      <c r="G377" s="9" t="s">
        <v>30</v>
      </c>
    </row>
    <row r="378" spans="1:7" x14ac:dyDescent="0.2">
      <c r="A378" t="s">
        <v>336</v>
      </c>
      <c r="B378" t="s">
        <v>390</v>
      </c>
      <c r="C378" t="s">
        <v>10939</v>
      </c>
      <c r="D378" t="e">
        <v>#N/A</v>
      </c>
      <c r="E378" s="9">
        <v>3417</v>
      </c>
      <c r="F378" s="9">
        <v>10721</v>
      </c>
      <c r="G378" s="9" t="s">
        <v>30</v>
      </c>
    </row>
    <row r="379" spans="1:7" x14ac:dyDescent="0.2">
      <c r="A379" t="s">
        <v>336</v>
      </c>
      <c r="B379" t="s">
        <v>391</v>
      </c>
      <c r="C379" t="s">
        <v>10940</v>
      </c>
      <c r="D379" t="e">
        <v>#N/A</v>
      </c>
      <c r="E379" s="9">
        <v>1792</v>
      </c>
      <c r="F379" s="9">
        <v>11233</v>
      </c>
      <c r="G379" s="9" t="s">
        <v>30</v>
      </c>
    </row>
    <row r="380" spans="1:7" x14ac:dyDescent="0.2">
      <c r="A380" t="s">
        <v>336</v>
      </c>
      <c r="B380" t="s">
        <v>392</v>
      </c>
      <c r="C380" t="s">
        <v>9846</v>
      </c>
      <c r="D380" t="s">
        <v>9715</v>
      </c>
      <c r="E380" s="9">
        <v>2286</v>
      </c>
      <c r="F380" s="9">
        <v>12468</v>
      </c>
      <c r="G380" s="9" t="s">
        <v>30</v>
      </c>
    </row>
    <row r="381" spans="1:7" x14ac:dyDescent="0.2">
      <c r="A381" t="s">
        <v>336</v>
      </c>
      <c r="B381" t="s">
        <v>393</v>
      </c>
      <c r="C381" t="s">
        <v>9847</v>
      </c>
      <c r="D381" t="s">
        <v>9715</v>
      </c>
      <c r="E381" s="9">
        <v>2559</v>
      </c>
      <c r="F381" s="9">
        <v>13819</v>
      </c>
      <c r="G381" s="9" t="s">
        <v>30</v>
      </c>
    </row>
    <row r="382" spans="1:7" x14ac:dyDescent="0.2">
      <c r="A382" t="s">
        <v>394</v>
      </c>
      <c r="B382" t="s">
        <v>395</v>
      </c>
      <c r="C382" t="s">
        <v>10941</v>
      </c>
      <c r="D382" t="e">
        <v>#N/A</v>
      </c>
      <c r="E382" s="9">
        <v>2892</v>
      </c>
      <c r="F382" s="9">
        <v>12083</v>
      </c>
      <c r="G382" s="9" t="s">
        <v>30</v>
      </c>
    </row>
    <row r="383" spans="1:7" x14ac:dyDescent="0.2">
      <c r="A383" t="s">
        <v>394</v>
      </c>
      <c r="B383" t="s">
        <v>396</v>
      </c>
      <c r="C383" t="s">
        <v>9854</v>
      </c>
      <c r="D383" t="s">
        <v>9715</v>
      </c>
      <c r="E383" s="9">
        <v>1470</v>
      </c>
      <c r="F383" s="9">
        <v>6749</v>
      </c>
      <c r="G383" s="9" t="s">
        <v>30</v>
      </c>
    </row>
    <row r="384" spans="1:7" x14ac:dyDescent="0.2">
      <c r="A384" t="s">
        <v>394</v>
      </c>
      <c r="B384" t="s">
        <v>397</v>
      </c>
      <c r="C384" t="s">
        <v>10942</v>
      </c>
      <c r="D384" t="e">
        <v>#N/A</v>
      </c>
      <c r="E384" s="9">
        <v>777</v>
      </c>
      <c r="F384" s="9">
        <v>15114</v>
      </c>
      <c r="G384" s="9" t="s">
        <v>30</v>
      </c>
    </row>
    <row r="385" spans="1:7" x14ac:dyDescent="0.2">
      <c r="A385" t="s">
        <v>394</v>
      </c>
      <c r="B385" t="s">
        <v>398</v>
      </c>
      <c r="C385" t="s">
        <v>10943</v>
      </c>
      <c r="D385" t="e">
        <v>#N/A</v>
      </c>
      <c r="E385" s="9">
        <v>2363</v>
      </c>
      <c r="F385" s="9">
        <v>11909</v>
      </c>
      <c r="G385" s="9" t="s">
        <v>30</v>
      </c>
    </row>
    <row r="386" spans="1:7" x14ac:dyDescent="0.2">
      <c r="A386" t="s">
        <v>394</v>
      </c>
      <c r="B386" t="s">
        <v>399</v>
      </c>
      <c r="C386" t="s">
        <v>10944</v>
      </c>
      <c r="D386" t="e">
        <v>#N/A</v>
      </c>
      <c r="E386" s="9">
        <v>1658</v>
      </c>
      <c r="F386" s="9">
        <v>11352</v>
      </c>
      <c r="G386" s="9" t="s">
        <v>30</v>
      </c>
    </row>
    <row r="387" spans="1:7" x14ac:dyDescent="0.2">
      <c r="A387" t="s">
        <v>394</v>
      </c>
      <c r="B387" t="s">
        <v>400</v>
      </c>
      <c r="C387" t="s">
        <v>10945</v>
      </c>
      <c r="D387" t="e">
        <v>#N/A</v>
      </c>
      <c r="E387" s="9">
        <v>1256</v>
      </c>
      <c r="F387" s="9">
        <v>10995</v>
      </c>
      <c r="G387" s="9" t="s">
        <v>30</v>
      </c>
    </row>
    <row r="388" spans="1:7" x14ac:dyDescent="0.2">
      <c r="A388" t="s">
        <v>394</v>
      </c>
      <c r="B388" t="s">
        <v>401</v>
      </c>
      <c r="C388" t="s">
        <v>10946</v>
      </c>
      <c r="D388" t="e">
        <v>#N/A</v>
      </c>
      <c r="E388" s="9">
        <v>1259</v>
      </c>
      <c r="F388" s="9">
        <v>9556</v>
      </c>
      <c r="G388" s="9" t="s">
        <v>30</v>
      </c>
    </row>
    <row r="389" spans="1:7" x14ac:dyDescent="0.2">
      <c r="A389" t="s">
        <v>394</v>
      </c>
      <c r="B389" t="s">
        <v>402</v>
      </c>
      <c r="C389" t="s">
        <v>10947</v>
      </c>
      <c r="D389" t="e">
        <v>#N/A</v>
      </c>
      <c r="E389" s="9">
        <v>17606</v>
      </c>
      <c r="F389" s="9">
        <v>55423</v>
      </c>
      <c r="G389" s="9" t="s">
        <v>30</v>
      </c>
    </row>
    <row r="390" spans="1:7" x14ac:dyDescent="0.2">
      <c r="A390" t="s">
        <v>394</v>
      </c>
      <c r="B390" t="s">
        <v>403</v>
      </c>
      <c r="C390" t="s">
        <v>10948</v>
      </c>
      <c r="D390" t="e">
        <v>#N/A</v>
      </c>
      <c r="E390" s="9">
        <v>887</v>
      </c>
      <c r="F390" s="9">
        <v>9720</v>
      </c>
      <c r="G390" s="9" t="s">
        <v>30</v>
      </c>
    </row>
    <row r="391" spans="1:7" x14ac:dyDescent="0.2">
      <c r="A391" t="s">
        <v>394</v>
      </c>
      <c r="B391" t="s">
        <v>404</v>
      </c>
      <c r="C391" t="s">
        <v>9855</v>
      </c>
      <c r="D391" t="s">
        <v>9715</v>
      </c>
      <c r="E391" s="9">
        <v>1281</v>
      </c>
      <c r="F391" s="9">
        <v>12415</v>
      </c>
      <c r="G391" s="9" t="s">
        <v>30</v>
      </c>
    </row>
    <row r="392" spans="1:7" x14ac:dyDescent="0.2">
      <c r="A392" t="s">
        <v>394</v>
      </c>
      <c r="B392" t="s">
        <v>405</v>
      </c>
      <c r="C392" t="s">
        <v>10949</v>
      </c>
      <c r="D392" t="e">
        <v>#N/A</v>
      </c>
      <c r="E392" s="9">
        <v>1336</v>
      </c>
      <c r="F392" s="9">
        <v>12709</v>
      </c>
      <c r="G392" s="9" t="s">
        <v>30</v>
      </c>
    </row>
    <row r="393" spans="1:7" x14ac:dyDescent="0.2">
      <c r="A393" t="s">
        <v>394</v>
      </c>
      <c r="B393" t="s">
        <v>406</v>
      </c>
      <c r="C393" t="s">
        <v>10950</v>
      </c>
      <c r="D393" t="e">
        <v>#N/A</v>
      </c>
      <c r="E393" s="9">
        <v>3415</v>
      </c>
      <c r="F393" s="9">
        <v>14034</v>
      </c>
      <c r="G393" s="9" t="s">
        <v>30</v>
      </c>
    </row>
    <row r="394" spans="1:7" x14ac:dyDescent="0.2">
      <c r="A394" t="s">
        <v>394</v>
      </c>
      <c r="B394" t="s">
        <v>407</v>
      </c>
      <c r="C394" t="s">
        <v>9856</v>
      </c>
      <c r="D394" t="s">
        <v>9715</v>
      </c>
      <c r="E394" s="9">
        <v>827</v>
      </c>
      <c r="F394" s="9">
        <v>13408</v>
      </c>
      <c r="G394" s="9" t="s">
        <v>30</v>
      </c>
    </row>
    <row r="395" spans="1:7" x14ac:dyDescent="0.2">
      <c r="A395" t="s">
        <v>394</v>
      </c>
      <c r="B395" t="s">
        <v>408</v>
      </c>
      <c r="C395" t="s">
        <v>9857</v>
      </c>
      <c r="D395" t="s">
        <v>9715</v>
      </c>
      <c r="E395" s="9">
        <v>632</v>
      </c>
      <c r="F395" s="9">
        <v>8971</v>
      </c>
      <c r="G395" s="9" t="s">
        <v>30</v>
      </c>
    </row>
    <row r="396" spans="1:7" x14ac:dyDescent="0.2">
      <c r="A396" t="s">
        <v>394</v>
      </c>
      <c r="B396" t="s">
        <v>409</v>
      </c>
      <c r="C396" t="s">
        <v>10951</v>
      </c>
      <c r="D396" t="e">
        <v>#N/A</v>
      </c>
      <c r="E396" s="9">
        <v>2719</v>
      </c>
      <c r="F396" s="9">
        <v>17264</v>
      </c>
      <c r="G396" s="9" t="s">
        <v>30</v>
      </c>
    </row>
    <row r="397" spans="1:7" x14ac:dyDescent="0.2">
      <c r="A397" t="s">
        <v>394</v>
      </c>
      <c r="B397" t="s">
        <v>410</v>
      </c>
      <c r="C397" t="s">
        <v>10952</v>
      </c>
      <c r="D397" t="e">
        <v>#N/A</v>
      </c>
      <c r="E397" s="9">
        <v>3071</v>
      </c>
      <c r="F397" s="9">
        <v>20818</v>
      </c>
      <c r="G397" s="9" t="s">
        <v>30</v>
      </c>
    </row>
    <row r="398" spans="1:7" x14ac:dyDescent="0.2">
      <c r="A398" t="s">
        <v>394</v>
      </c>
      <c r="B398" t="s">
        <v>113</v>
      </c>
      <c r="C398" t="s">
        <v>10953</v>
      </c>
      <c r="D398" t="e">
        <v>#N/A</v>
      </c>
      <c r="E398" s="9">
        <v>794</v>
      </c>
      <c r="F398" s="9">
        <v>9846</v>
      </c>
      <c r="G398" s="9" t="s">
        <v>30</v>
      </c>
    </row>
    <row r="399" spans="1:7" x14ac:dyDescent="0.2">
      <c r="A399" t="s">
        <v>394</v>
      </c>
      <c r="B399" t="s">
        <v>411</v>
      </c>
      <c r="C399" t="s">
        <v>10954</v>
      </c>
      <c r="D399" t="e">
        <v>#N/A</v>
      </c>
      <c r="E399" s="9">
        <v>1920</v>
      </c>
      <c r="F399" s="9">
        <v>10776</v>
      </c>
      <c r="G399" s="9" t="s">
        <v>30</v>
      </c>
    </row>
    <row r="400" spans="1:7" x14ac:dyDescent="0.2">
      <c r="A400" t="s">
        <v>412</v>
      </c>
      <c r="B400" t="s">
        <v>413</v>
      </c>
      <c r="C400" t="s">
        <v>9858</v>
      </c>
      <c r="D400" t="s">
        <v>9715</v>
      </c>
      <c r="E400" s="9">
        <v>645</v>
      </c>
      <c r="F400" s="9">
        <v>8529</v>
      </c>
      <c r="G400" s="9" t="s">
        <v>30</v>
      </c>
    </row>
    <row r="401" spans="1:7" x14ac:dyDescent="0.2">
      <c r="A401" t="s">
        <v>412</v>
      </c>
      <c r="B401" t="s">
        <v>414</v>
      </c>
      <c r="C401" t="s">
        <v>10955</v>
      </c>
      <c r="D401" t="e">
        <v>#N/A</v>
      </c>
      <c r="E401" s="9">
        <v>1785</v>
      </c>
      <c r="F401" s="9">
        <v>11007</v>
      </c>
      <c r="G401" s="9" t="s">
        <v>30</v>
      </c>
    </row>
    <row r="402" spans="1:7" x14ac:dyDescent="0.2">
      <c r="A402" t="s">
        <v>412</v>
      </c>
      <c r="B402" t="s">
        <v>415</v>
      </c>
      <c r="C402" t="s">
        <v>10956</v>
      </c>
      <c r="D402" t="e">
        <v>#N/A</v>
      </c>
      <c r="E402" s="9">
        <v>945</v>
      </c>
      <c r="F402" s="9">
        <v>7247</v>
      </c>
      <c r="G402" s="9" t="s">
        <v>30</v>
      </c>
    </row>
    <row r="403" spans="1:7" x14ac:dyDescent="0.2">
      <c r="A403" t="s">
        <v>412</v>
      </c>
      <c r="B403" t="s">
        <v>416</v>
      </c>
      <c r="C403" t="s">
        <v>9859</v>
      </c>
      <c r="D403" t="s">
        <v>9715</v>
      </c>
      <c r="E403" s="9">
        <v>1295</v>
      </c>
      <c r="F403" s="9">
        <v>7411</v>
      </c>
      <c r="G403" s="9" t="s">
        <v>30</v>
      </c>
    </row>
    <row r="404" spans="1:7" x14ac:dyDescent="0.2">
      <c r="A404" t="s">
        <v>412</v>
      </c>
      <c r="B404" t="s">
        <v>417</v>
      </c>
      <c r="C404" t="s">
        <v>10957</v>
      </c>
      <c r="D404" t="e">
        <v>#N/A</v>
      </c>
      <c r="E404" s="9">
        <v>1688</v>
      </c>
      <c r="F404" s="9">
        <v>54313</v>
      </c>
      <c r="G404" s="9" t="s">
        <v>30</v>
      </c>
    </row>
    <row r="405" spans="1:7" x14ac:dyDescent="0.2">
      <c r="A405" t="s">
        <v>412</v>
      </c>
      <c r="B405" t="s">
        <v>418</v>
      </c>
      <c r="C405" t="s">
        <v>10958</v>
      </c>
      <c r="D405" t="e">
        <v>#N/A</v>
      </c>
      <c r="E405" s="9">
        <v>2774</v>
      </c>
      <c r="F405" s="9">
        <v>10445</v>
      </c>
      <c r="G405" s="9" t="s">
        <v>30</v>
      </c>
    </row>
    <row r="406" spans="1:7" x14ac:dyDescent="0.2">
      <c r="A406" t="s">
        <v>412</v>
      </c>
      <c r="B406" t="s">
        <v>419</v>
      </c>
      <c r="C406" t="s">
        <v>10959</v>
      </c>
      <c r="D406" t="e">
        <v>#N/A</v>
      </c>
      <c r="E406" s="9">
        <v>2674</v>
      </c>
      <c r="F406" s="9">
        <v>10262</v>
      </c>
      <c r="G406" s="9" t="s">
        <v>30</v>
      </c>
    </row>
    <row r="407" spans="1:7" x14ac:dyDescent="0.2">
      <c r="A407" t="s">
        <v>412</v>
      </c>
      <c r="B407" t="s">
        <v>420</v>
      </c>
      <c r="C407" t="s">
        <v>10960</v>
      </c>
      <c r="D407" t="e">
        <v>#N/A</v>
      </c>
      <c r="E407" s="9">
        <v>599027</v>
      </c>
      <c r="F407" s="9">
        <v>132050</v>
      </c>
      <c r="G407" s="9" t="s">
        <v>30</v>
      </c>
    </row>
    <row r="408" spans="1:7" x14ac:dyDescent="0.2">
      <c r="A408" t="s">
        <v>412</v>
      </c>
      <c r="B408" t="s">
        <v>421</v>
      </c>
      <c r="C408" t="s">
        <v>10961</v>
      </c>
      <c r="D408" t="e">
        <v>#N/A</v>
      </c>
      <c r="E408" s="9">
        <v>1929</v>
      </c>
      <c r="F408" s="9">
        <v>13115</v>
      </c>
      <c r="G408" s="9" t="s">
        <v>30</v>
      </c>
    </row>
    <row r="409" spans="1:7" x14ac:dyDescent="0.2">
      <c r="A409" t="s">
        <v>422</v>
      </c>
      <c r="B409" t="s">
        <v>423</v>
      </c>
      <c r="C409" t="s">
        <v>10962</v>
      </c>
      <c r="D409" t="e">
        <v>#N/A</v>
      </c>
      <c r="E409" s="9">
        <v>1473</v>
      </c>
      <c r="F409" s="9">
        <v>17643</v>
      </c>
      <c r="G409" s="9" t="s">
        <v>30</v>
      </c>
    </row>
    <row r="410" spans="1:7" x14ac:dyDescent="0.2">
      <c r="A410" t="s">
        <v>422</v>
      </c>
      <c r="B410" t="s">
        <v>424</v>
      </c>
      <c r="C410" t="s">
        <v>10963</v>
      </c>
      <c r="D410" t="e">
        <v>#N/A</v>
      </c>
      <c r="E410" s="9">
        <v>2191</v>
      </c>
      <c r="F410" s="9">
        <v>12649</v>
      </c>
      <c r="G410" s="9" t="s">
        <v>30</v>
      </c>
    </row>
    <row r="411" spans="1:7" x14ac:dyDescent="0.2">
      <c r="A411" t="s">
        <v>422</v>
      </c>
      <c r="B411" t="s">
        <v>425</v>
      </c>
      <c r="C411" t="s">
        <v>10964</v>
      </c>
      <c r="D411" t="e">
        <v>#N/A</v>
      </c>
      <c r="E411" s="9">
        <v>1688</v>
      </c>
      <c r="F411" s="9">
        <v>12378</v>
      </c>
      <c r="G411" s="9" t="s">
        <v>30</v>
      </c>
    </row>
    <row r="412" spans="1:7" x14ac:dyDescent="0.2">
      <c r="A412" t="s">
        <v>422</v>
      </c>
      <c r="B412" t="s">
        <v>426</v>
      </c>
      <c r="C412" t="s">
        <v>10965</v>
      </c>
      <c r="D412" t="e">
        <v>#N/A</v>
      </c>
      <c r="E412" s="9">
        <v>876</v>
      </c>
      <c r="F412" s="9">
        <v>10049</v>
      </c>
      <c r="G412" s="9" t="s">
        <v>30</v>
      </c>
    </row>
    <row r="413" spans="1:7" x14ac:dyDescent="0.2">
      <c r="A413" t="s">
        <v>422</v>
      </c>
      <c r="B413" t="s">
        <v>427</v>
      </c>
      <c r="C413" t="s">
        <v>10966</v>
      </c>
      <c r="D413" t="e">
        <v>#N/A</v>
      </c>
      <c r="E413" s="9">
        <v>33411</v>
      </c>
      <c r="F413" s="9">
        <v>10162</v>
      </c>
      <c r="G413" s="9" t="s">
        <v>30</v>
      </c>
    </row>
    <row r="414" spans="1:7" x14ac:dyDescent="0.2">
      <c r="A414" t="s">
        <v>422</v>
      </c>
      <c r="B414" t="s">
        <v>428</v>
      </c>
      <c r="C414" t="s">
        <v>10967</v>
      </c>
      <c r="D414" t="e">
        <v>#N/A</v>
      </c>
      <c r="E414" s="9">
        <v>1495</v>
      </c>
      <c r="F414" s="9">
        <v>14935</v>
      </c>
      <c r="G414" s="9" t="s">
        <v>30</v>
      </c>
    </row>
    <row r="415" spans="1:7" x14ac:dyDescent="0.2">
      <c r="A415" t="s">
        <v>422</v>
      </c>
      <c r="B415" t="s">
        <v>429</v>
      </c>
      <c r="C415" t="s">
        <v>9860</v>
      </c>
      <c r="D415" t="s">
        <v>9715</v>
      </c>
      <c r="E415" s="9">
        <v>1120</v>
      </c>
      <c r="F415" s="9">
        <v>10243</v>
      </c>
      <c r="G415" s="9" t="s">
        <v>30</v>
      </c>
    </row>
    <row r="416" spans="1:7" x14ac:dyDescent="0.2">
      <c r="A416" t="s">
        <v>422</v>
      </c>
      <c r="B416" t="s">
        <v>430</v>
      </c>
      <c r="C416" t="s">
        <v>10968</v>
      </c>
      <c r="D416" t="e">
        <v>#N/A</v>
      </c>
      <c r="E416" s="9">
        <v>2584</v>
      </c>
      <c r="F416" s="9">
        <v>21782</v>
      </c>
      <c r="G416" s="9" t="s">
        <v>30</v>
      </c>
    </row>
    <row r="417" spans="1:7" x14ac:dyDescent="0.2">
      <c r="A417" t="s">
        <v>422</v>
      </c>
      <c r="B417" t="s">
        <v>431</v>
      </c>
      <c r="C417" t="s">
        <v>10969</v>
      </c>
      <c r="D417" t="e">
        <v>#N/A</v>
      </c>
      <c r="E417" s="9" t="s">
        <v>30</v>
      </c>
      <c r="F417" s="9" t="s">
        <v>30</v>
      </c>
      <c r="G417" s="9" t="s">
        <v>30</v>
      </c>
    </row>
    <row r="418" spans="1:7" x14ac:dyDescent="0.2">
      <c r="A418" t="s">
        <v>422</v>
      </c>
      <c r="B418" t="s">
        <v>432</v>
      </c>
      <c r="C418" t="s">
        <v>10970</v>
      </c>
      <c r="D418" t="e">
        <v>#N/A</v>
      </c>
      <c r="E418" s="9">
        <v>1098</v>
      </c>
      <c r="F418" s="9">
        <v>11966</v>
      </c>
      <c r="G418" s="9" t="s">
        <v>30</v>
      </c>
    </row>
    <row r="419" spans="1:7" x14ac:dyDescent="0.2">
      <c r="A419" t="s">
        <v>422</v>
      </c>
      <c r="B419" t="s">
        <v>433</v>
      </c>
      <c r="C419" t="s">
        <v>10971</v>
      </c>
      <c r="D419" t="e">
        <v>#N/A</v>
      </c>
      <c r="E419" s="9">
        <v>2563</v>
      </c>
      <c r="F419" s="9">
        <v>8172</v>
      </c>
      <c r="G419" s="9" t="s">
        <v>30</v>
      </c>
    </row>
    <row r="420" spans="1:7" x14ac:dyDescent="0.2">
      <c r="A420" t="s">
        <v>422</v>
      </c>
      <c r="B420" t="s">
        <v>434</v>
      </c>
      <c r="C420" t="s">
        <v>9861</v>
      </c>
      <c r="D420" t="s">
        <v>9715</v>
      </c>
      <c r="E420" s="9">
        <v>1039</v>
      </c>
      <c r="F420" s="9">
        <v>9807</v>
      </c>
      <c r="G420" s="9" t="s">
        <v>30</v>
      </c>
    </row>
    <row r="421" spans="1:7" x14ac:dyDescent="0.2">
      <c r="A421" t="s">
        <v>422</v>
      </c>
      <c r="B421" t="s">
        <v>435</v>
      </c>
      <c r="C421" t="s">
        <v>10972</v>
      </c>
      <c r="D421" t="e">
        <v>#N/A</v>
      </c>
      <c r="E421" s="9">
        <v>3150</v>
      </c>
      <c r="F421" s="9">
        <v>21653</v>
      </c>
      <c r="G421" s="9" t="s">
        <v>30</v>
      </c>
    </row>
    <row r="422" spans="1:7" x14ac:dyDescent="0.2">
      <c r="A422" t="s">
        <v>436</v>
      </c>
      <c r="B422" t="s">
        <v>437</v>
      </c>
      <c r="C422" t="s">
        <v>10973</v>
      </c>
      <c r="D422" t="e">
        <v>#N/A</v>
      </c>
      <c r="E422" s="9">
        <v>1311</v>
      </c>
      <c r="F422" s="9">
        <v>14266</v>
      </c>
      <c r="G422" s="9" t="s">
        <v>30</v>
      </c>
    </row>
    <row r="423" spans="1:7" x14ac:dyDescent="0.2">
      <c r="A423" t="s">
        <v>436</v>
      </c>
      <c r="B423" t="s">
        <v>438</v>
      </c>
      <c r="C423" t="s">
        <v>10159</v>
      </c>
      <c r="D423" t="s">
        <v>9715</v>
      </c>
      <c r="E423" s="9">
        <v>3093</v>
      </c>
      <c r="F423" s="9">
        <v>15118</v>
      </c>
      <c r="G423" s="9" t="s">
        <v>30</v>
      </c>
    </row>
    <row r="424" spans="1:7" x14ac:dyDescent="0.2">
      <c r="A424" t="s">
        <v>436</v>
      </c>
      <c r="B424" t="s">
        <v>439</v>
      </c>
      <c r="C424" t="s">
        <v>9924</v>
      </c>
      <c r="D424" t="s">
        <v>9715</v>
      </c>
      <c r="E424" s="9">
        <v>2967</v>
      </c>
      <c r="F424" s="9">
        <v>12213</v>
      </c>
      <c r="G424" s="9" t="s">
        <v>30</v>
      </c>
    </row>
    <row r="425" spans="1:7" x14ac:dyDescent="0.2">
      <c r="A425" t="s">
        <v>436</v>
      </c>
      <c r="B425" t="s">
        <v>440</v>
      </c>
      <c r="C425" t="s">
        <v>9925</v>
      </c>
      <c r="D425" t="s">
        <v>9715</v>
      </c>
      <c r="E425" s="9">
        <v>2715</v>
      </c>
      <c r="F425" s="9">
        <v>18902</v>
      </c>
      <c r="G425" s="9" t="s">
        <v>30</v>
      </c>
    </row>
    <row r="426" spans="1:7" x14ac:dyDescent="0.2">
      <c r="A426" t="s">
        <v>436</v>
      </c>
      <c r="B426" t="s">
        <v>441</v>
      </c>
      <c r="C426" t="s">
        <v>9926</v>
      </c>
      <c r="D426" t="s">
        <v>9715</v>
      </c>
      <c r="E426" s="9">
        <v>2935</v>
      </c>
      <c r="F426" s="9">
        <v>14890</v>
      </c>
      <c r="G426" s="9" t="s">
        <v>30</v>
      </c>
    </row>
    <row r="427" spans="1:7" x14ac:dyDescent="0.2">
      <c r="A427" t="s">
        <v>436</v>
      </c>
      <c r="B427" t="s">
        <v>442</v>
      </c>
      <c r="C427" t="s">
        <v>9927</v>
      </c>
      <c r="D427" t="s">
        <v>9715</v>
      </c>
      <c r="E427" s="9">
        <v>2958</v>
      </c>
      <c r="F427" s="9">
        <v>12264</v>
      </c>
      <c r="G427" s="9" t="s">
        <v>30</v>
      </c>
    </row>
    <row r="428" spans="1:7" x14ac:dyDescent="0.2">
      <c r="A428" t="s">
        <v>436</v>
      </c>
      <c r="B428" t="s">
        <v>443</v>
      </c>
      <c r="C428" t="s">
        <v>10974</v>
      </c>
      <c r="D428" t="e">
        <v>#N/A</v>
      </c>
      <c r="E428" s="9">
        <v>1389</v>
      </c>
      <c r="F428" s="9">
        <v>16189</v>
      </c>
      <c r="G428" s="9" t="s">
        <v>30</v>
      </c>
    </row>
    <row r="429" spans="1:7" x14ac:dyDescent="0.2">
      <c r="A429" t="s">
        <v>436</v>
      </c>
      <c r="B429" t="s">
        <v>444</v>
      </c>
      <c r="C429" t="s">
        <v>9928</v>
      </c>
      <c r="D429" t="s">
        <v>9715</v>
      </c>
      <c r="E429" s="9">
        <v>2341</v>
      </c>
      <c r="F429" s="9">
        <v>10147</v>
      </c>
      <c r="G429" s="9" t="s">
        <v>30</v>
      </c>
    </row>
    <row r="430" spans="1:7" x14ac:dyDescent="0.2">
      <c r="A430" t="s">
        <v>436</v>
      </c>
      <c r="B430" t="s">
        <v>445</v>
      </c>
      <c r="C430" t="s">
        <v>10975</v>
      </c>
      <c r="D430" t="e">
        <v>#N/A</v>
      </c>
      <c r="E430" s="9">
        <v>1242</v>
      </c>
      <c r="F430" s="9">
        <v>11719</v>
      </c>
      <c r="G430" s="9" t="s">
        <v>30</v>
      </c>
    </row>
    <row r="431" spans="1:7" x14ac:dyDescent="0.2">
      <c r="A431" t="s">
        <v>436</v>
      </c>
      <c r="B431" t="s">
        <v>446</v>
      </c>
      <c r="C431" t="s">
        <v>10702</v>
      </c>
      <c r="D431" t="s">
        <v>9715</v>
      </c>
      <c r="E431" s="9">
        <v>3522</v>
      </c>
      <c r="F431" s="9">
        <v>12090</v>
      </c>
      <c r="G431" s="9" t="s">
        <v>30</v>
      </c>
    </row>
    <row r="432" spans="1:7" x14ac:dyDescent="0.2">
      <c r="A432" t="s">
        <v>436</v>
      </c>
      <c r="B432" t="s">
        <v>447</v>
      </c>
      <c r="C432" t="s">
        <v>9929</v>
      </c>
      <c r="D432" t="s">
        <v>9715</v>
      </c>
      <c r="E432" s="9">
        <v>3420</v>
      </c>
      <c r="F432" s="9">
        <v>11540</v>
      </c>
      <c r="G432" s="9" t="s">
        <v>30</v>
      </c>
    </row>
    <row r="433" spans="1:7" x14ac:dyDescent="0.2">
      <c r="A433" t="s">
        <v>436</v>
      </c>
      <c r="B433" t="s">
        <v>448</v>
      </c>
      <c r="C433" t="s">
        <v>9930</v>
      </c>
      <c r="D433" t="s">
        <v>9715</v>
      </c>
      <c r="E433" s="9">
        <v>2361</v>
      </c>
      <c r="F433" s="9">
        <v>10517</v>
      </c>
      <c r="G433" s="9" t="s">
        <v>30</v>
      </c>
    </row>
    <row r="434" spans="1:7" x14ac:dyDescent="0.2">
      <c r="A434" t="s">
        <v>436</v>
      </c>
      <c r="B434" t="s">
        <v>449</v>
      </c>
      <c r="C434" t="s">
        <v>9931</v>
      </c>
      <c r="D434" t="s">
        <v>9715</v>
      </c>
      <c r="E434" s="9">
        <v>2580</v>
      </c>
      <c r="F434" s="9">
        <v>10707</v>
      </c>
      <c r="G434" s="9" t="s">
        <v>30</v>
      </c>
    </row>
    <row r="435" spans="1:7" x14ac:dyDescent="0.2">
      <c r="A435" t="s">
        <v>436</v>
      </c>
      <c r="B435" t="s">
        <v>450</v>
      </c>
      <c r="C435" t="s">
        <v>10705</v>
      </c>
      <c r="D435" t="s">
        <v>9715</v>
      </c>
      <c r="E435" s="9">
        <v>4447</v>
      </c>
      <c r="F435" s="9">
        <v>14411</v>
      </c>
      <c r="G435" s="9" t="s">
        <v>30</v>
      </c>
    </row>
    <row r="436" spans="1:7" x14ac:dyDescent="0.2">
      <c r="A436" t="s">
        <v>436</v>
      </c>
      <c r="B436" t="s">
        <v>451</v>
      </c>
      <c r="C436" t="s">
        <v>9932</v>
      </c>
      <c r="D436" t="s">
        <v>9715</v>
      </c>
      <c r="E436" s="9">
        <v>3759</v>
      </c>
      <c r="F436" s="9">
        <v>11036</v>
      </c>
      <c r="G436" s="9" t="s">
        <v>30</v>
      </c>
    </row>
    <row r="437" spans="1:7" x14ac:dyDescent="0.2">
      <c r="A437" t="s">
        <v>436</v>
      </c>
      <c r="B437" t="s">
        <v>452</v>
      </c>
      <c r="C437" t="s">
        <v>9933</v>
      </c>
      <c r="D437" t="s">
        <v>9715</v>
      </c>
      <c r="E437" s="9">
        <v>3206</v>
      </c>
      <c r="F437" s="9">
        <v>13044</v>
      </c>
      <c r="G437" s="9" t="s">
        <v>30</v>
      </c>
    </row>
    <row r="438" spans="1:7" x14ac:dyDescent="0.2">
      <c r="A438" t="s">
        <v>436</v>
      </c>
      <c r="B438" t="s">
        <v>453</v>
      </c>
      <c r="C438" t="s">
        <v>9934</v>
      </c>
      <c r="D438" t="s">
        <v>9715</v>
      </c>
      <c r="E438" s="9">
        <v>1907</v>
      </c>
      <c r="F438" s="9">
        <v>11583</v>
      </c>
      <c r="G438" s="9" t="s">
        <v>30</v>
      </c>
    </row>
    <row r="439" spans="1:7" x14ac:dyDescent="0.2">
      <c r="A439" t="s">
        <v>436</v>
      </c>
      <c r="B439" t="s">
        <v>454</v>
      </c>
      <c r="C439" t="s">
        <v>9935</v>
      </c>
      <c r="D439" t="s">
        <v>9715</v>
      </c>
      <c r="E439" s="9">
        <v>2805</v>
      </c>
      <c r="F439" s="9">
        <v>11566</v>
      </c>
      <c r="G439" s="9" t="s">
        <v>30</v>
      </c>
    </row>
    <row r="440" spans="1:7" x14ac:dyDescent="0.2">
      <c r="A440" t="s">
        <v>436</v>
      </c>
      <c r="B440" t="s">
        <v>455</v>
      </c>
      <c r="C440" t="s">
        <v>9936</v>
      </c>
      <c r="D440" t="s">
        <v>9715</v>
      </c>
      <c r="E440" s="9">
        <v>2527</v>
      </c>
      <c r="F440" s="9">
        <v>11024</v>
      </c>
      <c r="G440" s="9" t="s">
        <v>30</v>
      </c>
    </row>
    <row r="441" spans="1:7" x14ac:dyDescent="0.2">
      <c r="A441" t="s">
        <v>436</v>
      </c>
      <c r="B441" t="s">
        <v>456</v>
      </c>
      <c r="C441" t="s">
        <v>9937</v>
      </c>
      <c r="D441" t="s">
        <v>9715</v>
      </c>
      <c r="E441" s="9">
        <v>2446</v>
      </c>
      <c r="F441" s="9">
        <v>11056</v>
      </c>
      <c r="G441" s="9" t="s">
        <v>30</v>
      </c>
    </row>
    <row r="442" spans="1:7" x14ac:dyDescent="0.2">
      <c r="A442" t="s">
        <v>436</v>
      </c>
      <c r="B442" t="s">
        <v>457</v>
      </c>
      <c r="C442" t="s">
        <v>9938</v>
      </c>
      <c r="D442" t="s">
        <v>9715</v>
      </c>
      <c r="E442" s="9">
        <v>2662</v>
      </c>
      <c r="F442" s="9">
        <v>11053</v>
      </c>
      <c r="G442" s="9" t="s">
        <v>30</v>
      </c>
    </row>
    <row r="443" spans="1:7" x14ac:dyDescent="0.2">
      <c r="A443" t="s">
        <v>436</v>
      </c>
      <c r="B443" t="s">
        <v>458</v>
      </c>
      <c r="C443" t="s">
        <v>9939</v>
      </c>
      <c r="D443" t="s">
        <v>9715</v>
      </c>
      <c r="E443" s="9">
        <v>3534</v>
      </c>
      <c r="F443" s="9">
        <v>14882</v>
      </c>
      <c r="G443" s="9" t="s">
        <v>30</v>
      </c>
    </row>
    <row r="444" spans="1:7" x14ac:dyDescent="0.2">
      <c r="A444" t="s">
        <v>436</v>
      </c>
      <c r="B444" t="s">
        <v>459</v>
      </c>
      <c r="C444" t="s">
        <v>9940</v>
      </c>
      <c r="D444" t="s">
        <v>9715</v>
      </c>
      <c r="E444" s="9">
        <v>2679</v>
      </c>
      <c r="F444" s="9">
        <v>12368</v>
      </c>
      <c r="G444" s="9" t="s">
        <v>30</v>
      </c>
    </row>
    <row r="445" spans="1:7" x14ac:dyDescent="0.2">
      <c r="A445" t="s">
        <v>436</v>
      </c>
      <c r="B445" t="s">
        <v>460</v>
      </c>
      <c r="C445" t="s">
        <v>9941</v>
      </c>
      <c r="D445" t="s">
        <v>9715</v>
      </c>
      <c r="E445" s="9">
        <v>2986</v>
      </c>
      <c r="F445" s="9">
        <v>11260</v>
      </c>
      <c r="G445" s="9" t="s">
        <v>30</v>
      </c>
    </row>
    <row r="446" spans="1:7" x14ac:dyDescent="0.2">
      <c r="A446" t="s">
        <v>436</v>
      </c>
      <c r="B446" t="s">
        <v>461</v>
      </c>
      <c r="C446" t="s">
        <v>9942</v>
      </c>
      <c r="D446" t="s">
        <v>9715</v>
      </c>
      <c r="E446" s="9">
        <v>2261</v>
      </c>
      <c r="F446" s="9">
        <v>11264</v>
      </c>
      <c r="G446" s="9" t="s">
        <v>30</v>
      </c>
    </row>
    <row r="447" spans="1:7" x14ac:dyDescent="0.2">
      <c r="A447" t="s">
        <v>436</v>
      </c>
      <c r="B447" t="s">
        <v>462</v>
      </c>
      <c r="C447" t="s">
        <v>9943</v>
      </c>
      <c r="D447" t="s">
        <v>9715</v>
      </c>
      <c r="E447" s="9">
        <v>3434</v>
      </c>
      <c r="F447" s="9">
        <v>11431</v>
      </c>
      <c r="G447" s="9" t="s">
        <v>30</v>
      </c>
    </row>
    <row r="448" spans="1:7" x14ac:dyDescent="0.2">
      <c r="A448" t="s">
        <v>436</v>
      </c>
      <c r="B448" t="s">
        <v>463</v>
      </c>
      <c r="C448" t="s">
        <v>9944</v>
      </c>
      <c r="D448" t="s">
        <v>9715</v>
      </c>
      <c r="E448" s="9">
        <v>2568</v>
      </c>
      <c r="F448" s="9">
        <v>11584</v>
      </c>
      <c r="G448" s="9" t="s">
        <v>30</v>
      </c>
    </row>
    <row r="449" spans="1:7" x14ac:dyDescent="0.2">
      <c r="A449" t="s">
        <v>436</v>
      </c>
      <c r="B449" t="s">
        <v>464</v>
      </c>
      <c r="C449" t="s">
        <v>9945</v>
      </c>
      <c r="D449" t="s">
        <v>9715</v>
      </c>
      <c r="E449" s="9">
        <v>3082</v>
      </c>
      <c r="F449" s="9">
        <v>12561</v>
      </c>
      <c r="G449" s="9" t="s">
        <v>30</v>
      </c>
    </row>
    <row r="450" spans="1:7" x14ac:dyDescent="0.2">
      <c r="A450" t="s">
        <v>436</v>
      </c>
      <c r="B450" t="s">
        <v>465</v>
      </c>
      <c r="C450" t="s">
        <v>9946</v>
      </c>
      <c r="D450" t="s">
        <v>9715</v>
      </c>
      <c r="E450" s="9">
        <v>2696</v>
      </c>
      <c r="F450" s="9">
        <v>12860</v>
      </c>
      <c r="G450" s="9" t="s">
        <v>30</v>
      </c>
    </row>
    <row r="451" spans="1:7" x14ac:dyDescent="0.2">
      <c r="A451" t="s">
        <v>436</v>
      </c>
      <c r="B451" t="s">
        <v>466</v>
      </c>
      <c r="C451" t="s">
        <v>9947</v>
      </c>
      <c r="D451" t="s">
        <v>9715</v>
      </c>
      <c r="E451" s="9">
        <v>2956</v>
      </c>
      <c r="F451" s="9">
        <v>12409</v>
      </c>
      <c r="G451" s="9" t="s">
        <v>30</v>
      </c>
    </row>
    <row r="452" spans="1:7" x14ac:dyDescent="0.2">
      <c r="A452" t="s">
        <v>436</v>
      </c>
      <c r="B452" t="s">
        <v>467</v>
      </c>
      <c r="C452" t="s">
        <v>9948</v>
      </c>
      <c r="D452" t="s">
        <v>9715</v>
      </c>
      <c r="E452" s="9">
        <v>4199</v>
      </c>
      <c r="F452" s="9">
        <v>14817</v>
      </c>
      <c r="G452" s="9" t="s">
        <v>30</v>
      </c>
    </row>
    <row r="453" spans="1:7" x14ac:dyDescent="0.2">
      <c r="A453" t="s">
        <v>436</v>
      </c>
      <c r="B453" t="s">
        <v>468</v>
      </c>
      <c r="C453" t="s">
        <v>9949</v>
      </c>
      <c r="D453" t="s">
        <v>9715</v>
      </c>
      <c r="E453" s="9">
        <v>2651</v>
      </c>
      <c r="F453" s="9">
        <v>11762</v>
      </c>
      <c r="G453" s="9" t="s">
        <v>30</v>
      </c>
    </row>
    <row r="454" spans="1:7" x14ac:dyDescent="0.2">
      <c r="A454" t="s">
        <v>436</v>
      </c>
      <c r="B454" t="s">
        <v>469</v>
      </c>
      <c r="C454" t="s">
        <v>9950</v>
      </c>
      <c r="D454" t="s">
        <v>9715</v>
      </c>
      <c r="E454" s="9">
        <v>3341</v>
      </c>
      <c r="F454" s="9">
        <v>14604</v>
      </c>
      <c r="G454" s="9" t="s">
        <v>30</v>
      </c>
    </row>
    <row r="455" spans="1:7" x14ac:dyDescent="0.2">
      <c r="A455" t="s">
        <v>436</v>
      </c>
      <c r="B455" t="s">
        <v>470</v>
      </c>
      <c r="C455" t="s">
        <v>9951</v>
      </c>
      <c r="D455" t="s">
        <v>9715</v>
      </c>
      <c r="E455" s="9">
        <v>3204</v>
      </c>
      <c r="F455" s="9">
        <v>13235</v>
      </c>
      <c r="G455" s="9" t="s">
        <v>30</v>
      </c>
    </row>
    <row r="456" spans="1:7" x14ac:dyDescent="0.2">
      <c r="A456" t="s">
        <v>436</v>
      </c>
      <c r="B456" t="s">
        <v>471</v>
      </c>
      <c r="C456" t="s">
        <v>9902</v>
      </c>
      <c r="D456" t="s">
        <v>9715</v>
      </c>
      <c r="E456" s="9">
        <v>1670</v>
      </c>
      <c r="F456" s="9">
        <v>9575</v>
      </c>
      <c r="G456" s="9" t="s">
        <v>30</v>
      </c>
    </row>
    <row r="457" spans="1:7" x14ac:dyDescent="0.2">
      <c r="A457" t="s">
        <v>436</v>
      </c>
      <c r="B457" t="s">
        <v>472</v>
      </c>
      <c r="C457" t="s">
        <v>9952</v>
      </c>
      <c r="D457" t="s">
        <v>9715</v>
      </c>
      <c r="E457" s="9">
        <v>2398</v>
      </c>
      <c r="F457" s="9">
        <v>17361</v>
      </c>
      <c r="G457" s="9" t="s">
        <v>30</v>
      </c>
    </row>
    <row r="458" spans="1:7" x14ac:dyDescent="0.2">
      <c r="A458" t="s">
        <v>436</v>
      </c>
      <c r="B458" t="s">
        <v>473</v>
      </c>
      <c r="C458" t="s">
        <v>9903</v>
      </c>
      <c r="D458" t="s">
        <v>9715</v>
      </c>
      <c r="E458" s="9">
        <v>1939</v>
      </c>
      <c r="F458" s="9">
        <v>13035</v>
      </c>
      <c r="G458" s="9" t="s">
        <v>30</v>
      </c>
    </row>
    <row r="459" spans="1:7" x14ac:dyDescent="0.2">
      <c r="A459" t="s">
        <v>436</v>
      </c>
      <c r="B459" t="s">
        <v>474</v>
      </c>
      <c r="C459" t="s">
        <v>9877</v>
      </c>
      <c r="D459" t="s">
        <v>9715</v>
      </c>
      <c r="E459" s="9">
        <v>3116</v>
      </c>
      <c r="F459" s="9">
        <v>12212</v>
      </c>
      <c r="G459" s="9" t="s">
        <v>30</v>
      </c>
    </row>
    <row r="460" spans="1:7" x14ac:dyDescent="0.2">
      <c r="A460" t="s">
        <v>436</v>
      </c>
      <c r="B460" t="s">
        <v>475</v>
      </c>
      <c r="C460" t="s">
        <v>9953</v>
      </c>
      <c r="D460" t="s">
        <v>9715</v>
      </c>
      <c r="E460" s="9">
        <v>2333</v>
      </c>
      <c r="F460" s="9">
        <v>11852</v>
      </c>
      <c r="G460" s="9" t="s">
        <v>30</v>
      </c>
    </row>
    <row r="461" spans="1:7" x14ac:dyDescent="0.2">
      <c r="A461" t="s">
        <v>436</v>
      </c>
      <c r="B461" t="s">
        <v>476</v>
      </c>
      <c r="C461" t="s">
        <v>9954</v>
      </c>
      <c r="D461" t="s">
        <v>9715</v>
      </c>
      <c r="E461" s="9">
        <v>2118</v>
      </c>
      <c r="F461" s="9">
        <v>12318</v>
      </c>
      <c r="G461" s="9" t="s">
        <v>30</v>
      </c>
    </row>
    <row r="462" spans="1:7" x14ac:dyDescent="0.2">
      <c r="A462" t="s">
        <v>436</v>
      </c>
      <c r="B462" t="s">
        <v>477</v>
      </c>
      <c r="C462" t="s">
        <v>9888</v>
      </c>
      <c r="D462" t="s">
        <v>9715</v>
      </c>
      <c r="E462" s="9">
        <v>1977</v>
      </c>
      <c r="F462" s="9">
        <v>12969</v>
      </c>
      <c r="G462" s="9" t="s">
        <v>30</v>
      </c>
    </row>
    <row r="463" spans="1:7" x14ac:dyDescent="0.2">
      <c r="A463" t="s">
        <v>436</v>
      </c>
      <c r="B463" t="s">
        <v>478</v>
      </c>
      <c r="C463" t="s">
        <v>9955</v>
      </c>
      <c r="D463" t="s">
        <v>9715</v>
      </c>
      <c r="E463" s="9">
        <v>2904</v>
      </c>
      <c r="F463" s="9">
        <v>12083</v>
      </c>
      <c r="G463" s="9" t="s">
        <v>30</v>
      </c>
    </row>
    <row r="464" spans="1:7" x14ac:dyDescent="0.2">
      <c r="A464" t="s">
        <v>436</v>
      </c>
      <c r="B464" t="s">
        <v>479</v>
      </c>
      <c r="C464" t="s">
        <v>9956</v>
      </c>
      <c r="D464" t="s">
        <v>9715</v>
      </c>
      <c r="E464" s="9">
        <v>2711</v>
      </c>
      <c r="F464" s="9">
        <v>12369</v>
      </c>
      <c r="G464" s="9" t="s">
        <v>30</v>
      </c>
    </row>
    <row r="465" spans="1:7" x14ac:dyDescent="0.2">
      <c r="A465" t="s">
        <v>436</v>
      </c>
      <c r="B465" t="s">
        <v>480</v>
      </c>
      <c r="C465" t="s">
        <v>9957</v>
      </c>
      <c r="D465" t="s">
        <v>9715</v>
      </c>
      <c r="E465" s="9">
        <v>2587</v>
      </c>
      <c r="F465" s="9">
        <v>11482</v>
      </c>
      <c r="G465" s="9" t="s">
        <v>30</v>
      </c>
    </row>
    <row r="466" spans="1:7" x14ac:dyDescent="0.2">
      <c r="A466" t="s">
        <v>436</v>
      </c>
      <c r="B466" t="s">
        <v>481</v>
      </c>
      <c r="C466" t="s">
        <v>9897</v>
      </c>
      <c r="D466" t="s">
        <v>9715</v>
      </c>
      <c r="E466" s="9">
        <v>2329</v>
      </c>
      <c r="F466" s="9">
        <v>13327</v>
      </c>
      <c r="G466" s="9" t="s">
        <v>30</v>
      </c>
    </row>
    <row r="467" spans="1:7" x14ac:dyDescent="0.2">
      <c r="A467" t="s">
        <v>436</v>
      </c>
      <c r="B467" t="s">
        <v>482</v>
      </c>
      <c r="C467" t="s">
        <v>9958</v>
      </c>
      <c r="D467" t="s">
        <v>9715</v>
      </c>
      <c r="E467" s="9">
        <v>2298</v>
      </c>
      <c r="F467" s="9">
        <v>10634</v>
      </c>
      <c r="G467" s="9" t="s">
        <v>30</v>
      </c>
    </row>
    <row r="468" spans="1:7" x14ac:dyDescent="0.2">
      <c r="A468" t="s">
        <v>436</v>
      </c>
      <c r="B468" t="s">
        <v>483</v>
      </c>
      <c r="C468" t="s">
        <v>9959</v>
      </c>
      <c r="D468" t="s">
        <v>9715</v>
      </c>
      <c r="E468" s="9">
        <v>2335</v>
      </c>
      <c r="F468" s="9">
        <v>12358</v>
      </c>
      <c r="G468" s="9" t="s">
        <v>30</v>
      </c>
    </row>
    <row r="469" spans="1:7" x14ac:dyDescent="0.2">
      <c r="A469" t="s">
        <v>436</v>
      </c>
      <c r="B469" t="s">
        <v>484</v>
      </c>
      <c r="C469" t="s">
        <v>9960</v>
      </c>
      <c r="D469" t="s">
        <v>9715</v>
      </c>
      <c r="E469" s="9">
        <v>2635</v>
      </c>
      <c r="F469" s="9">
        <v>13654</v>
      </c>
      <c r="G469" s="9" t="s">
        <v>30</v>
      </c>
    </row>
    <row r="470" spans="1:7" x14ac:dyDescent="0.2">
      <c r="A470" t="s">
        <v>436</v>
      </c>
      <c r="B470" t="s">
        <v>485</v>
      </c>
      <c r="C470" t="s">
        <v>9961</v>
      </c>
      <c r="D470" t="s">
        <v>9715</v>
      </c>
      <c r="E470" s="9">
        <v>2561</v>
      </c>
      <c r="F470" s="9">
        <v>12217</v>
      </c>
      <c r="G470" s="9" t="s">
        <v>30</v>
      </c>
    </row>
    <row r="471" spans="1:7" x14ac:dyDescent="0.2">
      <c r="A471" t="s">
        <v>436</v>
      </c>
      <c r="B471" t="s">
        <v>486</v>
      </c>
      <c r="C471" t="s">
        <v>9962</v>
      </c>
      <c r="D471" t="s">
        <v>9715</v>
      </c>
      <c r="E471" s="9">
        <v>2326</v>
      </c>
      <c r="F471" s="9">
        <v>11857</v>
      </c>
      <c r="G471" s="9" t="s">
        <v>30</v>
      </c>
    </row>
    <row r="472" spans="1:7" x14ac:dyDescent="0.2">
      <c r="A472" t="s">
        <v>436</v>
      </c>
      <c r="B472" t="s">
        <v>487</v>
      </c>
      <c r="C472" t="s">
        <v>9963</v>
      </c>
      <c r="D472" t="s">
        <v>9715</v>
      </c>
      <c r="E472" s="9">
        <v>2630</v>
      </c>
      <c r="F472" s="9">
        <v>14372</v>
      </c>
      <c r="G472" s="9" t="s">
        <v>30</v>
      </c>
    </row>
    <row r="473" spans="1:7" x14ac:dyDescent="0.2">
      <c r="A473" t="s">
        <v>436</v>
      </c>
      <c r="B473" t="s">
        <v>488</v>
      </c>
      <c r="C473" t="s">
        <v>9964</v>
      </c>
      <c r="D473" t="s">
        <v>9715</v>
      </c>
      <c r="E473" s="9">
        <v>2488</v>
      </c>
      <c r="F473" s="9">
        <v>12686</v>
      </c>
      <c r="G473" s="9" t="s">
        <v>30</v>
      </c>
    </row>
    <row r="474" spans="1:7" x14ac:dyDescent="0.2">
      <c r="A474" t="s">
        <v>436</v>
      </c>
      <c r="B474" t="s">
        <v>489</v>
      </c>
      <c r="C474" t="s">
        <v>9965</v>
      </c>
      <c r="D474" t="s">
        <v>9715</v>
      </c>
      <c r="E474" s="9">
        <v>2135</v>
      </c>
      <c r="F474" s="9">
        <v>12834</v>
      </c>
      <c r="G474" s="9" t="s">
        <v>30</v>
      </c>
    </row>
    <row r="475" spans="1:7" x14ac:dyDescent="0.2">
      <c r="A475" t="s">
        <v>436</v>
      </c>
      <c r="B475" t="s">
        <v>490</v>
      </c>
      <c r="C475" t="s">
        <v>10149</v>
      </c>
      <c r="D475" t="s">
        <v>9715</v>
      </c>
      <c r="E475" s="9">
        <v>755</v>
      </c>
      <c r="F475" s="9">
        <v>10917</v>
      </c>
      <c r="G475" s="9" t="s">
        <v>30</v>
      </c>
    </row>
    <row r="476" spans="1:7" x14ac:dyDescent="0.2">
      <c r="A476" t="s">
        <v>436</v>
      </c>
      <c r="B476" t="s">
        <v>491</v>
      </c>
      <c r="C476" t="s">
        <v>10976</v>
      </c>
      <c r="D476" t="e">
        <v>#N/A</v>
      </c>
      <c r="E476" s="9">
        <v>1676</v>
      </c>
      <c r="F476" s="9">
        <v>11522</v>
      </c>
      <c r="G476" s="9" t="s">
        <v>30</v>
      </c>
    </row>
    <row r="477" spans="1:7" x14ac:dyDescent="0.2">
      <c r="A477" t="s">
        <v>436</v>
      </c>
      <c r="B477" t="s">
        <v>492</v>
      </c>
      <c r="C477" t="s">
        <v>9966</v>
      </c>
      <c r="D477" t="s">
        <v>9715</v>
      </c>
      <c r="E477" s="9">
        <v>1983</v>
      </c>
      <c r="F477" s="9">
        <v>10695</v>
      </c>
      <c r="G477" s="9" t="s">
        <v>30</v>
      </c>
    </row>
    <row r="478" spans="1:7" x14ac:dyDescent="0.2">
      <c r="A478" t="s">
        <v>436</v>
      </c>
      <c r="B478" t="s">
        <v>493</v>
      </c>
      <c r="C478" t="s">
        <v>9967</v>
      </c>
      <c r="D478" t="s">
        <v>9715</v>
      </c>
      <c r="E478" s="9">
        <v>1385</v>
      </c>
      <c r="F478" s="9">
        <v>10605</v>
      </c>
      <c r="G478" s="9" t="s">
        <v>30</v>
      </c>
    </row>
    <row r="479" spans="1:7" x14ac:dyDescent="0.2">
      <c r="A479" t="s">
        <v>436</v>
      </c>
      <c r="B479" t="s">
        <v>494</v>
      </c>
      <c r="C479" t="s">
        <v>10977</v>
      </c>
      <c r="D479" t="e">
        <v>#N/A</v>
      </c>
      <c r="E479" s="9">
        <v>1603</v>
      </c>
      <c r="F479" s="9">
        <v>10917</v>
      </c>
      <c r="G479" s="9" t="s">
        <v>30</v>
      </c>
    </row>
    <row r="480" spans="1:7" x14ac:dyDescent="0.2">
      <c r="A480" t="s">
        <v>436</v>
      </c>
      <c r="B480" t="s">
        <v>495</v>
      </c>
      <c r="C480" t="s">
        <v>9968</v>
      </c>
      <c r="D480" t="s">
        <v>9715</v>
      </c>
      <c r="E480" s="9">
        <v>1740</v>
      </c>
      <c r="F480" s="9">
        <v>13428</v>
      </c>
      <c r="G480" s="9" t="s">
        <v>30</v>
      </c>
    </row>
    <row r="481" spans="1:7" x14ac:dyDescent="0.2">
      <c r="A481" t="s">
        <v>436</v>
      </c>
      <c r="B481" t="s">
        <v>496</v>
      </c>
      <c r="C481" t="s">
        <v>9969</v>
      </c>
      <c r="D481" t="s">
        <v>9715</v>
      </c>
      <c r="E481" s="9">
        <v>1758</v>
      </c>
      <c r="F481" s="9">
        <v>14249</v>
      </c>
      <c r="G481" s="9" t="s">
        <v>30</v>
      </c>
    </row>
    <row r="482" spans="1:7" x14ac:dyDescent="0.2">
      <c r="A482" t="s">
        <v>436</v>
      </c>
      <c r="B482" t="s">
        <v>497</v>
      </c>
      <c r="C482" t="s">
        <v>9904</v>
      </c>
      <c r="D482" t="s">
        <v>9715</v>
      </c>
      <c r="E482" s="9">
        <v>2478</v>
      </c>
      <c r="F482" s="9">
        <v>9071</v>
      </c>
      <c r="G482" s="9" t="s">
        <v>30</v>
      </c>
    </row>
    <row r="483" spans="1:7" x14ac:dyDescent="0.2">
      <c r="A483" t="s">
        <v>436</v>
      </c>
      <c r="B483" t="s">
        <v>498</v>
      </c>
      <c r="C483" t="s">
        <v>9970</v>
      </c>
      <c r="D483" t="s">
        <v>9715</v>
      </c>
      <c r="E483" s="9">
        <v>2116</v>
      </c>
      <c r="F483" s="9">
        <v>9704</v>
      </c>
      <c r="G483" s="9" t="s">
        <v>30</v>
      </c>
    </row>
    <row r="484" spans="1:7" x14ac:dyDescent="0.2">
      <c r="A484" t="s">
        <v>436</v>
      </c>
      <c r="B484" t="s">
        <v>499</v>
      </c>
      <c r="C484" t="s">
        <v>9971</v>
      </c>
      <c r="D484" t="s">
        <v>9715</v>
      </c>
      <c r="E484" s="9">
        <v>2127</v>
      </c>
      <c r="F484" s="9">
        <v>11506</v>
      </c>
      <c r="G484" s="9" t="s">
        <v>30</v>
      </c>
    </row>
    <row r="485" spans="1:7" x14ac:dyDescent="0.2">
      <c r="A485" t="s">
        <v>436</v>
      </c>
      <c r="B485" t="s">
        <v>500</v>
      </c>
      <c r="C485" t="s">
        <v>9972</v>
      </c>
      <c r="D485" t="s">
        <v>9715</v>
      </c>
      <c r="E485" s="9">
        <v>2156</v>
      </c>
      <c r="F485" s="9">
        <v>11243</v>
      </c>
      <c r="G485" s="9" t="s">
        <v>30</v>
      </c>
    </row>
    <row r="486" spans="1:7" x14ac:dyDescent="0.2">
      <c r="A486" t="s">
        <v>436</v>
      </c>
      <c r="B486" t="s">
        <v>501</v>
      </c>
      <c r="C486" t="s">
        <v>9973</v>
      </c>
      <c r="D486" t="s">
        <v>9715</v>
      </c>
      <c r="E486" s="9">
        <v>1974</v>
      </c>
      <c r="F486" s="9">
        <v>10728</v>
      </c>
      <c r="G486" s="9" t="s">
        <v>30</v>
      </c>
    </row>
    <row r="487" spans="1:7" x14ac:dyDescent="0.2">
      <c r="A487" t="s">
        <v>436</v>
      </c>
      <c r="B487" t="s">
        <v>502</v>
      </c>
      <c r="C487" t="s">
        <v>9974</v>
      </c>
      <c r="D487" t="s">
        <v>9715</v>
      </c>
      <c r="E487" s="9">
        <v>1972</v>
      </c>
      <c r="F487" s="9">
        <v>12657</v>
      </c>
      <c r="G487" s="9" t="s">
        <v>30</v>
      </c>
    </row>
    <row r="488" spans="1:7" x14ac:dyDescent="0.2">
      <c r="A488" t="s">
        <v>436</v>
      </c>
      <c r="B488" t="s">
        <v>503</v>
      </c>
      <c r="C488" t="s">
        <v>9975</v>
      </c>
      <c r="D488" t="s">
        <v>9715</v>
      </c>
      <c r="E488" s="9">
        <v>1993</v>
      </c>
      <c r="F488" s="9">
        <v>9801</v>
      </c>
      <c r="G488" s="9" t="s">
        <v>30</v>
      </c>
    </row>
    <row r="489" spans="1:7" x14ac:dyDescent="0.2">
      <c r="A489" t="s">
        <v>436</v>
      </c>
      <c r="B489" t="s">
        <v>504</v>
      </c>
      <c r="C489" t="s">
        <v>9905</v>
      </c>
      <c r="D489" t="s">
        <v>9715</v>
      </c>
      <c r="E489" s="9">
        <v>2191</v>
      </c>
      <c r="F489" s="9">
        <v>9922</v>
      </c>
      <c r="G489" s="9" t="s">
        <v>30</v>
      </c>
    </row>
    <row r="490" spans="1:7" x14ac:dyDescent="0.2">
      <c r="A490" t="s">
        <v>436</v>
      </c>
      <c r="B490" t="s">
        <v>505</v>
      </c>
      <c r="C490" t="s">
        <v>9976</v>
      </c>
      <c r="D490" t="s">
        <v>9715</v>
      </c>
      <c r="E490" s="9">
        <v>2042</v>
      </c>
      <c r="F490" s="9">
        <v>10301</v>
      </c>
      <c r="G490" s="9" t="s">
        <v>30</v>
      </c>
    </row>
    <row r="491" spans="1:7" x14ac:dyDescent="0.2">
      <c r="A491" t="s">
        <v>436</v>
      </c>
      <c r="B491" t="s">
        <v>506</v>
      </c>
      <c r="C491" t="s">
        <v>9977</v>
      </c>
      <c r="D491" t="s">
        <v>9715</v>
      </c>
      <c r="E491" s="9">
        <v>2178</v>
      </c>
      <c r="F491" s="9">
        <v>10205</v>
      </c>
      <c r="G491" s="9" t="s">
        <v>30</v>
      </c>
    </row>
    <row r="492" spans="1:7" x14ac:dyDescent="0.2">
      <c r="A492" t="s">
        <v>436</v>
      </c>
      <c r="B492" t="s">
        <v>507</v>
      </c>
      <c r="C492" t="s">
        <v>9978</v>
      </c>
      <c r="D492" t="s">
        <v>9715</v>
      </c>
      <c r="E492" s="9">
        <v>2124</v>
      </c>
      <c r="F492" s="9">
        <v>10213</v>
      </c>
      <c r="G492" s="9" t="s">
        <v>30</v>
      </c>
    </row>
    <row r="493" spans="1:7" x14ac:dyDescent="0.2">
      <c r="A493" t="s">
        <v>436</v>
      </c>
      <c r="B493" t="s">
        <v>508</v>
      </c>
      <c r="C493" t="s">
        <v>9862</v>
      </c>
      <c r="D493" t="s">
        <v>9715</v>
      </c>
      <c r="E493" s="9">
        <v>534</v>
      </c>
      <c r="F493" s="9">
        <v>11453</v>
      </c>
      <c r="G493" s="9" t="s">
        <v>30</v>
      </c>
    </row>
    <row r="494" spans="1:7" x14ac:dyDescent="0.2">
      <c r="A494" t="s">
        <v>436</v>
      </c>
      <c r="B494" t="s">
        <v>509</v>
      </c>
      <c r="C494" t="s">
        <v>10151</v>
      </c>
      <c r="D494" t="s">
        <v>9715</v>
      </c>
      <c r="E494" s="9">
        <v>1353</v>
      </c>
      <c r="F494" s="9">
        <v>11079</v>
      </c>
      <c r="G494" s="9" t="s">
        <v>30</v>
      </c>
    </row>
    <row r="495" spans="1:7" x14ac:dyDescent="0.2">
      <c r="A495" t="s">
        <v>436</v>
      </c>
      <c r="B495" t="s">
        <v>510</v>
      </c>
      <c r="C495" t="s">
        <v>10152</v>
      </c>
      <c r="D495" t="s">
        <v>9715</v>
      </c>
      <c r="E495" s="9">
        <v>727</v>
      </c>
      <c r="F495" s="9">
        <v>9408</v>
      </c>
      <c r="G495" s="9" t="s">
        <v>30</v>
      </c>
    </row>
    <row r="496" spans="1:7" x14ac:dyDescent="0.2">
      <c r="A496" t="s">
        <v>436</v>
      </c>
      <c r="B496" t="s">
        <v>511</v>
      </c>
      <c r="C496" t="s">
        <v>10978</v>
      </c>
      <c r="D496" t="e">
        <v>#N/A</v>
      </c>
      <c r="E496" s="9" t="s">
        <v>30</v>
      </c>
      <c r="F496" s="9" t="s">
        <v>30</v>
      </c>
      <c r="G496" s="9" t="s">
        <v>30</v>
      </c>
    </row>
    <row r="497" spans="1:7" x14ac:dyDescent="0.2">
      <c r="A497" t="s">
        <v>436</v>
      </c>
      <c r="B497" t="s">
        <v>512</v>
      </c>
      <c r="C497" t="s">
        <v>10979</v>
      </c>
      <c r="D497" t="e">
        <v>#N/A</v>
      </c>
      <c r="E497" s="9">
        <v>2729</v>
      </c>
      <c r="F497" s="9">
        <v>12327</v>
      </c>
      <c r="G497" s="9" t="s">
        <v>30</v>
      </c>
    </row>
    <row r="498" spans="1:7" x14ac:dyDescent="0.2">
      <c r="A498" t="s">
        <v>436</v>
      </c>
      <c r="B498" t="s">
        <v>513</v>
      </c>
      <c r="C498" t="s">
        <v>9878</v>
      </c>
      <c r="D498" t="s">
        <v>9715</v>
      </c>
      <c r="E498" s="9">
        <v>1852</v>
      </c>
      <c r="F498" s="9">
        <v>10480</v>
      </c>
      <c r="G498" s="9" t="s">
        <v>30</v>
      </c>
    </row>
    <row r="499" spans="1:7" x14ac:dyDescent="0.2">
      <c r="A499" t="s">
        <v>436</v>
      </c>
      <c r="B499" t="s">
        <v>514</v>
      </c>
      <c r="C499" t="s">
        <v>10980</v>
      </c>
      <c r="D499" t="e">
        <v>#N/A</v>
      </c>
      <c r="E499" s="9">
        <v>3173</v>
      </c>
      <c r="F499" s="9">
        <v>11399</v>
      </c>
      <c r="G499" s="9" t="s">
        <v>30</v>
      </c>
    </row>
    <row r="500" spans="1:7" x14ac:dyDescent="0.2">
      <c r="A500" t="s">
        <v>436</v>
      </c>
      <c r="B500" t="s">
        <v>515</v>
      </c>
      <c r="C500" t="s">
        <v>10981</v>
      </c>
      <c r="D500" t="e">
        <v>#N/A</v>
      </c>
      <c r="E500" s="9">
        <v>1690</v>
      </c>
      <c r="F500" s="9">
        <v>11284</v>
      </c>
      <c r="G500" s="9" t="s">
        <v>30</v>
      </c>
    </row>
    <row r="501" spans="1:7" x14ac:dyDescent="0.2">
      <c r="A501" t="s">
        <v>436</v>
      </c>
      <c r="B501" t="s">
        <v>516</v>
      </c>
      <c r="C501" t="s">
        <v>9979</v>
      </c>
      <c r="D501" t="s">
        <v>9715</v>
      </c>
      <c r="E501" s="9">
        <v>6857</v>
      </c>
      <c r="F501" s="9">
        <v>12387</v>
      </c>
      <c r="G501" s="9" t="s">
        <v>30</v>
      </c>
    </row>
    <row r="502" spans="1:7" x14ac:dyDescent="0.2">
      <c r="A502" t="s">
        <v>436</v>
      </c>
      <c r="B502" t="s">
        <v>517</v>
      </c>
      <c r="C502" t="s">
        <v>9980</v>
      </c>
      <c r="D502" t="s">
        <v>9715</v>
      </c>
      <c r="E502" s="9">
        <v>2444</v>
      </c>
      <c r="F502" s="9">
        <v>12697</v>
      </c>
      <c r="G502" s="9" t="s">
        <v>30</v>
      </c>
    </row>
    <row r="503" spans="1:7" x14ac:dyDescent="0.2">
      <c r="A503" t="s">
        <v>436</v>
      </c>
      <c r="B503" t="s">
        <v>518</v>
      </c>
      <c r="C503" t="s">
        <v>10982</v>
      </c>
      <c r="D503" t="e">
        <v>#N/A</v>
      </c>
      <c r="E503" s="9">
        <v>1489</v>
      </c>
      <c r="F503" s="9">
        <v>10648</v>
      </c>
      <c r="G503" s="9" t="s">
        <v>30</v>
      </c>
    </row>
    <row r="504" spans="1:7" x14ac:dyDescent="0.2">
      <c r="A504" t="s">
        <v>436</v>
      </c>
      <c r="B504" t="s">
        <v>519</v>
      </c>
      <c r="C504" t="s">
        <v>9981</v>
      </c>
      <c r="D504" t="s">
        <v>9715</v>
      </c>
      <c r="E504" s="9" t="s">
        <v>30</v>
      </c>
      <c r="F504" s="9" t="s">
        <v>30</v>
      </c>
      <c r="G504" s="9" t="s">
        <v>30</v>
      </c>
    </row>
    <row r="505" spans="1:7" x14ac:dyDescent="0.2">
      <c r="A505" t="s">
        <v>436</v>
      </c>
      <c r="B505" t="s">
        <v>520</v>
      </c>
      <c r="C505" t="s">
        <v>10983</v>
      </c>
      <c r="D505" t="e">
        <v>#N/A</v>
      </c>
      <c r="E505" s="9">
        <v>969</v>
      </c>
      <c r="F505" s="9">
        <v>5405</v>
      </c>
      <c r="G505" s="9" t="s">
        <v>30</v>
      </c>
    </row>
    <row r="506" spans="1:7" x14ac:dyDescent="0.2">
      <c r="A506" t="s">
        <v>436</v>
      </c>
      <c r="B506" t="s">
        <v>521</v>
      </c>
      <c r="C506" t="s">
        <v>9982</v>
      </c>
      <c r="D506" t="s">
        <v>9715</v>
      </c>
      <c r="E506" s="9">
        <v>2478</v>
      </c>
      <c r="F506" s="9">
        <v>12371</v>
      </c>
      <c r="G506" s="9" t="s">
        <v>30</v>
      </c>
    </row>
    <row r="507" spans="1:7" x14ac:dyDescent="0.2">
      <c r="A507" t="s">
        <v>436</v>
      </c>
      <c r="B507" t="s">
        <v>522</v>
      </c>
      <c r="C507" t="s">
        <v>10984</v>
      </c>
      <c r="D507" t="e">
        <v>#N/A</v>
      </c>
      <c r="E507" s="9">
        <v>391</v>
      </c>
      <c r="F507" s="9">
        <v>20119</v>
      </c>
      <c r="G507" s="9" t="s">
        <v>30</v>
      </c>
    </row>
    <row r="508" spans="1:7" x14ac:dyDescent="0.2">
      <c r="A508" t="s">
        <v>436</v>
      </c>
      <c r="B508" t="s">
        <v>523</v>
      </c>
      <c r="C508" t="s">
        <v>10985</v>
      </c>
      <c r="D508" t="e">
        <v>#N/A</v>
      </c>
      <c r="E508" s="9" t="s">
        <v>30</v>
      </c>
      <c r="F508" s="9" t="s">
        <v>30</v>
      </c>
      <c r="G508" s="9" t="s">
        <v>30</v>
      </c>
    </row>
    <row r="509" spans="1:7" x14ac:dyDescent="0.2">
      <c r="A509" t="s">
        <v>436</v>
      </c>
      <c r="B509" t="s">
        <v>524</v>
      </c>
      <c r="C509" t="s">
        <v>10698</v>
      </c>
      <c r="D509" t="s">
        <v>9715</v>
      </c>
      <c r="E509" s="9">
        <v>3562</v>
      </c>
      <c r="F509" s="9">
        <v>14431</v>
      </c>
      <c r="G509" s="9" t="s">
        <v>30</v>
      </c>
    </row>
    <row r="510" spans="1:7" x14ac:dyDescent="0.2">
      <c r="A510" t="s">
        <v>436</v>
      </c>
      <c r="B510" t="s">
        <v>525</v>
      </c>
      <c r="C510" t="s">
        <v>9863</v>
      </c>
      <c r="D510" t="s">
        <v>9715</v>
      </c>
      <c r="E510" s="9">
        <v>1238</v>
      </c>
      <c r="F510" s="9">
        <v>8116</v>
      </c>
      <c r="G510" s="9" t="s">
        <v>30</v>
      </c>
    </row>
    <row r="511" spans="1:7" x14ac:dyDescent="0.2">
      <c r="A511" t="s">
        <v>436</v>
      </c>
      <c r="B511" t="s">
        <v>526</v>
      </c>
      <c r="C511" t="s">
        <v>9884</v>
      </c>
      <c r="D511" t="s">
        <v>9715</v>
      </c>
      <c r="E511" s="9">
        <v>448</v>
      </c>
      <c r="F511" s="9">
        <v>12177</v>
      </c>
      <c r="G511" s="9" t="s">
        <v>30</v>
      </c>
    </row>
    <row r="512" spans="1:7" x14ac:dyDescent="0.2">
      <c r="A512" t="s">
        <v>436</v>
      </c>
      <c r="B512" t="s">
        <v>527</v>
      </c>
      <c r="C512" t="s">
        <v>10162</v>
      </c>
      <c r="D512" t="s">
        <v>9715</v>
      </c>
      <c r="E512" s="9">
        <v>1267</v>
      </c>
      <c r="F512" s="9">
        <v>7690</v>
      </c>
      <c r="G512" s="9" t="s">
        <v>30</v>
      </c>
    </row>
    <row r="513" spans="1:7" x14ac:dyDescent="0.2">
      <c r="A513" t="s">
        <v>436</v>
      </c>
      <c r="B513" t="s">
        <v>528</v>
      </c>
      <c r="C513" t="s">
        <v>9983</v>
      </c>
      <c r="D513" t="s">
        <v>9715</v>
      </c>
      <c r="E513" s="9">
        <v>3053</v>
      </c>
      <c r="F513" s="9">
        <v>11040</v>
      </c>
      <c r="G513" s="9" t="s">
        <v>30</v>
      </c>
    </row>
    <row r="514" spans="1:7" x14ac:dyDescent="0.2">
      <c r="A514" t="s">
        <v>436</v>
      </c>
      <c r="B514" t="s">
        <v>529</v>
      </c>
      <c r="C514" t="s">
        <v>9984</v>
      </c>
      <c r="D514" t="s">
        <v>9715</v>
      </c>
      <c r="E514" s="9">
        <v>2603</v>
      </c>
      <c r="F514" s="9">
        <v>9869</v>
      </c>
      <c r="G514" s="9" t="s">
        <v>30</v>
      </c>
    </row>
    <row r="515" spans="1:7" x14ac:dyDescent="0.2">
      <c r="A515" t="s">
        <v>436</v>
      </c>
      <c r="B515" t="s">
        <v>530</v>
      </c>
      <c r="C515" t="s">
        <v>9985</v>
      </c>
      <c r="D515" t="s">
        <v>9715</v>
      </c>
      <c r="E515" s="9">
        <v>2704</v>
      </c>
      <c r="F515" s="9">
        <v>10187</v>
      </c>
      <c r="G515" s="9" t="s">
        <v>30</v>
      </c>
    </row>
    <row r="516" spans="1:7" x14ac:dyDescent="0.2">
      <c r="A516" t="s">
        <v>436</v>
      </c>
      <c r="B516" t="s">
        <v>531</v>
      </c>
      <c r="C516" t="s">
        <v>10708</v>
      </c>
      <c r="D516" t="s">
        <v>9715</v>
      </c>
      <c r="E516" s="9" t="s">
        <v>30</v>
      </c>
      <c r="F516" s="9" t="s">
        <v>30</v>
      </c>
      <c r="G516" s="9" t="s">
        <v>30</v>
      </c>
    </row>
    <row r="517" spans="1:7" x14ac:dyDescent="0.2">
      <c r="A517" t="s">
        <v>436</v>
      </c>
      <c r="B517" t="s">
        <v>532</v>
      </c>
      <c r="C517" t="s">
        <v>9986</v>
      </c>
      <c r="D517" t="s">
        <v>9715</v>
      </c>
      <c r="E517" s="9">
        <v>2797</v>
      </c>
      <c r="F517" s="9">
        <v>10007</v>
      </c>
      <c r="G517" s="9" t="s">
        <v>30</v>
      </c>
    </row>
    <row r="518" spans="1:7" x14ac:dyDescent="0.2">
      <c r="A518" t="s">
        <v>436</v>
      </c>
      <c r="B518" t="s">
        <v>533</v>
      </c>
      <c r="C518" t="s">
        <v>9987</v>
      </c>
      <c r="D518" t="s">
        <v>9715</v>
      </c>
      <c r="E518" s="9">
        <v>2771</v>
      </c>
      <c r="F518" s="9">
        <v>11869</v>
      </c>
      <c r="G518" s="9" t="s">
        <v>30</v>
      </c>
    </row>
    <row r="519" spans="1:7" x14ac:dyDescent="0.2">
      <c r="A519" t="s">
        <v>436</v>
      </c>
      <c r="B519" t="s">
        <v>534</v>
      </c>
      <c r="C519" t="s">
        <v>10986</v>
      </c>
      <c r="D519" t="e">
        <v>#N/A</v>
      </c>
      <c r="E519" s="9">
        <v>849</v>
      </c>
      <c r="F519" s="9">
        <v>9852</v>
      </c>
      <c r="G519" s="9" t="s">
        <v>30</v>
      </c>
    </row>
    <row r="520" spans="1:7" x14ac:dyDescent="0.2">
      <c r="A520" t="s">
        <v>436</v>
      </c>
      <c r="B520" t="s">
        <v>535</v>
      </c>
      <c r="C520" t="s">
        <v>9988</v>
      </c>
      <c r="D520" t="s">
        <v>9715</v>
      </c>
      <c r="E520" s="9">
        <v>4871</v>
      </c>
      <c r="F520" s="9">
        <v>8989</v>
      </c>
      <c r="G520" s="9" t="s">
        <v>30</v>
      </c>
    </row>
    <row r="521" spans="1:7" x14ac:dyDescent="0.2">
      <c r="A521" t="s">
        <v>436</v>
      </c>
      <c r="B521" t="s">
        <v>536</v>
      </c>
      <c r="C521" t="s">
        <v>9989</v>
      </c>
      <c r="D521" t="s">
        <v>9715</v>
      </c>
      <c r="E521" s="9">
        <v>4947</v>
      </c>
      <c r="F521" s="9">
        <v>9863</v>
      </c>
      <c r="G521" s="9" t="s">
        <v>30</v>
      </c>
    </row>
    <row r="522" spans="1:7" x14ac:dyDescent="0.2">
      <c r="A522" t="s">
        <v>436</v>
      </c>
      <c r="B522" t="s">
        <v>537</v>
      </c>
      <c r="C522" t="s">
        <v>10987</v>
      </c>
      <c r="D522" t="e">
        <v>#N/A</v>
      </c>
      <c r="E522" s="9">
        <v>3161</v>
      </c>
      <c r="F522" s="9">
        <v>13391</v>
      </c>
      <c r="G522" s="9" t="s">
        <v>30</v>
      </c>
    </row>
    <row r="523" spans="1:7" x14ac:dyDescent="0.2">
      <c r="A523" t="s">
        <v>436</v>
      </c>
      <c r="B523" t="s">
        <v>538</v>
      </c>
      <c r="C523" t="s">
        <v>9990</v>
      </c>
      <c r="D523" t="s">
        <v>9715</v>
      </c>
      <c r="E523" s="9">
        <v>1970</v>
      </c>
      <c r="F523" s="9">
        <v>11057</v>
      </c>
      <c r="G523" s="9" t="s">
        <v>30</v>
      </c>
    </row>
    <row r="524" spans="1:7" x14ac:dyDescent="0.2">
      <c r="A524" t="s">
        <v>436</v>
      </c>
      <c r="B524" t="s">
        <v>539</v>
      </c>
      <c r="C524" t="s">
        <v>9898</v>
      </c>
      <c r="D524" t="s">
        <v>9715</v>
      </c>
      <c r="E524" s="9">
        <v>1602</v>
      </c>
      <c r="F524" s="9">
        <v>9172</v>
      </c>
      <c r="G524" s="9" t="s">
        <v>30</v>
      </c>
    </row>
    <row r="525" spans="1:7" x14ac:dyDescent="0.2">
      <c r="A525" t="s">
        <v>436</v>
      </c>
      <c r="B525" t="s">
        <v>540</v>
      </c>
      <c r="C525" t="s">
        <v>9991</v>
      </c>
      <c r="D525" t="s">
        <v>9715</v>
      </c>
      <c r="E525" s="9">
        <v>1554</v>
      </c>
      <c r="F525" s="9">
        <v>11486</v>
      </c>
      <c r="G525" s="9" t="s">
        <v>30</v>
      </c>
    </row>
    <row r="526" spans="1:7" x14ac:dyDescent="0.2">
      <c r="A526" t="s">
        <v>436</v>
      </c>
      <c r="B526" t="s">
        <v>541</v>
      </c>
      <c r="C526" t="s">
        <v>10988</v>
      </c>
      <c r="D526" t="e">
        <v>#N/A</v>
      </c>
      <c r="E526" s="9">
        <v>1446</v>
      </c>
      <c r="F526" s="9">
        <v>11660</v>
      </c>
      <c r="G526" s="9" t="s">
        <v>30</v>
      </c>
    </row>
    <row r="527" spans="1:7" x14ac:dyDescent="0.2">
      <c r="A527" t="s">
        <v>436</v>
      </c>
      <c r="B527" t="s">
        <v>542</v>
      </c>
      <c r="C527" t="s">
        <v>9992</v>
      </c>
      <c r="D527" t="s">
        <v>9715</v>
      </c>
      <c r="E527" s="9">
        <v>913</v>
      </c>
      <c r="F527" s="9">
        <v>11293</v>
      </c>
      <c r="G527" s="9" t="s">
        <v>30</v>
      </c>
    </row>
    <row r="528" spans="1:7" x14ac:dyDescent="0.2">
      <c r="A528" t="s">
        <v>436</v>
      </c>
      <c r="B528" t="s">
        <v>543</v>
      </c>
      <c r="C528" t="s">
        <v>9993</v>
      </c>
      <c r="D528" t="s">
        <v>9715</v>
      </c>
      <c r="E528" s="9">
        <v>2075</v>
      </c>
      <c r="F528" s="9">
        <v>13224</v>
      </c>
      <c r="G528" s="9" t="s">
        <v>30</v>
      </c>
    </row>
    <row r="529" spans="1:7" x14ac:dyDescent="0.2">
      <c r="A529" t="s">
        <v>436</v>
      </c>
      <c r="B529" t="s">
        <v>544</v>
      </c>
      <c r="C529" t="s">
        <v>9994</v>
      </c>
      <c r="D529" t="s">
        <v>9715</v>
      </c>
      <c r="E529" s="9">
        <v>1117</v>
      </c>
      <c r="F529" s="9">
        <v>10425</v>
      </c>
      <c r="G529" s="9" t="s">
        <v>30</v>
      </c>
    </row>
    <row r="530" spans="1:7" x14ac:dyDescent="0.2">
      <c r="A530" t="s">
        <v>436</v>
      </c>
      <c r="B530" t="s">
        <v>545</v>
      </c>
      <c r="C530" t="s">
        <v>9995</v>
      </c>
      <c r="D530" t="s">
        <v>9715</v>
      </c>
      <c r="E530" s="9">
        <v>902</v>
      </c>
      <c r="F530" s="9">
        <v>11540</v>
      </c>
      <c r="G530" s="9" t="s">
        <v>30</v>
      </c>
    </row>
    <row r="531" spans="1:7" x14ac:dyDescent="0.2">
      <c r="A531" t="s">
        <v>436</v>
      </c>
      <c r="B531" t="s">
        <v>546</v>
      </c>
      <c r="C531" t="s">
        <v>9996</v>
      </c>
      <c r="D531" t="s">
        <v>9715</v>
      </c>
      <c r="E531" s="9">
        <v>876</v>
      </c>
      <c r="F531" s="9">
        <v>10985</v>
      </c>
      <c r="G531" s="9" t="s">
        <v>30</v>
      </c>
    </row>
    <row r="532" spans="1:7" x14ac:dyDescent="0.2">
      <c r="A532" t="s">
        <v>436</v>
      </c>
      <c r="B532" t="s">
        <v>547</v>
      </c>
      <c r="C532" t="s">
        <v>9997</v>
      </c>
      <c r="D532" t="s">
        <v>9715</v>
      </c>
      <c r="E532" s="9">
        <v>947</v>
      </c>
      <c r="F532" s="9">
        <v>10841</v>
      </c>
      <c r="G532" s="9" t="s">
        <v>30</v>
      </c>
    </row>
    <row r="533" spans="1:7" x14ac:dyDescent="0.2">
      <c r="A533" t="s">
        <v>436</v>
      </c>
      <c r="B533" t="s">
        <v>548</v>
      </c>
      <c r="C533" t="s">
        <v>10989</v>
      </c>
      <c r="D533" t="e">
        <v>#N/A</v>
      </c>
      <c r="E533" s="9">
        <v>1263</v>
      </c>
      <c r="F533" s="9">
        <v>10838</v>
      </c>
      <c r="G533" s="9" t="s">
        <v>30</v>
      </c>
    </row>
    <row r="534" spans="1:7" x14ac:dyDescent="0.2">
      <c r="A534" t="s">
        <v>436</v>
      </c>
      <c r="B534" t="s">
        <v>549</v>
      </c>
      <c r="C534" t="s">
        <v>9900</v>
      </c>
      <c r="D534" t="s">
        <v>9715</v>
      </c>
      <c r="E534" s="9">
        <v>1599</v>
      </c>
      <c r="F534" s="9">
        <v>9673</v>
      </c>
      <c r="G534" s="9" t="s">
        <v>30</v>
      </c>
    </row>
    <row r="535" spans="1:7" x14ac:dyDescent="0.2">
      <c r="A535" t="s">
        <v>436</v>
      </c>
      <c r="B535" t="s">
        <v>550</v>
      </c>
      <c r="C535" t="s">
        <v>9998</v>
      </c>
      <c r="D535" t="s">
        <v>9715</v>
      </c>
      <c r="E535" s="9">
        <v>2411</v>
      </c>
      <c r="F535" s="9">
        <v>11325</v>
      </c>
      <c r="G535" s="9" t="s">
        <v>30</v>
      </c>
    </row>
    <row r="536" spans="1:7" x14ac:dyDescent="0.2">
      <c r="A536" t="s">
        <v>436</v>
      </c>
      <c r="B536" t="s">
        <v>551</v>
      </c>
      <c r="C536" t="s">
        <v>9864</v>
      </c>
      <c r="D536" t="s">
        <v>9715</v>
      </c>
      <c r="E536" s="9">
        <v>778</v>
      </c>
      <c r="F536" s="9">
        <v>10277</v>
      </c>
      <c r="G536" s="9" t="s">
        <v>30</v>
      </c>
    </row>
    <row r="537" spans="1:7" x14ac:dyDescent="0.2">
      <c r="A537" t="s">
        <v>436</v>
      </c>
      <c r="B537" t="s">
        <v>552</v>
      </c>
      <c r="C537" t="s">
        <v>10990</v>
      </c>
      <c r="D537" t="e">
        <v>#N/A</v>
      </c>
      <c r="E537" s="9">
        <v>1387</v>
      </c>
      <c r="F537" s="9">
        <v>6995</v>
      </c>
      <c r="G537" s="9" t="s">
        <v>30</v>
      </c>
    </row>
    <row r="538" spans="1:7" x14ac:dyDescent="0.2">
      <c r="A538" t="s">
        <v>436</v>
      </c>
      <c r="B538" t="s">
        <v>553</v>
      </c>
      <c r="C538" t="s">
        <v>10991</v>
      </c>
      <c r="D538" t="e">
        <v>#N/A</v>
      </c>
      <c r="E538" s="9">
        <v>1998</v>
      </c>
      <c r="F538" s="9">
        <v>11222</v>
      </c>
      <c r="G538" s="9" t="s">
        <v>30</v>
      </c>
    </row>
    <row r="539" spans="1:7" x14ac:dyDescent="0.2">
      <c r="A539" t="s">
        <v>436</v>
      </c>
      <c r="B539" t="s">
        <v>554</v>
      </c>
      <c r="C539" t="s">
        <v>9999</v>
      </c>
      <c r="D539" t="s">
        <v>9715</v>
      </c>
      <c r="E539" s="9">
        <v>1174</v>
      </c>
      <c r="F539" s="9">
        <v>9150</v>
      </c>
      <c r="G539" s="9" t="s">
        <v>30</v>
      </c>
    </row>
    <row r="540" spans="1:7" x14ac:dyDescent="0.2">
      <c r="A540" t="s">
        <v>436</v>
      </c>
      <c r="B540" t="s">
        <v>555</v>
      </c>
      <c r="C540" t="s">
        <v>10000</v>
      </c>
      <c r="D540" t="s">
        <v>9715</v>
      </c>
      <c r="E540" s="9">
        <v>2110</v>
      </c>
      <c r="F540" s="9">
        <v>7722</v>
      </c>
      <c r="G540" s="9" t="s">
        <v>30</v>
      </c>
    </row>
    <row r="541" spans="1:7" x14ac:dyDescent="0.2">
      <c r="A541" t="s">
        <v>436</v>
      </c>
      <c r="B541" t="s">
        <v>556</v>
      </c>
      <c r="C541" t="s">
        <v>10992</v>
      </c>
      <c r="D541" t="e">
        <v>#N/A</v>
      </c>
      <c r="E541" s="9">
        <v>1070</v>
      </c>
      <c r="F541" s="9">
        <v>10900</v>
      </c>
      <c r="G541" s="9" t="s">
        <v>30</v>
      </c>
    </row>
    <row r="542" spans="1:7" x14ac:dyDescent="0.2">
      <c r="A542" t="s">
        <v>436</v>
      </c>
      <c r="B542" t="s">
        <v>557</v>
      </c>
      <c r="C542" t="s">
        <v>10167</v>
      </c>
      <c r="D542" t="s">
        <v>9715</v>
      </c>
      <c r="E542" s="9">
        <v>2468</v>
      </c>
      <c r="F542" s="9">
        <v>8099</v>
      </c>
      <c r="G542" s="9" t="s">
        <v>30</v>
      </c>
    </row>
    <row r="543" spans="1:7" x14ac:dyDescent="0.2">
      <c r="A543" t="s">
        <v>436</v>
      </c>
      <c r="B543" t="s">
        <v>558</v>
      </c>
      <c r="C543" t="s">
        <v>10168</v>
      </c>
      <c r="D543" t="s">
        <v>9715</v>
      </c>
      <c r="E543" s="9">
        <v>1962</v>
      </c>
      <c r="F543" s="9">
        <v>7689</v>
      </c>
      <c r="G543" s="9" t="s">
        <v>30</v>
      </c>
    </row>
    <row r="544" spans="1:7" x14ac:dyDescent="0.2">
      <c r="A544" t="s">
        <v>436</v>
      </c>
      <c r="B544" t="s">
        <v>559</v>
      </c>
      <c r="C544" t="s">
        <v>10169</v>
      </c>
      <c r="D544" t="s">
        <v>9715</v>
      </c>
      <c r="E544" s="9">
        <v>2842</v>
      </c>
      <c r="F544" s="9">
        <v>9094</v>
      </c>
      <c r="G544" s="9" t="s">
        <v>30</v>
      </c>
    </row>
    <row r="545" spans="1:7" x14ac:dyDescent="0.2">
      <c r="A545" t="s">
        <v>436</v>
      </c>
      <c r="B545" t="s">
        <v>560</v>
      </c>
      <c r="C545" t="s">
        <v>9906</v>
      </c>
      <c r="D545" t="s">
        <v>9715</v>
      </c>
      <c r="E545" s="9">
        <v>775</v>
      </c>
      <c r="F545" s="9">
        <v>20974</v>
      </c>
      <c r="G545" s="9" t="s">
        <v>30</v>
      </c>
    </row>
    <row r="546" spans="1:7" x14ac:dyDescent="0.2">
      <c r="A546" t="s">
        <v>436</v>
      </c>
      <c r="B546" t="s">
        <v>561</v>
      </c>
      <c r="C546" t="s">
        <v>10170</v>
      </c>
      <c r="D546" t="s">
        <v>9715</v>
      </c>
      <c r="E546" s="9">
        <v>2564</v>
      </c>
      <c r="F546" s="9">
        <v>8888</v>
      </c>
      <c r="G546" s="9" t="s">
        <v>30</v>
      </c>
    </row>
    <row r="547" spans="1:7" x14ac:dyDescent="0.2">
      <c r="A547" t="s">
        <v>436</v>
      </c>
      <c r="B547" t="s">
        <v>562</v>
      </c>
      <c r="C547" t="s">
        <v>9873</v>
      </c>
      <c r="D547" t="s">
        <v>9715</v>
      </c>
      <c r="E547" s="9">
        <v>698</v>
      </c>
      <c r="F547" s="9">
        <v>11786</v>
      </c>
      <c r="G547" s="9" t="s">
        <v>30</v>
      </c>
    </row>
    <row r="548" spans="1:7" x14ac:dyDescent="0.2">
      <c r="A548" t="s">
        <v>436</v>
      </c>
      <c r="B548" t="s">
        <v>563</v>
      </c>
      <c r="C548" t="s">
        <v>10001</v>
      </c>
      <c r="D548" t="s">
        <v>9715</v>
      </c>
      <c r="E548" s="9">
        <v>2359</v>
      </c>
      <c r="F548" s="9">
        <v>11588</v>
      </c>
      <c r="G548" s="9" t="s">
        <v>30</v>
      </c>
    </row>
    <row r="549" spans="1:7" x14ac:dyDescent="0.2">
      <c r="A549" t="s">
        <v>436</v>
      </c>
      <c r="B549" t="s">
        <v>564</v>
      </c>
      <c r="C549" t="s">
        <v>10993</v>
      </c>
      <c r="D549" t="e">
        <v>#N/A</v>
      </c>
      <c r="E549" s="9">
        <v>1414</v>
      </c>
      <c r="F549" s="9">
        <v>11357</v>
      </c>
      <c r="G549" s="9" t="s">
        <v>30</v>
      </c>
    </row>
    <row r="550" spans="1:7" x14ac:dyDescent="0.2">
      <c r="A550" t="s">
        <v>436</v>
      </c>
      <c r="B550" t="s">
        <v>565</v>
      </c>
      <c r="C550" t="s">
        <v>10002</v>
      </c>
      <c r="D550" t="s">
        <v>9715</v>
      </c>
      <c r="E550" s="9">
        <v>2452</v>
      </c>
      <c r="F550" s="9">
        <v>10360</v>
      </c>
      <c r="G550" s="9" t="s">
        <v>30</v>
      </c>
    </row>
    <row r="551" spans="1:7" x14ac:dyDescent="0.2">
      <c r="A551" t="s">
        <v>436</v>
      </c>
      <c r="B551" t="s">
        <v>566</v>
      </c>
      <c r="C551" t="s">
        <v>10994</v>
      </c>
      <c r="D551" t="e">
        <v>#N/A</v>
      </c>
      <c r="E551" s="9">
        <v>2053</v>
      </c>
      <c r="F551" s="9">
        <v>12471</v>
      </c>
      <c r="G551" s="9" t="s">
        <v>30</v>
      </c>
    </row>
    <row r="552" spans="1:7" x14ac:dyDescent="0.2">
      <c r="A552" t="s">
        <v>436</v>
      </c>
      <c r="B552" t="s">
        <v>567</v>
      </c>
      <c r="C552" t="s">
        <v>10995</v>
      </c>
      <c r="D552" t="e">
        <v>#N/A</v>
      </c>
      <c r="E552" s="9">
        <v>1533</v>
      </c>
      <c r="F552" s="9">
        <v>10954</v>
      </c>
      <c r="G552" s="9" t="s">
        <v>30</v>
      </c>
    </row>
    <row r="553" spans="1:7" x14ac:dyDescent="0.2">
      <c r="A553" t="s">
        <v>436</v>
      </c>
      <c r="B553" t="s">
        <v>568</v>
      </c>
      <c r="C553" t="s">
        <v>10996</v>
      </c>
      <c r="D553" t="e">
        <v>#N/A</v>
      </c>
      <c r="E553" s="9">
        <v>3432</v>
      </c>
      <c r="F553" s="9">
        <v>11656</v>
      </c>
      <c r="G553" s="9" t="s">
        <v>30</v>
      </c>
    </row>
    <row r="554" spans="1:7" x14ac:dyDescent="0.2">
      <c r="A554" t="s">
        <v>436</v>
      </c>
      <c r="B554" t="s">
        <v>569</v>
      </c>
      <c r="C554" t="s">
        <v>10003</v>
      </c>
      <c r="D554" t="s">
        <v>9715</v>
      </c>
      <c r="E554" s="9">
        <v>1970</v>
      </c>
      <c r="F554" s="9">
        <v>13660</v>
      </c>
      <c r="G554" s="9" t="s">
        <v>30</v>
      </c>
    </row>
    <row r="555" spans="1:7" x14ac:dyDescent="0.2">
      <c r="A555" t="s">
        <v>436</v>
      </c>
      <c r="B555" t="s">
        <v>570</v>
      </c>
      <c r="C555" t="s">
        <v>10004</v>
      </c>
      <c r="D555" t="s">
        <v>9715</v>
      </c>
      <c r="E555" s="9" t="s">
        <v>30</v>
      </c>
      <c r="F555" s="9" t="s">
        <v>30</v>
      </c>
      <c r="G555" s="9" t="s">
        <v>30</v>
      </c>
    </row>
    <row r="556" spans="1:7" x14ac:dyDescent="0.2">
      <c r="A556" t="s">
        <v>436</v>
      </c>
      <c r="B556" t="s">
        <v>571</v>
      </c>
      <c r="C556" t="s">
        <v>10005</v>
      </c>
      <c r="D556" t="s">
        <v>9715</v>
      </c>
      <c r="E556" s="9" t="s">
        <v>30</v>
      </c>
      <c r="F556" s="9" t="s">
        <v>30</v>
      </c>
      <c r="G556" s="9" t="s">
        <v>30</v>
      </c>
    </row>
    <row r="557" spans="1:7" x14ac:dyDescent="0.2">
      <c r="A557" t="s">
        <v>436</v>
      </c>
      <c r="B557" t="s">
        <v>572</v>
      </c>
      <c r="C557" t="s">
        <v>10006</v>
      </c>
      <c r="D557" t="s">
        <v>9715</v>
      </c>
      <c r="E557" s="9">
        <v>2659</v>
      </c>
      <c r="F557" s="9">
        <v>11271</v>
      </c>
      <c r="G557" s="9" t="s">
        <v>30</v>
      </c>
    </row>
    <row r="558" spans="1:7" x14ac:dyDescent="0.2">
      <c r="A558" t="s">
        <v>436</v>
      </c>
      <c r="B558" t="s">
        <v>573</v>
      </c>
      <c r="C558" t="s">
        <v>10007</v>
      </c>
      <c r="D558" t="s">
        <v>9715</v>
      </c>
      <c r="E558" s="9" t="s">
        <v>30</v>
      </c>
      <c r="F558" s="9" t="s">
        <v>30</v>
      </c>
      <c r="G558" s="9" t="s">
        <v>30</v>
      </c>
    </row>
    <row r="559" spans="1:7" x14ac:dyDescent="0.2">
      <c r="A559" t="s">
        <v>436</v>
      </c>
      <c r="B559" t="s">
        <v>574</v>
      </c>
      <c r="C559" t="s">
        <v>10008</v>
      </c>
      <c r="D559" t="s">
        <v>9715</v>
      </c>
      <c r="E559" s="9">
        <v>805</v>
      </c>
      <c r="F559" s="9">
        <v>9949</v>
      </c>
      <c r="G559" s="9" t="s">
        <v>30</v>
      </c>
    </row>
    <row r="560" spans="1:7" x14ac:dyDescent="0.2">
      <c r="A560" t="s">
        <v>436</v>
      </c>
      <c r="B560" t="s">
        <v>575</v>
      </c>
      <c r="C560" t="s">
        <v>10997</v>
      </c>
      <c r="D560" t="e">
        <v>#N/A</v>
      </c>
      <c r="E560" s="9">
        <v>1591</v>
      </c>
      <c r="F560" s="9">
        <v>4855</v>
      </c>
      <c r="G560" s="9" t="s">
        <v>30</v>
      </c>
    </row>
    <row r="561" spans="1:7" x14ac:dyDescent="0.2">
      <c r="A561" t="s">
        <v>436</v>
      </c>
      <c r="B561" t="s">
        <v>576</v>
      </c>
      <c r="C561" t="s">
        <v>10998</v>
      </c>
      <c r="D561" t="e">
        <v>#N/A</v>
      </c>
      <c r="E561" s="9">
        <v>2266</v>
      </c>
      <c r="F561" s="9">
        <v>12429</v>
      </c>
      <c r="G561" s="9" t="s">
        <v>30</v>
      </c>
    </row>
    <row r="562" spans="1:7" x14ac:dyDescent="0.2">
      <c r="A562" t="s">
        <v>436</v>
      </c>
      <c r="B562" t="s">
        <v>577</v>
      </c>
      <c r="C562" t="s">
        <v>10999</v>
      </c>
      <c r="D562" t="e">
        <v>#N/A</v>
      </c>
      <c r="E562" s="9">
        <v>2277</v>
      </c>
      <c r="F562" s="9">
        <v>11001</v>
      </c>
      <c r="G562" s="9" t="s">
        <v>30</v>
      </c>
    </row>
    <row r="563" spans="1:7" x14ac:dyDescent="0.2">
      <c r="A563" t="s">
        <v>436</v>
      </c>
      <c r="B563" t="s">
        <v>578</v>
      </c>
      <c r="C563" t="s">
        <v>10009</v>
      </c>
      <c r="D563" t="s">
        <v>9715</v>
      </c>
      <c r="E563" s="9">
        <v>3012</v>
      </c>
      <c r="F563" s="9">
        <v>10332</v>
      </c>
      <c r="G563" s="9" t="s">
        <v>30</v>
      </c>
    </row>
    <row r="564" spans="1:7" x14ac:dyDescent="0.2">
      <c r="A564" t="s">
        <v>436</v>
      </c>
      <c r="B564" t="s">
        <v>579</v>
      </c>
      <c r="C564" t="s">
        <v>11000</v>
      </c>
      <c r="D564" t="e">
        <v>#N/A</v>
      </c>
      <c r="E564" s="9">
        <v>1389</v>
      </c>
      <c r="F564" s="9">
        <v>10500</v>
      </c>
      <c r="G564" s="9" t="s">
        <v>30</v>
      </c>
    </row>
    <row r="565" spans="1:7" x14ac:dyDescent="0.2">
      <c r="A565" t="s">
        <v>436</v>
      </c>
      <c r="B565" t="s">
        <v>580</v>
      </c>
      <c r="C565" t="s">
        <v>9865</v>
      </c>
      <c r="D565" t="s">
        <v>9715</v>
      </c>
      <c r="E565" s="9">
        <v>272</v>
      </c>
      <c r="F565" s="9">
        <v>13597</v>
      </c>
      <c r="G565" s="9" t="s">
        <v>30</v>
      </c>
    </row>
    <row r="566" spans="1:7" x14ac:dyDescent="0.2">
      <c r="A566" t="s">
        <v>436</v>
      </c>
      <c r="B566" t="s">
        <v>581</v>
      </c>
      <c r="C566" t="s">
        <v>9896</v>
      </c>
      <c r="D566" t="s">
        <v>9715</v>
      </c>
      <c r="E566" s="9">
        <v>2212</v>
      </c>
      <c r="F566" s="9">
        <v>11701</v>
      </c>
      <c r="G566" s="9" t="s">
        <v>30</v>
      </c>
    </row>
    <row r="567" spans="1:7" x14ac:dyDescent="0.2">
      <c r="A567" t="s">
        <v>436</v>
      </c>
      <c r="B567" t="s">
        <v>582</v>
      </c>
      <c r="C567" t="s">
        <v>9907</v>
      </c>
      <c r="D567" t="s">
        <v>9715</v>
      </c>
      <c r="E567" s="9">
        <v>2080</v>
      </c>
      <c r="F567" s="9">
        <v>11914</v>
      </c>
      <c r="G567" s="9" t="s">
        <v>30</v>
      </c>
    </row>
    <row r="568" spans="1:7" x14ac:dyDescent="0.2">
      <c r="A568" t="s">
        <v>436</v>
      </c>
      <c r="B568" t="s">
        <v>583</v>
      </c>
      <c r="C568" t="s">
        <v>9908</v>
      </c>
      <c r="D568" t="s">
        <v>9715</v>
      </c>
      <c r="E568" s="9">
        <v>1890</v>
      </c>
      <c r="F568" s="9">
        <v>11601</v>
      </c>
      <c r="G568" s="9" t="s">
        <v>30</v>
      </c>
    </row>
    <row r="569" spans="1:7" x14ac:dyDescent="0.2">
      <c r="A569" t="s">
        <v>436</v>
      </c>
      <c r="B569" t="s">
        <v>584</v>
      </c>
      <c r="C569" t="s">
        <v>10010</v>
      </c>
      <c r="D569" t="s">
        <v>9715</v>
      </c>
      <c r="E569" s="9">
        <v>2139</v>
      </c>
      <c r="F569" s="9">
        <v>11598</v>
      </c>
      <c r="G569" s="9" t="s">
        <v>30</v>
      </c>
    </row>
    <row r="570" spans="1:7" x14ac:dyDescent="0.2">
      <c r="A570" t="s">
        <v>436</v>
      </c>
      <c r="B570" t="s">
        <v>585</v>
      </c>
      <c r="C570" t="s">
        <v>10011</v>
      </c>
      <c r="D570" t="s">
        <v>9715</v>
      </c>
      <c r="E570" s="9">
        <v>1981</v>
      </c>
      <c r="F570" s="9">
        <v>11425</v>
      </c>
      <c r="G570" s="9" t="s">
        <v>30</v>
      </c>
    </row>
    <row r="571" spans="1:7" x14ac:dyDescent="0.2">
      <c r="A571" t="s">
        <v>436</v>
      </c>
      <c r="B571" t="s">
        <v>586</v>
      </c>
      <c r="C571" t="s">
        <v>10012</v>
      </c>
      <c r="D571" t="s">
        <v>9715</v>
      </c>
      <c r="E571" s="9">
        <v>1618</v>
      </c>
      <c r="F571" s="9">
        <v>11417</v>
      </c>
      <c r="G571" s="9" t="s">
        <v>30</v>
      </c>
    </row>
    <row r="572" spans="1:7" x14ac:dyDescent="0.2">
      <c r="A572" t="s">
        <v>436</v>
      </c>
      <c r="B572" t="s">
        <v>587</v>
      </c>
      <c r="C572" t="s">
        <v>10013</v>
      </c>
      <c r="D572" t="s">
        <v>9715</v>
      </c>
      <c r="E572" s="9">
        <v>3018</v>
      </c>
      <c r="F572" s="9">
        <v>11474</v>
      </c>
      <c r="G572" s="9" t="s">
        <v>30</v>
      </c>
    </row>
    <row r="573" spans="1:7" x14ac:dyDescent="0.2">
      <c r="A573" t="s">
        <v>436</v>
      </c>
      <c r="B573" t="s">
        <v>588</v>
      </c>
      <c r="C573" t="s">
        <v>10014</v>
      </c>
      <c r="D573" t="s">
        <v>9715</v>
      </c>
      <c r="E573" s="9">
        <v>2822</v>
      </c>
      <c r="F573" s="9">
        <v>10533</v>
      </c>
      <c r="G573" s="9" t="s">
        <v>30</v>
      </c>
    </row>
    <row r="574" spans="1:7" x14ac:dyDescent="0.2">
      <c r="A574" t="s">
        <v>436</v>
      </c>
      <c r="B574" t="s">
        <v>589</v>
      </c>
      <c r="C574" t="s">
        <v>10015</v>
      </c>
      <c r="D574" t="s">
        <v>9715</v>
      </c>
      <c r="E574" s="9">
        <v>4920</v>
      </c>
      <c r="F574" s="9">
        <v>12068</v>
      </c>
      <c r="G574" s="9" t="s">
        <v>30</v>
      </c>
    </row>
    <row r="575" spans="1:7" x14ac:dyDescent="0.2">
      <c r="A575" t="s">
        <v>436</v>
      </c>
      <c r="B575" t="s">
        <v>590</v>
      </c>
      <c r="C575" t="s">
        <v>10016</v>
      </c>
      <c r="D575" t="s">
        <v>9715</v>
      </c>
      <c r="E575" s="9">
        <v>2700</v>
      </c>
      <c r="F575" s="9">
        <v>15069</v>
      </c>
      <c r="G575" s="9" t="s">
        <v>30</v>
      </c>
    </row>
    <row r="576" spans="1:7" x14ac:dyDescent="0.2">
      <c r="A576" t="s">
        <v>436</v>
      </c>
      <c r="B576" t="s">
        <v>591</v>
      </c>
      <c r="C576" t="s">
        <v>10017</v>
      </c>
      <c r="D576" t="s">
        <v>9715</v>
      </c>
      <c r="E576" s="9">
        <v>2423</v>
      </c>
      <c r="F576" s="9">
        <v>10756</v>
      </c>
      <c r="G576" s="9" t="s">
        <v>30</v>
      </c>
    </row>
    <row r="577" spans="1:7" x14ac:dyDescent="0.2">
      <c r="A577" t="s">
        <v>436</v>
      </c>
      <c r="B577" t="s">
        <v>592</v>
      </c>
      <c r="C577" t="s">
        <v>10018</v>
      </c>
      <c r="D577" t="s">
        <v>9715</v>
      </c>
      <c r="E577" s="9">
        <v>2712</v>
      </c>
      <c r="F577" s="9">
        <v>11316</v>
      </c>
      <c r="G577" s="9" t="s">
        <v>30</v>
      </c>
    </row>
    <row r="578" spans="1:7" x14ac:dyDescent="0.2">
      <c r="A578" t="s">
        <v>436</v>
      </c>
      <c r="B578" t="s">
        <v>593</v>
      </c>
      <c r="C578" t="s">
        <v>9875</v>
      </c>
      <c r="D578" t="s">
        <v>9715</v>
      </c>
      <c r="E578" s="9">
        <v>3101</v>
      </c>
      <c r="F578" s="9">
        <v>12599</v>
      </c>
      <c r="G578" s="9" t="s">
        <v>30</v>
      </c>
    </row>
    <row r="579" spans="1:7" x14ac:dyDescent="0.2">
      <c r="A579" t="s">
        <v>436</v>
      </c>
      <c r="B579" t="s">
        <v>594</v>
      </c>
      <c r="C579" t="s">
        <v>10019</v>
      </c>
      <c r="D579" t="s">
        <v>9715</v>
      </c>
      <c r="E579" s="9">
        <v>2216</v>
      </c>
      <c r="F579" s="9">
        <v>10239</v>
      </c>
      <c r="G579" s="9" t="s">
        <v>30</v>
      </c>
    </row>
    <row r="580" spans="1:7" x14ac:dyDescent="0.2">
      <c r="A580" t="s">
        <v>436</v>
      </c>
      <c r="B580" t="s">
        <v>595</v>
      </c>
      <c r="C580" t="s">
        <v>10020</v>
      </c>
      <c r="D580" t="s">
        <v>9715</v>
      </c>
      <c r="E580" s="9">
        <v>1586</v>
      </c>
      <c r="F580" s="9">
        <v>10803</v>
      </c>
      <c r="G580" s="9" t="s">
        <v>30</v>
      </c>
    </row>
    <row r="581" spans="1:7" x14ac:dyDescent="0.2">
      <c r="A581" t="s">
        <v>436</v>
      </c>
      <c r="B581" t="s">
        <v>596</v>
      </c>
      <c r="C581" t="s">
        <v>10021</v>
      </c>
      <c r="D581" t="s">
        <v>9715</v>
      </c>
      <c r="E581" s="9">
        <v>3826</v>
      </c>
      <c r="F581" s="9">
        <v>11881</v>
      </c>
      <c r="G581" s="9" t="s">
        <v>30</v>
      </c>
    </row>
    <row r="582" spans="1:7" x14ac:dyDescent="0.2">
      <c r="A582" t="s">
        <v>436</v>
      </c>
      <c r="B582" t="s">
        <v>597</v>
      </c>
      <c r="C582" t="s">
        <v>10022</v>
      </c>
      <c r="D582" t="s">
        <v>9715</v>
      </c>
      <c r="E582" s="9">
        <v>1653</v>
      </c>
      <c r="F582" s="9">
        <v>10729</v>
      </c>
      <c r="G582" s="9" t="s">
        <v>30</v>
      </c>
    </row>
    <row r="583" spans="1:7" x14ac:dyDescent="0.2">
      <c r="A583" t="s">
        <v>436</v>
      </c>
      <c r="B583" t="s">
        <v>598</v>
      </c>
      <c r="C583" t="s">
        <v>10023</v>
      </c>
      <c r="D583" t="s">
        <v>9715</v>
      </c>
      <c r="E583" s="9">
        <v>2799</v>
      </c>
      <c r="F583" s="9">
        <v>11124</v>
      </c>
      <c r="G583" s="9" t="s">
        <v>30</v>
      </c>
    </row>
    <row r="584" spans="1:7" x14ac:dyDescent="0.2">
      <c r="A584" t="s">
        <v>436</v>
      </c>
      <c r="B584" t="s">
        <v>599</v>
      </c>
      <c r="C584" t="s">
        <v>10024</v>
      </c>
      <c r="D584" t="s">
        <v>9715</v>
      </c>
      <c r="E584" s="9">
        <v>3056</v>
      </c>
      <c r="F584" s="9">
        <v>11132</v>
      </c>
      <c r="G584" s="9" t="s">
        <v>30</v>
      </c>
    </row>
    <row r="585" spans="1:7" x14ac:dyDescent="0.2">
      <c r="A585" t="s">
        <v>436</v>
      </c>
      <c r="B585" t="s">
        <v>600</v>
      </c>
      <c r="C585" t="s">
        <v>11001</v>
      </c>
      <c r="D585" t="e">
        <v>#N/A</v>
      </c>
      <c r="E585" s="9">
        <v>3228</v>
      </c>
      <c r="F585" s="9">
        <v>11615</v>
      </c>
      <c r="G585" s="9" t="s">
        <v>30</v>
      </c>
    </row>
    <row r="586" spans="1:7" x14ac:dyDescent="0.2">
      <c r="A586" t="s">
        <v>436</v>
      </c>
      <c r="B586" t="s">
        <v>601</v>
      </c>
      <c r="C586" t="s">
        <v>10025</v>
      </c>
      <c r="D586" t="s">
        <v>9715</v>
      </c>
      <c r="E586" s="9">
        <v>2626</v>
      </c>
      <c r="F586" s="9">
        <v>11708</v>
      </c>
      <c r="G586" s="9" t="s">
        <v>30</v>
      </c>
    </row>
    <row r="587" spans="1:7" x14ac:dyDescent="0.2">
      <c r="A587" t="s">
        <v>436</v>
      </c>
      <c r="B587" t="s">
        <v>602</v>
      </c>
      <c r="C587" t="s">
        <v>11002</v>
      </c>
      <c r="D587" t="e">
        <v>#N/A</v>
      </c>
      <c r="E587" s="9">
        <v>832</v>
      </c>
      <c r="F587" s="9">
        <v>10559</v>
      </c>
      <c r="G587" s="9" t="s">
        <v>30</v>
      </c>
    </row>
    <row r="588" spans="1:7" x14ac:dyDescent="0.2">
      <c r="A588" t="s">
        <v>436</v>
      </c>
      <c r="B588" t="s">
        <v>603</v>
      </c>
      <c r="C588" t="s">
        <v>11003</v>
      </c>
      <c r="D588" t="e">
        <v>#N/A</v>
      </c>
      <c r="E588" s="9">
        <v>1209</v>
      </c>
      <c r="F588" s="9">
        <v>10869</v>
      </c>
      <c r="G588" s="9" t="s">
        <v>30</v>
      </c>
    </row>
    <row r="589" spans="1:7" x14ac:dyDescent="0.2">
      <c r="A589" t="s">
        <v>436</v>
      </c>
      <c r="B589" t="s">
        <v>604</v>
      </c>
      <c r="C589" t="s">
        <v>10026</v>
      </c>
      <c r="D589" t="s">
        <v>9715</v>
      </c>
      <c r="E589" s="9">
        <v>1860</v>
      </c>
      <c r="F589" s="9">
        <v>11858</v>
      </c>
      <c r="G589" s="9" t="s">
        <v>30</v>
      </c>
    </row>
    <row r="590" spans="1:7" x14ac:dyDescent="0.2">
      <c r="A590" t="s">
        <v>436</v>
      </c>
      <c r="B590" t="s">
        <v>605</v>
      </c>
      <c r="C590" t="s">
        <v>10027</v>
      </c>
      <c r="D590" t="s">
        <v>9715</v>
      </c>
      <c r="E590" s="9">
        <v>2610</v>
      </c>
      <c r="F590" s="9">
        <v>12141</v>
      </c>
      <c r="G590" s="9" t="s">
        <v>30</v>
      </c>
    </row>
    <row r="591" spans="1:7" x14ac:dyDescent="0.2">
      <c r="A591" t="s">
        <v>436</v>
      </c>
      <c r="B591" t="s">
        <v>606</v>
      </c>
      <c r="C591" t="s">
        <v>10028</v>
      </c>
      <c r="D591" t="s">
        <v>9715</v>
      </c>
      <c r="E591" s="9">
        <v>658</v>
      </c>
      <c r="F591" s="9">
        <v>9932</v>
      </c>
      <c r="G591" s="9" t="s">
        <v>30</v>
      </c>
    </row>
    <row r="592" spans="1:7" x14ac:dyDescent="0.2">
      <c r="A592" t="s">
        <v>436</v>
      </c>
      <c r="B592" t="s">
        <v>607</v>
      </c>
      <c r="C592" t="s">
        <v>11004</v>
      </c>
      <c r="D592" t="e">
        <v>#N/A</v>
      </c>
      <c r="E592" s="9" t="s">
        <v>30</v>
      </c>
      <c r="F592" s="9" t="s">
        <v>30</v>
      </c>
      <c r="G592" s="9" t="s">
        <v>30</v>
      </c>
    </row>
    <row r="593" spans="1:7" x14ac:dyDescent="0.2">
      <c r="A593" t="s">
        <v>436</v>
      </c>
      <c r="B593" t="s">
        <v>608</v>
      </c>
      <c r="C593" t="s">
        <v>9887</v>
      </c>
      <c r="D593" t="s">
        <v>9715</v>
      </c>
      <c r="E593" s="9">
        <v>789</v>
      </c>
      <c r="F593" s="9">
        <v>9735</v>
      </c>
      <c r="G593" s="9" t="s">
        <v>30</v>
      </c>
    </row>
    <row r="594" spans="1:7" x14ac:dyDescent="0.2">
      <c r="A594" t="s">
        <v>436</v>
      </c>
      <c r="B594" t="s">
        <v>609</v>
      </c>
      <c r="C594" t="s">
        <v>9889</v>
      </c>
      <c r="D594" t="s">
        <v>9715</v>
      </c>
      <c r="E594" s="9">
        <v>2279</v>
      </c>
      <c r="F594" s="9">
        <v>14949</v>
      </c>
      <c r="G594" s="9" t="s">
        <v>30</v>
      </c>
    </row>
    <row r="595" spans="1:7" x14ac:dyDescent="0.2">
      <c r="A595" t="s">
        <v>436</v>
      </c>
      <c r="B595" t="s">
        <v>610</v>
      </c>
      <c r="C595" t="s">
        <v>10029</v>
      </c>
      <c r="D595" t="s">
        <v>9715</v>
      </c>
      <c r="E595" s="9">
        <v>1987</v>
      </c>
      <c r="F595" s="9">
        <v>13521</v>
      </c>
      <c r="G595" s="9" t="s">
        <v>30</v>
      </c>
    </row>
    <row r="596" spans="1:7" x14ac:dyDescent="0.2">
      <c r="A596" t="s">
        <v>436</v>
      </c>
      <c r="B596" t="s">
        <v>611</v>
      </c>
      <c r="C596" t="s">
        <v>11005</v>
      </c>
      <c r="D596" t="e">
        <v>#N/A</v>
      </c>
      <c r="E596" s="9">
        <v>2472</v>
      </c>
      <c r="F596" s="9">
        <v>12337</v>
      </c>
      <c r="G596" s="9" t="s">
        <v>30</v>
      </c>
    </row>
    <row r="597" spans="1:7" x14ac:dyDescent="0.2">
      <c r="A597" t="s">
        <v>436</v>
      </c>
      <c r="B597" t="s">
        <v>612</v>
      </c>
      <c r="C597" t="s">
        <v>11006</v>
      </c>
      <c r="D597" t="e">
        <v>#N/A</v>
      </c>
      <c r="E597" s="9">
        <v>3275</v>
      </c>
      <c r="F597" s="9">
        <v>11896</v>
      </c>
      <c r="G597" s="9" t="s">
        <v>30</v>
      </c>
    </row>
    <row r="598" spans="1:7" x14ac:dyDescent="0.2">
      <c r="A598" t="s">
        <v>436</v>
      </c>
      <c r="B598" t="s">
        <v>613</v>
      </c>
      <c r="C598" t="s">
        <v>11007</v>
      </c>
      <c r="D598" t="e">
        <v>#N/A</v>
      </c>
      <c r="E598" s="9">
        <v>622</v>
      </c>
      <c r="F598" s="9">
        <v>10689</v>
      </c>
      <c r="G598" s="9" t="s">
        <v>30</v>
      </c>
    </row>
    <row r="599" spans="1:7" x14ac:dyDescent="0.2">
      <c r="A599" t="s">
        <v>436</v>
      </c>
      <c r="B599" t="s">
        <v>614</v>
      </c>
      <c r="C599" t="s">
        <v>10030</v>
      </c>
      <c r="D599" t="s">
        <v>9715</v>
      </c>
      <c r="E599" s="9">
        <v>1117</v>
      </c>
      <c r="F599" s="9">
        <v>11271</v>
      </c>
      <c r="G599" s="9" t="s">
        <v>30</v>
      </c>
    </row>
    <row r="600" spans="1:7" x14ac:dyDescent="0.2">
      <c r="A600" t="s">
        <v>436</v>
      </c>
      <c r="B600" t="s">
        <v>615</v>
      </c>
      <c r="C600" t="s">
        <v>10031</v>
      </c>
      <c r="D600" t="s">
        <v>9715</v>
      </c>
      <c r="E600" s="9">
        <v>748</v>
      </c>
      <c r="F600" s="9">
        <v>6819</v>
      </c>
      <c r="G600" s="9" t="s">
        <v>30</v>
      </c>
    </row>
    <row r="601" spans="1:7" x14ac:dyDescent="0.2">
      <c r="A601" t="s">
        <v>436</v>
      </c>
      <c r="B601" t="s">
        <v>616</v>
      </c>
      <c r="C601" t="s">
        <v>11008</v>
      </c>
      <c r="D601" t="e">
        <v>#N/A</v>
      </c>
      <c r="E601" s="9">
        <v>457</v>
      </c>
      <c r="F601" s="9">
        <v>8530</v>
      </c>
      <c r="G601" s="9" t="s">
        <v>30</v>
      </c>
    </row>
    <row r="602" spans="1:7" x14ac:dyDescent="0.2">
      <c r="A602" t="s">
        <v>436</v>
      </c>
      <c r="B602" t="s">
        <v>617</v>
      </c>
      <c r="C602" t="s">
        <v>9890</v>
      </c>
      <c r="D602" t="s">
        <v>9715</v>
      </c>
      <c r="E602" s="9">
        <v>2498</v>
      </c>
      <c r="F602" s="9">
        <v>11973</v>
      </c>
      <c r="G602" s="9" t="s">
        <v>30</v>
      </c>
    </row>
    <row r="603" spans="1:7" x14ac:dyDescent="0.2">
      <c r="A603" t="s">
        <v>436</v>
      </c>
      <c r="B603" t="s">
        <v>618</v>
      </c>
      <c r="C603" t="s">
        <v>10032</v>
      </c>
      <c r="D603" t="s">
        <v>9715</v>
      </c>
      <c r="E603" s="9">
        <v>2602</v>
      </c>
      <c r="F603" s="9">
        <v>13170</v>
      </c>
      <c r="G603" s="9" t="s">
        <v>30</v>
      </c>
    </row>
    <row r="604" spans="1:7" x14ac:dyDescent="0.2">
      <c r="A604" t="s">
        <v>436</v>
      </c>
      <c r="B604" t="s">
        <v>619</v>
      </c>
      <c r="C604" t="s">
        <v>10033</v>
      </c>
      <c r="D604" t="s">
        <v>9715</v>
      </c>
      <c r="E604" s="9">
        <v>1772</v>
      </c>
      <c r="F604" s="9">
        <v>12711</v>
      </c>
      <c r="G604" s="9" t="s">
        <v>30</v>
      </c>
    </row>
    <row r="605" spans="1:7" x14ac:dyDescent="0.2">
      <c r="A605" t="s">
        <v>436</v>
      </c>
      <c r="B605" t="s">
        <v>620</v>
      </c>
      <c r="C605" t="s">
        <v>10034</v>
      </c>
      <c r="D605" t="s">
        <v>9715</v>
      </c>
      <c r="E605" s="9">
        <v>1829</v>
      </c>
      <c r="F605" s="9">
        <v>12157</v>
      </c>
      <c r="G605" s="9" t="s">
        <v>30</v>
      </c>
    </row>
    <row r="606" spans="1:7" x14ac:dyDescent="0.2">
      <c r="A606" t="s">
        <v>436</v>
      </c>
      <c r="B606" t="s">
        <v>621</v>
      </c>
      <c r="C606" t="s">
        <v>10035</v>
      </c>
      <c r="D606" t="s">
        <v>9715</v>
      </c>
      <c r="E606" s="9">
        <v>3718</v>
      </c>
      <c r="F606" s="9">
        <v>9333</v>
      </c>
      <c r="G606" s="9" t="s">
        <v>30</v>
      </c>
    </row>
    <row r="607" spans="1:7" x14ac:dyDescent="0.2">
      <c r="A607" t="s">
        <v>436</v>
      </c>
      <c r="B607" t="s">
        <v>622</v>
      </c>
      <c r="C607" t="s">
        <v>10036</v>
      </c>
      <c r="D607" t="s">
        <v>9715</v>
      </c>
      <c r="E607" s="9">
        <v>2482</v>
      </c>
      <c r="F607" s="9">
        <v>12053</v>
      </c>
      <c r="G607" s="9" t="s">
        <v>30</v>
      </c>
    </row>
    <row r="608" spans="1:7" x14ac:dyDescent="0.2">
      <c r="A608" t="s">
        <v>436</v>
      </c>
      <c r="B608" t="s">
        <v>623</v>
      </c>
      <c r="C608" t="s">
        <v>10037</v>
      </c>
      <c r="D608" t="s">
        <v>9715</v>
      </c>
      <c r="E608" s="9">
        <v>2079</v>
      </c>
      <c r="F608" s="9">
        <v>7959</v>
      </c>
      <c r="G608" s="9" t="s">
        <v>30</v>
      </c>
    </row>
    <row r="609" spans="1:7" x14ac:dyDescent="0.2">
      <c r="A609" t="s">
        <v>436</v>
      </c>
      <c r="B609" t="s">
        <v>624</v>
      </c>
      <c r="C609" t="s">
        <v>9866</v>
      </c>
      <c r="D609" t="s">
        <v>9715</v>
      </c>
      <c r="E609" s="9">
        <v>714</v>
      </c>
      <c r="F609" s="9">
        <v>9872</v>
      </c>
      <c r="G609" s="9" t="s">
        <v>30</v>
      </c>
    </row>
    <row r="610" spans="1:7" x14ac:dyDescent="0.2">
      <c r="A610" t="s">
        <v>436</v>
      </c>
      <c r="B610" t="s">
        <v>625</v>
      </c>
      <c r="C610" t="s">
        <v>9867</v>
      </c>
      <c r="D610" t="s">
        <v>9715</v>
      </c>
      <c r="E610" s="9">
        <v>358</v>
      </c>
      <c r="F610" s="9">
        <v>9952</v>
      </c>
      <c r="G610" s="9" t="s">
        <v>30</v>
      </c>
    </row>
    <row r="611" spans="1:7" x14ac:dyDescent="0.2">
      <c r="A611" t="s">
        <v>436</v>
      </c>
      <c r="B611" t="s">
        <v>626</v>
      </c>
      <c r="C611" t="s">
        <v>9894</v>
      </c>
      <c r="D611" t="s">
        <v>9715</v>
      </c>
      <c r="E611" s="9">
        <v>1395</v>
      </c>
      <c r="F611" s="9">
        <v>11803</v>
      </c>
      <c r="G611" s="9" t="s">
        <v>30</v>
      </c>
    </row>
    <row r="612" spans="1:7" x14ac:dyDescent="0.2">
      <c r="A612" t="s">
        <v>436</v>
      </c>
      <c r="B612" t="s">
        <v>627</v>
      </c>
      <c r="C612" t="s">
        <v>9868</v>
      </c>
      <c r="D612" t="s">
        <v>9715</v>
      </c>
      <c r="E612" s="9">
        <v>58</v>
      </c>
      <c r="F612" s="9">
        <v>10844</v>
      </c>
      <c r="G612" s="9" t="s">
        <v>30</v>
      </c>
    </row>
    <row r="613" spans="1:7" x14ac:dyDescent="0.2">
      <c r="A613" t="s">
        <v>436</v>
      </c>
      <c r="B613" t="s">
        <v>628</v>
      </c>
      <c r="C613" t="s">
        <v>10038</v>
      </c>
      <c r="D613" t="s">
        <v>9715</v>
      </c>
      <c r="E613" s="9">
        <v>1852</v>
      </c>
      <c r="F613" s="9">
        <v>10480</v>
      </c>
      <c r="G613" s="9" t="s">
        <v>30</v>
      </c>
    </row>
    <row r="614" spans="1:7" x14ac:dyDescent="0.2">
      <c r="A614" t="s">
        <v>436</v>
      </c>
      <c r="B614" t="s">
        <v>629</v>
      </c>
      <c r="C614" t="s">
        <v>10039</v>
      </c>
      <c r="D614" t="s">
        <v>9715</v>
      </c>
      <c r="E614" s="9">
        <v>2258</v>
      </c>
      <c r="F614" s="9">
        <v>9479</v>
      </c>
      <c r="G614" s="9" t="s">
        <v>30</v>
      </c>
    </row>
    <row r="615" spans="1:7" x14ac:dyDescent="0.2">
      <c r="A615" t="s">
        <v>436</v>
      </c>
      <c r="B615" t="s">
        <v>630</v>
      </c>
      <c r="C615" t="s">
        <v>9879</v>
      </c>
      <c r="D615" t="s">
        <v>9715</v>
      </c>
      <c r="E615" s="9">
        <v>1679</v>
      </c>
      <c r="F615" s="9">
        <v>9616</v>
      </c>
      <c r="G615" s="9" t="s">
        <v>30</v>
      </c>
    </row>
    <row r="616" spans="1:7" x14ac:dyDescent="0.2">
      <c r="A616" t="s">
        <v>436</v>
      </c>
      <c r="B616" t="s">
        <v>631</v>
      </c>
      <c r="C616" t="s">
        <v>11009</v>
      </c>
      <c r="D616" t="e">
        <v>#N/A</v>
      </c>
      <c r="E616" s="9">
        <v>3621</v>
      </c>
      <c r="F616" s="9">
        <v>12262</v>
      </c>
      <c r="G616" s="9" t="s">
        <v>30</v>
      </c>
    </row>
    <row r="617" spans="1:7" x14ac:dyDescent="0.2">
      <c r="A617" t="s">
        <v>436</v>
      </c>
      <c r="B617" t="s">
        <v>632</v>
      </c>
      <c r="C617" t="s">
        <v>9909</v>
      </c>
      <c r="D617" t="s">
        <v>9715</v>
      </c>
      <c r="E617" s="9">
        <v>2315</v>
      </c>
      <c r="F617" s="9">
        <v>19047</v>
      </c>
      <c r="G617" s="9" t="s">
        <v>30</v>
      </c>
    </row>
    <row r="618" spans="1:7" x14ac:dyDescent="0.2">
      <c r="A618" t="s">
        <v>436</v>
      </c>
      <c r="B618" t="s">
        <v>633</v>
      </c>
      <c r="C618" t="s">
        <v>9901</v>
      </c>
      <c r="D618" t="s">
        <v>9715</v>
      </c>
      <c r="E618" s="9">
        <v>716</v>
      </c>
      <c r="F618" s="9">
        <v>8055</v>
      </c>
      <c r="G618" s="9" t="s">
        <v>30</v>
      </c>
    </row>
    <row r="619" spans="1:7" x14ac:dyDescent="0.2">
      <c r="A619" t="s">
        <v>436</v>
      </c>
      <c r="B619" t="s">
        <v>634</v>
      </c>
      <c r="C619" t="s">
        <v>10040</v>
      </c>
      <c r="D619" t="s">
        <v>9715</v>
      </c>
      <c r="E619" s="9">
        <v>804</v>
      </c>
      <c r="F619" s="9">
        <v>23537</v>
      </c>
      <c r="G619" s="9" t="s">
        <v>30</v>
      </c>
    </row>
    <row r="620" spans="1:7" x14ac:dyDescent="0.2">
      <c r="A620" t="s">
        <v>436</v>
      </c>
      <c r="B620" t="s">
        <v>635</v>
      </c>
      <c r="C620" t="s">
        <v>10157</v>
      </c>
      <c r="D620" t="s">
        <v>9715</v>
      </c>
      <c r="E620" s="9">
        <v>2101</v>
      </c>
      <c r="F620" s="9">
        <v>7973</v>
      </c>
      <c r="G620" s="9" t="s">
        <v>30</v>
      </c>
    </row>
    <row r="621" spans="1:7" x14ac:dyDescent="0.2">
      <c r="A621" t="s">
        <v>436</v>
      </c>
      <c r="B621" t="s">
        <v>636</v>
      </c>
      <c r="C621" t="s">
        <v>9880</v>
      </c>
      <c r="D621" t="s">
        <v>9715</v>
      </c>
      <c r="E621" s="9">
        <v>3820</v>
      </c>
      <c r="F621" s="9">
        <v>9676</v>
      </c>
      <c r="G621" s="9" t="s">
        <v>30</v>
      </c>
    </row>
    <row r="622" spans="1:7" x14ac:dyDescent="0.2">
      <c r="A622" t="s">
        <v>436</v>
      </c>
      <c r="B622" t="s">
        <v>637</v>
      </c>
      <c r="C622" t="s">
        <v>10041</v>
      </c>
      <c r="D622" t="s">
        <v>9715</v>
      </c>
      <c r="E622" s="9">
        <v>3605</v>
      </c>
      <c r="F622" s="9">
        <v>10098</v>
      </c>
      <c r="G622" s="9" t="s">
        <v>30</v>
      </c>
    </row>
    <row r="623" spans="1:7" x14ac:dyDescent="0.2">
      <c r="A623" t="s">
        <v>436</v>
      </c>
      <c r="B623" t="s">
        <v>638</v>
      </c>
      <c r="C623" t="s">
        <v>10042</v>
      </c>
      <c r="D623" t="s">
        <v>9715</v>
      </c>
      <c r="E623" s="9">
        <v>3228</v>
      </c>
      <c r="F623" s="9">
        <v>9677</v>
      </c>
      <c r="G623" s="9" t="s">
        <v>30</v>
      </c>
    </row>
    <row r="624" spans="1:7" x14ac:dyDescent="0.2">
      <c r="A624" t="s">
        <v>436</v>
      </c>
      <c r="B624" t="s">
        <v>639</v>
      </c>
      <c r="C624" t="s">
        <v>10043</v>
      </c>
      <c r="D624" t="s">
        <v>9715</v>
      </c>
      <c r="E624" s="9">
        <v>3275</v>
      </c>
      <c r="F624" s="9">
        <v>11254</v>
      </c>
      <c r="G624" s="9" t="s">
        <v>30</v>
      </c>
    </row>
    <row r="625" spans="1:7" x14ac:dyDescent="0.2">
      <c r="A625" t="s">
        <v>436</v>
      </c>
      <c r="B625" t="s">
        <v>640</v>
      </c>
      <c r="C625" t="s">
        <v>10044</v>
      </c>
      <c r="D625" t="s">
        <v>9715</v>
      </c>
      <c r="E625" s="9">
        <v>2986</v>
      </c>
      <c r="F625" s="9">
        <v>10111</v>
      </c>
      <c r="G625" s="9" t="s">
        <v>30</v>
      </c>
    </row>
    <row r="626" spans="1:7" x14ac:dyDescent="0.2">
      <c r="A626" t="s">
        <v>436</v>
      </c>
      <c r="B626" t="s">
        <v>641</v>
      </c>
      <c r="C626" t="s">
        <v>10045</v>
      </c>
      <c r="D626" t="s">
        <v>9715</v>
      </c>
      <c r="E626" s="9">
        <v>3308</v>
      </c>
      <c r="F626" s="9">
        <v>10371</v>
      </c>
      <c r="G626" s="9" t="s">
        <v>30</v>
      </c>
    </row>
    <row r="627" spans="1:7" x14ac:dyDescent="0.2">
      <c r="A627" t="s">
        <v>436</v>
      </c>
      <c r="B627" t="s">
        <v>642</v>
      </c>
      <c r="C627" t="s">
        <v>10046</v>
      </c>
      <c r="D627" t="s">
        <v>9715</v>
      </c>
      <c r="E627" s="9">
        <v>2073</v>
      </c>
      <c r="F627" s="9">
        <v>10104</v>
      </c>
      <c r="G627" s="9" t="s">
        <v>30</v>
      </c>
    </row>
    <row r="628" spans="1:7" x14ac:dyDescent="0.2">
      <c r="A628" t="s">
        <v>436</v>
      </c>
      <c r="B628" t="s">
        <v>643</v>
      </c>
      <c r="C628" t="s">
        <v>10047</v>
      </c>
      <c r="D628" t="s">
        <v>9715</v>
      </c>
      <c r="E628" s="9">
        <v>2563</v>
      </c>
      <c r="F628" s="9">
        <v>11103</v>
      </c>
      <c r="G628" s="9" t="s">
        <v>30</v>
      </c>
    </row>
    <row r="629" spans="1:7" x14ac:dyDescent="0.2">
      <c r="A629" t="s">
        <v>436</v>
      </c>
      <c r="B629" t="s">
        <v>644</v>
      </c>
      <c r="C629" t="s">
        <v>10048</v>
      </c>
      <c r="D629" t="s">
        <v>9715</v>
      </c>
      <c r="E629" s="9">
        <v>1641</v>
      </c>
      <c r="F629" s="9">
        <v>11180</v>
      </c>
      <c r="G629" s="9" t="s">
        <v>30</v>
      </c>
    </row>
    <row r="630" spans="1:7" x14ac:dyDescent="0.2">
      <c r="A630" t="s">
        <v>436</v>
      </c>
      <c r="B630" t="s">
        <v>645</v>
      </c>
      <c r="C630" t="s">
        <v>10049</v>
      </c>
      <c r="D630" t="s">
        <v>9715</v>
      </c>
      <c r="E630" s="9">
        <v>2373</v>
      </c>
      <c r="F630" s="9">
        <v>12126</v>
      </c>
      <c r="G630" s="9" t="s">
        <v>30</v>
      </c>
    </row>
    <row r="631" spans="1:7" x14ac:dyDescent="0.2">
      <c r="A631" t="s">
        <v>436</v>
      </c>
      <c r="B631" t="s">
        <v>646</v>
      </c>
      <c r="C631" t="s">
        <v>9910</v>
      </c>
      <c r="D631" t="s">
        <v>9715</v>
      </c>
      <c r="E631" s="9">
        <v>2017</v>
      </c>
      <c r="F631" s="9">
        <v>18007</v>
      </c>
      <c r="G631" s="9" t="s">
        <v>30</v>
      </c>
    </row>
    <row r="632" spans="1:7" x14ac:dyDescent="0.2">
      <c r="A632" t="s">
        <v>436</v>
      </c>
      <c r="B632" t="s">
        <v>647</v>
      </c>
      <c r="C632" t="s">
        <v>11010</v>
      </c>
      <c r="D632" t="e">
        <v>#N/A</v>
      </c>
      <c r="E632" s="9">
        <v>1811</v>
      </c>
      <c r="F632" s="9">
        <v>11066</v>
      </c>
      <c r="G632" s="9" t="s">
        <v>30</v>
      </c>
    </row>
    <row r="633" spans="1:7" x14ac:dyDescent="0.2">
      <c r="A633" t="s">
        <v>436</v>
      </c>
      <c r="B633" t="s">
        <v>648</v>
      </c>
      <c r="C633" t="s">
        <v>10050</v>
      </c>
      <c r="D633" t="s">
        <v>9715</v>
      </c>
      <c r="E633" s="9">
        <v>2395</v>
      </c>
      <c r="F633" s="9">
        <v>11362</v>
      </c>
      <c r="G633" s="9" t="s">
        <v>30</v>
      </c>
    </row>
    <row r="634" spans="1:7" x14ac:dyDescent="0.2">
      <c r="A634" t="s">
        <v>436</v>
      </c>
      <c r="B634" t="s">
        <v>649</v>
      </c>
      <c r="C634" t="s">
        <v>10051</v>
      </c>
      <c r="D634" t="s">
        <v>9715</v>
      </c>
      <c r="E634" s="9">
        <v>2099</v>
      </c>
      <c r="F634" s="9">
        <v>11009</v>
      </c>
      <c r="G634" s="9" t="s">
        <v>30</v>
      </c>
    </row>
    <row r="635" spans="1:7" x14ac:dyDescent="0.2">
      <c r="A635" t="s">
        <v>436</v>
      </c>
      <c r="B635" t="s">
        <v>650</v>
      </c>
      <c r="C635" t="s">
        <v>10052</v>
      </c>
      <c r="D635" t="s">
        <v>9715</v>
      </c>
      <c r="E635" s="9">
        <v>2426</v>
      </c>
      <c r="F635" s="9">
        <v>11292</v>
      </c>
      <c r="G635" s="9" t="s">
        <v>30</v>
      </c>
    </row>
    <row r="636" spans="1:7" x14ac:dyDescent="0.2">
      <c r="A636" t="s">
        <v>436</v>
      </c>
      <c r="B636" t="s">
        <v>651</v>
      </c>
      <c r="C636" t="s">
        <v>9881</v>
      </c>
      <c r="D636" t="s">
        <v>9715</v>
      </c>
      <c r="E636" s="9">
        <v>1892</v>
      </c>
      <c r="F636" s="9">
        <v>12507</v>
      </c>
      <c r="G636" s="9" t="s">
        <v>30</v>
      </c>
    </row>
    <row r="637" spans="1:7" x14ac:dyDescent="0.2">
      <c r="A637" t="s">
        <v>436</v>
      </c>
      <c r="B637" t="s">
        <v>652</v>
      </c>
      <c r="C637" t="s">
        <v>10053</v>
      </c>
      <c r="D637" t="s">
        <v>9715</v>
      </c>
      <c r="E637" s="9">
        <v>1804</v>
      </c>
      <c r="F637" s="9">
        <v>11900</v>
      </c>
      <c r="G637" s="9" t="s">
        <v>30</v>
      </c>
    </row>
    <row r="638" spans="1:7" x14ac:dyDescent="0.2">
      <c r="A638" t="s">
        <v>436</v>
      </c>
      <c r="B638" t="s">
        <v>653</v>
      </c>
      <c r="C638" t="s">
        <v>10054</v>
      </c>
      <c r="D638" t="s">
        <v>9715</v>
      </c>
      <c r="E638" s="9">
        <v>2019</v>
      </c>
      <c r="F638" s="9">
        <v>11841</v>
      </c>
      <c r="G638" s="9" t="s">
        <v>30</v>
      </c>
    </row>
    <row r="639" spans="1:7" x14ac:dyDescent="0.2">
      <c r="A639" t="s">
        <v>436</v>
      </c>
      <c r="B639" t="s">
        <v>654</v>
      </c>
      <c r="C639" t="s">
        <v>10055</v>
      </c>
      <c r="D639" t="s">
        <v>9715</v>
      </c>
      <c r="E639" s="9">
        <v>3096</v>
      </c>
      <c r="F639" s="9">
        <v>21175</v>
      </c>
      <c r="G639" s="9" t="s">
        <v>30</v>
      </c>
    </row>
    <row r="640" spans="1:7" x14ac:dyDescent="0.2">
      <c r="A640" t="s">
        <v>436</v>
      </c>
      <c r="B640" t="s">
        <v>655</v>
      </c>
      <c r="C640" t="s">
        <v>10056</v>
      </c>
      <c r="D640" t="s">
        <v>9715</v>
      </c>
      <c r="E640" s="9">
        <v>2353</v>
      </c>
      <c r="F640" s="9">
        <v>12464</v>
      </c>
      <c r="G640" s="9" t="s">
        <v>30</v>
      </c>
    </row>
    <row r="641" spans="1:7" x14ac:dyDescent="0.2">
      <c r="A641" t="s">
        <v>436</v>
      </c>
      <c r="B641" t="s">
        <v>656</v>
      </c>
      <c r="C641" t="s">
        <v>10057</v>
      </c>
      <c r="D641" t="s">
        <v>9715</v>
      </c>
      <c r="E641" s="9">
        <v>2092</v>
      </c>
      <c r="F641" s="9">
        <v>11190</v>
      </c>
      <c r="G641" s="9" t="s">
        <v>30</v>
      </c>
    </row>
    <row r="642" spans="1:7" x14ac:dyDescent="0.2">
      <c r="A642" t="s">
        <v>436</v>
      </c>
      <c r="B642" t="s">
        <v>657</v>
      </c>
      <c r="C642" t="s">
        <v>10058</v>
      </c>
      <c r="D642" t="s">
        <v>9715</v>
      </c>
      <c r="E642" s="9">
        <v>2657</v>
      </c>
      <c r="F642" s="9">
        <v>10836</v>
      </c>
      <c r="G642" s="9" t="s">
        <v>30</v>
      </c>
    </row>
    <row r="643" spans="1:7" x14ac:dyDescent="0.2">
      <c r="A643" t="s">
        <v>436</v>
      </c>
      <c r="B643" t="s">
        <v>658</v>
      </c>
      <c r="C643" t="s">
        <v>10059</v>
      </c>
      <c r="D643" t="s">
        <v>9715</v>
      </c>
      <c r="E643" s="9">
        <v>3338</v>
      </c>
      <c r="F643" s="9">
        <v>12720</v>
      </c>
      <c r="G643" s="9" t="s">
        <v>30</v>
      </c>
    </row>
    <row r="644" spans="1:7" x14ac:dyDescent="0.2">
      <c r="A644" t="s">
        <v>436</v>
      </c>
      <c r="B644" t="s">
        <v>659</v>
      </c>
      <c r="C644" t="s">
        <v>10060</v>
      </c>
      <c r="D644" t="s">
        <v>9715</v>
      </c>
      <c r="E644" s="9">
        <v>2186</v>
      </c>
      <c r="F644" s="9">
        <v>11100</v>
      </c>
      <c r="G644" s="9" t="s">
        <v>30</v>
      </c>
    </row>
    <row r="645" spans="1:7" x14ac:dyDescent="0.2">
      <c r="A645" t="s">
        <v>436</v>
      </c>
      <c r="B645" t="s">
        <v>660</v>
      </c>
      <c r="C645" t="s">
        <v>10061</v>
      </c>
      <c r="D645" t="s">
        <v>9715</v>
      </c>
      <c r="E645" s="9">
        <v>1801</v>
      </c>
      <c r="F645" s="9">
        <v>13716</v>
      </c>
      <c r="G645" s="9" t="s">
        <v>30</v>
      </c>
    </row>
    <row r="646" spans="1:7" x14ac:dyDescent="0.2">
      <c r="A646" t="s">
        <v>436</v>
      </c>
      <c r="B646" t="s">
        <v>661</v>
      </c>
      <c r="C646" t="s">
        <v>10062</v>
      </c>
      <c r="D646" t="s">
        <v>9715</v>
      </c>
      <c r="E646" s="9">
        <v>2486</v>
      </c>
      <c r="F646" s="9">
        <v>11942</v>
      </c>
      <c r="G646" s="9" t="s">
        <v>30</v>
      </c>
    </row>
    <row r="647" spans="1:7" x14ac:dyDescent="0.2">
      <c r="A647" t="s">
        <v>436</v>
      </c>
      <c r="B647" t="s">
        <v>662</v>
      </c>
      <c r="C647" t="s">
        <v>10063</v>
      </c>
      <c r="D647" t="s">
        <v>9715</v>
      </c>
      <c r="E647" s="9">
        <v>2703</v>
      </c>
      <c r="F647" s="9">
        <v>11999</v>
      </c>
      <c r="G647" s="9" t="s">
        <v>30</v>
      </c>
    </row>
    <row r="648" spans="1:7" x14ac:dyDescent="0.2">
      <c r="A648" t="s">
        <v>436</v>
      </c>
      <c r="B648" t="s">
        <v>663</v>
      </c>
      <c r="C648" t="s">
        <v>10064</v>
      </c>
      <c r="D648" t="s">
        <v>9715</v>
      </c>
      <c r="E648" s="9">
        <v>2094</v>
      </c>
      <c r="F648" s="9">
        <v>10595</v>
      </c>
      <c r="G648" s="9" t="s">
        <v>30</v>
      </c>
    </row>
    <row r="649" spans="1:7" x14ac:dyDescent="0.2">
      <c r="A649" t="s">
        <v>436</v>
      </c>
      <c r="B649" t="s">
        <v>664</v>
      </c>
      <c r="C649" t="s">
        <v>10065</v>
      </c>
      <c r="D649" t="s">
        <v>9715</v>
      </c>
      <c r="E649" s="9">
        <v>2464</v>
      </c>
      <c r="F649" s="9">
        <v>11185</v>
      </c>
      <c r="G649" s="9" t="s">
        <v>30</v>
      </c>
    </row>
    <row r="650" spans="1:7" x14ac:dyDescent="0.2">
      <c r="A650" t="s">
        <v>436</v>
      </c>
      <c r="B650" t="s">
        <v>665</v>
      </c>
      <c r="C650" t="s">
        <v>11011</v>
      </c>
      <c r="D650" t="e">
        <v>#N/A</v>
      </c>
      <c r="E650" s="9">
        <v>530</v>
      </c>
      <c r="F650" s="9">
        <v>12045</v>
      </c>
      <c r="G650" s="9" t="s">
        <v>30</v>
      </c>
    </row>
    <row r="651" spans="1:7" x14ac:dyDescent="0.2">
      <c r="A651" t="s">
        <v>436</v>
      </c>
      <c r="B651" t="s">
        <v>666</v>
      </c>
      <c r="C651" t="s">
        <v>11012</v>
      </c>
      <c r="D651" t="e">
        <v>#N/A</v>
      </c>
      <c r="E651" s="9">
        <v>2278</v>
      </c>
      <c r="F651" s="9">
        <v>12316</v>
      </c>
      <c r="G651" s="9" t="s">
        <v>30</v>
      </c>
    </row>
    <row r="652" spans="1:7" x14ac:dyDescent="0.2">
      <c r="A652" t="s">
        <v>436</v>
      </c>
      <c r="B652" t="s">
        <v>667</v>
      </c>
      <c r="C652" t="s">
        <v>10066</v>
      </c>
      <c r="D652" t="s">
        <v>9715</v>
      </c>
      <c r="E652" s="9">
        <v>1351</v>
      </c>
      <c r="F652" s="9">
        <v>11311</v>
      </c>
      <c r="G652" s="9" t="s">
        <v>30</v>
      </c>
    </row>
    <row r="653" spans="1:7" x14ac:dyDescent="0.2">
      <c r="A653" t="s">
        <v>436</v>
      </c>
      <c r="B653" t="s">
        <v>668</v>
      </c>
      <c r="C653" t="s">
        <v>11013</v>
      </c>
      <c r="D653" t="e">
        <v>#N/A</v>
      </c>
      <c r="E653" s="9">
        <v>969</v>
      </c>
      <c r="F653" s="9">
        <v>10895</v>
      </c>
      <c r="G653" s="9" t="s">
        <v>30</v>
      </c>
    </row>
    <row r="654" spans="1:7" x14ac:dyDescent="0.2">
      <c r="A654" t="s">
        <v>436</v>
      </c>
      <c r="B654" t="s">
        <v>669</v>
      </c>
      <c r="C654" t="s">
        <v>9911</v>
      </c>
      <c r="D654" t="s">
        <v>9715</v>
      </c>
      <c r="E654" s="9" t="s">
        <v>30</v>
      </c>
      <c r="F654" s="9" t="s">
        <v>30</v>
      </c>
      <c r="G654" s="9" t="s">
        <v>30</v>
      </c>
    </row>
    <row r="655" spans="1:7" x14ac:dyDescent="0.2">
      <c r="A655" t="s">
        <v>436</v>
      </c>
      <c r="B655" t="s">
        <v>670</v>
      </c>
      <c r="C655" t="s">
        <v>9912</v>
      </c>
      <c r="D655" t="s">
        <v>9715</v>
      </c>
      <c r="E655" s="9" t="s">
        <v>30</v>
      </c>
      <c r="F655" s="9" t="s">
        <v>30</v>
      </c>
      <c r="G655" s="9" t="s">
        <v>30</v>
      </c>
    </row>
    <row r="656" spans="1:7" x14ac:dyDescent="0.2">
      <c r="A656" t="s">
        <v>436</v>
      </c>
      <c r="B656" t="s">
        <v>671</v>
      </c>
      <c r="C656" t="s">
        <v>11014</v>
      </c>
      <c r="D656" t="e">
        <v>#N/A</v>
      </c>
      <c r="E656" s="9">
        <v>2811</v>
      </c>
      <c r="F656" s="9">
        <v>13311</v>
      </c>
      <c r="G656" s="9" t="s">
        <v>30</v>
      </c>
    </row>
    <row r="657" spans="1:7" x14ac:dyDescent="0.2">
      <c r="A657" t="s">
        <v>436</v>
      </c>
      <c r="B657" t="s">
        <v>672</v>
      </c>
      <c r="C657" t="s">
        <v>10067</v>
      </c>
      <c r="D657" t="s">
        <v>9715</v>
      </c>
      <c r="E657" s="9">
        <v>2651</v>
      </c>
      <c r="F657" s="9">
        <v>10424</v>
      </c>
      <c r="G657" s="9" t="s">
        <v>30</v>
      </c>
    </row>
    <row r="658" spans="1:7" x14ac:dyDescent="0.2">
      <c r="A658" t="s">
        <v>436</v>
      </c>
      <c r="B658" t="s">
        <v>673</v>
      </c>
      <c r="C658" t="s">
        <v>10153</v>
      </c>
      <c r="D658" t="s">
        <v>9715</v>
      </c>
      <c r="E658" s="9">
        <v>2178</v>
      </c>
      <c r="F658" s="9">
        <v>9701</v>
      </c>
      <c r="G658" s="9" t="s">
        <v>30</v>
      </c>
    </row>
    <row r="659" spans="1:7" x14ac:dyDescent="0.2">
      <c r="A659" t="s">
        <v>436</v>
      </c>
      <c r="B659" t="s">
        <v>674</v>
      </c>
      <c r="C659" t="s">
        <v>11015</v>
      </c>
      <c r="D659" t="e">
        <v>#N/A</v>
      </c>
      <c r="E659" s="9">
        <v>2467</v>
      </c>
      <c r="F659" s="9">
        <v>11266</v>
      </c>
      <c r="G659" s="9" t="s">
        <v>30</v>
      </c>
    </row>
    <row r="660" spans="1:7" x14ac:dyDescent="0.2">
      <c r="A660" t="s">
        <v>436</v>
      </c>
      <c r="B660" t="s">
        <v>675</v>
      </c>
      <c r="C660" t="s">
        <v>9899</v>
      </c>
      <c r="D660" t="s">
        <v>9715</v>
      </c>
      <c r="E660" s="9" t="s">
        <v>30</v>
      </c>
      <c r="F660" s="9" t="s">
        <v>30</v>
      </c>
      <c r="G660" s="9" t="s">
        <v>30</v>
      </c>
    </row>
    <row r="661" spans="1:7" x14ac:dyDescent="0.2">
      <c r="A661" t="s">
        <v>436</v>
      </c>
      <c r="B661" t="s">
        <v>676</v>
      </c>
      <c r="C661" t="s">
        <v>10068</v>
      </c>
      <c r="D661" t="s">
        <v>9715</v>
      </c>
      <c r="E661" s="9">
        <v>1768</v>
      </c>
      <c r="F661" s="9">
        <v>9697</v>
      </c>
      <c r="G661" s="9" t="s">
        <v>30</v>
      </c>
    </row>
    <row r="662" spans="1:7" x14ac:dyDescent="0.2">
      <c r="A662" t="s">
        <v>436</v>
      </c>
      <c r="B662" t="s">
        <v>677</v>
      </c>
      <c r="C662" t="s">
        <v>9895</v>
      </c>
      <c r="D662" t="s">
        <v>9715</v>
      </c>
      <c r="E662" s="9">
        <v>1245</v>
      </c>
      <c r="F662" s="9">
        <v>11380</v>
      </c>
      <c r="G662" s="9" t="s">
        <v>30</v>
      </c>
    </row>
    <row r="663" spans="1:7" x14ac:dyDescent="0.2">
      <c r="A663" t="s">
        <v>436</v>
      </c>
      <c r="B663" t="s">
        <v>678</v>
      </c>
      <c r="C663" t="s">
        <v>9882</v>
      </c>
      <c r="D663" t="s">
        <v>9715</v>
      </c>
      <c r="E663" s="9">
        <v>2517</v>
      </c>
      <c r="F663" s="9">
        <v>17497</v>
      </c>
      <c r="G663" s="9" t="s">
        <v>30</v>
      </c>
    </row>
    <row r="664" spans="1:7" x14ac:dyDescent="0.2">
      <c r="A664" t="s">
        <v>436</v>
      </c>
      <c r="B664" t="s">
        <v>679</v>
      </c>
      <c r="C664" t="s">
        <v>11016</v>
      </c>
      <c r="D664" t="e">
        <v>#N/A</v>
      </c>
      <c r="E664" s="9">
        <v>1773</v>
      </c>
      <c r="F664" s="9">
        <v>11479</v>
      </c>
      <c r="G664" s="9" t="s">
        <v>30</v>
      </c>
    </row>
    <row r="665" spans="1:7" x14ac:dyDescent="0.2">
      <c r="A665" t="s">
        <v>436</v>
      </c>
      <c r="B665" t="s">
        <v>680</v>
      </c>
      <c r="C665" t="s">
        <v>11017</v>
      </c>
      <c r="D665" t="e">
        <v>#N/A</v>
      </c>
      <c r="E665" s="9">
        <v>1972</v>
      </c>
      <c r="F665" s="9">
        <v>11169</v>
      </c>
      <c r="G665" s="9" t="s">
        <v>30</v>
      </c>
    </row>
    <row r="666" spans="1:7" x14ac:dyDescent="0.2">
      <c r="A666" t="s">
        <v>436</v>
      </c>
      <c r="B666" t="s">
        <v>681</v>
      </c>
      <c r="C666" t="s">
        <v>10069</v>
      </c>
      <c r="D666" t="s">
        <v>9715</v>
      </c>
      <c r="E666" s="9">
        <v>4361</v>
      </c>
      <c r="F666" s="9">
        <v>11985</v>
      </c>
      <c r="G666" s="9" t="s">
        <v>30</v>
      </c>
    </row>
    <row r="667" spans="1:7" x14ac:dyDescent="0.2">
      <c r="A667" t="s">
        <v>436</v>
      </c>
      <c r="B667" t="s">
        <v>682</v>
      </c>
      <c r="C667" t="s">
        <v>10160</v>
      </c>
      <c r="D667" t="s">
        <v>9715</v>
      </c>
      <c r="E667" s="9">
        <v>2574</v>
      </c>
      <c r="F667" s="9">
        <v>12865</v>
      </c>
      <c r="G667" s="9" t="s">
        <v>30</v>
      </c>
    </row>
    <row r="668" spans="1:7" x14ac:dyDescent="0.2">
      <c r="A668" t="s">
        <v>436</v>
      </c>
      <c r="B668" t="s">
        <v>683</v>
      </c>
      <c r="C668" t="s">
        <v>11018</v>
      </c>
      <c r="D668" t="e">
        <v>#N/A</v>
      </c>
      <c r="E668" s="9">
        <v>11170</v>
      </c>
      <c r="F668" s="9">
        <v>30307</v>
      </c>
      <c r="G668" s="9" t="s">
        <v>30</v>
      </c>
    </row>
    <row r="669" spans="1:7" x14ac:dyDescent="0.2">
      <c r="A669" t="s">
        <v>436</v>
      </c>
      <c r="B669" t="s">
        <v>684</v>
      </c>
      <c r="C669" t="s">
        <v>10070</v>
      </c>
      <c r="D669" t="s">
        <v>9715</v>
      </c>
      <c r="E669" s="9">
        <v>4785</v>
      </c>
      <c r="F669" s="9">
        <v>11099</v>
      </c>
      <c r="G669" s="9" t="s">
        <v>30</v>
      </c>
    </row>
    <row r="670" spans="1:7" x14ac:dyDescent="0.2">
      <c r="A670" t="s">
        <v>436</v>
      </c>
      <c r="B670" t="s">
        <v>685</v>
      </c>
      <c r="C670" t="s">
        <v>10071</v>
      </c>
      <c r="D670" t="s">
        <v>9715</v>
      </c>
      <c r="E670" s="9">
        <v>4739</v>
      </c>
      <c r="F670" s="9">
        <v>9843</v>
      </c>
      <c r="G670" s="9" t="s">
        <v>30</v>
      </c>
    </row>
    <row r="671" spans="1:7" x14ac:dyDescent="0.2">
      <c r="A671" t="s">
        <v>436</v>
      </c>
      <c r="B671" t="s">
        <v>686</v>
      </c>
      <c r="C671" t="s">
        <v>11019</v>
      </c>
      <c r="D671" t="e">
        <v>#N/A</v>
      </c>
      <c r="E671" s="9">
        <v>2821</v>
      </c>
      <c r="F671" s="9">
        <v>13804</v>
      </c>
      <c r="G671" s="9" t="s">
        <v>30</v>
      </c>
    </row>
    <row r="672" spans="1:7" x14ac:dyDescent="0.2">
      <c r="A672" t="s">
        <v>436</v>
      </c>
      <c r="B672" t="s">
        <v>687</v>
      </c>
      <c r="C672" t="s">
        <v>11020</v>
      </c>
      <c r="D672" t="e">
        <v>#N/A</v>
      </c>
      <c r="E672" s="9" t="s">
        <v>30</v>
      </c>
      <c r="F672" s="9" t="s">
        <v>30</v>
      </c>
      <c r="G672" s="9" t="s">
        <v>30</v>
      </c>
    </row>
    <row r="673" spans="1:7" x14ac:dyDescent="0.2">
      <c r="A673" t="s">
        <v>436</v>
      </c>
      <c r="B673" t="s">
        <v>688</v>
      </c>
      <c r="C673" t="s">
        <v>10072</v>
      </c>
      <c r="D673" t="s">
        <v>9715</v>
      </c>
      <c r="E673" s="9">
        <v>1417</v>
      </c>
      <c r="F673" s="9">
        <v>10575</v>
      </c>
      <c r="G673" s="9" t="s">
        <v>30</v>
      </c>
    </row>
    <row r="674" spans="1:7" x14ac:dyDescent="0.2">
      <c r="A674" t="s">
        <v>436</v>
      </c>
      <c r="B674" t="s">
        <v>689</v>
      </c>
      <c r="C674" t="s">
        <v>10073</v>
      </c>
      <c r="D674" t="s">
        <v>9715</v>
      </c>
      <c r="E674" s="9">
        <v>925</v>
      </c>
      <c r="F674" s="9">
        <v>11564</v>
      </c>
      <c r="G674" s="9" t="s">
        <v>30</v>
      </c>
    </row>
    <row r="675" spans="1:7" x14ac:dyDescent="0.2">
      <c r="A675" t="s">
        <v>436</v>
      </c>
      <c r="B675" t="s">
        <v>690</v>
      </c>
      <c r="C675" t="s">
        <v>11021</v>
      </c>
      <c r="D675" t="e">
        <v>#N/A</v>
      </c>
      <c r="E675" s="9">
        <v>2425</v>
      </c>
      <c r="F675" s="9">
        <v>13808</v>
      </c>
      <c r="G675" s="9" t="s">
        <v>30</v>
      </c>
    </row>
    <row r="676" spans="1:7" x14ac:dyDescent="0.2">
      <c r="A676" t="s">
        <v>436</v>
      </c>
      <c r="B676" t="s">
        <v>691</v>
      </c>
      <c r="C676" t="s">
        <v>11022</v>
      </c>
      <c r="D676" t="e">
        <v>#N/A</v>
      </c>
      <c r="E676" s="9">
        <v>3049</v>
      </c>
      <c r="F676" s="9">
        <v>13009</v>
      </c>
      <c r="G676" s="9" t="s">
        <v>30</v>
      </c>
    </row>
    <row r="677" spans="1:7" x14ac:dyDescent="0.2">
      <c r="A677" t="s">
        <v>436</v>
      </c>
      <c r="B677" t="s">
        <v>692</v>
      </c>
      <c r="C677" t="s">
        <v>9913</v>
      </c>
      <c r="D677" t="s">
        <v>9715</v>
      </c>
      <c r="E677" s="9">
        <v>1709</v>
      </c>
      <c r="F677" s="9">
        <v>12205</v>
      </c>
      <c r="G677" s="9" t="s">
        <v>30</v>
      </c>
    </row>
    <row r="678" spans="1:7" x14ac:dyDescent="0.2">
      <c r="A678" t="s">
        <v>436</v>
      </c>
      <c r="B678" t="s">
        <v>693</v>
      </c>
      <c r="C678" t="s">
        <v>9914</v>
      </c>
      <c r="D678" t="s">
        <v>9715</v>
      </c>
      <c r="E678" s="9">
        <v>1932</v>
      </c>
      <c r="F678" s="9">
        <v>11717</v>
      </c>
      <c r="G678" s="9" t="s">
        <v>30</v>
      </c>
    </row>
    <row r="679" spans="1:7" x14ac:dyDescent="0.2">
      <c r="A679" t="s">
        <v>436</v>
      </c>
      <c r="B679" t="s">
        <v>694</v>
      </c>
      <c r="C679" t="s">
        <v>9915</v>
      </c>
      <c r="D679" t="s">
        <v>9715</v>
      </c>
      <c r="E679" s="9">
        <v>1403</v>
      </c>
      <c r="F679" s="9">
        <v>11380</v>
      </c>
      <c r="G679" s="9" t="s">
        <v>30</v>
      </c>
    </row>
    <row r="680" spans="1:7" x14ac:dyDescent="0.2">
      <c r="A680" t="s">
        <v>436</v>
      </c>
      <c r="B680" t="s">
        <v>695</v>
      </c>
      <c r="C680" t="s">
        <v>10074</v>
      </c>
      <c r="D680" t="s">
        <v>9715</v>
      </c>
      <c r="E680" s="9">
        <v>1988</v>
      </c>
      <c r="F680" s="9">
        <v>13137</v>
      </c>
      <c r="G680" s="9" t="s">
        <v>30</v>
      </c>
    </row>
    <row r="681" spans="1:7" x14ac:dyDescent="0.2">
      <c r="A681" t="s">
        <v>436</v>
      </c>
      <c r="B681" t="s">
        <v>696</v>
      </c>
      <c r="C681" t="s">
        <v>9916</v>
      </c>
      <c r="D681" t="s">
        <v>9715</v>
      </c>
      <c r="E681" s="9">
        <v>1743</v>
      </c>
      <c r="F681" s="9">
        <v>11600</v>
      </c>
      <c r="G681" s="9" t="s">
        <v>30</v>
      </c>
    </row>
    <row r="682" spans="1:7" x14ac:dyDescent="0.2">
      <c r="A682" t="s">
        <v>436</v>
      </c>
      <c r="B682" t="s">
        <v>697</v>
      </c>
      <c r="C682" t="s">
        <v>10075</v>
      </c>
      <c r="D682" t="s">
        <v>9715</v>
      </c>
      <c r="E682" s="9">
        <v>1806</v>
      </c>
      <c r="F682" s="9">
        <v>10373</v>
      </c>
      <c r="G682" s="9" t="s">
        <v>30</v>
      </c>
    </row>
    <row r="683" spans="1:7" x14ac:dyDescent="0.2">
      <c r="A683" t="s">
        <v>436</v>
      </c>
      <c r="B683" t="s">
        <v>698</v>
      </c>
      <c r="C683" t="s">
        <v>10076</v>
      </c>
      <c r="D683" t="s">
        <v>9715</v>
      </c>
      <c r="E683" s="9">
        <v>1746</v>
      </c>
      <c r="F683" s="9">
        <v>12908</v>
      </c>
      <c r="G683" s="9" t="s">
        <v>30</v>
      </c>
    </row>
    <row r="684" spans="1:7" x14ac:dyDescent="0.2">
      <c r="A684" t="s">
        <v>436</v>
      </c>
      <c r="B684" t="s">
        <v>699</v>
      </c>
      <c r="C684" t="s">
        <v>10077</v>
      </c>
      <c r="D684" t="s">
        <v>9715</v>
      </c>
      <c r="E684" s="9">
        <v>1185</v>
      </c>
      <c r="F684" s="9">
        <v>11275</v>
      </c>
      <c r="G684" s="9" t="s">
        <v>30</v>
      </c>
    </row>
    <row r="685" spans="1:7" x14ac:dyDescent="0.2">
      <c r="A685" t="s">
        <v>436</v>
      </c>
      <c r="B685" t="s">
        <v>700</v>
      </c>
      <c r="C685" t="s">
        <v>11023</v>
      </c>
      <c r="D685" t="e">
        <v>#N/A</v>
      </c>
      <c r="E685" s="9">
        <v>1652</v>
      </c>
      <c r="F685" s="9">
        <v>12605</v>
      </c>
      <c r="G685" s="9" t="s">
        <v>30</v>
      </c>
    </row>
    <row r="686" spans="1:7" x14ac:dyDescent="0.2">
      <c r="A686" t="s">
        <v>436</v>
      </c>
      <c r="B686" t="s">
        <v>701</v>
      </c>
      <c r="C686" t="s">
        <v>10078</v>
      </c>
      <c r="D686" t="s">
        <v>9715</v>
      </c>
      <c r="E686" s="9">
        <v>1899</v>
      </c>
      <c r="F686" s="9">
        <v>10836</v>
      </c>
      <c r="G686" s="9" t="s">
        <v>30</v>
      </c>
    </row>
    <row r="687" spans="1:7" x14ac:dyDescent="0.2">
      <c r="A687" t="s">
        <v>436</v>
      </c>
      <c r="B687" t="s">
        <v>702</v>
      </c>
      <c r="C687" t="s">
        <v>10079</v>
      </c>
      <c r="D687" t="s">
        <v>9715</v>
      </c>
      <c r="E687" s="9">
        <v>632</v>
      </c>
      <c r="F687" s="9">
        <v>10608</v>
      </c>
      <c r="G687" s="9" t="s">
        <v>30</v>
      </c>
    </row>
    <row r="688" spans="1:7" x14ac:dyDescent="0.2">
      <c r="A688" t="s">
        <v>436</v>
      </c>
      <c r="B688" t="s">
        <v>703</v>
      </c>
      <c r="C688" t="s">
        <v>9869</v>
      </c>
      <c r="D688" t="s">
        <v>9715</v>
      </c>
      <c r="E688" s="9">
        <v>192</v>
      </c>
      <c r="F688" s="9">
        <v>14785</v>
      </c>
      <c r="G688" s="9" t="s">
        <v>30</v>
      </c>
    </row>
    <row r="689" spans="1:7" x14ac:dyDescent="0.2">
      <c r="A689" t="s">
        <v>436</v>
      </c>
      <c r="B689" t="s">
        <v>704</v>
      </c>
      <c r="C689" t="s">
        <v>9870</v>
      </c>
      <c r="D689" t="s">
        <v>9715</v>
      </c>
      <c r="E689" s="9">
        <v>348</v>
      </c>
      <c r="F689" s="9">
        <v>8486</v>
      </c>
      <c r="G689" s="9" t="s">
        <v>30</v>
      </c>
    </row>
    <row r="690" spans="1:7" x14ac:dyDescent="0.2">
      <c r="A690" t="s">
        <v>436</v>
      </c>
      <c r="B690" t="s">
        <v>705</v>
      </c>
      <c r="C690" t="s">
        <v>10164</v>
      </c>
      <c r="D690" t="s">
        <v>9715</v>
      </c>
      <c r="E690" s="9">
        <v>379</v>
      </c>
      <c r="F690" s="9">
        <v>12300</v>
      </c>
      <c r="G690" s="9" t="s">
        <v>30</v>
      </c>
    </row>
    <row r="691" spans="1:7" x14ac:dyDescent="0.2">
      <c r="A691" t="s">
        <v>436</v>
      </c>
      <c r="B691" t="s">
        <v>706</v>
      </c>
      <c r="C691" t="s">
        <v>11024</v>
      </c>
      <c r="D691" t="e">
        <v>#N/A</v>
      </c>
      <c r="E691" s="9">
        <v>1816</v>
      </c>
      <c r="F691" s="9">
        <v>12106</v>
      </c>
      <c r="G691" s="9" t="s">
        <v>30</v>
      </c>
    </row>
    <row r="692" spans="1:7" x14ac:dyDescent="0.2">
      <c r="A692" t="s">
        <v>436</v>
      </c>
      <c r="B692" t="s">
        <v>707</v>
      </c>
      <c r="C692" t="s">
        <v>10080</v>
      </c>
      <c r="D692" t="s">
        <v>9715</v>
      </c>
      <c r="E692" s="9">
        <v>2277</v>
      </c>
      <c r="F692" s="9">
        <v>13364</v>
      </c>
      <c r="G692" s="9" t="s">
        <v>30</v>
      </c>
    </row>
    <row r="693" spans="1:7" x14ac:dyDescent="0.2">
      <c r="A693" t="s">
        <v>436</v>
      </c>
      <c r="B693" t="s">
        <v>708</v>
      </c>
      <c r="C693" t="s">
        <v>10081</v>
      </c>
      <c r="D693" t="s">
        <v>9715</v>
      </c>
      <c r="E693" s="9">
        <v>4862</v>
      </c>
      <c r="F693" s="9">
        <v>12274</v>
      </c>
      <c r="G693" s="9" t="s">
        <v>30</v>
      </c>
    </row>
    <row r="694" spans="1:7" x14ac:dyDescent="0.2">
      <c r="A694" t="s">
        <v>436</v>
      </c>
      <c r="B694" t="s">
        <v>709</v>
      </c>
      <c r="C694" t="s">
        <v>11025</v>
      </c>
      <c r="D694" t="e">
        <v>#N/A</v>
      </c>
      <c r="E694" s="9">
        <v>1315</v>
      </c>
      <c r="F694" s="9">
        <v>14069</v>
      </c>
      <c r="G694" s="9" t="s">
        <v>30</v>
      </c>
    </row>
    <row r="695" spans="1:7" x14ac:dyDescent="0.2">
      <c r="A695" t="s">
        <v>436</v>
      </c>
      <c r="B695" t="s">
        <v>710</v>
      </c>
      <c r="C695" t="s">
        <v>11026</v>
      </c>
      <c r="D695" t="e">
        <v>#N/A</v>
      </c>
      <c r="E695" s="9">
        <v>2418</v>
      </c>
      <c r="F695" s="9">
        <v>13961</v>
      </c>
      <c r="G695" s="9" t="s">
        <v>30</v>
      </c>
    </row>
    <row r="696" spans="1:7" x14ac:dyDescent="0.2">
      <c r="A696" t="s">
        <v>436</v>
      </c>
      <c r="B696" t="s">
        <v>711</v>
      </c>
      <c r="C696" t="s">
        <v>10082</v>
      </c>
      <c r="D696" t="s">
        <v>9715</v>
      </c>
      <c r="E696" s="9">
        <v>1948</v>
      </c>
      <c r="F696" s="9">
        <v>10727</v>
      </c>
      <c r="G696" s="9" t="s">
        <v>30</v>
      </c>
    </row>
    <row r="697" spans="1:7" x14ac:dyDescent="0.2">
      <c r="A697" t="s">
        <v>436</v>
      </c>
      <c r="B697" t="s">
        <v>712</v>
      </c>
      <c r="C697" t="s">
        <v>10083</v>
      </c>
      <c r="D697" t="s">
        <v>9715</v>
      </c>
      <c r="E697" s="9">
        <v>2899</v>
      </c>
      <c r="F697" s="9">
        <v>11303</v>
      </c>
      <c r="G697" s="9" t="s">
        <v>30</v>
      </c>
    </row>
    <row r="698" spans="1:7" x14ac:dyDescent="0.2">
      <c r="A698" t="s">
        <v>436</v>
      </c>
      <c r="B698" t="s">
        <v>713</v>
      </c>
      <c r="C698" t="s">
        <v>10084</v>
      </c>
      <c r="D698" t="s">
        <v>9715</v>
      </c>
      <c r="E698" s="9">
        <v>2948</v>
      </c>
      <c r="F698" s="9">
        <v>11124</v>
      </c>
      <c r="G698" s="9" t="s">
        <v>30</v>
      </c>
    </row>
    <row r="699" spans="1:7" x14ac:dyDescent="0.2">
      <c r="A699" t="s">
        <v>436</v>
      </c>
      <c r="B699" t="s">
        <v>714</v>
      </c>
      <c r="C699" t="s">
        <v>10085</v>
      </c>
      <c r="D699" t="s">
        <v>9715</v>
      </c>
      <c r="E699" s="9">
        <v>2710</v>
      </c>
      <c r="F699" s="9">
        <v>11512</v>
      </c>
      <c r="G699" s="9" t="s">
        <v>30</v>
      </c>
    </row>
    <row r="700" spans="1:7" x14ac:dyDescent="0.2">
      <c r="A700" t="s">
        <v>436</v>
      </c>
      <c r="B700" t="s">
        <v>715</v>
      </c>
      <c r="C700" t="s">
        <v>10086</v>
      </c>
      <c r="D700" t="s">
        <v>9715</v>
      </c>
      <c r="E700" s="9">
        <v>2448</v>
      </c>
      <c r="F700" s="9">
        <v>13578</v>
      </c>
      <c r="G700" s="9" t="s">
        <v>30</v>
      </c>
    </row>
    <row r="701" spans="1:7" x14ac:dyDescent="0.2">
      <c r="A701" t="s">
        <v>436</v>
      </c>
      <c r="B701" t="s">
        <v>716</v>
      </c>
      <c r="C701" t="s">
        <v>10087</v>
      </c>
      <c r="D701" t="s">
        <v>9715</v>
      </c>
      <c r="E701" s="9">
        <v>2825</v>
      </c>
      <c r="F701" s="9">
        <v>12060</v>
      </c>
      <c r="G701" s="9" t="s">
        <v>30</v>
      </c>
    </row>
    <row r="702" spans="1:7" x14ac:dyDescent="0.2">
      <c r="A702" t="s">
        <v>436</v>
      </c>
      <c r="B702" t="s">
        <v>717</v>
      </c>
      <c r="C702" t="s">
        <v>10088</v>
      </c>
      <c r="D702" t="s">
        <v>9715</v>
      </c>
      <c r="E702" s="9">
        <v>1950</v>
      </c>
      <c r="F702" s="9">
        <v>11652</v>
      </c>
      <c r="G702" s="9" t="s">
        <v>30</v>
      </c>
    </row>
    <row r="703" spans="1:7" x14ac:dyDescent="0.2">
      <c r="A703" t="s">
        <v>436</v>
      </c>
      <c r="B703" t="s">
        <v>718</v>
      </c>
      <c r="C703" t="s">
        <v>10089</v>
      </c>
      <c r="D703" t="s">
        <v>9715</v>
      </c>
      <c r="E703" s="9">
        <v>1820</v>
      </c>
      <c r="F703" s="9">
        <v>11039</v>
      </c>
      <c r="G703" s="9" t="s">
        <v>30</v>
      </c>
    </row>
    <row r="704" spans="1:7" x14ac:dyDescent="0.2">
      <c r="A704" t="s">
        <v>436</v>
      </c>
      <c r="B704" t="s">
        <v>719</v>
      </c>
      <c r="C704" t="s">
        <v>10090</v>
      </c>
      <c r="D704" t="s">
        <v>9715</v>
      </c>
      <c r="E704" s="9">
        <v>1698</v>
      </c>
      <c r="F704" s="9">
        <v>10508</v>
      </c>
      <c r="G704" s="9" t="s">
        <v>30</v>
      </c>
    </row>
    <row r="705" spans="1:7" x14ac:dyDescent="0.2">
      <c r="A705" t="s">
        <v>436</v>
      </c>
      <c r="B705" t="s">
        <v>720</v>
      </c>
      <c r="C705" t="s">
        <v>10091</v>
      </c>
      <c r="D705" t="s">
        <v>9715</v>
      </c>
      <c r="E705" s="9">
        <v>2199</v>
      </c>
      <c r="F705" s="9">
        <v>9788</v>
      </c>
      <c r="G705" s="9" t="s">
        <v>30</v>
      </c>
    </row>
    <row r="706" spans="1:7" x14ac:dyDescent="0.2">
      <c r="A706" t="s">
        <v>436</v>
      </c>
      <c r="B706" t="s">
        <v>721</v>
      </c>
      <c r="C706" t="s">
        <v>9876</v>
      </c>
      <c r="D706" t="s">
        <v>9715</v>
      </c>
      <c r="E706" s="9">
        <v>1461</v>
      </c>
      <c r="F706" s="9">
        <v>7217</v>
      </c>
      <c r="G706" s="9" t="s">
        <v>30</v>
      </c>
    </row>
    <row r="707" spans="1:7" x14ac:dyDescent="0.2">
      <c r="A707" t="s">
        <v>436</v>
      </c>
      <c r="B707" t="s">
        <v>722</v>
      </c>
      <c r="C707" t="s">
        <v>10092</v>
      </c>
      <c r="D707" t="s">
        <v>9715</v>
      </c>
      <c r="E707" s="9">
        <v>4534</v>
      </c>
      <c r="F707" s="9">
        <v>24823</v>
      </c>
      <c r="G707" s="9" t="s">
        <v>30</v>
      </c>
    </row>
    <row r="708" spans="1:7" x14ac:dyDescent="0.2">
      <c r="A708" t="s">
        <v>436</v>
      </c>
      <c r="B708" t="s">
        <v>723</v>
      </c>
      <c r="C708" t="s">
        <v>10161</v>
      </c>
      <c r="D708" t="s">
        <v>9715</v>
      </c>
      <c r="E708" s="9">
        <v>568</v>
      </c>
      <c r="F708" s="9">
        <v>9156</v>
      </c>
      <c r="G708" s="9" t="s">
        <v>30</v>
      </c>
    </row>
    <row r="709" spans="1:7" x14ac:dyDescent="0.2">
      <c r="A709" t="s">
        <v>436</v>
      </c>
      <c r="B709" t="s">
        <v>724</v>
      </c>
      <c r="C709" t="s">
        <v>11027</v>
      </c>
      <c r="D709" t="e">
        <v>#N/A</v>
      </c>
      <c r="E709" s="9">
        <v>883</v>
      </c>
      <c r="F709" s="9">
        <v>6996</v>
      </c>
      <c r="G709" s="9" t="s">
        <v>30</v>
      </c>
    </row>
    <row r="710" spans="1:7" x14ac:dyDescent="0.2">
      <c r="A710" t="s">
        <v>436</v>
      </c>
      <c r="B710" t="s">
        <v>725</v>
      </c>
      <c r="C710" t="s">
        <v>9917</v>
      </c>
      <c r="D710" t="s">
        <v>9715</v>
      </c>
      <c r="E710" s="9">
        <v>5806</v>
      </c>
      <c r="F710" s="9">
        <v>12693</v>
      </c>
      <c r="G710" s="9" t="s">
        <v>30</v>
      </c>
    </row>
    <row r="711" spans="1:7" x14ac:dyDescent="0.2">
      <c r="A711" t="s">
        <v>436</v>
      </c>
      <c r="B711" t="s">
        <v>726</v>
      </c>
      <c r="C711" t="s">
        <v>11028</v>
      </c>
      <c r="D711" t="e">
        <v>#N/A</v>
      </c>
      <c r="E711" s="9">
        <v>2330</v>
      </c>
      <c r="F711" s="9">
        <v>12738</v>
      </c>
      <c r="G711" s="9" t="s">
        <v>30</v>
      </c>
    </row>
    <row r="712" spans="1:7" x14ac:dyDescent="0.2">
      <c r="A712" t="s">
        <v>436</v>
      </c>
      <c r="B712" t="s">
        <v>727</v>
      </c>
      <c r="C712" t="s">
        <v>10093</v>
      </c>
      <c r="D712" t="s">
        <v>9715</v>
      </c>
      <c r="E712" s="9">
        <v>559</v>
      </c>
      <c r="F712" s="9">
        <v>10233</v>
      </c>
      <c r="G712" s="9" t="s">
        <v>30</v>
      </c>
    </row>
    <row r="713" spans="1:7" x14ac:dyDescent="0.2">
      <c r="A713" t="s">
        <v>436</v>
      </c>
      <c r="B713" t="s">
        <v>728</v>
      </c>
      <c r="C713" t="s">
        <v>10154</v>
      </c>
      <c r="D713" t="s">
        <v>9715</v>
      </c>
      <c r="E713" s="9">
        <v>89</v>
      </c>
      <c r="F713" s="9">
        <v>9321</v>
      </c>
      <c r="G713" s="9" t="s">
        <v>30</v>
      </c>
    </row>
    <row r="714" spans="1:7" x14ac:dyDescent="0.2">
      <c r="A714" t="s">
        <v>436</v>
      </c>
      <c r="B714" t="s">
        <v>729</v>
      </c>
      <c r="C714" t="s">
        <v>9918</v>
      </c>
      <c r="D714" t="s">
        <v>9715</v>
      </c>
      <c r="E714" s="9">
        <v>973</v>
      </c>
      <c r="F714" s="9">
        <v>9190</v>
      </c>
      <c r="G714" s="9" t="s">
        <v>30</v>
      </c>
    </row>
    <row r="715" spans="1:7" x14ac:dyDescent="0.2">
      <c r="A715" t="s">
        <v>436</v>
      </c>
      <c r="B715" t="s">
        <v>730</v>
      </c>
      <c r="C715" t="s">
        <v>9874</v>
      </c>
      <c r="D715" t="s">
        <v>9715</v>
      </c>
      <c r="E715" s="9">
        <v>0</v>
      </c>
      <c r="F715" s="9">
        <v>17138</v>
      </c>
      <c r="G715" s="9" t="s">
        <v>30</v>
      </c>
    </row>
    <row r="716" spans="1:7" x14ac:dyDescent="0.2">
      <c r="A716" t="s">
        <v>436</v>
      </c>
      <c r="B716" t="s">
        <v>731</v>
      </c>
      <c r="C716" t="s">
        <v>9885</v>
      </c>
      <c r="D716" t="s">
        <v>9715</v>
      </c>
      <c r="E716" s="9">
        <v>0</v>
      </c>
      <c r="F716" s="9">
        <v>37473</v>
      </c>
      <c r="G716" s="9" t="s">
        <v>30</v>
      </c>
    </row>
    <row r="717" spans="1:7" x14ac:dyDescent="0.2">
      <c r="A717" t="s">
        <v>436</v>
      </c>
      <c r="B717" t="s">
        <v>732</v>
      </c>
      <c r="C717" t="s">
        <v>10165</v>
      </c>
      <c r="D717" t="s">
        <v>9715</v>
      </c>
      <c r="E717" s="9">
        <v>0</v>
      </c>
      <c r="F717" s="9">
        <v>20842</v>
      </c>
      <c r="G717" s="9" t="s">
        <v>30</v>
      </c>
    </row>
    <row r="718" spans="1:7" x14ac:dyDescent="0.2">
      <c r="A718" t="s">
        <v>436</v>
      </c>
      <c r="B718" t="s">
        <v>733</v>
      </c>
      <c r="C718" t="s">
        <v>10691</v>
      </c>
      <c r="D718" t="s">
        <v>9715</v>
      </c>
      <c r="E718" s="9" t="s">
        <v>30</v>
      </c>
      <c r="F718" s="9" t="s">
        <v>30</v>
      </c>
      <c r="G718" s="9" t="s">
        <v>30</v>
      </c>
    </row>
    <row r="719" spans="1:7" x14ac:dyDescent="0.2">
      <c r="A719" t="s">
        <v>436</v>
      </c>
      <c r="B719" t="s">
        <v>734</v>
      </c>
      <c r="C719" t="s">
        <v>9886</v>
      </c>
      <c r="D719" t="s">
        <v>9715</v>
      </c>
      <c r="E719" s="9">
        <v>0</v>
      </c>
      <c r="F719" s="9">
        <v>15359</v>
      </c>
      <c r="G719" s="9" t="s">
        <v>30</v>
      </c>
    </row>
    <row r="720" spans="1:7" x14ac:dyDescent="0.2">
      <c r="A720" t="s">
        <v>436</v>
      </c>
      <c r="B720" t="s">
        <v>735</v>
      </c>
      <c r="C720" t="s">
        <v>10158</v>
      </c>
      <c r="D720" t="s">
        <v>9715</v>
      </c>
      <c r="E720" s="9">
        <v>0</v>
      </c>
      <c r="F720" s="9">
        <v>16056</v>
      </c>
      <c r="G720" s="9" t="s">
        <v>30</v>
      </c>
    </row>
    <row r="721" spans="1:7" x14ac:dyDescent="0.2">
      <c r="A721" t="s">
        <v>436</v>
      </c>
      <c r="B721" t="s">
        <v>736</v>
      </c>
      <c r="C721" t="s">
        <v>9871</v>
      </c>
      <c r="D721" t="s">
        <v>9715</v>
      </c>
      <c r="E721" s="9">
        <v>0</v>
      </c>
      <c r="F721" s="9">
        <v>14136</v>
      </c>
      <c r="G721" s="9" t="s">
        <v>30</v>
      </c>
    </row>
    <row r="722" spans="1:7" x14ac:dyDescent="0.2">
      <c r="A722" t="s">
        <v>436</v>
      </c>
      <c r="B722" t="s">
        <v>737</v>
      </c>
      <c r="C722" t="s">
        <v>10094</v>
      </c>
      <c r="D722" t="s">
        <v>9715</v>
      </c>
      <c r="E722" s="9">
        <v>2575</v>
      </c>
      <c r="F722" s="9">
        <v>10647</v>
      </c>
      <c r="G722" s="9" t="s">
        <v>30</v>
      </c>
    </row>
    <row r="723" spans="1:7" x14ac:dyDescent="0.2">
      <c r="A723" t="s">
        <v>436</v>
      </c>
      <c r="B723" t="s">
        <v>738</v>
      </c>
      <c r="C723" t="s">
        <v>10095</v>
      </c>
      <c r="D723" t="s">
        <v>9715</v>
      </c>
      <c r="E723" s="9">
        <v>828</v>
      </c>
      <c r="F723" s="9">
        <v>9866</v>
      </c>
      <c r="G723" s="9" t="s">
        <v>30</v>
      </c>
    </row>
    <row r="724" spans="1:7" x14ac:dyDescent="0.2">
      <c r="A724" t="s">
        <v>436</v>
      </c>
      <c r="B724" t="s">
        <v>739</v>
      </c>
      <c r="C724" t="s">
        <v>10096</v>
      </c>
      <c r="D724" t="s">
        <v>9715</v>
      </c>
      <c r="E724" s="9">
        <v>2347</v>
      </c>
      <c r="F724" s="9">
        <v>10304</v>
      </c>
      <c r="G724" s="9" t="s">
        <v>30</v>
      </c>
    </row>
    <row r="725" spans="1:7" x14ac:dyDescent="0.2">
      <c r="A725" t="s">
        <v>436</v>
      </c>
      <c r="B725" t="s">
        <v>740</v>
      </c>
      <c r="C725" t="s">
        <v>10097</v>
      </c>
      <c r="D725" t="s">
        <v>9715</v>
      </c>
      <c r="E725" s="9">
        <v>772</v>
      </c>
      <c r="F725" s="9">
        <v>10956</v>
      </c>
      <c r="G725" s="9" t="s">
        <v>30</v>
      </c>
    </row>
    <row r="726" spans="1:7" x14ac:dyDescent="0.2">
      <c r="A726" t="s">
        <v>436</v>
      </c>
      <c r="B726" t="s">
        <v>741</v>
      </c>
      <c r="C726" t="s">
        <v>10150</v>
      </c>
      <c r="D726" t="s">
        <v>9715</v>
      </c>
      <c r="E726" s="9">
        <v>1522</v>
      </c>
      <c r="F726" s="9">
        <v>10813</v>
      </c>
      <c r="G726" s="9" t="s">
        <v>30</v>
      </c>
    </row>
    <row r="727" spans="1:7" x14ac:dyDescent="0.2">
      <c r="A727" t="s">
        <v>436</v>
      </c>
      <c r="B727" t="s">
        <v>742</v>
      </c>
      <c r="C727" t="s">
        <v>11029</v>
      </c>
      <c r="D727" t="e">
        <v>#N/A</v>
      </c>
      <c r="E727" s="9">
        <v>2393</v>
      </c>
      <c r="F727" s="9">
        <v>12842</v>
      </c>
      <c r="G727" s="9" t="s">
        <v>30</v>
      </c>
    </row>
    <row r="728" spans="1:7" x14ac:dyDescent="0.2">
      <c r="A728" t="s">
        <v>436</v>
      </c>
      <c r="B728" t="s">
        <v>743</v>
      </c>
      <c r="C728" t="s">
        <v>11030</v>
      </c>
      <c r="D728" t="e">
        <v>#N/A</v>
      </c>
      <c r="E728" s="9">
        <v>589</v>
      </c>
      <c r="F728" s="9">
        <v>11269</v>
      </c>
      <c r="G728" s="9" t="s">
        <v>30</v>
      </c>
    </row>
    <row r="729" spans="1:7" x14ac:dyDescent="0.2">
      <c r="A729" t="s">
        <v>436</v>
      </c>
      <c r="B729" t="s">
        <v>744</v>
      </c>
      <c r="C729" t="s">
        <v>10098</v>
      </c>
      <c r="D729" t="s">
        <v>9715</v>
      </c>
      <c r="E729" s="9">
        <v>3036</v>
      </c>
      <c r="F729" s="9">
        <v>12377</v>
      </c>
      <c r="G729" s="9" t="s">
        <v>30</v>
      </c>
    </row>
    <row r="730" spans="1:7" x14ac:dyDescent="0.2">
      <c r="A730" t="s">
        <v>436</v>
      </c>
      <c r="B730" t="s">
        <v>745</v>
      </c>
      <c r="C730" t="s">
        <v>10099</v>
      </c>
      <c r="D730" t="s">
        <v>9715</v>
      </c>
      <c r="E730" s="9">
        <v>3001</v>
      </c>
      <c r="F730" s="9">
        <v>16853</v>
      </c>
      <c r="G730" s="9" t="s">
        <v>30</v>
      </c>
    </row>
    <row r="731" spans="1:7" x14ac:dyDescent="0.2">
      <c r="A731" t="s">
        <v>436</v>
      </c>
      <c r="B731" t="s">
        <v>746</v>
      </c>
      <c r="C731" t="s">
        <v>10100</v>
      </c>
      <c r="D731" t="s">
        <v>9715</v>
      </c>
      <c r="E731" s="9">
        <v>3232</v>
      </c>
      <c r="F731" s="9">
        <v>10691</v>
      </c>
      <c r="G731" s="9" t="s">
        <v>30</v>
      </c>
    </row>
    <row r="732" spans="1:7" x14ac:dyDescent="0.2">
      <c r="A732" t="s">
        <v>436</v>
      </c>
      <c r="B732" t="s">
        <v>747</v>
      </c>
      <c r="C732" t="s">
        <v>11031</v>
      </c>
      <c r="D732" t="e">
        <v>#N/A</v>
      </c>
      <c r="E732" s="9">
        <v>2774</v>
      </c>
      <c r="F732" s="9">
        <v>15302</v>
      </c>
      <c r="G732" s="9" t="s">
        <v>30</v>
      </c>
    </row>
    <row r="733" spans="1:7" x14ac:dyDescent="0.2">
      <c r="A733" t="s">
        <v>436</v>
      </c>
      <c r="B733" t="s">
        <v>748</v>
      </c>
      <c r="C733" t="s">
        <v>10155</v>
      </c>
      <c r="D733" t="s">
        <v>9715</v>
      </c>
      <c r="E733" s="9" t="s">
        <v>30</v>
      </c>
      <c r="F733" s="9" t="s">
        <v>30</v>
      </c>
      <c r="G733" s="9" t="s">
        <v>30</v>
      </c>
    </row>
    <row r="734" spans="1:7" x14ac:dyDescent="0.2">
      <c r="A734" t="s">
        <v>436</v>
      </c>
      <c r="B734" t="s">
        <v>749</v>
      </c>
      <c r="C734" t="s">
        <v>11032</v>
      </c>
      <c r="D734" t="e">
        <v>#N/A</v>
      </c>
      <c r="E734" s="9">
        <v>2156</v>
      </c>
      <c r="F734" s="9">
        <v>12395</v>
      </c>
      <c r="G734" s="9" t="s">
        <v>30</v>
      </c>
    </row>
    <row r="735" spans="1:7" x14ac:dyDescent="0.2">
      <c r="A735" t="s">
        <v>436</v>
      </c>
      <c r="B735" t="s">
        <v>750</v>
      </c>
      <c r="C735" t="s">
        <v>10695</v>
      </c>
      <c r="D735" t="s">
        <v>9715</v>
      </c>
      <c r="E735" s="9" t="s">
        <v>30</v>
      </c>
      <c r="F735" s="9" t="s">
        <v>30</v>
      </c>
      <c r="G735" s="9" t="s">
        <v>30</v>
      </c>
    </row>
    <row r="736" spans="1:7" x14ac:dyDescent="0.2">
      <c r="A736" t="s">
        <v>436</v>
      </c>
      <c r="B736" t="s">
        <v>751</v>
      </c>
      <c r="C736" t="s">
        <v>11033</v>
      </c>
      <c r="D736" t="e">
        <v>#N/A</v>
      </c>
      <c r="E736" s="9">
        <v>3983</v>
      </c>
      <c r="F736" s="9">
        <v>13844</v>
      </c>
      <c r="G736" s="9" t="s">
        <v>30</v>
      </c>
    </row>
    <row r="737" spans="1:7" x14ac:dyDescent="0.2">
      <c r="A737" t="s">
        <v>436</v>
      </c>
      <c r="B737" t="s">
        <v>752</v>
      </c>
      <c r="C737" t="s">
        <v>10101</v>
      </c>
      <c r="D737" t="s">
        <v>9715</v>
      </c>
      <c r="E737" s="9">
        <v>3458</v>
      </c>
      <c r="F737" s="9">
        <v>9205</v>
      </c>
      <c r="G737" s="9" t="s">
        <v>30</v>
      </c>
    </row>
    <row r="738" spans="1:7" x14ac:dyDescent="0.2">
      <c r="A738" t="s">
        <v>436</v>
      </c>
      <c r="B738" t="s">
        <v>753</v>
      </c>
      <c r="C738" t="s">
        <v>10102</v>
      </c>
      <c r="D738" t="s">
        <v>9715</v>
      </c>
      <c r="E738" s="9">
        <v>3195</v>
      </c>
      <c r="F738" s="9">
        <v>11780</v>
      </c>
      <c r="G738" s="9" t="s">
        <v>30</v>
      </c>
    </row>
    <row r="739" spans="1:7" x14ac:dyDescent="0.2">
      <c r="A739" t="s">
        <v>436</v>
      </c>
      <c r="B739" t="s">
        <v>754</v>
      </c>
      <c r="C739" t="s">
        <v>10697</v>
      </c>
      <c r="D739" t="s">
        <v>9715</v>
      </c>
      <c r="E739" s="9" t="s">
        <v>30</v>
      </c>
      <c r="F739" s="9" t="s">
        <v>30</v>
      </c>
      <c r="G739" s="9" t="s">
        <v>30</v>
      </c>
    </row>
    <row r="740" spans="1:7" x14ac:dyDescent="0.2">
      <c r="A740" t="s">
        <v>436</v>
      </c>
      <c r="B740" t="s">
        <v>755</v>
      </c>
      <c r="C740" t="s">
        <v>10710</v>
      </c>
      <c r="D740" t="s">
        <v>9715</v>
      </c>
      <c r="E740" s="9" t="s">
        <v>30</v>
      </c>
      <c r="F740" s="9" t="s">
        <v>30</v>
      </c>
      <c r="G740" s="9" t="s">
        <v>30</v>
      </c>
    </row>
    <row r="741" spans="1:7" x14ac:dyDescent="0.2">
      <c r="A741" t="s">
        <v>436</v>
      </c>
      <c r="B741" t="s">
        <v>756</v>
      </c>
      <c r="C741" t="s">
        <v>10103</v>
      </c>
      <c r="D741" t="s">
        <v>9715</v>
      </c>
      <c r="E741" s="9">
        <v>2047</v>
      </c>
      <c r="F741" s="9">
        <v>12633</v>
      </c>
      <c r="G741" s="9" t="s">
        <v>30</v>
      </c>
    </row>
    <row r="742" spans="1:7" x14ac:dyDescent="0.2">
      <c r="A742" t="s">
        <v>436</v>
      </c>
      <c r="B742" t="s">
        <v>757</v>
      </c>
      <c r="C742" t="s">
        <v>10104</v>
      </c>
      <c r="D742" t="s">
        <v>9715</v>
      </c>
      <c r="E742" s="9">
        <v>1690</v>
      </c>
      <c r="F742" s="9">
        <v>10067</v>
      </c>
      <c r="G742" s="9" t="s">
        <v>30</v>
      </c>
    </row>
    <row r="743" spans="1:7" x14ac:dyDescent="0.2">
      <c r="A743" t="s">
        <v>436</v>
      </c>
      <c r="B743" t="s">
        <v>758</v>
      </c>
      <c r="C743" t="s">
        <v>10105</v>
      </c>
      <c r="D743" t="s">
        <v>9715</v>
      </c>
      <c r="E743" s="9">
        <v>1834</v>
      </c>
      <c r="F743" s="9">
        <v>9523</v>
      </c>
      <c r="G743" s="9" t="s">
        <v>30</v>
      </c>
    </row>
    <row r="744" spans="1:7" x14ac:dyDescent="0.2">
      <c r="A744" t="s">
        <v>436</v>
      </c>
      <c r="B744" t="s">
        <v>759</v>
      </c>
      <c r="C744" t="s">
        <v>10106</v>
      </c>
      <c r="D744" t="s">
        <v>9715</v>
      </c>
      <c r="E744" s="9">
        <v>1681</v>
      </c>
      <c r="F744" s="9">
        <v>8626</v>
      </c>
      <c r="G744" s="9" t="s">
        <v>30</v>
      </c>
    </row>
    <row r="745" spans="1:7" x14ac:dyDescent="0.2">
      <c r="A745" t="s">
        <v>436</v>
      </c>
      <c r="B745" t="s">
        <v>760</v>
      </c>
      <c r="C745" t="s">
        <v>10107</v>
      </c>
      <c r="D745" t="s">
        <v>9715</v>
      </c>
      <c r="E745" s="9">
        <v>2294</v>
      </c>
      <c r="F745" s="9">
        <v>10031</v>
      </c>
      <c r="G745" s="9" t="s">
        <v>30</v>
      </c>
    </row>
    <row r="746" spans="1:7" x14ac:dyDescent="0.2">
      <c r="A746" t="s">
        <v>436</v>
      </c>
      <c r="B746" t="s">
        <v>761</v>
      </c>
      <c r="C746" t="s">
        <v>10108</v>
      </c>
      <c r="D746" t="s">
        <v>9715</v>
      </c>
      <c r="E746" s="9">
        <v>2560</v>
      </c>
      <c r="F746" s="9">
        <v>8021</v>
      </c>
      <c r="G746" s="9" t="s">
        <v>30</v>
      </c>
    </row>
    <row r="747" spans="1:7" x14ac:dyDescent="0.2">
      <c r="A747" t="s">
        <v>436</v>
      </c>
      <c r="B747" t="s">
        <v>762</v>
      </c>
      <c r="C747" t="s">
        <v>10109</v>
      </c>
      <c r="D747" t="s">
        <v>9715</v>
      </c>
      <c r="E747" s="9" t="s">
        <v>30</v>
      </c>
      <c r="F747" s="9" t="s">
        <v>30</v>
      </c>
      <c r="G747" s="9" t="s">
        <v>30</v>
      </c>
    </row>
    <row r="748" spans="1:7" x14ac:dyDescent="0.2">
      <c r="A748" t="s">
        <v>436</v>
      </c>
      <c r="B748" t="s">
        <v>763</v>
      </c>
      <c r="C748" t="s">
        <v>10110</v>
      </c>
      <c r="D748" t="s">
        <v>9715</v>
      </c>
      <c r="E748" s="9">
        <v>1818</v>
      </c>
      <c r="F748" s="9">
        <v>9950</v>
      </c>
      <c r="G748" s="9" t="s">
        <v>30</v>
      </c>
    </row>
    <row r="749" spans="1:7" x14ac:dyDescent="0.2">
      <c r="A749" t="s">
        <v>436</v>
      </c>
      <c r="B749" t="s">
        <v>764</v>
      </c>
      <c r="C749" t="s">
        <v>10111</v>
      </c>
      <c r="D749" t="s">
        <v>9715</v>
      </c>
      <c r="E749" s="9">
        <v>2072</v>
      </c>
      <c r="F749" s="9">
        <v>10076</v>
      </c>
      <c r="G749" s="9" t="s">
        <v>30</v>
      </c>
    </row>
    <row r="750" spans="1:7" x14ac:dyDescent="0.2">
      <c r="A750" t="s">
        <v>436</v>
      </c>
      <c r="B750" t="s">
        <v>765</v>
      </c>
      <c r="C750" t="s">
        <v>10112</v>
      </c>
      <c r="D750" t="s">
        <v>9715</v>
      </c>
      <c r="E750" s="9">
        <v>2553</v>
      </c>
      <c r="F750" s="9">
        <v>7536</v>
      </c>
      <c r="G750" s="9" t="s">
        <v>30</v>
      </c>
    </row>
    <row r="751" spans="1:7" x14ac:dyDescent="0.2">
      <c r="A751" t="s">
        <v>436</v>
      </c>
      <c r="B751" t="s">
        <v>766</v>
      </c>
      <c r="C751" t="s">
        <v>10113</v>
      </c>
      <c r="D751" t="s">
        <v>9715</v>
      </c>
      <c r="E751" s="9">
        <v>1891</v>
      </c>
      <c r="F751" s="9">
        <v>10246</v>
      </c>
      <c r="G751" s="9" t="s">
        <v>30</v>
      </c>
    </row>
    <row r="752" spans="1:7" x14ac:dyDescent="0.2">
      <c r="A752" t="s">
        <v>436</v>
      </c>
      <c r="B752" t="s">
        <v>767</v>
      </c>
      <c r="C752" t="s">
        <v>10114</v>
      </c>
      <c r="D752" t="s">
        <v>9715</v>
      </c>
      <c r="E752" s="9">
        <v>1539</v>
      </c>
      <c r="F752" s="9">
        <v>12049</v>
      </c>
      <c r="G752" s="9" t="s">
        <v>30</v>
      </c>
    </row>
    <row r="753" spans="1:7" x14ac:dyDescent="0.2">
      <c r="A753" t="s">
        <v>436</v>
      </c>
      <c r="B753" t="s">
        <v>768</v>
      </c>
      <c r="C753" t="s">
        <v>11034</v>
      </c>
      <c r="D753" t="e">
        <v>#N/A</v>
      </c>
      <c r="E753" s="9">
        <v>924</v>
      </c>
      <c r="F753" s="9">
        <v>11252</v>
      </c>
      <c r="G753" s="9" t="s">
        <v>30</v>
      </c>
    </row>
    <row r="754" spans="1:7" x14ac:dyDescent="0.2">
      <c r="A754" t="s">
        <v>436</v>
      </c>
      <c r="B754" t="s">
        <v>769</v>
      </c>
      <c r="C754" t="s">
        <v>10115</v>
      </c>
      <c r="D754" t="s">
        <v>9715</v>
      </c>
      <c r="E754" s="9">
        <v>1535</v>
      </c>
      <c r="F754" s="9">
        <v>10640</v>
      </c>
      <c r="G754" s="9" t="s">
        <v>30</v>
      </c>
    </row>
    <row r="755" spans="1:7" x14ac:dyDescent="0.2">
      <c r="A755" t="s">
        <v>436</v>
      </c>
      <c r="B755" t="s">
        <v>770</v>
      </c>
      <c r="C755" t="s">
        <v>10116</v>
      </c>
      <c r="D755" t="s">
        <v>9715</v>
      </c>
      <c r="E755" s="9">
        <v>2515</v>
      </c>
      <c r="F755" s="9">
        <v>10936</v>
      </c>
      <c r="G755" s="9" t="s">
        <v>30</v>
      </c>
    </row>
    <row r="756" spans="1:7" x14ac:dyDescent="0.2">
      <c r="A756" t="s">
        <v>436</v>
      </c>
      <c r="B756" t="s">
        <v>771</v>
      </c>
      <c r="C756" t="s">
        <v>10117</v>
      </c>
      <c r="D756" t="s">
        <v>9715</v>
      </c>
      <c r="E756" s="9" t="s">
        <v>30</v>
      </c>
      <c r="F756" s="9" t="s">
        <v>30</v>
      </c>
      <c r="G756" s="9" t="s">
        <v>30</v>
      </c>
    </row>
    <row r="757" spans="1:7" x14ac:dyDescent="0.2">
      <c r="A757" t="s">
        <v>436</v>
      </c>
      <c r="B757" t="s">
        <v>772</v>
      </c>
      <c r="C757" t="s">
        <v>10118</v>
      </c>
      <c r="D757" t="s">
        <v>9715</v>
      </c>
      <c r="E757" s="9">
        <v>2266</v>
      </c>
      <c r="F757" s="9">
        <v>12619</v>
      </c>
      <c r="G757" s="9" t="s">
        <v>30</v>
      </c>
    </row>
    <row r="758" spans="1:7" x14ac:dyDescent="0.2">
      <c r="A758" t="s">
        <v>436</v>
      </c>
      <c r="B758" t="s">
        <v>773</v>
      </c>
      <c r="C758" t="s">
        <v>10119</v>
      </c>
      <c r="D758" t="s">
        <v>9715</v>
      </c>
      <c r="E758" s="9">
        <v>2104</v>
      </c>
      <c r="F758" s="9">
        <v>10776</v>
      </c>
      <c r="G758" s="9" t="s">
        <v>30</v>
      </c>
    </row>
    <row r="759" spans="1:7" x14ac:dyDescent="0.2">
      <c r="A759" t="s">
        <v>436</v>
      </c>
      <c r="B759" t="s">
        <v>774</v>
      </c>
      <c r="C759" t="s">
        <v>11035</v>
      </c>
      <c r="D759" t="e">
        <v>#N/A</v>
      </c>
      <c r="E759" s="9">
        <v>2505</v>
      </c>
      <c r="F759" s="9">
        <v>12049</v>
      </c>
      <c r="G759" s="9" t="s">
        <v>30</v>
      </c>
    </row>
    <row r="760" spans="1:7" x14ac:dyDescent="0.2">
      <c r="A760" t="s">
        <v>436</v>
      </c>
      <c r="B760" t="s">
        <v>775</v>
      </c>
      <c r="C760" t="s">
        <v>11036</v>
      </c>
      <c r="D760" t="e">
        <v>#N/A</v>
      </c>
      <c r="E760" s="9">
        <v>2471</v>
      </c>
      <c r="F760" s="9">
        <v>12602</v>
      </c>
      <c r="G760" s="9" t="s">
        <v>30</v>
      </c>
    </row>
    <row r="761" spans="1:7" x14ac:dyDescent="0.2">
      <c r="A761" t="s">
        <v>436</v>
      </c>
      <c r="B761" t="s">
        <v>776</v>
      </c>
      <c r="C761" t="s">
        <v>9919</v>
      </c>
      <c r="D761" t="s">
        <v>9715</v>
      </c>
      <c r="E761" s="9">
        <v>1727</v>
      </c>
      <c r="F761" s="9">
        <v>15095</v>
      </c>
      <c r="G761" s="9" t="s">
        <v>30</v>
      </c>
    </row>
    <row r="762" spans="1:7" x14ac:dyDescent="0.2">
      <c r="A762" t="s">
        <v>436</v>
      </c>
      <c r="B762" t="s">
        <v>777</v>
      </c>
      <c r="C762" t="s">
        <v>9920</v>
      </c>
      <c r="D762" t="s">
        <v>9715</v>
      </c>
      <c r="E762" s="9">
        <v>2989</v>
      </c>
      <c r="F762" s="9">
        <v>12081</v>
      </c>
      <c r="G762" s="9" t="s">
        <v>30</v>
      </c>
    </row>
    <row r="763" spans="1:7" x14ac:dyDescent="0.2">
      <c r="A763" t="s">
        <v>436</v>
      </c>
      <c r="B763" t="s">
        <v>778</v>
      </c>
      <c r="C763" t="s">
        <v>9893</v>
      </c>
      <c r="D763" t="s">
        <v>9715</v>
      </c>
      <c r="E763" s="9">
        <v>519</v>
      </c>
      <c r="F763" s="9">
        <v>8898</v>
      </c>
      <c r="G763" s="9" t="s">
        <v>30</v>
      </c>
    </row>
    <row r="764" spans="1:7" x14ac:dyDescent="0.2">
      <c r="A764" t="s">
        <v>436</v>
      </c>
      <c r="B764" t="s">
        <v>779</v>
      </c>
      <c r="C764" t="s">
        <v>11037</v>
      </c>
      <c r="D764" t="e">
        <v>#N/A</v>
      </c>
      <c r="E764" s="9">
        <v>2839</v>
      </c>
      <c r="F764" s="9">
        <v>16387</v>
      </c>
      <c r="G764" s="9" t="s">
        <v>30</v>
      </c>
    </row>
    <row r="765" spans="1:7" x14ac:dyDescent="0.2">
      <c r="A765" t="s">
        <v>436</v>
      </c>
      <c r="B765" t="s">
        <v>780</v>
      </c>
      <c r="C765" t="s">
        <v>10163</v>
      </c>
      <c r="D765" t="s">
        <v>9715</v>
      </c>
      <c r="E765" s="9">
        <v>1066</v>
      </c>
      <c r="F765" s="9">
        <v>10508</v>
      </c>
      <c r="G765" s="9" t="s">
        <v>30</v>
      </c>
    </row>
    <row r="766" spans="1:7" x14ac:dyDescent="0.2">
      <c r="A766" t="s">
        <v>436</v>
      </c>
      <c r="B766" t="s">
        <v>781</v>
      </c>
      <c r="C766" t="s">
        <v>11038</v>
      </c>
      <c r="D766" t="e">
        <v>#N/A</v>
      </c>
      <c r="E766" s="9">
        <v>775</v>
      </c>
      <c r="F766" s="9">
        <v>11552</v>
      </c>
      <c r="G766" s="9" t="s">
        <v>30</v>
      </c>
    </row>
    <row r="767" spans="1:7" x14ac:dyDescent="0.2">
      <c r="A767" t="s">
        <v>436</v>
      </c>
      <c r="B767" t="s">
        <v>782</v>
      </c>
      <c r="C767" t="s">
        <v>10166</v>
      </c>
      <c r="D767" t="s">
        <v>9715</v>
      </c>
      <c r="E767" s="9">
        <v>1081</v>
      </c>
      <c r="F767" s="9">
        <v>10184</v>
      </c>
      <c r="G767" s="9" t="s">
        <v>30</v>
      </c>
    </row>
    <row r="768" spans="1:7" x14ac:dyDescent="0.2">
      <c r="A768" t="s">
        <v>436</v>
      </c>
      <c r="B768" t="s">
        <v>783</v>
      </c>
      <c r="C768" t="s">
        <v>10120</v>
      </c>
      <c r="D768" t="s">
        <v>9715</v>
      </c>
      <c r="E768" s="9">
        <v>2560</v>
      </c>
      <c r="F768" s="9">
        <v>9670</v>
      </c>
      <c r="G768" s="9" t="s">
        <v>30</v>
      </c>
    </row>
    <row r="769" spans="1:7" x14ac:dyDescent="0.2">
      <c r="A769" t="s">
        <v>436</v>
      </c>
      <c r="B769" t="s">
        <v>784</v>
      </c>
      <c r="C769" t="s">
        <v>11039</v>
      </c>
      <c r="D769" t="e">
        <v>#N/A</v>
      </c>
      <c r="E769" s="9" t="s">
        <v>30</v>
      </c>
      <c r="F769" s="9" t="s">
        <v>30</v>
      </c>
      <c r="G769" s="9" t="s">
        <v>30</v>
      </c>
    </row>
    <row r="770" spans="1:7" x14ac:dyDescent="0.2">
      <c r="A770" t="s">
        <v>436</v>
      </c>
      <c r="B770" t="s">
        <v>785</v>
      </c>
      <c r="C770" t="s">
        <v>11040</v>
      </c>
      <c r="D770" t="e">
        <v>#N/A</v>
      </c>
      <c r="E770" s="9">
        <v>953</v>
      </c>
      <c r="F770" s="9">
        <v>9602</v>
      </c>
      <c r="G770" s="9" t="s">
        <v>30</v>
      </c>
    </row>
    <row r="771" spans="1:7" x14ac:dyDescent="0.2">
      <c r="A771" t="s">
        <v>436</v>
      </c>
      <c r="B771" t="s">
        <v>786</v>
      </c>
      <c r="C771" t="s">
        <v>10121</v>
      </c>
      <c r="D771" t="s">
        <v>9715</v>
      </c>
      <c r="E771" s="9">
        <v>3874</v>
      </c>
      <c r="F771" s="9">
        <v>9076</v>
      </c>
      <c r="G771" s="9" t="s">
        <v>30</v>
      </c>
    </row>
    <row r="772" spans="1:7" x14ac:dyDescent="0.2">
      <c r="A772" t="s">
        <v>436</v>
      </c>
      <c r="B772" t="s">
        <v>787</v>
      </c>
      <c r="C772" t="s">
        <v>10156</v>
      </c>
      <c r="D772" t="s">
        <v>9715</v>
      </c>
      <c r="E772" s="9">
        <v>2073</v>
      </c>
      <c r="F772" s="9">
        <v>12523</v>
      </c>
      <c r="G772" s="9" t="s">
        <v>30</v>
      </c>
    </row>
    <row r="773" spans="1:7" x14ac:dyDescent="0.2">
      <c r="A773" t="s">
        <v>436</v>
      </c>
      <c r="B773" t="s">
        <v>788</v>
      </c>
      <c r="C773" t="s">
        <v>9872</v>
      </c>
      <c r="D773" t="s">
        <v>9715</v>
      </c>
      <c r="E773" s="9">
        <v>526</v>
      </c>
      <c r="F773" s="9">
        <v>8194</v>
      </c>
      <c r="G773" s="9" t="s">
        <v>30</v>
      </c>
    </row>
    <row r="774" spans="1:7" x14ac:dyDescent="0.2">
      <c r="A774" t="s">
        <v>436</v>
      </c>
      <c r="B774" t="s">
        <v>789</v>
      </c>
      <c r="C774" t="s">
        <v>9921</v>
      </c>
      <c r="D774" t="s">
        <v>9715</v>
      </c>
      <c r="E774" s="9">
        <v>1819</v>
      </c>
      <c r="F774" s="9">
        <v>8973</v>
      </c>
      <c r="G774" s="9" t="s">
        <v>30</v>
      </c>
    </row>
    <row r="775" spans="1:7" x14ac:dyDescent="0.2">
      <c r="A775" t="s">
        <v>436</v>
      </c>
      <c r="B775" t="s">
        <v>790</v>
      </c>
      <c r="C775" t="s">
        <v>11041</v>
      </c>
      <c r="D775" t="e">
        <v>#N/A</v>
      </c>
      <c r="E775" s="9">
        <v>656</v>
      </c>
      <c r="F775" s="9">
        <v>10676</v>
      </c>
      <c r="G775" s="9" t="s">
        <v>30</v>
      </c>
    </row>
    <row r="776" spans="1:7" x14ac:dyDescent="0.2">
      <c r="A776" t="s">
        <v>436</v>
      </c>
      <c r="B776" t="s">
        <v>791</v>
      </c>
      <c r="C776" t="s">
        <v>11042</v>
      </c>
      <c r="D776" t="e">
        <v>#N/A</v>
      </c>
      <c r="E776" s="9">
        <v>3269</v>
      </c>
      <c r="F776" s="9">
        <v>12643</v>
      </c>
      <c r="G776" s="9" t="s">
        <v>30</v>
      </c>
    </row>
    <row r="777" spans="1:7" x14ac:dyDescent="0.2">
      <c r="A777" t="s">
        <v>436</v>
      </c>
      <c r="B777" t="s">
        <v>792</v>
      </c>
      <c r="C777" t="s">
        <v>11043</v>
      </c>
      <c r="D777" t="e">
        <v>#N/A</v>
      </c>
      <c r="E777" s="9" t="s">
        <v>30</v>
      </c>
      <c r="F777" s="9" t="s">
        <v>30</v>
      </c>
      <c r="G777" s="9" t="s">
        <v>30</v>
      </c>
    </row>
    <row r="778" spans="1:7" x14ac:dyDescent="0.2">
      <c r="A778" t="s">
        <v>436</v>
      </c>
      <c r="B778" t="s">
        <v>793</v>
      </c>
      <c r="C778" t="s">
        <v>10122</v>
      </c>
      <c r="D778" t="s">
        <v>9715</v>
      </c>
      <c r="E778" s="9">
        <v>2760</v>
      </c>
      <c r="F778" s="9">
        <v>13254</v>
      </c>
      <c r="G778" s="9" t="s">
        <v>30</v>
      </c>
    </row>
    <row r="779" spans="1:7" x14ac:dyDescent="0.2">
      <c r="A779" t="s">
        <v>436</v>
      </c>
      <c r="B779" t="s">
        <v>794</v>
      </c>
      <c r="C779" t="s">
        <v>10123</v>
      </c>
      <c r="D779" t="s">
        <v>9715</v>
      </c>
      <c r="E779" s="9">
        <v>2373</v>
      </c>
      <c r="F779" s="9">
        <v>12062</v>
      </c>
      <c r="G779" s="9" t="s">
        <v>30</v>
      </c>
    </row>
    <row r="780" spans="1:7" x14ac:dyDescent="0.2">
      <c r="A780" t="s">
        <v>436</v>
      </c>
      <c r="B780" t="s">
        <v>795</v>
      </c>
      <c r="C780" t="s">
        <v>10124</v>
      </c>
      <c r="D780" t="s">
        <v>9715</v>
      </c>
      <c r="E780" s="9">
        <v>2390</v>
      </c>
      <c r="F780" s="9">
        <v>9770</v>
      </c>
      <c r="G780" s="9" t="s">
        <v>30</v>
      </c>
    </row>
    <row r="781" spans="1:7" x14ac:dyDescent="0.2">
      <c r="A781" t="s">
        <v>436</v>
      </c>
      <c r="B781" t="s">
        <v>796</v>
      </c>
      <c r="C781" t="s">
        <v>11044</v>
      </c>
      <c r="D781" t="e">
        <v>#N/A</v>
      </c>
      <c r="E781" s="9">
        <v>1257</v>
      </c>
      <c r="F781" s="9">
        <v>11226</v>
      </c>
      <c r="G781" s="9" t="s">
        <v>30</v>
      </c>
    </row>
    <row r="782" spans="1:7" x14ac:dyDescent="0.2">
      <c r="A782" t="s">
        <v>436</v>
      </c>
      <c r="B782" t="s">
        <v>797</v>
      </c>
      <c r="C782" t="s">
        <v>10125</v>
      </c>
      <c r="D782" t="s">
        <v>9715</v>
      </c>
      <c r="E782" s="9">
        <v>1904</v>
      </c>
      <c r="F782" s="9">
        <v>10677</v>
      </c>
      <c r="G782" s="9" t="s">
        <v>30</v>
      </c>
    </row>
    <row r="783" spans="1:7" x14ac:dyDescent="0.2">
      <c r="A783" t="s">
        <v>436</v>
      </c>
      <c r="B783" t="s">
        <v>798</v>
      </c>
      <c r="C783" t="s">
        <v>10126</v>
      </c>
      <c r="D783" t="s">
        <v>9715</v>
      </c>
      <c r="E783" s="9">
        <v>1834</v>
      </c>
      <c r="F783" s="9">
        <v>10332</v>
      </c>
      <c r="G783" s="9" t="s">
        <v>30</v>
      </c>
    </row>
    <row r="784" spans="1:7" x14ac:dyDescent="0.2">
      <c r="A784" t="s">
        <v>436</v>
      </c>
      <c r="B784" t="s">
        <v>799</v>
      </c>
      <c r="C784" t="s">
        <v>10127</v>
      </c>
      <c r="D784" t="s">
        <v>9715</v>
      </c>
      <c r="E784" s="9">
        <v>1990</v>
      </c>
      <c r="F784" s="9">
        <v>11633</v>
      </c>
      <c r="G784" s="9" t="s">
        <v>30</v>
      </c>
    </row>
    <row r="785" spans="1:7" x14ac:dyDescent="0.2">
      <c r="A785" t="s">
        <v>436</v>
      </c>
      <c r="B785" t="s">
        <v>800</v>
      </c>
      <c r="C785" t="s">
        <v>10128</v>
      </c>
      <c r="D785" t="s">
        <v>9715</v>
      </c>
      <c r="E785" s="9" t="s">
        <v>30</v>
      </c>
      <c r="F785" s="9" t="s">
        <v>30</v>
      </c>
      <c r="G785" s="9" t="s">
        <v>30</v>
      </c>
    </row>
    <row r="786" spans="1:7" x14ac:dyDescent="0.2">
      <c r="A786" t="s">
        <v>436</v>
      </c>
      <c r="B786" t="s">
        <v>801</v>
      </c>
      <c r="C786" t="s">
        <v>10129</v>
      </c>
      <c r="D786" t="s">
        <v>9715</v>
      </c>
      <c r="E786" s="9">
        <v>1322</v>
      </c>
      <c r="F786" s="9">
        <v>11721</v>
      </c>
      <c r="G786" s="9" t="s">
        <v>30</v>
      </c>
    </row>
    <row r="787" spans="1:7" x14ac:dyDescent="0.2">
      <c r="A787" t="s">
        <v>436</v>
      </c>
      <c r="B787" t="s">
        <v>802</v>
      </c>
      <c r="C787" t="s">
        <v>10130</v>
      </c>
      <c r="D787" t="s">
        <v>9715</v>
      </c>
      <c r="E787" s="9">
        <v>2190</v>
      </c>
      <c r="F787" s="9">
        <v>10215</v>
      </c>
      <c r="G787" s="9" t="s">
        <v>30</v>
      </c>
    </row>
    <row r="788" spans="1:7" x14ac:dyDescent="0.2">
      <c r="A788" t="s">
        <v>436</v>
      </c>
      <c r="B788" t="s">
        <v>803</v>
      </c>
      <c r="C788" t="s">
        <v>11045</v>
      </c>
      <c r="D788" t="e">
        <v>#N/A</v>
      </c>
      <c r="E788" s="9">
        <v>885</v>
      </c>
      <c r="F788" s="9">
        <v>10671</v>
      </c>
      <c r="G788" s="9" t="s">
        <v>30</v>
      </c>
    </row>
    <row r="789" spans="1:7" x14ac:dyDescent="0.2">
      <c r="A789" t="s">
        <v>436</v>
      </c>
      <c r="B789" t="s">
        <v>804</v>
      </c>
      <c r="C789" t="s">
        <v>10131</v>
      </c>
      <c r="D789" t="s">
        <v>9715</v>
      </c>
      <c r="E789" s="9">
        <v>967</v>
      </c>
      <c r="F789" s="9">
        <v>10689</v>
      </c>
      <c r="G789" s="9" t="s">
        <v>30</v>
      </c>
    </row>
    <row r="790" spans="1:7" x14ac:dyDescent="0.2">
      <c r="A790" t="s">
        <v>436</v>
      </c>
      <c r="B790" t="s">
        <v>805</v>
      </c>
      <c r="C790" t="s">
        <v>9883</v>
      </c>
      <c r="D790" t="s">
        <v>9715</v>
      </c>
      <c r="E790" s="9">
        <v>4143</v>
      </c>
      <c r="F790" s="9">
        <v>9939</v>
      </c>
      <c r="G790" s="9" t="s">
        <v>30</v>
      </c>
    </row>
    <row r="791" spans="1:7" x14ac:dyDescent="0.2">
      <c r="A791" t="s">
        <v>436</v>
      </c>
      <c r="B791" t="s">
        <v>806</v>
      </c>
      <c r="C791" t="s">
        <v>11046</v>
      </c>
      <c r="D791" t="e">
        <v>#N/A</v>
      </c>
      <c r="E791" s="9">
        <v>855</v>
      </c>
      <c r="F791" s="9">
        <v>10417</v>
      </c>
      <c r="G791" s="9" t="s">
        <v>30</v>
      </c>
    </row>
    <row r="792" spans="1:7" x14ac:dyDescent="0.2">
      <c r="A792" t="s">
        <v>436</v>
      </c>
      <c r="B792" t="s">
        <v>807</v>
      </c>
      <c r="C792" t="s">
        <v>10132</v>
      </c>
      <c r="D792" t="s">
        <v>9715</v>
      </c>
      <c r="E792" s="9">
        <v>2636</v>
      </c>
      <c r="F792" s="9">
        <v>11507</v>
      </c>
      <c r="G792" s="9" t="s">
        <v>30</v>
      </c>
    </row>
    <row r="793" spans="1:7" x14ac:dyDescent="0.2">
      <c r="A793" t="s">
        <v>436</v>
      </c>
      <c r="B793" t="s">
        <v>808</v>
      </c>
      <c r="C793" t="s">
        <v>9922</v>
      </c>
      <c r="D793" t="s">
        <v>9715</v>
      </c>
      <c r="E793" s="9">
        <v>2544</v>
      </c>
      <c r="F793" s="9">
        <v>10623</v>
      </c>
      <c r="G793" s="9" t="s">
        <v>30</v>
      </c>
    </row>
    <row r="794" spans="1:7" x14ac:dyDescent="0.2">
      <c r="A794" t="s">
        <v>436</v>
      </c>
      <c r="B794" t="s">
        <v>809</v>
      </c>
      <c r="C794" t="s">
        <v>11047</v>
      </c>
      <c r="D794" t="e">
        <v>#N/A</v>
      </c>
      <c r="E794" s="9">
        <v>1635</v>
      </c>
      <c r="F794" s="9">
        <v>10822</v>
      </c>
      <c r="G794" s="9" t="s">
        <v>30</v>
      </c>
    </row>
    <row r="795" spans="1:7" x14ac:dyDescent="0.2">
      <c r="A795" t="s">
        <v>436</v>
      </c>
      <c r="B795" t="s">
        <v>810</v>
      </c>
      <c r="C795" t="s">
        <v>10133</v>
      </c>
      <c r="D795" t="s">
        <v>9715</v>
      </c>
      <c r="E795" s="9">
        <v>859</v>
      </c>
      <c r="F795" s="9">
        <v>9891</v>
      </c>
      <c r="G795" s="9" t="s">
        <v>30</v>
      </c>
    </row>
    <row r="796" spans="1:7" x14ac:dyDescent="0.2">
      <c r="A796" t="s">
        <v>436</v>
      </c>
      <c r="B796" t="s">
        <v>811</v>
      </c>
      <c r="C796" t="s">
        <v>10134</v>
      </c>
      <c r="D796" t="s">
        <v>9715</v>
      </c>
      <c r="E796" s="9">
        <v>2530</v>
      </c>
      <c r="F796" s="9">
        <v>9322</v>
      </c>
      <c r="G796" s="9" t="s">
        <v>30</v>
      </c>
    </row>
    <row r="797" spans="1:7" x14ac:dyDescent="0.2">
      <c r="A797" t="s">
        <v>436</v>
      </c>
      <c r="B797" t="s">
        <v>812</v>
      </c>
      <c r="C797" t="s">
        <v>10135</v>
      </c>
      <c r="D797" t="s">
        <v>9715</v>
      </c>
      <c r="E797" s="9">
        <v>1442</v>
      </c>
      <c r="F797" s="9">
        <v>10343</v>
      </c>
      <c r="G797" s="9" t="s">
        <v>30</v>
      </c>
    </row>
    <row r="798" spans="1:7" x14ac:dyDescent="0.2">
      <c r="A798" t="s">
        <v>436</v>
      </c>
      <c r="B798" t="s">
        <v>813</v>
      </c>
      <c r="C798" t="s">
        <v>10136</v>
      </c>
      <c r="D798" t="s">
        <v>9715</v>
      </c>
      <c r="E798" s="9">
        <v>1963</v>
      </c>
      <c r="F798" s="9">
        <v>12706</v>
      </c>
      <c r="G798" s="9" t="s">
        <v>30</v>
      </c>
    </row>
    <row r="799" spans="1:7" x14ac:dyDescent="0.2">
      <c r="A799" t="s">
        <v>436</v>
      </c>
      <c r="B799" t="s">
        <v>814</v>
      </c>
      <c r="C799" t="s">
        <v>10137</v>
      </c>
      <c r="D799" t="s">
        <v>9715</v>
      </c>
      <c r="E799" s="9">
        <v>2395</v>
      </c>
      <c r="F799" s="9">
        <v>12750</v>
      </c>
      <c r="G799" s="9" t="s">
        <v>30</v>
      </c>
    </row>
    <row r="800" spans="1:7" x14ac:dyDescent="0.2">
      <c r="A800" t="s">
        <v>436</v>
      </c>
      <c r="B800" t="s">
        <v>815</v>
      </c>
      <c r="C800" t="s">
        <v>10138</v>
      </c>
      <c r="D800" t="s">
        <v>9715</v>
      </c>
      <c r="E800" s="9">
        <v>2252</v>
      </c>
      <c r="F800" s="9">
        <v>10720</v>
      </c>
      <c r="G800" s="9" t="s">
        <v>30</v>
      </c>
    </row>
    <row r="801" spans="1:7" x14ac:dyDescent="0.2">
      <c r="A801" t="s">
        <v>436</v>
      </c>
      <c r="B801" t="s">
        <v>816</v>
      </c>
      <c r="C801" t="s">
        <v>10139</v>
      </c>
      <c r="D801" t="s">
        <v>9715</v>
      </c>
      <c r="E801" s="9">
        <v>3664</v>
      </c>
      <c r="F801" s="9">
        <v>9833</v>
      </c>
      <c r="G801" s="9" t="s">
        <v>30</v>
      </c>
    </row>
    <row r="802" spans="1:7" x14ac:dyDescent="0.2">
      <c r="A802" t="s">
        <v>436</v>
      </c>
      <c r="B802" t="s">
        <v>817</v>
      </c>
      <c r="C802" t="s">
        <v>10140</v>
      </c>
      <c r="D802" t="s">
        <v>9715</v>
      </c>
      <c r="E802" s="9">
        <v>1817</v>
      </c>
      <c r="F802" s="9">
        <v>11389</v>
      </c>
      <c r="G802" s="9" t="s">
        <v>30</v>
      </c>
    </row>
    <row r="803" spans="1:7" x14ac:dyDescent="0.2">
      <c r="A803" t="s">
        <v>436</v>
      </c>
      <c r="B803" t="s">
        <v>818</v>
      </c>
      <c r="C803" t="s">
        <v>10141</v>
      </c>
      <c r="D803" t="s">
        <v>9715</v>
      </c>
      <c r="E803" s="9">
        <v>4625</v>
      </c>
      <c r="F803" s="9">
        <v>13039</v>
      </c>
      <c r="G803" s="9" t="s">
        <v>30</v>
      </c>
    </row>
    <row r="804" spans="1:7" x14ac:dyDescent="0.2">
      <c r="A804" t="s">
        <v>436</v>
      </c>
      <c r="B804" t="s">
        <v>819</v>
      </c>
      <c r="C804" t="s">
        <v>10142</v>
      </c>
      <c r="D804" t="s">
        <v>9715</v>
      </c>
      <c r="E804" s="9">
        <v>4256</v>
      </c>
      <c r="F804" s="9">
        <v>10719</v>
      </c>
      <c r="G804" s="9" t="s">
        <v>30</v>
      </c>
    </row>
    <row r="805" spans="1:7" x14ac:dyDescent="0.2">
      <c r="A805" t="s">
        <v>436</v>
      </c>
      <c r="B805" t="s">
        <v>820</v>
      </c>
      <c r="C805" t="s">
        <v>10143</v>
      </c>
      <c r="D805" t="s">
        <v>9715</v>
      </c>
      <c r="E805" s="9">
        <v>3283</v>
      </c>
      <c r="F805" s="9">
        <v>11003</v>
      </c>
      <c r="G805" s="9" t="s">
        <v>30</v>
      </c>
    </row>
    <row r="806" spans="1:7" x14ac:dyDescent="0.2">
      <c r="A806" t="s">
        <v>436</v>
      </c>
      <c r="B806" t="s">
        <v>821</v>
      </c>
      <c r="C806" t="s">
        <v>10144</v>
      </c>
      <c r="D806" t="s">
        <v>9715</v>
      </c>
      <c r="E806" s="9">
        <v>2761</v>
      </c>
      <c r="F806" s="9">
        <v>13805</v>
      </c>
      <c r="G806" s="9" t="s">
        <v>30</v>
      </c>
    </row>
    <row r="807" spans="1:7" x14ac:dyDescent="0.2">
      <c r="A807" t="s">
        <v>436</v>
      </c>
      <c r="B807" t="s">
        <v>822</v>
      </c>
      <c r="C807" t="s">
        <v>11048</v>
      </c>
      <c r="D807" t="e">
        <v>#N/A</v>
      </c>
      <c r="E807" s="9">
        <v>1263</v>
      </c>
      <c r="F807" s="9">
        <v>10747</v>
      </c>
      <c r="G807" s="9" t="s">
        <v>30</v>
      </c>
    </row>
    <row r="808" spans="1:7" x14ac:dyDescent="0.2">
      <c r="A808" t="s">
        <v>436</v>
      </c>
      <c r="B808" t="s">
        <v>823</v>
      </c>
      <c r="C808" t="s">
        <v>10145</v>
      </c>
      <c r="D808" t="s">
        <v>9715</v>
      </c>
      <c r="E808" s="9">
        <v>2476</v>
      </c>
      <c r="F808" s="9">
        <v>12682</v>
      </c>
      <c r="G808" s="9" t="s">
        <v>30</v>
      </c>
    </row>
    <row r="809" spans="1:7" x14ac:dyDescent="0.2">
      <c r="A809" t="s">
        <v>436</v>
      </c>
      <c r="B809" t="s">
        <v>824</v>
      </c>
      <c r="C809" t="s">
        <v>10146</v>
      </c>
      <c r="D809" t="s">
        <v>9715</v>
      </c>
      <c r="E809" s="9">
        <v>1966</v>
      </c>
      <c r="F809" s="9">
        <v>9904</v>
      </c>
      <c r="G809" s="9" t="s">
        <v>30</v>
      </c>
    </row>
    <row r="810" spans="1:7" x14ac:dyDescent="0.2">
      <c r="A810" t="s">
        <v>436</v>
      </c>
      <c r="B810" t="s">
        <v>825</v>
      </c>
      <c r="C810" t="s">
        <v>9923</v>
      </c>
      <c r="D810" t="s">
        <v>9715</v>
      </c>
      <c r="E810" s="9">
        <v>17339</v>
      </c>
      <c r="F810" s="9">
        <v>10176</v>
      </c>
      <c r="G810" s="9" t="s">
        <v>30</v>
      </c>
    </row>
    <row r="811" spans="1:7" x14ac:dyDescent="0.2">
      <c r="A811" t="s">
        <v>436</v>
      </c>
      <c r="B811" t="s">
        <v>826</v>
      </c>
      <c r="C811" t="s">
        <v>11049</v>
      </c>
      <c r="D811" t="e">
        <v>#N/A</v>
      </c>
      <c r="E811" s="9">
        <v>2617</v>
      </c>
      <c r="F811" s="9">
        <v>12790</v>
      </c>
      <c r="G811" s="9" t="s">
        <v>30</v>
      </c>
    </row>
    <row r="812" spans="1:7" x14ac:dyDescent="0.2">
      <c r="A812" t="s">
        <v>436</v>
      </c>
      <c r="B812" t="s">
        <v>827</v>
      </c>
      <c r="C812" t="s">
        <v>11050</v>
      </c>
      <c r="D812" t="e">
        <v>#N/A</v>
      </c>
      <c r="E812" s="9">
        <v>1259</v>
      </c>
      <c r="F812" s="9">
        <v>9574</v>
      </c>
      <c r="G812" s="9" t="s">
        <v>30</v>
      </c>
    </row>
    <row r="813" spans="1:7" x14ac:dyDescent="0.2">
      <c r="A813" t="s">
        <v>436</v>
      </c>
      <c r="B813" t="s">
        <v>828</v>
      </c>
      <c r="C813" t="s">
        <v>11051</v>
      </c>
      <c r="D813" t="e">
        <v>#N/A</v>
      </c>
      <c r="E813" s="9">
        <v>2403</v>
      </c>
      <c r="F813" s="9">
        <v>11298</v>
      </c>
      <c r="G813" s="9" t="s">
        <v>30</v>
      </c>
    </row>
    <row r="814" spans="1:7" x14ac:dyDescent="0.2">
      <c r="A814" t="s">
        <v>436</v>
      </c>
      <c r="B814" t="s">
        <v>829</v>
      </c>
      <c r="C814" t="s">
        <v>11052</v>
      </c>
      <c r="D814" t="e">
        <v>#N/A</v>
      </c>
      <c r="E814" s="9">
        <v>1565</v>
      </c>
      <c r="F814" s="9">
        <v>12997</v>
      </c>
      <c r="G814" s="9" t="s">
        <v>30</v>
      </c>
    </row>
    <row r="815" spans="1:7" x14ac:dyDescent="0.2">
      <c r="A815" t="s">
        <v>436</v>
      </c>
      <c r="B815" t="s">
        <v>830</v>
      </c>
      <c r="C815" t="s">
        <v>9891</v>
      </c>
      <c r="D815" t="s">
        <v>9715</v>
      </c>
      <c r="E815" s="9">
        <v>354</v>
      </c>
      <c r="F815" s="9">
        <v>9750</v>
      </c>
      <c r="G815" s="9" t="s">
        <v>30</v>
      </c>
    </row>
    <row r="816" spans="1:7" x14ac:dyDescent="0.2">
      <c r="A816" t="s">
        <v>436</v>
      </c>
      <c r="B816" t="s">
        <v>831</v>
      </c>
      <c r="C816" t="s">
        <v>9892</v>
      </c>
      <c r="D816" t="s">
        <v>9715</v>
      </c>
      <c r="E816" s="9">
        <v>546</v>
      </c>
      <c r="F816" s="9">
        <v>8878</v>
      </c>
      <c r="G816" s="9" t="s">
        <v>30</v>
      </c>
    </row>
    <row r="817" spans="1:7" x14ac:dyDescent="0.2">
      <c r="A817" t="s">
        <v>436</v>
      </c>
      <c r="B817" t="s">
        <v>832</v>
      </c>
      <c r="C817" t="s">
        <v>11053</v>
      </c>
      <c r="D817" t="e">
        <v>#N/A</v>
      </c>
      <c r="E817" s="9">
        <v>893</v>
      </c>
      <c r="F817" s="9">
        <v>10637</v>
      </c>
      <c r="G817" s="9" t="s">
        <v>30</v>
      </c>
    </row>
    <row r="818" spans="1:7" x14ac:dyDescent="0.2">
      <c r="A818" t="s">
        <v>436</v>
      </c>
      <c r="B818" t="s">
        <v>833</v>
      </c>
      <c r="C818" t="s">
        <v>11054</v>
      </c>
      <c r="D818" t="e">
        <v>#N/A</v>
      </c>
      <c r="E818" s="9">
        <v>4028</v>
      </c>
      <c r="F818" s="9">
        <v>12343</v>
      </c>
      <c r="G818" s="9" t="s">
        <v>30</v>
      </c>
    </row>
    <row r="819" spans="1:7" x14ac:dyDescent="0.2">
      <c r="A819" t="s">
        <v>436</v>
      </c>
      <c r="B819" t="s">
        <v>834</v>
      </c>
      <c r="C819" t="s">
        <v>11055</v>
      </c>
      <c r="D819" t="e">
        <v>#N/A</v>
      </c>
      <c r="E819" s="9">
        <v>1373</v>
      </c>
      <c r="F819" s="9">
        <v>11226</v>
      </c>
      <c r="G819" s="9" t="s">
        <v>30</v>
      </c>
    </row>
    <row r="820" spans="1:7" x14ac:dyDescent="0.2">
      <c r="A820" t="s">
        <v>436</v>
      </c>
      <c r="B820" t="s">
        <v>835</v>
      </c>
      <c r="C820" t="s">
        <v>10147</v>
      </c>
      <c r="D820" t="s">
        <v>9715</v>
      </c>
      <c r="E820" s="9">
        <v>950</v>
      </c>
      <c r="F820" s="9">
        <v>11953</v>
      </c>
      <c r="G820" s="9" t="s">
        <v>30</v>
      </c>
    </row>
    <row r="821" spans="1:7" x14ac:dyDescent="0.2">
      <c r="A821" t="s">
        <v>436</v>
      </c>
      <c r="B821" t="s">
        <v>836</v>
      </c>
      <c r="C821" t="s">
        <v>10148</v>
      </c>
      <c r="D821" t="s">
        <v>9715</v>
      </c>
      <c r="E821" s="9">
        <v>787</v>
      </c>
      <c r="F821" s="9">
        <v>9501</v>
      </c>
      <c r="G821" s="9" t="s">
        <v>30</v>
      </c>
    </row>
    <row r="822" spans="1:7" x14ac:dyDescent="0.2">
      <c r="A822" t="s">
        <v>837</v>
      </c>
      <c r="B822" t="s">
        <v>838</v>
      </c>
      <c r="C822" t="s">
        <v>11056</v>
      </c>
      <c r="D822" t="e">
        <v>#N/A</v>
      </c>
      <c r="E822" s="9">
        <v>1918</v>
      </c>
      <c r="F822" s="9">
        <v>11341</v>
      </c>
      <c r="G822" s="9" t="s">
        <v>30</v>
      </c>
    </row>
    <row r="823" spans="1:7" x14ac:dyDescent="0.2">
      <c r="A823" t="s">
        <v>837</v>
      </c>
      <c r="B823" t="s">
        <v>839</v>
      </c>
      <c r="C823" t="s">
        <v>11057</v>
      </c>
      <c r="D823" t="e">
        <v>#N/A</v>
      </c>
      <c r="E823" s="9">
        <v>1924</v>
      </c>
      <c r="F823" s="9">
        <v>11448</v>
      </c>
      <c r="G823" s="9" t="s">
        <v>30</v>
      </c>
    </row>
    <row r="824" spans="1:7" x14ac:dyDescent="0.2">
      <c r="A824" t="s">
        <v>837</v>
      </c>
      <c r="B824" t="s">
        <v>840</v>
      </c>
      <c r="C824" t="s">
        <v>11058</v>
      </c>
      <c r="D824" t="e">
        <v>#N/A</v>
      </c>
      <c r="E824" s="9">
        <v>956</v>
      </c>
      <c r="F824" s="9">
        <v>13236</v>
      </c>
      <c r="G824" s="9" t="s">
        <v>30</v>
      </c>
    </row>
    <row r="825" spans="1:7" x14ac:dyDescent="0.2">
      <c r="A825" t="s">
        <v>837</v>
      </c>
      <c r="B825" t="s">
        <v>841</v>
      </c>
      <c r="C825" t="s">
        <v>11059</v>
      </c>
      <c r="D825" t="e">
        <v>#N/A</v>
      </c>
      <c r="E825" s="9">
        <v>1646</v>
      </c>
      <c r="F825" s="9">
        <v>11523</v>
      </c>
      <c r="G825" s="9" t="s">
        <v>30</v>
      </c>
    </row>
    <row r="826" spans="1:7" x14ac:dyDescent="0.2">
      <c r="A826" t="s">
        <v>837</v>
      </c>
      <c r="B826" t="s">
        <v>842</v>
      </c>
      <c r="C826" t="s">
        <v>11060</v>
      </c>
      <c r="D826" t="e">
        <v>#N/A</v>
      </c>
      <c r="E826" s="9">
        <v>1741</v>
      </c>
      <c r="F826" s="9">
        <v>10784</v>
      </c>
      <c r="G826" s="9" t="s">
        <v>30</v>
      </c>
    </row>
    <row r="827" spans="1:7" x14ac:dyDescent="0.2">
      <c r="A827" t="s">
        <v>837</v>
      </c>
      <c r="B827" t="s">
        <v>843</v>
      </c>
      <c r="C827" t="s">
        <v>10172</v>
      </c>
      <c r="D827" t="s">
        <v>9715</v>
      </c>
      <c r="E827" s="9">
        <v>4113</v>
      </c>
      <c r="F827" s="9">
        <v>7991</v>
      </c>
      <c r="G827" s="9" t="s">
        <v>30</v>
      </c>
    </row>
    <row r="828" spans="1:7" x14ac:dyDescent="0.2">
      <c r="A828" t="s">
        <v>837</v>
      </c>
      <c r="B828" t="s">
        <v>844</v>
      </c>
      <c r="C828" t="s">
        <v>10176</v>
      </c>
      <c r="D828" t="s">
        <v>9715</v>
      </c>
      <c r="E828" s="9">
        <v>0</v>
      </c>
      <c r="F828" s="9">
        <v>10657</v>
      </c>
      <c r="G828" s="9" t="s">
        <v>30</v>
      </c>
    </row>
    <row r="829" spans="1:7" x14ac:dyDescent="0.2">
      <c r="A829" t="s">
        <v>837</v>
      </c>
      <c r="B829" t="s">
        <v>845</v>
      </c>
      <c r="C829" t="s">
        <v>11061</v>
      </c>
      <c r="D829" t="e">
        <v>#N/A</v>
      </c>
      <c r="E829" s="9">
        <v>1162</v>
      </c>
      <c r="F829" s="9">
        <v>17367</v>
      </c>
      <c r="G829" s="9" t="s">
        <v>30</v>
      </c>
    </row>
    <row r="830" spans="1:7" x14ac:dyDescent="0.2">
      <c r="A830" t="s">
        <v>837</v>
      </c>
      <c r="B830" t="s">
        <v>846</v>
      </c>
      <c r="C830" t="s">
        <v>11062</v>
      </c>
      <c r="D830" t="e">
        <v>#N/A</v>
      </c>
      <c r="E830" s="9">
        <v>49776</v>
      </c>
      <c r="F830" s="9">
        <v>71240</v>
      </c>
      <c r="G830" s="9" t="s">
        <v>30</v>
      </c>
    </row>
    <row r="831" spans="1:7" x14ac:dyDescent="0.2">
      <c r="A831" t="s">
        <v>837</v>
      </c>
      <c r="B831" t="s">
        <v>847</v>
      </c>
      <c r="C831" t="s">
        <v>11063</v>
      </c>
      <c r="D831" t="e">
        <v>#N/A</v>
      </c>
      <c r="E831" s="9">
        <v>2619</v>
      </c>
      <c r="F831" s="9">
        <v>16139</v>
      </c>
      <c r="G831" s="9" t="s">
        <v>30</v>
      </c>
    </row>
    <row r="832" spans="1:7" x14ac:dyDescent="0.2">
      <c r="A832" t="s">
        <v>837</v>
      </c>
      <c r="B832" t="s">
        <v>848</v>
      </c>
      <c r="C832" t="s">
        <v>10177</v>
      </c>
      <c r="D832" t="s">
        <v>9715</v>
      </c>
      <c r="E832" s="9">
        <v>0</v>
      </c>
      <c r="F832" s="9">
        <v>8313</v>
      </c>
      <c r="G832" s="9" t="s">
        <v>30</v>
      </c>
    </row>
    <row r="833" spans="1:7" x14ac:dyDescent="0.2">
      <c r="A833" t="s">
        <v>837</v>
      </c>
      <c r="B833" t="s">
        <v>849</v>
      </c>
      <c r="C833" t="s">
        <v>11064</v>
      </c>
      <c r="D833" t="e">
        <v>#N/A</v>
      </c>
      <c r="E833" s="9">
        <v>3142</v>
      </c>
      <c r="F833" s="9">
        <v>13121</v>
      </c>
      <c r="G833" s="9" t="s">
        <v>30</v>
      </c>
    </row>
    <row r="834" spans="1:7" x14ac:dyDescent="0.2">
      <c r="A834" t="s">
        <v>837</v>
      </c>
      <c r="B834" t="s">
        <v>850</v>
      </c>
      <c r="C834" t="s">
        <v>10173</v>
      </c>
      <c r="D834" t="s">
        <v>9715</v>
      </c>
      <c r="E834" s="9">
        <v>613</v>
      </c>
      <c r="F834" s="9">
        <v>10516</v>
      </c>
      <c r="G834" s="9" t="s">
        <v>30</v>
      </c>
    </row>
    <row r="835" spans="1:7" x14ac:dyDescent="0.2">
      <c r="A835" t="s">
        <v>837</v>
      </c>
      <c r="B835" t="s">
        <v>851</v>
      </c>
      <c r="C835" t="s">
        <v>10174</v>
      </c>
      <c r="D835" t="s">
        <v>9715</v>
      </c>
      <c r="E835" s="9">
        <v>70</v>
      </c>
      <c r="F835" s="9">
        <v>10901</v>
      </c>
      <c r="G835" s="9" t="s">
        <v>30</v>
      </c>
    </row>
    <row r="836" spans="1:7" x14ac:dyDescent="0.2">
      <c r="A836" t="s">
        <v>837</v>
      </c>
      <c r="B836" t="s">
        <v>852</v>
      </c>
      <c r="C836" t="s">
        <v>10175</v>
      </c>
      <c r="D836" t="s">
        <v>9715</v>
      </c>
      <c r="E836" s="9">
        <v>303</v>
      </c>
      <c r="F836" s="9">
        <v>8890</v>
      </c>
      <c r="G836" s="9" t="s">
        <v>30</v>
      </c>
    </row>
    <row r="837" spans="1:7" x14ac:dyDescent="0.2">
      <c r="A837" t="s">
        <v>837</v>
      </c>
      <c r="B837" t="s">
        <v>853</v>
      </c>
      <c r="C837" t="s">
        <v>11065</v>
      </c>
      <c r="D837" t="e">
        <v>#N/A</v>
      </c>
      <c r="E837" s="9">
        <v>1846</v>
      </c>
      <c r="F837" s="9">
        <v>12017</v>
      </c>
      <c r="G837" s="9" t="s">
        <v>30</v>
      </c>
    </row>
    <row r="838" spans="1:7" x14ac:dyDescent="0.2">
      <c r="A838" t="s">
        <v>837</v>
      </c>
      <c r="B838" t="s">
        <v>854</v>
      </c>
      <c r="C838" t="s">
        <v>10171</v>
      </c>
      <c r="D838" t="s">
        <v>9715</v>
      </c>
      <c r="E838" s="9">
        <v>1428</v>
      </c>
      <c r="F838" s="9">
        <v>9320</v>
      </c>
      <c r="G838" s="9" t="s">
        <v>30</v>
      </c>
    </row>
    <row r="839" spans="1:7" x14ac:dyDescent="0.2">
      <c r="A839" t="s">
        <v>855</v>
      </c>
      <c r="B839" t="s">
        <v>856</v>
      </c>
      <c r="C839" t="s">
        <v>11066</v>
      </c>
      <c r="D839" t="e">
        <v>#N/A</v>
      </c>
      <c r="E839" s="9">
        <v>2507</v>
      </c>
      <c r="F839" s="9">
        <v>56228</v>
      </c>
      <c r="G839" s="9" t="s">
        <v>30</v>
      </c>
    </row>
    <row r="840" spans="1:7" x14ac:dyDescent="0.2">
      <c r="A840" t="s">
        <v>855</v>
      </c>
      <c r="B840" t="s">
        <v>857</v>
      </c>
      <c r="C840" t="s">
        <v>11067</v>
      </c>
      <c r="D840" t="e">
        <v>#N/A</v>
      </c>
      <c r="E840" s="9">
        <v>699</v>
      </c>
      <c r="F840" s="9">
        <v>14977</v>
      </c>
      <c r="G840" s="9" t="s">
        <v>30</v>
      </c>
    </row>
    <row r="841" spans="1:7" x14ac:dyDescent="0.2">
      <c r="A841" t="s">
        <v>855</v>
      </c>
      <c r="B841" t="s">
        <v>858</v>
      </c>
      <c r="C841" t="s">
        <v>11068</v>
      </c>
      <c r="D841" t="e">
        <v>#N/A</v>
      </c>
      <c r="E841" s="9">
        <v>3547</v>
      </c>
      <c r="F841" s="9">
        <v>27380</v>
      </c>
      <c r="G841" s="9" t="s">
        <v>30</v>
      </c>
    </row>
    <row r="842" spans="1:7" x14ac:dyDescent="0.2">
      <c r="A842" t="s">
        <v>855</v>
      </c>
      <c r="B842" t="s">
        <v>859</v>
      </c>
      <c r="C842" t="s">
        <v>11069</v>
      </c>
      <c r="D842" t="e">
        <v>#N/A</v>
      </c>
      <c r="E842" s="9">
        <v>907</v>
      </c>
      <c r="F842" s="9">
        <v>17666</v>
      </c>
      <c r="G842" s="9" t="s">
        <v>30</v>
      </c>
    </row>
    <row r="843" spans="1:7" x14ac:dyDescent="0.2">
      <c r="A843" t="s">
        <v>855</v>
      </c>
      <c r="B843" t="s">
        <v>860</v>
      </c>
      <c r="C843" t="s">
        <v>11070</v>
      </c>
      <c r="D843" t="e">
        <v>#N/A</v>
      </c>
      <c r="E843" s="9">
        <v>652</v>
      </c>
      <c r="F843" s="9">
        <v>12691</v>
      </c>
      <c r="G843" s="9" t="s">
        <v>30</v>
      </c>
    </row>
    <row r="844" spans="1:7" x14ac:dyDescent="0.2">
      <c r="A844" t="s">
        <v>855</v>
      </c>
      <c r="B844" t="s">
        <v>861</v>
      </c>
      <c r="C844" t="s">
        <v>11071</v>
      </c>
      <c r="D844" t="e">
        <v>#N/A</v>
      </c>
      <c r="E844" s="9">
        <v>7649</v>
      </c>
      <c r="F844" s="9">
        <v>59768</v>
      </c>
      <c r="G844" s="9" t="s">
        <v>30</v>
      </c>
    </row>
    <row r="845" spans="1:7" x14ac:dyDescent="0.2">
      <c r="A845" t="s">
        <v>855</v>
      </c>
      <c r="B845" t="s">
        <v>862</v>
      </c>
      <c r="C845" t="s">
        <v>11072</v>
      </c>
      <c r="D845" t="e">
        <v>#N/A</v>
      </c>
      <c r="E845" s="9">
        <v>631</v>
      </c>
      <c r="F845" s="9">
        <v>16935</v>
      </c>
      <c r="G845" s="9" t="s">
        <v>30</v>
      </c>
    </row>
    <row r="846" spans="1:7" x14ac:dyDescent="0.2">
      <c r="A846" t="s">
        <v>855</v>
      </c>
      <c r="B846" t="s">
        <v>863</v>
      </c>
      <c r="C846" t="s">
        <v>11073</v>
      </c>
      <c r="D846" t="e">
        <v>#N/A</v>
      </c>
      <c r="E846" s="9">
        <v>726</v>
      </c>
      <c r="F846" s="9">
        <v>12434</v>
      </c>
      <c r="G846" s="9" t="s">
        <v>30</v>
      </c>
    </row>
    <row r="847" spans="1:7" x14ac:dyDescent="0.2">
      <c r="A847" t="s">
        <v>855</v>
      </c>
      <c r="B847" t="s">
        <v>864</v>
      </c>
      <c r="C847" t="s">
        <v>11074</v>
      </c>
      <c r="D847" t="e">
        <v>#N/A</v>
      </c>
      <c r="E847" s="9">
        <v>1487</v>
      </c>
      <c r="F847" s="9">
        <v>23588</v>
      </c>
      <c r="G847" s="9" t="s">
        <v>30</v>
      </c>
    </row>
    <row r="848" spans="1:7" x14ac:dyDescent="0.2">
      <c r="A848" t="s">
        <v>855</v>
      </c>
      <c r="B848" t="s">
        <v>865</v>
      </c>
      <c r="C848" t="s">
        <v>10179</v>
      </c>
      <c r="D848" t="s">
        <v>9715</v>
      </c>
      <c r="E848" s="9">
        <v>447</v>
      </c>
      <c r="F848" s="9">
        <v>9133</v>
      </c>
      <c r="G848" s="9" t="s">
        <v>30</v>
      </c>
    </row>
    <row r="849" spans="1:7" x14ac:dyDescent="0.2">
      <c r="A849" t="s">
        <v>855</v>
      </c>
      <c r="B849" t="s">
        <v>866</v>
      </c>
      <c r="C849" t="s">
        <v>11075</v>
      </c>
      <c r="D849" t="e">
        <v>#N/A</v>
      </c>
      <c r="E849" s="9">
        <v>1262</v>
      </c>
      <c r="F849" s="9">
        <v>10324</v>
      </c>
      <c r="G849" s="9" t="s">
        <v>30</v>
      </c>
    </row>
    <row r="850" spans="1:7" x14ac:dyDescent="0.2">
      <c r="A850" t="s">
        <v>855</v>
      </c>
      <c r="B850" t="s">
        <v>867</v>
      </c>
      <c r="C850" t="s">
        <v>11076</v>
      </c>
      <c r="D850" t="e">
        <v>#N/A</v>
      </c>
      <c r="E850" s="9">
        <v>342</v>
      </c>
      <c r="F850" s="9">
        <v>19613</v>
      </c>
      <c r="G850" s="9" t="s">
        <v>30</v>
      </c>
    </row>
    <row r="851" spans="1:7" x14ac:dyDescent="0.2">
      <c r="A851" t="s">
        <v>855</v>
      </c>
      <c r="B851" t="s">
        <v>868</v>
      </c>
      <c r="C851" t="s">
        <v>11077</v>
      </c>
      <c r="D851" t="e">
        <v>#N/A</v>
      </c>
      <c r="E851" s="9">
        <v>248</v>
      </c>
      <c r="F851" s="9">
        <v>21537</v>
      </c>
      <c r="G851" s="9" t="s">
        <v>30</v>
      </c>
    </row>
    <row r="852" spans="1:7" x14ac:dyDescent="0.2">
      <c r="A852" t="s">
        <v>855</v>
      </c>
      <c r="B852" t="s">
        <v>869</v>
      </c>
      <c r="C852" t="s">
        <v>10178</v>
      </c>
      <c r="D852" t="s">
        <v>9715</v>
      </c>
      <c r="E852" s="9">
        <v>2148</v>
      </c>
      <c r="F852" s="9">
        <v>9040</v>
      </c>
      <c r="G852" s="9" t="s">
        <v>30</v>
      </c>
    </row>
    <row r="853" spans="1:7" x14ac:dyDescent="0.2">
      <c r="A853" t="s">
        <v>855</v>
      </c>
      <c r="B853" t="s">
        <v>870</v>
      </c>
      <c r="C853" t="s">
        <v>11078</v>
      </c>
      <c r="D853" t="e">
        <v>#N/A</v>
      </c>
      <c r="E853" s="9">
        <v>631</v>
      </c>
      <c r="F853" s="9">
        <v>14938</v>
      </c>
      <c r="G853" s="9" t="s">
        <v>30</v>
      </c>
    </row>
    <row r="854" spans="1:7" x14ac:dyDescent="0.2">
      <c r="A854" t="s">
        <v>855</v>
      </c>
      <c r="B854" t="s">
        <v>871</v>
      </c>
      <c r="C854" t="s">
        <v>11079</v>
      </c>
      <c r="D854" t="e">
        <v>#N/A</v>
      </c>
      <c r="E854" s="9">
        <v>1454</v>
      </c>
      <c r="F854" s="9">
        <v>13561</v>
      </c>
      <c r="G854" s="9" t="s">
        <v>30</v>
      </c>
    </row>
    <row r="855" spans="1:7" x14ac:dyDescent="0.2">
      <c r="A855" t="s">
        <v>855</v>
      </c>
      <c r="B855" t="s">
        <v>872</v>
      </c>
      <c r="C855" t="s">
        <v>11080</v>
      </c>
      <c r="D855" t="e">
        <v>#N/A</v>
      </c>
      <c r="E855" s="9">
        <v>978</v>
      </c>
      <c r="F855" s="9">
        <v>13743</v>
      </c>
      <c r="G855" s="9" t="s">
        <v>30</v>
      </c>
    </row>
    <row r="856" spans="1:7" x14ac:dyDescent="0.2">
      <c r="A856" t="s">
        <v>855</v>
      </c>
      <c r="B856" t="s">
        <v>873</v>
      </c>
      <c r="C856" t="s">
        <v>11081</v>
      </c>
      <c r="D856" t="e">
        <v>#N/A</v>
      </c>
      <c r="E856" s="9">
        <v>4266</v>
      </c>
      <c r="F856" s="9">
        <v>48635</v>
      </c>
      <c r="G856" s="9" t="s">
        <v>30</v>
      </c>
    </row>
    <row r="857" spans="1:7" x14ac:dyDescent="0.2">
      <c r="A857" t="s">
        <v>855</v>
      </c>
      <c r="B857" t="s">
        <v>874</v>
      </c>
      <c r="C857" t="s">
        <v>11082</v>
      </c>
      <c r="D857" t="e">
        <v>#N/A</v>
      </c>
      <c r="E857" s="9">
        <v>1444</v>
      </c>
      <c r="F857" s="9">
        <v>28254</v>
      </c>
      <c r="G857" s="9" t="s">
        <v>30</v>
      </c>
    </row>
    <row r="858" spans="1:7" x14ac:dyDescent="0.2">
      <c r="A858" t="s">
        <v>855</v>
      </c>
      <c r="B858" t="s">
        <v>875</v>
      </c>
      <c r="C858" t="s">
        <v>11083</v>
      </c>
      <c r="D858" t="e">
        <v>#N/A</v>
      </c>
      <c r="E858" s="9">
        <v>628</v>
      </c>
      <c r="F858" s="9">
        <v>16550</v>
      </c>
      <c r="G858" s="9" t="s">
        <v>30</v>
      </c>
    </row>
    <row r="859" spans="1:7" x14ac:dyDescent="0.2">
      <c r="A859" t="s">
        <v>855</v>
      </c>
      <c r="B859" t="s">
        <v>876</v>
      </c>
      <c r="C859" t="s">
        <v>10700</v>
      </c>
      <c r="D859" t="s">
        <v>9715</v>
      </c>
      <c r="E859" s="9">
        <v>3071</v>
      </c>
      <c r="F859" s="9">
        <v>10605</v>
      </c>
      <c r="G859" s="9" t="s">
        <v>30</v>
      </c>
    </row>
    <row r="860" spans="1:7" x14ac:dyDescent="0.2">
      <c r="A860" t="s">
        <v>877</v>
      </c>
      <c r="B860" t="s">
        <v>878</v>
      </c>
      <c r="C860" t="s">
        <v>11084</v>
      </c>
      <c r="D860" t="e">
        <v>#N/A</v>
      </c>
      <c r="E860" s="9">
        <v>13540</v>
      </c>
      <c r="F860" s="9">
        <v>60812</v>
      </c>
      <c r="G860" s="9" t="s">
        <v>30</v>
      </c>
    </row>
    <row r="861" spans="1:7" x14ac:dyDescent="0.2">
      <c r="A861" t="s">
        <v>877</v>
      </c>
      <c r="B861" t="s">
        <v>879</v>
      </c>
      <c r="C861" t="s">
        <v>11085</v>
      </c>
      <c r="D861" t="e">
        <v>#N/A</v>
      </c>
      <c r="E861" s="9">
        <v>1397</v>
      </c>
      <c r="F861" s="9">
        <v>12673</v>
      </c>
      <c r="G861" s="9" t="s">
        <v>30</v>
      </c>
    </row>
    <row r="862" spans="1:7" x14ac:dyDescent="0.2">
      <c r="A862" t="s">
        <v>877</v>
      </c>
      <c r="B862" t="s">
        <v>880</v>
      </c>
      <c r="C862" t="s">
        <v>10180</v>
      </c>
      <c r="D862" t="s">
        <v>9715</v>
      </c>
      <c r="E862" s="9">
        <v>1053</v>
      </c>
      <c r="F862" s="9">
        <v>7686</v>
      </c>
      <c r="G862" s="9" t="s">
        <v>30</v>
      </c>
    </row>
    <row r="863" spans="1:7" x14ac:dyDescent="0.2">
      <c r="A863" t="s">
        <v>881</v>
      </c>
      <c r="B863" t="s">
        <v>882</v>
      </c>
      <c r="C863" t="s">
        <v>10184</v>
      </c>
      <c r="D863" t="s">
        <v>9715</v>
      </c>
      <c r="E863" s="9">
        <v>2241</v>
      </c>
      <c r="F863" s="9">
        <v>12331</v>
      </c>
      <c r="G863" s="9" t="s">
        <v>30</v>
      </c>
    </row>
    <row r="864" spans="1:7" x14ac:dyDescent="0.2">
      <c r="A864" t="s">
        <v>881</v>
      </c>
      <c r="B864" t="s">
        <v>883</v>
      </c>
      <c r="C864" t="s">
        <v>11086</v>
      </c>
      <c r="D864" t="e">
        <v>#N/A</v>
      </c>
      <c r="E864" s="9">
        <v>2434</v>
      </c>
      <c r="F864" s="9">
        <v>13902</v>
      </c>
      <c r="G864" s="9" t="s">
        <v>30</v>
      </c>
    </row>
    <row r="865" spans="1:7" x14ac:dyDescent="0.2">
      <c r="A865" t="s">
        <v>881</v>
      </c>
      <c r="B865" t="s">
        <v>884</v>
      </c>
      <c r="C865" t="s">
        <v>11087</v>
      </c>
      <c r="D865" t="e">
        <v>#N/A</v>
      </c>
      <c r="E865" s="9">
        <v>4009</v>
      </c>
      <c r="F865" s="9">
        <v>14560</v>
      </c>
      <c r="G865" s="9" t="s">
        <v>30</v>
      </c>
    </row>
    <row r="866" spans="1:7" x14ac:dyDescent="0.2">
      <c r="A866" t="s">
        <v>881</v>
      </c>
      <c r="B866" t="s">
        <v>885</v>
      </c>
      <c r="C866" t="s">
        <v>10183</v>
      </c>
      <c r="D866" t="s">
        <v>9715</v>
      </c>
      <c r="E866" s="9">
        <v>2280</v>
      </c>
      <c r="F866" s="9">
        <v>9925</v>
      </c>
      <c r="G866" s="9" t="s">
        <v>30</v>
      </c>
    </row>
    <row r="867" spans="1:7" x14ac:dyDescent="0.2">
      <c r="A867" t="s">
        <v>881</v>
      </c>
      <c r="B867" t="s">
        <v>886</v>
      </c>
      <c r="C867" t="s">
        <v>11088</v>
      </c>
      <c r="D867" t="e">
        <v>#N/A</v>
      </c>
      <c r="E867" s="9">
        <v>2031</v>
      </c>
      <c r="F867" s="9">
        <v>10934</v>
      </c>
      <c r="G867" s="9" t="s">
        <v>30</v>
      </c>
    </row>
    <row r="868" spans="1:7" x14ac:dyDescent="0.2">
      <c r="A868" t="s">
        <v>881</v>
      </c>
      <c r="B868" t="s">
        <v>887</v>
      </c>
      <c r="C868" t="s">
        <v>10188</v>
      </c>
      <c r="D868" t="s">
        <v>9715</v>
      </c>
      <c r="E868" s="9">
        <v>6004</v>
      </c>
      <c r="F868" s="9">
        <v>297871</v>
      </c>
      <c r="G868" s="9" t="s">
        <v>30</v>
      </c>
    </row>
    <row r="869" spans="1:7" x14ac:dyDescent="0.2">
      <c r="A869" t="s">
        <v>881</v>
      </c>
      <c r="B869" t="s">
        <v>888</v>
      </c>
      <c r="C869" t="s">
        <v>11089</v>
      </c>
      <c r="D869" t="e">
        <v>#N/A</v>
      </c>
      <c r="E869" s="9">
        <v>2125</v>
      </c>
      <c r="F869" s="9">
        <v>13034</v>
      </c>
      <c r="G869" s="9" t="s">
        <v>30</v>
      </c>
    </row>
    <row r="870" spans="1:7" x14ac:dyDescent="0.2">
      <c r="A870" t="s">
        <v>881</v>
      </c>
      <c r="B870" t="s">
        <v>889</v>
      </c>
      <c r="C870" t="s">
        <v>11090</v>
      </c>
      <c r="D870" t="e">
        <v>#N/A</v>
      </c>
      <c r="E870" s="9">
        <v>657</v>
      </c>
      <c r="F870" s="9">
        <v>9554</v>
      </c>
      <c r="G870" s="9" t="s">
        <v>30</v>
      </c>
    </row>
    <row r="871" spans="1:7" x14ac:dyDescent="0.2">
      <c r="A871" t="s">
        <v>881</v>
      </c>
      <c r="B871" t="s">
        <v>890</v>
      </c>
      <c r="C871" t="s">
        <v>11091</v>
      </c>
      <c r="D871" t="e">
        <v>#N/A</v>
      </c>
      <c r="E871" s="9">
        <v>1110</v>
      </c>
      <c r="F871" s="9">
        <v>17604</v>
      </c>
      <c r="G871" s="9" t="s">
        <v>30</v>
      </c>
    </row>
    <row r="872" spans="1:7" x14ac:dyDescent="0.2">
      <c r="A872" t="s">
        <v>881</v>
      </c>
      <c r="B872" t="s">
        <v>891</v>
      </c>
      <c r="C872" t="s">
        <v>11092</v>
      </c>
      <c r="D872" t="e">
        <v>#N/A</v>
      </c>
      <c r="E872" s="9">
        <v>2684</v>
      </c>
      <c r="F872" s="9">
        <v>36243</v>
      </c>
      <c r="G872" s="9" t="s">
        <v>30</v>
      </c>
    </row>
    <row r="873" spans="1:7" x14ac:dyDescent="0.2">
      <c r="A873" t="s">
        <v>881</v>
      </c>
      <c r="B873" t="s">
        <v>892</v>
      </c>
      <c r="C873" t="s">
        <v>11093</v>
      </c>
      <c r="D873" t="e">
        <v>#N/A</v>
      </c>
      <c r="E873" s="9">
        <v>2229</v>
      </c>
      <c r="F873" s="9">
        <v>17927</v>
      </c>
      <c r="G873" s="9" t="s">
        <v>30</v>
      </c>
    </row>
    <row r="874" spans="1:7" x14ac:dyDescent="0.2">
      <c r="A874" t="s">
        <v>881</v>
      </c>
      <c r="B874" t="s">
        <v>893</v>
      </c>
      <c r="C874" t="s">
        <v>10181</v>
      </c>
      <c r="D874" t="s">
        <v>9715</v>
      </c>
      <c r="E874" s="9">
        <v>1021</v>
      </c>
      <c r="F874" s="9">
        <v>11004</v>
      </c>
      <c r="G874" s="9" t="s">
        <v>30</v>
      </c>
    </row>
    <row r="875" spans="1:7" x14ac:dyDescent="0.2">
      <c r="A875" t="s">
        <v>881</v>
      </c>
      <c r="B875" t="s">
        <v>894</v>
      </c>
      <c r="C875" t="s">
        <v>11094</v>
      </c>
      <c r="D875" t="e">
        <v>#N/A</v>
      </c>
      <c r="E875" s="9">
        <v>4794</v>
      </c>
      <c r="F875" s="9">
        <v>27059</v>
      </c>
      <c r="G875" s="9" t="s">
        <v>30</v>
      </c>
    </row>
    <row r="876" spans="1:7" x14ac:dyDescent="0.2">
      <c r="A876" t="s">
        <v>881</v>
      </c>
      <c r="B876" t="s">
        <v>895</v>
      </c>
      <c r="C876" t="s">
        <v>11095</v>
      </c>
      <c r="D876" t="e">
        <v>#N/A</v>
      </c>
      <c r="E876" s="9">
        <v>1785</v>
      </c>
      <c r="F876" s="9">
        <v>27452</v>
      </c>
      <c r="G876" s="9" t="s">
        <v>30</v>
      </c>
    </row>
    <row r="877" spans="1:7" x14ac:dyDescent="0.2">
      <c r="A877" t="s">
        <v>881</v>
      </c>
      <c r="B877" t="s">
        <v>896</v>
      </c>
      <c r="C877" t="s">
        <v>10185</v>
      </c>
      <c r="D877" t="s">
        <v>9715</v>
      </c>
      <c r="E877" s="9">
        <v>1061</v>
      </c>
      <c r="F877" s="9">
        <v>9699</v>
      </c>
      <c r="G877" s="9" t="s">
        <v>30</v>
      </c>
    </row>
    <row r="878" spans="1:7" x14ac:dyDescent="0.2">
      <c r="A878" t="s">
        <v>881</v>
      </c>
      <c r="B878" t="s">
        <v>897</v>
      </c>
      <c r="C878" t="s">
        <v>10186</v>
      </c>
      <c r="D878" t="s">
        <v>9715</v>
      </c>
      <c r="E878" s="9">
        <v>739</v>
      </c>
      <c r="F878" s="9">
        <v>8242</v>
      </c>
      <c r="G878" s="9" t="s">
        <v>30</v>
      </c>
    </row>
    <row r="879" spans="1:7" x14ac:dyDescent="0.2">
      <c r="A879" t="s">
        <v>881</v>
      </c>
      <c r="B879" t="s">
        <v>898</v>
      </c>
      <c r="C879" t="s">
        <v>11096</v>
      </c>
      <c r="D879" t="e">
        <v>#N/A</v>
      </c>
      <c r="E879" s="9">
        <v>3933</v>
      </c>
      <c r="F879" s="9">
        <v>16319</v>
      </c>
      <c r="G879" s="9" t="s">
        <v>30</v>
      </c>
    </row>
    <row r="880" spans="1:7" x14ac:dyDescent="0.2">
      <c r="A880" t="s">
        <v>881</v>
      </c>
      <c r="B880" t="s">
        <v>899</v>
      </c>
      <c r="C880" t="s">
        <v>10182</v>
      </c>
      <c r="D880" t="s">
        <v>9715</v>
      </c>
      <c r="E880" s="9">
        <v>1840</v>
      </c>
      <c r="F880" s="9">
        <v>8997</v>
      </c>
      <c r="G880" s="9" t="s">
        <v>30</v>
      </c>
    </row>
    <row r="881" spans="1:7" x14ac:dyDescent="0.2">
      <c r="A881" t="s">
        <v>881</v>
      </c>
      <c r="B881" t="s">
        <v>900</v>
      </c>
      <c r="C881" t="s">
        <v>10187</v>
      </c>
      <c r="D881" t="s">
        <v>9715</v>
      </c>
      <c r="E881" s="9">
        <v>461</v>
      </c>
      <c r="F881" s="9">
        <v>10767</v>
      </c>
      <c r="G881" s="9" t="s">
        <v>30</v>
      </c>
    </row>
    <row r="882" spans="1:7" x14ac:dyDescent="0.2">
      <c r="A882" t="s">
        <v>881</v>
      </c>
      <c r="B882" t="s">
        <v>901</v>
      </c>
      <c r="C882" t="s">
        <v>11097</v>
      </c>
      <c r="D882" t="e">
        <v>#N/A</v>
      </c>
      <c r="E882" s="9">
        <v>2621</v>
      </c>
      <c r="F882" s="9">
        <v>13433</v>
      </c>
      <c r="G882" s="9" t="s">
        <v>30</v>
      </c>
    </row>
    <row r="883" spans="1:7" x14ac:dyDescent="0.2">
      <c r="A883" t="s">
        <v>881</v>
      </c>
      <c r="B883" t="s">
        <v>902</v>
      </c>
      <c r="C883" t="s">
        <v>10189</v>
      </c>
      <c r="D883" t="s">
        <v>9715</v>
      </c>
      <c r="E883" s="9">
        <v>2112</v>
      </c>
      <c r="F883" s="9">
        <v>10995</v>
      </c>
      <c r="G883" s="9" t="s">
        <v>30</v>
      </c>
    </row>
    <row r="884" spans="1:7" x14ac:dyDescent="0.2">
      <c r="A884" t="s">
        <v>881</v>
      </c>
      <c r="B884" t="s">
        <v>903</v>
      </c>
      <c r="C884" t="s">
        <v>10190</v>
      </c>
      <c r="D884" t="s">
        <v>9715</v>
      </c>
      <c r="E884" s="9">
        <v>1421</v>
      </c>
      <c r="F884" s="9">
        <v>11660</v>
      </c>
      <c r="G884" s="9" t="s">
        <v>30</v>
      </c>
    </row>
    <row r="885" spans="1:7" x14ac:dyDescent="0.2">
      <c r="A885" t="s">
        <v>881</v>
      </c>
      <c r="B885" t="s">
        <v>904</v>
      </c>
      <c r="C885" t="s">
        <v>11098</v>
      </c>
      <c r="D885" t="e">
        <v>#N/A</v>
      </c>
      <c r="E885" s="9">
        <v>1903</v>
      </c>
      <c r="F885" s="9">
        <v>12484</v>
      </c>
      <c r="G885" s="9" t="s">
        <v>30</v>
      </c>
    </row>
    <row r="886" spans="1:7" x14ac:dyDescent="0.2">
      <c r="A886" t="s">
        <v>905</v>
      </c>
      <c r="B886" t="s">
        <v>906</v>
      </c>
      <c r="C886" t="s">
        <v>11099</v>
      </c>
      <c r="D886" t="e">
        <v>#N/A</v>
      </c>
      <c r="E886" s="9">
        <v>2454</v>
      </c>
      <c r="F886" s="9">
        <v>10217</v>
      </c>
      <c r="G886" s="9" t="s">
        <v>30</v>
      </c>
    </row>
    <row r="887" spans="1:7" x14ac:dyDescent="0.2">
      <c r="A887" t="s">
        <v>905</v>
      </c>
      <c r="B887" t="s">
        <v>907</v>
      </c>
      <c r="C887" t="s">
        <v>11100</v>
      </c>
      <c r="D887" t="e">
        <v>#N/A</v>
      </c>
      <c r="E887" s="9">
        <v>2528</v>
      </c>
      <c r="F887" s="9">
        <v>11007</v>
      </c>
      <c r="G887" s="9" t="s">
        <v>30</v>
      </c>
    </row>
    <row r="888" spans="1:7" x14ac:dyDescent="0.2">
      <c r="A888" t="s">
        <v>905</v>
      </c>
      <c r="B888" t="s">
        <v>908</v>
      </c>
      <c r="C888" t="s">
        <v>11101</v>
      </c>
      <c r="D888" t="e">
        <v>#N/A</v>
      </c>
      <c r="E888" s="9">
        <v>2457</v>
      </c>
      <c r="F888" s="9">
        <v>12129</v>
      </c>
      <c r="G888" s="9" t="s">
        <v>30</v>
      </c>
    </row>
    <row r="889" spans="1:7" x14ac:dyDescent="0.2">
      <c r="A889" t="s">
        <v>905</v>
      </c>
      <c r="B889" t="s">
        <v>909</v>
      </c>
      <c r="C889" t="s">
        <v>11102</v>
      </c>
      <c r="D889" t="e">
        <v>#N/A</v>
      </c>
      <c r="E889" s="9">
        <v>2872</v>
      </c>
      <c r="F889" s="9">
        <v>12728</v>
      </c>
      <c r="G889" s="9" t="s">
        <v>30</v>
      </c>
    </row>
    <row r="890" spans="1:7" x14ac:dyDescent="0.2">
      <c r="A890" t="s">
        <v>905</v>
      </c>
      <c r="B890" t="s">
        <v>910</v>
      </c>
      <c r="C890" t="s">
        <v>11103</v>
      </c>
      <c r="D890" t="e">
        <v>#N/A</v>
      </c>
      <c r="E890" s="9">
        <v>2638</v>
      </c>
      <c r="F890" s="9">
        <v>14817</v>
      </c>
      <c r="G890" s="9" t="s">
        <v>30</v>
      </c>
    </row>
    <row r="891" spans="1:7" x14ac:dyDescent="0.2">
      <c r="A891" t="s">
        <v>905</v>
      </c>
      <c r="B891" t="s">
        <v>911</v>
      </c>
      <c r="C891" t="s">
        <v>11104</v>
      </c>
      <c r="D891" t="e">
        <v>#N/A</v>
      </c>
      <c r="E891" s="9">
        <v>2284</v>
      </c>
      <c r="F891" s="9">
        <v>9560</v>
      </c>
      <c r="G891" s="9" t="s">
        <v>30</v>
      </c>
    </row>
    <row r="892" spans="1:7" x14ac:dyDescent="0.2">
      <c r="A892" t="s">
        <v>905</v>
      </c>
      <c r="B892" t="s">
        <v>912</v>
      </c>
      <c r="C892" t="s">
        <v>11105</v>
      </c>
      <c r="D892" t="e">
        <v>#N/A</v>
      </c>
      <c r="E892" s="9">
        <v>9478</v>
      </c>
      <c r="F892" s="9">
        <v>99258</v>
      </c>
      <c r="G892" s="9" t="s">
        <v>30</v>
      </c>
    </row>
    <row r="893" spans="1:7" x14ac:dyDescent="0.2">
      <c r="A893" t="s">
        <v>905</v>
      </c>
      <c r="B893" t="s">
        <v>913</v>
      </c>
      <c r="C893" t="s">
        <v>11106</v>
      </c>
      <c r="D893" t="e">
        <v>#N/A</v>
      </c>
      <c r="E893" s="9">
        <v>2362</v>
      </c>
      <c r="F893" s="9">
        <v>13209</v>
      </c>
      <c r="G893" s="9" t="s">
        <v>30</v>
      </c>
    </row>
    <row r="894" spans="1:7" x14ac:dyDescent="0.2">
      <c r="A894" t="s">
        <v>905</v>
      </c>
      <c r="B894" t="s">
        <v>914</v>
      </c>
      <c r="C894" t="s">
        <v>11107</v>
      </c>
      <c r="D894" t="e">
        <v>#N/A</v>
      </c>
      <c r="E894" s="9">
        <v>3380</v>
      </c>
      <c r="F894" s="9">
        <v>12340</v>
      </c>
      <c r="G894" s="9" t="s">
        <v>30</v>
      </c>
    </row>
    <row r="895" spans="1:7" x14ac:dyDescent="0.2">
      <c r="A895" t="s">
        <v>905</v>
      </c>
      <c r="B895" t="s">
        <v>915</v>
      </c>
      <c r="C895" t="s">
        <v>11108</v>
      </c>
      <c r="D895" t="e">
        <v>#N/A</v>
      </c>
      <c r="E895" s="9">
        <v>1804</v>
      </c>
      <c r="F895" s="9">
        <v>11799</v>
      </c>
      <c r="G895" s="9" t="s">
        <v>30</v>
      </c>
    </row>
    <row r="896" spans="1:7" x14ac:dyDescent="0.2">
      <c r="A896" t="s">
        <v>905</v>
      </c>
      <c r="B896" t="s">
        <v>916</v>
      </c>
      <c r="C896" t="s">
        <v>11109</v>
      </c>
      <c r="D896" t="e">
        <v>#N/A</v>
      </c>
      <c r="E896" s="9">
        <v>2347</v>
      </c>
      <c r="F896" s="9">
        <v>11565</v>
      </c>
      <c r="G896" s="9" t="s">
        <v>30</v>
      </c>
    </row>
    <row r="897" spans="1:7" x14ac:dyDescent="0.2">
      <c r="A897" t="s">
        <v>905</v>
      </c>
      <c r="B897" t="s">
        <v>917</v>
      </c>
      <c r="C897" t="s">
        <v>11110</v>
      </c>
      <c r="D897" t="e">
        <v>#N/A</v>
      </c>
      <c r="E897" s="9">
        <v>1221</v>
      </c>
      <c r="F897" s="9">
        <v>10446</v>
      </c>
      <c r="G897" s="9" t="s">
        <v>30</v>
      </c>
    </row>
    <row r="898" spans="1:7" x14ac:dyDescent="0.2">
      <c r="A898" t="s">
        <v>905</v>
      </c>
      <c r="B898" t="s">
        <v>918</v>
      </c>
      <c r="C898" t="s">
        <v>11111</v>
      </c>
      <c r="D898" t="e">
        <v>#N/A</v>
      </c>
      <c r="E898" s="9">
        <v>1748</v>
      </c>
      <c r="F898" s="9">
        <v>10406</v>
      </c>
      <c r="G898" s="9" t="s">
        <v>30</v>
      </c>
    </row>
    <row r="899" spans="1:7" x14ac:dyDescent="0.2">
      <c r="A899" t="s">
        <v>905</v>
      </c>
      <c r="B899" t="s">
        <v>919</v>
      </c>
      <c r="C899" t="s">
        <v>11112</v>
      </c>
      <c r="D899" t="e">
        <v>#N/A</v>
      </c>
      <c r="E899" s="9">
        <v>4327</v>
      </c>
      <c r="F899" s="9">
        <v>28068</v>
      </c>
      <c r="G899" s="9" t="s">
        <v>30</v>
      </c>
    </row>
    <row r="900" spans="1:7" x14ac:dyDescent="0.2">
      <c r="A900" t="s">
        <v>905</v>
      </c>
      <c r="B900" t="s">
        <v>920</v>
      </c>
      <c r="C900" t="s">
        <v>11113</v>
      </c>
      <c r="D900" t="e">
        <v>#N/A</v>
      </c>
      <c r="E900" s="9" t="s">
        <v>30</v>
      </c>
      <c r="F900" s="9" t="s">
        <v>30</v>
      </c>
      <c r="G900" s="9" t="s">
        <v>30</v>
      </c>
    </row>
    <row r="901" spans="1:7" x14ac:dyDescent="0.2">
      <c r="A901" t="s">
        <v>905</v>
      </c>
      <c r="B901" t="s">
        <v>921</v>
      </c>
      <c r="C901" t="s">
        <v>11114</v>
      </c>
      <c r="D901" t="e">
        <v>#N/A</v>
      </c>
      <c r="E901" s="9">
        <v>1443</v>
      </c>
      <c r="F901" s="9">
        <v>9302</v>
      </c>
      <c r="G901" s="9" t="s">
        <v>30</v>
      </c>
    </row>
    <row r="902" spans="1:7" x14ac:dyDescent="0.2">
      <c r="A902" t="s">
        <v>905</v>
      </c>
      <c r="B902" t="s">
        <v>922</v>
      </c>
      <c r="C902" t="s">
        <v>11115</v>
      </c>
      <c r="D902" t="e">
        <v>#N/A</v>
      </c>
      <c r="E902" s="9">
        <v>1431</v>
      </c>
      <c r="F902" s="9">
        <v>10538</v>
      </c>
      <c r="G902" s="9" t="s">
        <v>30</v>
      </c>
    </row>
    <row r="903" spans="1:7" x14ac:dyDescent="0.2">
      <c r="A903" t="s">
        <v>905</v>
      </c>
      <c r="B903" t="s">
        <v>923</v>
      </c>
      <c r="C903" t="s">
        <v>11116</v>
      </c>
      <c r="D903" t="e">
        <v>#N/A</v>
      </c>
      <c r="E903" s="9">
        <v>704</v>
      </c>
      <c r="F903" s="9">
        <v>12762</v>
      </c>
      <c r="G903" s="9" t="s">
        <v>30</v>
      </c>
    </row>
    <row r="904" spans="1:7" x14ac:dyDescent="0.2">
      <c r="A904" t="s">
        <v>905</v>
      </c>
      <c r="B904" t="s">
        <v>924</v>
      </c>
      <c r="C904" t="s">
        <v>11117</v>
      </c>
      <c r="D904" t="e">
        <v>#N/A</v>
      </c>
      <c r="E904" s="9">
        <v>1212</v>
      </c>
      <c r="F904" s="9">
        <v>11747</v>
      </c>
      <c r="G904" s="9" t="s">
        <v>30</v>
      </c>
    </row>
    <row r="905" spans="1:7" x14ac:dyDescent="0.2">
      <c r="A905" t="s">
        <v>905</v>
      </c>
      <c r="B905" t="s">
        <v>925</v>
      </c>
      <c r="C905" t="s">
        <v>11118</v>
      </c>
      <c r="D905" t="e">
        <v>#N/A</v>
      </c>
      <c r="E905" s="9">
        <v>2421</v>
      </c>
      <c r="F905" s="9">
        <v>10730</v>
      </c>
      <c r="G905" s="9" t="s">
        <v>30</v>
      </c>
    </row>
    <row r="906" spans="1:7" x14ac:dyDescent="0.2">
      <c r="A906" t="s">
        <v>905</v>
      </c>
      <c r="B906" t="s">
        <v>926</v>
      </c>
      <c r="C906" t="s">
        <v>11119</v>
      </c>
      <c r="D906" t="e">
        <v>#N/A</v>
      </c>
      <c r="E906" s="9">
        <v>1886</v>
      </c>
      <c r="F906" s="9">
        <v>11990</v>
      </c>
      <c r="G906" s="9" t="s">
        <v>30</v>
      </c>
    </row>
    <row r="907" spans="1:7" x14ac:dyDescent="0.2">
      <c r="A907" t="s">
        <v>927</v>
      </c>
      <c r="B907" t="s">
        <v>928</v>
      </c>
      <c r="C907" t="s">
        <v>11120</v>
      </c>
      <c r="D907" t="e">
        <v>#N/A</v>
      </c>
      <c r="E907" s="9">
        <v>2354</v>
      </c>
      <c r="F907" s="9">
        <v>22391</v>
      </c>
      <c r="G907" s="9" t="s">
        <v>30</v>
      </c>
    </row>
    <row r="908" spans="1:7" x14ac:dyDescent="0.2">
      <c r="A908" t="s">
        <v>927</v>
      </c>
      <c r="B908" t="s">
        <v>929</v>
      </c>
      <c r="C908" t="s">
        <v>11121</v>
      </c>
      <c r="D908" t="e">
        <v>#N/A</v>
      </c>
      <c r="E908" s="9">
        <v>1493</v>
      </c>
      <c r="F908" s="9">
        <v>10801</v>
      </c>
      <c r="G908" s="9" t="s">
        <v>30</v>
      </c>
    </row>
    <row r="909" spans="1:7" x14ac:dyDescent="0.2">
      <c r="A909" t="s">
        <v>927</v>
      </c>
      <c r="B909" t="s">
        <v>930</v>
      </c>
      <c r="C909" t="s">
        <v>11122</v>
      </c>
      <c r="D909" t="e">
        <v>#N/A</v>
      </c>
      <c r="E909" s="9">
        <v>1458</v>
      </c>
      <c r="F909" s="9">
        <v>11406</v>
      </c>
      <c r="G909" s="9" t="s">
        <v>30</v>
      </c>
    </row>
    <row r="910" spans="1:7" x14ac:dyDescent="0.2">
      <c r="A910" t="s">
        <v>927</v>
      </c>
      <c r="B910" t="s">
        <v>931</v>
      </c>
      <c r="C910" t="s">
        <v>11123</v>
      </c>
      <c r="D910" t="e">
        <v>#N/A</v>
      </c>
      <c r="E910" s="9">
        <v>2229</v>
      </c>
      <c r="F910" s="9">
        <v>13120</v>
      </c>
      <c r="G910" s="9" t="s">
        <v>30</v>
      </c>
    </row>
    <row r="911" spans="1:7" x14ac:dyDescent="0.2">
      <c r="A911" t="s">
        <v>932</v>
      </c>
      <c r="B911" t="s">
        <v>933</v>
      </c>
      <c r="C911" t="s">
        <v>11124</v>
      </c>
      <c r="D911" t="e">
        <v>#N/A</v>
      </c>
      <c r="E911" s="9">
        <v>3147</v>
      </c>
      <c r="F911" s="9">
        <v>23536</v>
      </c>
      <c r="G911" s="9" t="s">
        <v>30</v>
      </c>
    </row>
    <row r="912" spans="1:7" x14ac:dyDescent="0.2">
      <c r="A912" t="s">
        <v>932</v>
      </c>
      <c r="B912" t="s">
        <v>934</v>
      </c>
      <c r="C912" t="s">
        <v>11125</v>
      </c>
      <c r="D912" t="e">
        <v>#N/A</v>
      </c>
      <c r="E912" s="9">
        <v>1316</v>
      </c>
      <c r="F912" s="9">
        <v>11755</v>
      </c>
      <c r="G912" s="9" t="s">
        <v>30</v>
      </c>
    </row>
    <row r="913" spans="1:7" x14ac:dyDescent="0.2">
      <c r="A913" t="s">
        <v>932</v>
      </c>
      <c r="B913" t="s">
        <v>935</v>
      </c>
      <c r="C913" t="s">
        <v>11126</v>
      </c>
      <c r="D913" t="e">
        <v>#N/A</v>
      </c>
      <c r="E913" s="9">
        <v>2889</v>
      </c>
      <c r="F913" s="9">
        <v>18219</v>
      </c>
      <c r="G913" s="9" t="s">
        <v>30</v>
      </c>
    </row>
    <row r="914" spans="1:7" x14ac:dyDescent="0.2">
      <c r="A914" t="s">
        <v>936</v>
      </c>
      <c r="B914" t="s">
        <v>937</v>
      </c>
      <c r="C914" t="s">
        <v>11127</v>
      </c>
      <c r="D914" t="e">
        <v>#N/A</v>
      </c>
      <c r="E914" s="9">
        <v>280</v>
      </c>
      <c r="F914" s="9">
        <v>10862</v>
      </c>
      <c r="G914" s="9" t="s">
        <v>30</v>
      </c>
    </row>
    <row r="915" spans="1:7" x14ac:dyDescent="0.2">
      <c r="A915" t="s">
        <v>936</v>
      </c>
      <c r="B915" t="s">
        <v>938</v>
      </c>
      <c r="C915" t="s">
        <v>10192</v>
      </c>
      <c r="D915" t="s">
        <v>9715</v>
      </c>
      <c r="E915" s="9">
        <v>2839</v>
      </c>
      <c r="F915" s="9">
        <v>9340</v>
      </c>
      <c r="G915" s="9" t="s">
        <v>30</v>
      </c>
    </row>
    <row r="916" spans="1:7" x14ac:dyDescent="0.2">
      <c r="A916" t="s">
        <v>936</v>
      </c>
      <c r="B916" t="s">
        <v>939</v>
      </c>
      <c r="C916" t="s">
        <v>10191</v>
      </c>
      <c r="D916" t="s">
        <v>9715</v>
      </c>
      <c r="E916" s="9">
        <v>91</v>
      </c>
      <c r="F916" s="9">
        <v>10897</v>
      </c>
      <c r="G916" s="9" t="s">
        <v>30</v>
      </c>
    </row>
    <row r="917" spans="1:7" x14ac:dyDescent="0.2">
      <c r="A917" t="s">
        <v>936</v>
      </c>
      <c r="B917" t="s">
        <v>940</v>
      </c>
      <c r="C917" t="s">
        <v>11128</v>
      </c>
      <c r="D917" t="e">
        <v>#N/A</v>
      </c>
      <c r="E917" s="9">
        <v>5201</v>
      </c>
      <c r="F917" s="9">
        <v>94895</v>
      </c>
      <c r="G917" s="9" t="s">
        <v>30</v>
      </c>
    </row>
    <row r="918" spans="1:7" x14ac:dyDescent="0.2">
      <c r="A918" t="s">
        <v>936</v>
      </c>
      <c r="B918" t="s">
        <v>941</v>
      </c>
      <c r="C918" t="s">
        <v>11129</v>
      </c>
      <c r="D918" t="e">
        <v>#N/A</v>
      </c>
      <c r="E918" s="9">
        <v>939</v>
      </c>
      <c r="F918" s="9">
        <v>14402</v>
      </c>
      <c r="G918" s="9" t="s">
        <v>30</v>
      </c>
    </row>
    <row r="919" spans="1:7" x14ac:dyDescent="0.2">
      <c r="A919" t="s">
        <v>936</v>
      </c>
      <c r="B919" t="s">
        <v>942</v>
      </c>
      <c r="C919" t="s">
        <v>11130</v>
      </c>
      <c r="D919" t="e">
        <v>#N/A</v>
      </c>
      <c r="E919" s="9">
        <v>1722</v>
      </c>
      <c r="F919" s="9">
        <v>24895</v>
      </c>
      <c r="G919" s="9" t="s">
        <v>30</v>
      </c>
    </row>
    <row r="920" spans="1:7" x14ac:dyDescent="0.2">
      <c r="A920" t="s">
        <v>936</v>
      </c>
      <c r="B920" t="s">
        <v>943</v>
      </c>
      <c r="C920" t="s">
        <v>11131</v>
      </c>
      <c r="D920" t="e">
        <v>#N/A</v>
      </c>
      <c r="E920" s="9">
        <v>2374</v>
      </c>
      <c r="F920" s="9">
        <v>13191</v>
      </c>
      <c r="G920" s="9" t="s">
        <v>30</v>
      </c>
    </row>
    <row r="921" spans="1:7" x14ac:dyDescent="0.2">
      <c r="A921" t="s">
        <v>936</v>
      </c>
      <c r="B921" t="s">
        <v>944</v>
      </c>
      <c r="C921" t="s">
        <v>11132</v>
      </c>
      <c r="D921" t="e">
        <v>#N/A</v>
      </c>
      <c r="E921" s="9">
        <v>2504</v>
      </c>
      <c r="F921" s="9">
        <v>10758</v>
      </c>
      <c r="G921" s="9" t="s">
        <v>30</v>
      </c>
    </row>
    <row r="922" spans="1:7" x14ac:dyDescent="0.2">
      <c r="A922" t="s">
        <v>936</v>
      </c>
      <c r="B922" t="s">
        <v>945</v>
      </c>
      <c r="C922" t="s">
        <v>11133</v>
      </c>
      <c r="D922" t="e">
        <v>#N/A</v>
      </c>
      <c r="E922" s="9">
        <v>753</v>
      </c>
      <c r="F922" s="9">
        <v>10621</v>
      </c>
      <c r="G922" s="9" t="s">
        <v>30</v>
      </c>
    </row>
    <row r="923" spans="1:7" x14ac:dyDescent="0.2">
      <c r="A923" t="s">
        <v>936</v>
      </c>
      <c r="B923" t="s">
        <v>946</v>
      </c>
      <c r="C923" t="s">
        <v>11134</v>
      </c>
      <c r="D923" t="e">
        <v>#N/A</v>
      </c>
      <c r="E923" s="9">
        <v>2572</v>
      </c>
      <c r="F923" s="9">
        <v>11233</v>
      </c>
      <c r="G923" s="9" t="s">
        <v>30</v>
      </c>
    </row>
    <row r="924" spans="1:7" x14ac:dyDescent="0.2">
      <c r="A924" t="s">
        <v>936</v>
      </c>
      <c r="B924" t="s">
        <v>947</v>
      </c>
      <c r="C924" t="s">
        <v>10196</v>
      </c>
      <c r="D924" t="s">
        <v>9715</v>
      </c>
      <c r="E924" s="9">
        <v>643</v>
      </c>
      <c r="F924" s="9">
        <v>9538</v>
      </c>
      <c r="G924" s="9" t="s">
        <v>30</v>
      </c>
    </row>
    <row r="925" spans="1:7" x14ac:dyDescent="0.2">
      <c r="A925" t="s">
        <v>936</v>
      </c>
      <c r="B925" t="s">
        <v>948</v>
      </c>
      <c r="C925" t="s">
        <v>11135</v>
      </c>
      <c r="D925" t="e">
        <v>#N/A</v>
      </c>
      <c r="E925" s="9">
        <v>2510</v>
      </c>
      <c r="F925" s="9">
        <v>11464</v>
      </c>
      <c r="G925" s="9" t="s">
        <v>30</v>
      </c>
    </row>
    <row r="926" spans="1:7" x14ac:dyDescent="0.2">
      <c r="A926" t="s">
        <v>936</v>
      </c>
      <c r="B926" t="s">
        <v>949</v>
      </c>
      <c r="C926" t="s">
        <v>11136</v>
      </c>
      <c r="D926" t="e">
        <v>#N/A</v>
      </c>
      <c r="E926" s="9">
        <v>637</v>
      </c>
      <c r="F926" s="9">
        <v>11289</v>
      </c>
      <c r="G926" s="9" t="s">
        <v>30</v>
      </c>
    </row>
    <row r="927" spans="1:7" x14ac:dyDescent="0.2">
      <c r="A927" t="s">
        <v>936</v>
      </c>
      <c r="B927" t="s">
        <v>950</v>
      </c>
      <c r="C927" t="s">
        <v>10197</v>
      </c>
      <c r="D927" t="s">
        <v>9715</v>
      </c>
      <c r="E927" s="9">
        <v>706</v>
      </c>
      <c r="F927" s="9">
        <v>9440</v>
      </c>
      <c r="G927" s="9" t="s">
        <v>30</v>
      </c>
    </row>
    <row r="928" spans="1:7" x14ac:dyDescent="0.2">
      <c r="A928" t="s">
        <v>936</v>
      </c>
      <c r="B928" t="s">
        <v>951</v>
      </c>
      <c r="C928" t="s">
        <v>11137</v>
      </c>
      <c r="D928" t="e">
        <v>#N/A</v>
      </c>
      <c r="E928" s="9">
        <v>400</v>
      </c>
      <c r="F928" s="9">
        <v>11926</v>
      </c>
      <c r="G928" s="9" t="s">
        <v>30</v>
      </c>
    </row>
    <row r="929" spans="1:7" x14ac:dyDescent="0.2">
      <c r="A929" t="s">
        <v>936</v>
      </c>
      <c r="B929" t="s">
        <v>952</v>
      </c>
      <c r="C929" t="s">
        <v>10193</v>
      </c>
      <c r="D929" t="s">
        <v>9715</v>
      </c>
      <c r="E929" s="9">
        <v>2024</v>
      </c>
      <c r="F929" s="9">
        <v>7899</v>
      </c>
      <c r="G929" s="9" t="s">
        <v>30</v>
      </c>
    </row>
    <row r="930" spans="1:7" x14ac:dyDescent="0.2">
      <c r="A930" t="s">
        <v>936</v>
      </c>
      <c r="B930" t="s">
        <v>953</v>
      </c>
      <c r="C930" t="s">
        <v>11138</v>
      </c>
      <c r="D930" t="e">
        <v>#N/A</v>
      </c>
      <c r="E930" s="9">
        <v>27085</v>
      </c>
      <c r="F930" s="9">
        <v>123739</v>
      </c>
      <c r="G930" s="9" t="s">
        <v>30</v>
      </c>
    </row>
    <row r="931" spans="1:7" x14ac:dyDescent="0.2">
      <c r="A931" t="s">
        <v>936</v>
      </c>
      <c r="B931" t="s">
        <v>954</v>
      </c>
      <c r="C931" t="s">
        <v>11139</v>
      </c>
      <c r="D931" t="e">
        <v>#N/A</v>
      </c>
      <c r="E931" s="9">
        <v>2536</v>
      </c>
      <c r="F931" s="9">
        <v>11716</v>
      </c>
      <c r="G931" s="9" t="s">
        <v>30</v>
      </c>
    </row>
    <row r="932" spans="1:7" x14ac:dyDescent="0.2">
      <c r="A932" t="s">
        <v>936</v>
      </c>
      <c r="B932" t="s">
        <v>955</v>
      </c>
      <c r="C932" t="s">
        <v>11140</v>
      </c>
      <c r="D932" t="e">
        <v>#N/A</v>
      </c>
      <c r="E932" s="9">
        <v>2028</v>
      </c>
      <c r="F932" s="9">
        <v>7224</v>
      </c>
      <c r="G932" s="9" t="s">
        <v>30</v>
      </c>
    </row>
    <row r="933" spans="1:7" x14ac:dyDescent="0.2">
      <c r="A933" t="s">
        <v>936</v>
      </c>
      <c r="B933" t="s">
        <v>956</v>
      </c>
      <c r="C933" t="s">
        <v>10194</v>
      </c>
      <c r="D933" t="s">
        <v>9715</v>
      </c>
      <c r="E933" s="9">
        <v>1599</v>
      </c>
      <c r="F933" s="9">
        <v>12382</v>
      </c>
      <c r="G933" s="9" t="s">
        <v>30</v>
      </c>
    </row>
    <row r="934" spans="1:7" x14ac:dyDescent="0.2">
      <c r="A934" t="s">
        <v>936</v>
      </c>
      <c r="B934" t="s">
        <v>957</v>
      </c>
      <c r="C934" t="s">
        <v>10195</v>
      </c>
      <c r="D934" t="s">
        <v>9715</v>
      </c>
      <c r="E934" s="9">
        <v>0</v>
      </c>
      <c r="F934" s="9">
        <v>11074</v>
      </c>
      <c r="G934" s="9" t="s">
        <v>30</v>
      </c>
    </row>
    <row r="935" spans="1:7" x14ac:dyDescent="0.2">
      <c r="A935" t="s">
        <v>936</v>
      </c>
      <c r="B935" t="s">
        <v>958</v>
      </c>
      <c r="C935" t="s">
        <v>11141</v>
      </c>
      <c r="D935" t="e">
        <v>#N/A</v>
      </c>
      <c r="E935" s="9">
        <v>4592</v>
      </c>
      <c r="F935" s="9">
        <v>13933</v>
      </c>
      <c r="G935" s="9" t="s">
        <v>30</v>
      </c>
    </row>
    <row r="936" spans="1:7" x14ac:dyDescent="0.2">
      <c r="A936" t="s">
        <v>936</v>
      </c>
      <c r="B936" t="s">
        <v>959</v>
      </c>
      <c r="C936" t="s">
        <v>11142</v>
      </c>
      <c r="D936" t="e">
        <v>#N/A</v>
      </c>
      <c r="E936" s="9">
        <v>2080</v>
      </c>
      <c r="F936" s="9">
        <v>12570</v>
      </c>
      <c r="G936" s="9" t="s">
        <v>30</v>
      </c>
    </row>
    <row r="937" spans="1:7" x14ac:dyDescent="0.2">
      <c r="A937" t="s">
        <v>936</v>
      </c>
      <c r="B937" t="s">
        <v>960</v>
      </c>
      <c r="C937" t="s">
        <v>11143</v>
      </c>
      <c r="D937" t="e">
        <v>#N/A</v>
      </c>
      <c r="E937" s="9">
        <v>1317</v>
      </c>
      <c r="F937" s="9">
        <v>10399</v>
      </c>
      <c r="G937" s="9" t="s">
        <v>30</v>
      </c>
    </row>
    <row r="938" spans="1:7" x14ac:dyDescent="0.2">
      <c r="A938" t="s">
        <v>936</v>
      </c>
      <c r="B938" t="s">
        <v>961</v>
      </c>
      <c r="C938" t="s">
        <v>11144</v>
      </c>
      <c r="D938" t="e">
        <v>#N/A</v>
      </c>
      <c r="E938" s="9">
        <v>2027</v>
      </c>
      <c r="F938" s="9">
        <v>14956</v>
      </c>
      <c r="G938" s="9" t="s">
        <v>30</v>
      </c>
    </row>
    <row r="939" spans="1:7" x14ac:dyDescent="0.2">
      <c r="A939" t="s">
        <v>936</v>
      </c>
      <c r="B939" t="s">
        <v>962</v>
      </c>
      <c r="C939" t="s">
        <v>11145</v>
      </c>
      <c r="D939" t="e">
        <v>#N/A</v>
      </c>
      <c r="E939" s="9">
        <v>4162</v>
      </c>
      <c r="F939" s="9">
        <v>12710</v>
      </c>
      <c r="G939" s="9" t="s">
        <v>30</v>
      </c>
    </row>
    <row r="940" spans="1:7" x14ac:dyDescent="0.2">
      <c r="A940" t="s">
        <v>936</v>
      </c>
      <c r="B940" t="s">
        <v>963</v>
      </c>
      <c r="C940" t="s">
        <v>11146</v>
      </c>
      <c r="D940" t="e">
        <v>#N/A</v>
      </c>
      <c r="E940" s="9">
        <v>4859</v>
      </c>
      <c r="F940" s="9">
        <v>14504</v>
      </c>
      <c r="G940" s="9" t="s">
        <v>30</v>
      </c>
    </row>
    <row r="941" spans="1:7" x14ac:dyDescent="0.2">
      <c r="A941" t="s">
        <v>936</v>
      </c>
      <c r="B941" t="s">
        <v>964</v>
      </c>
      <c r="C941" t="s">
        <v>11147</v>
      </c>
      <c r="D941" t="e">
        <v>#N/A</v>
      </c>
      <c r="E941" s="9">
        <v>1963.3106628242074</v>
      </c>
      <c r="F941" s="9">
        <v>12667.565417867436</v>
      </c>
      <c r="G941" s="9" t="s">
        <v>30</v>
      </c>
    </row>
    <row r="942" spans="1:7" x14ac:dyDescent="0.2">
      <c r="A942" t="s">
        <v>936</v>
      </c>
      <c r="B942" t="s">
        <v>965</v>
      </c>
      <c r="C942" t="s">
        <v>11148</v>
      </c>
      <c r="D942" t="e">
        <v>#N/A</v>
      </c>
      <c r="E942" s="9">
        <v>6622</v>
      </c>
      <c r="F942" s="9">
        <v>13185</v>
      </c>
      <c r="G942" s="9" t="s">
        <v>30</v>
      </c>
    </row>
    <row r="943" spans="1:7" x14ac:dyDescent="0.2">
      <c r="A943" t="s">
        <v>936</v>
      </c>
      <c r="B943" t="s">
        <v>966</v>
      </c>
      <c r="C943" t="s">
        <v>11149</v>
      </c>
      <c r="D943" t="e">
        <v>#N/A</v>
      </c>
      <c r="E943" s="9">
        <v>14257</v>
      </c>
      <c r="F943" s="9">
        <v>11267</v>
      </c>
      <c r="G943" s="9" t="s">
        <v>30</v>
      </c>
    </row>
    <row r="944" spans="1:7" x14ac:dyDescent="0.2">
      <c r="A944" t="s">
        <v>936</v>
      </c>
      <c r="B944" t="s">
        <v>967</v>
      </c>
      <c r="C944" t="s">
        <v>11150</v>
      </c>
      <c r="D944" t="e">
        <v>#N/A</v>
      </c>
      <c r="E944" s="9">
        <v>501</v>
      </c>
      <c r="F944" s="9">
        <v>9438</v>
      </c>
      <c r="G944" s="9" t="s">
        <v>30</v>
      </c>
    </row>
    <row r="945" spans="1:7" x14ac:dyDescent="0.2">
      <c r="A945" t="s">
        <v>936</v>
      </c>
      <c r="B945" t="s">
        <v>968</v>
      </c>
      <c r="C945" t="s">
        <v>10701</v>
      </c>
      <c r="D945" t="s">
        <v>9715</v>
      </c>
      <c r="E945" s="9" t="s">
        <v>30</v>
      </c>
      <c r="F945" s="9" t="s">
        <v>30</v>
      </c>
      <c r="G945" s="9" t="s">
        <v>30</v>
      </c>
    </row>
    <row r="946" spans="1:7" x14ac:dyDescent="0.2">
      <c r="A946" t="s">
        <v>936</v>
      </c>
      <c r="B946" t="s">
        <v>969</v>
      </c>
      <c r="C946" t="s">
        <v>11151</v>
      </c>
      <c r="D946" t="e">
        <v>#N/A</v>
      </c>
      <c r="E946" s="9">
        <v>540</v>
      </c>
      <c r="F946" s="9">
        <v>9628</v>
      </c>
      <c r="G946" s="9" t="s">
        <v>30</v>
      </c>
    </row>
    <row r="947" spans="1:7" x14ac:dyDescent="0.2">
      <c r="A947" t="s">
        <v>970</v>
      </c>
      <c r="B947" t="s">
        <v>971</v>
      </c>
      <c r="C947" t="s">
        <v>11152</v>
      </c>
      <c r="D947" t="e">
        <v>#N/A</v>
      </c>
      <c r="E947" s="9">
        <v>1993</v>
      </c>
      <c r="F947" s="9">
        <v>19897</v>
      </c>
      <c r="G947" s="9" t="s">
        <v>30</v>
      </c>
    </row>
    <row r="948" spans="1:7" x14ac:dyDescent="0.2">
      <c r="A948" t="s">
        <v>970</v>
      </c>
      <c r="B948" t="s">
        <v>972</v>
      </c>
      <c r="C948" t="s">
        <v>11153</v>
      </c>
      <c r="D948" t="e">
        <v>#N/A</v>
      </c>
      <c r="E948" s="9">
        <v>2727</v>
      </c>
      <c r="F948" s="9">
        <v>18558</v>
      </c>
      <c r="G948" s="9" t="s">
        <v>30</v>
      </c>
    </row>
    <row r="949" spans="1:7" x14ac:dyDescent="0.2">
      <c r="A949" t="s">
        <v>970</v>
      </c>
      <c r="B949" t="s">
        <v>973</v>
      </c>
      <c r="C949" t="s">
        <v>11154</v>
      </c>
      <c r="D949" t="e">
        <v>#N/A</v>
      </c>
      <c r="E949" s="9">
        <v>17916</v>
      </c>
      <c r="F949" s="9">
        <v>73769</v>
      </c>
      <c r="G949" s="9" t="s">
        <v>30</v>
      </c>
    </row>
    <row r="950" spans="1:7" x14ac:dyDescent="0.2">
      <c r="A950" t="s">
        <v>970</v>
      </c>
      <c r="B950" t="s">
        <v>974</v>
      </c>
      <c r="C950" t="s">
        <v>11155</v>
      </c>
      <c r="D950" t="e">
        <v>#N/A</v>
      </c>
      <c r="E950" s="9">
        <v>732</v>
      </c>
      <c r="F950" s="9">
        <v>10627</v>
      </c>
      <c r="G950" s="9" t="s">
        <v>30</v>
      </c>
    </row>
    <row r="951" spans="1:7" x14ac:dyDescent="0.2">
      <c r="A951" t="s">
        <v>970</v>
      </c>
      <c r="B951" t="s">
        <v>975</v>
      </c>
      <c r="C951" t="s">
        <v>11156</v>
      </c>
      <c r="D951" t="e">
        <v>#N/A</v>
      </c>
      <c r="E951" s="9">
        <v>551</v>
      </c>
      <c r="F951" s="9">
        <v>31484</v>
      </c>
      <c r="G951" s="9" t="s">
        <v>30</v>
      </c>
    </row>
    <row r="952" spans="1:7" x14ac:dyDescent="0.2">
      <c r="A952" t="s">
        <v>970</v>
      </c>
      <c r="B952" t="s">
        <v>976</v>
      </c>
      <c r="C952" t="s">
        <v>11157</v>
      </c>
      <c r="D952" t="e">
        <v>#N/A</v>
      </c>
      <c r="E952" s="9">
        <v>1765</v>
      </c>
      <c r="F952" s="9">
        <v>30749</v>
      </c>
      <c r="G952" s="9" t="s">
        <v>30</v>
      </c>
    </row>
    <row r="953" spans="1:7" x14ac:dyDescent="0.2">
      <c r="A953" t="s">
        <v>970</v>
      </c>
      <c r="B953" t="s">
        <v>977</v>
      </c>
      <c r="C953" t="s">
        <v>10198</v>
      </c>
      <c r="D953" t="s">
        <v>9715</v>
      </c>
      <c r="E953" s="9">
        <v>604</v>
      </c>
      <c r="F953" s="9">
        <v>8486</v>
      </c>
      <c r="G953" s="9" t="s">
        <v>30</v>
      </c>
    </row>
    <row r="954" spans="1:7" x14ac:dyDescent="0.2">
      <c r="A954" t="s">
        <v>978</v>
      </c>
      <c r="B954" t="s">
        <v>979</v>
      </c>
      <c r="C954" t="s">
        <v>11158</v>
      </c>
      <c r="D954" t="e">
        <v>#N/A</v>
      </c>
      <c r="E954" s="9">
        <v>800</v>
      </c>
      <c r="F954" s="9">
        <v>10320</v>
      </c>
      <c r="G954" s="9" t="s">
        <v>30</v>
      </c>
    </row>
    <row r="955" spans="1:7" x14ac:dyDescent="0.2">
      <c r="A955" t="s">
        <v>978</v>
      </c>
      <c r="B955" t="s">
        <v>980</v>
      </c>
      <c r="C955" t="s">
        <v>11159</v>
      </c>
      <c r="D955" t="e">
        <v>#N/A</v>
      </c>
      <c r="E955" s="9">
        <v>1045</v>
      </c>
      <c r="F955" s="9">
        <v>9460</v>
      </c>
      <c r="G955" s="9" t="s">
        <v>30</v>
      </c>
    </row>
    <row r="956" spans="1:7" x14ac:dyDescent="0.2">
      <c r="A956" t="s">
        <v>978</v>
      </c>
      <c r="B956" t="s">
        <v>981</v>
      </c>
      <c r="C956" t="s">
        <v>10199</v>
      </c>
      <c r="D956" t="s">
        <v>9715</v>
      </c>
      <c r="E956" s="9">
        <v>1343</v>
      </c>
      <c r="F956" s="9">
        <v>8372</v>
      </c>
      <c r="G956" s="9" t="s">
        <v>30</v>
      </c>
    </row>
    <row r="957" spans="1:7" x14ac:dyDescent="0.2">
      <c r="A957" t="s">
        <v>978</v>
      </c>
      <c r="B957" t="s">
        <v>982</v>
      </c>
      <c r="C957" t="s">
        <v>11160</v>
      </c>
      <c r="D957" t="e">
        <v>#N/A</v>
      </c>
      <c r="E957" s="9">
        <v>1717</v>
      </c>
      <c r="F957" s="9">
        <v>10027</v>
      </c>
      <c r="G957" s="9" t="s">
        <v>30</v>
      </c>
    </row>
    <row r="958" spans="1:7" x14ac:dyDescent="0.2">
      <c r="A958" t="s">
        <v>978</v>
      </c>
      <c r="B958" t="s">
        <v>983</v>
      </c>
      <c r="C958" t="s">
        <v>10200</v>
      </c>
      <c r="D958" t="s">
        <v>9715</v>
      </c>
      <c r="E958" s="9">
        <v>2091</v>
      </c>
      <c r="F958" s="9">
        <v>16003</v>
      </c>
      <c r="G958" s="9" t="s">
        <v>30</v>
      </c>
    </row>
    <row r="959" spans="1:7" x14ac:dyDescent="0.2">
      <c r="A959" t="s">
        <v>978</v>
      </c>
      <c r="B959" t="s">
        <v>984</v>
      </c>
      <c r="C959" t="s">
        <v>11161</v>
      </c>
      <c r="D959" t="e">
        <v>#N/A</v>
      </c>
      <c r="E959" s="9">
        <v>913</v>
      </c>
      <c r="F959" s="9">
        <v>11526</v>
      </c>
      <c r="G959" s="9" t="s">
        <v>30</v>
      </c>
    </row>
    <row r="960" spans="1:7" x14ac:dyDescent="0.2">
      <c r="A960" t="s">
        <v>978</v>
      </c>
      <c r="B960" t="s">
        <v>985</v>
      </c>
      <c r="C960" t="s">
        <v>10201</v>
      </c>
      <c r="D960" t="s">
        <v>9715</v>
      </c>
      <c r="E960" s="9">
        <v>1495</v>
      </c>
      <c r="F960" s="9">
        <v>11772</v>
      </c>
      <c r="G960" s="9" t="s">
        <v>30</v>
      </c>
    </row>
    <row r="961" spans="1:7" x14ac:dyDescent="0.2">
      <c r="A961" t="s">
        <v>978</v>
      </c>
      <c r="B961" t="s">
        <v>986</v>
      </c>
      <c r="C961" t="s">
        <v>11162</v>
      </c>
      <c r="D961" t="e">
        <v>#N/A</v>
      </c>
      <c r="E961" s="9">
        <v>1480</v>
      </c>
      <c r="F961" s="9">
        <v>22184</v>
      </c>
      <c r="G961" s="9" t="s">
        <v>30</v>
      </c>
    </row>
    <row r="962" spans="1:7" x14ac:dyDescent="0.2">
      <c r="A962" t="s">
        <v>978</v>
      </c>
      <c r="B962" t="s">
        <v>987</v>
      </c>
      <c r="C962" t="s">
        <v>11163</v>
      </c>
      <c r="D962" t="e">
        <v>#N/A</v>
      </c>
      <c r="E962" s="9">
        <v>1383</v>
      </c>
      <c r="F962" s="9">
        <v>14093</v>
      </c>
      <c r="G962" s="9" t="s">
        <v>30</v>
      </c>
    </row>
    <row r="963" spans="1:7" x14ac:dyDescent="0.2">
      <c r="A963" t="s">
        <v>978</v>
      </c>
      <c r="B963" t="s">
        <v>988</v>
      </c>
      <c r="C963" t="s">
        <v>11164</v>
      </c>
      <c r="D963" t="e">
        <v>#N/A</v>
      </c>
      <c r="E963" s="9">
        <v>1992</v>
      </c>
      <c r="F963" s="9">
        <v>7654</v>
      </c>
      <c r="G963" s="9" t="s">
        <v>30</v>
      </c>
    </row>
    <row r="964" spans="1:7" x14ac:dyDescent="0.2">
      <c r="A964" t="s">
        <v>978</v>
      </c>
      <c r="B964" t="s">
        <v>989</v>
      </c>
      <c r="C964" t="s">
        <v>11165</v>
      </c>
      <c r="D964" t="e">
        <v>#N/A</v>
      </c>
      <c r="E964" s="9">
        <v>1301</v>
      </c>
      <c r="F964" s="9">
        <v>9420</v>
      </c>
      <c r="G964" s="9" t="s">
        <v>30</v>
      </c>
    </row>
    <row r="965" spans="1:7" x14ac:dyDescent="0.2">
      <c r="A965" t="s">
        <v>978</v>
      </c>
      <c r="B965" t="s">
        <v>990</v>
      </c>
      <c r="C965" t="s">
        <v>10203</v>
      </c>
      <c r="D965" t="s">
        <v>9715</v>
      </c>
      <c r="E965" s="9">
        <v>1121</v>
      </c>
      <c r="F965" s="9">
        <v>10022</v>
      </c>
      <c r="G965" s="9" t="s">
        <v>30</v>
      </c>
    </row>
    <row r="966" spans="1:7" x14ac:dyDescent="0.2">
      <c r="A966" t="s">
        <v>978</v>
      </c>
      <c r="B966" t="s">
        <v>991</v>
      </c>
      <c r="C966" t="s">
        <v>11166</v>
      </c>
      <c r="D966" t="e">
        <v>#N/A</v>
      </c>
      <c r="E966" s="9">
        <v>4204</v>
      </c>
      <c r="F966" s="9">
        <v>18391</v>
      </c>
      <c r="G966" s="9" t="s">
        <v>30</v>
      </c>
    </row>
    <row r="967" spans="1:7" x14ac:dyDescent="0.2">
      <c r="A967" t="s">
        <v>978</v>
      </c>
      <c r="B967" t="s">
        <v>992</v>
      </c>
      <c r="C967" t="s">
        <v>11167</v>
      </c>
      <c r="D967" t="e">
        <v>#N/A</v>
      </c>
      <c r="E967" s="9">
        <v>809</v>
      </c>
      <c r="F967" s="9">
        <v>9573</v>
      </c>
      <c r="G967" s="9" t="s">
        <v>30</v>
      </c>
    </row>
    <row r="968" spans="1:7" x14ac:dyDescent="0.2">
      <c r="A968" t="s">
        <v>978</v>
      </c>
      <c r="B968" t="s">
        <v>993</v>
      </c>
      <c r="C968" t="s">
        <v>10202</v>
      </c>
      <c r="D968" t="s">
        <v>9715</v>
      </c>
      <c r="E968" s="9">
        <v>491</v>
      </c>
      <c r="F968" s="9">
        <v>9701</v>
      </c>
      <c r="G968" s="9" t="s">
        <v>30</v>
      </c>
    </row>
    <row r="969" spans="1:7" x14ac:dyDescent="0.2">
      <c r="A969" t="s">
        <v>994</v>
      </c>
      <c r="B969" t="s">
        <v>995</v>
      </c>
      <c r="C969" t="s">
        <v>11168</v>
      </c>
      <c r="D969" t="e">
        <v>#N/A</v>
      </c>
      <c r="E969" s="9">
        <v>2282</v>
      </c>
      <c r="F969" s="9">
        <v>13156</v>
      </c>
      <c r="G969" s="9" t="s">
        <v>30</v>
      </c>
    </row>
    <row r="970" spans="1:7" x14ac:dyDescent="0.2">
      <c r="A970" t="s">
        <v>994</v>
      </c>
      <c r="B970" t="s">
        <v>996</v>
      </c>
      <c r="C970" t="s">
        <v>11169</v>
      </c>
      <c r="D970" t="e">
        <v>#N/A</v>
      </c>
      <c r="E970" s="9">
        <v>2366</v>
      </c>
      <c r="F970" s="9">
        <v>12926</v>
      </c>
      <c r="G970" s="9" t="s">
        <v>30</v>
      </c>
    </row>
    <row r="971" spans="1:7" x14ac:dyDescent="0.2">
      <c r="A971" t="s">
        <v>994</v>
      </c>
      <c r="B971" t="s">
        <v>997</v>
      </c>
      <c r="C971" t="s">
        <v>11170</v>
      </c>
      <c r="D971" t="e">
        <v>#N/A</v>
      </c>
      <c r="E971" s="9">
        <v>750</v>
      </c>
      <c r="F971" s="9">
        <v>7821</v>
      </c>
      <c r="G971" s="9" t="s">
        <v>30</v>
      </c>
    </row>
    <row r="972" spans="1:7" x14ac:dyDescent="0.2">
      <c r="A972" t="s">
        <v>994</v>
      </c>
      <c r="B972" t="s">
        <v>998</v>
      </c>
      <c r="C972" t="s">
        <v>11171</v>
      </c>
      <c r="D972" t="e">
        <v>#N/A</v>
      </c>
      <c r="E972" s="9">
        <v>1793</v>
      </c>
      <c r="F972" s="9">
        <v>12986</v>
      </c>
      <c r="G972" s="9" t="s">
        <v>30</v>
      </c>
    </row>
    <row r="973" spans="1:7" x14ac:dyDescent="0.2">
      <c r="A973" t="s">
        <v>994</v>
      </c>
      <c r="B973" t="s">
        <v>999</v>
      </c>
      <c r="C973" t="s">
        <v>10206</v>
      </c>
      <c r="D973" t="s">
        <v>9715</v>
      </c>
      <c r="E973" s="9">
        <v>577</v>
      </c>
      <c r="F973" s="9">
        <v>8742</v>
      </c>
      <c r="G973" s="9" t="s">
        <v>30</v>
      </c>
    </row>
    <row r="974" spans="1:7" x14ac:dyDescent="0.2">
      <c r="A974" t="s">
        <v>994</v>
      </c>
      <c r="B974" t="s">
        <v>1000</v>
      </c>
      <c r="C974" t="s">
        <v>11172</v>
      </c>
      <c r="D974" t="e">
        <v>#N/A</v>
      </c>
      <c r="E974" s="9">
        <v>146</v>
      </c>
      <c r="F974" s="9">
        <v>13914</v>
      </c>
      <c r="G974" s="9" t="s">
        <v>30</v>
      </c>
    </row>
    <row r="975" spans="1:7" x14ac:dyDescent="0.2">
      <c r="A975" t="s">
        <v>994</v>
      </c>
      <c r="B975" t="s">
        <v>1001</v>
      </c>
      <c r="C975" t="s">
        <v>11173</v>
      </c>
      <c r="D975" t="e">
        <v>#N/A</v>
      </c>
      <c r="E975" s="9" t="s">
        <v>30</v>
      </c>
      <c r="F975" s="9" t="s">
        <v>30</v>
      </c>
      <c r="G975" s="9" t="s">
        <v>30</v>
      </c>
    </row>
    <row r="976" spans="1:7" x14ac:dyDescent="0.2">
      <c r="A976" t="s">
        <v>994</v>
      </c>
      <c r="B976" t="s">
        <v>1002</v>
      </c>
      <c r="C976" t="s">
        <v>11174</v>
      </c>
      <c r="D976" t="e">
        <v>#N/A</v>
      </c>
      <c r="E976" s="9">
        <v>1619</v>
      </c>
      <c r="F976" s="9">
        <v>10881</v>
      </c>
      <c r="G976" s="9" t="s">
        <v>30</v>
      </c>
    </row>
    <row r="977" spans="1:7" x14ac:dyDescent="0.2">
      <c r="A977" t="s">
        <v>994</v>
      </c>
      <c r="B977" t="s">
        <v>1003</v>
      </c>
      <c r="C977" t="s">
        <v>10213</v>
      </c>
      <c r="D977" t="s">
        <v>9715</v>
      </c>
      <c r="E977" s="9">
        <v>681</v>
      </c>
      <c r="F977" s="9">
        <v>10922</v>
      </c>
      <c r="G977" s="9" t="s">
        <v>30</v>
      </c>
    </row>
    <row r="978" spans="1:7" x14ac:dyDescent="0.2">
      <c r="A978" t="s">
        <v>994</v>
      </c>
      <c r="B978" t="s">
        <v>1004</v>
      </c>
      <c r="C978" t="s">
        <v>11175</v>
      </c>
      <c r="D978" t="e">
        <v>#N/A</v>
      </c>
      <c r="E978" s="9" t="s">
        <v>30</v>
      </c>
      <c r="F978" s="9" t="s">
        <v>30</v>
      </c>
      <c r="G978" s="9" t="s">
        <v>30</v>
      </c>
    </row>
    <row r="979" spans="1:7" x14ac:dyDescent="0.2">
      <c r="A979" t="s">
        <v>994</v>
      </c>
      <c r="B979" t="s">
        <v>1005</v>
      </c>
      <c r="C979" t="s">
        <v>10207</v>
      </c>
      <c r="D979" t="s">
        <v>9715</v>
      </c>
      <c r="E979" s="9">
        <v>481</v>
      </c>
      <c r="F979" s="9">
        <v>8820</v>
      </c>
      <c r="G979" s="9" t="s">
        <v>30</v>
      </c>
    </row>
    <row r="980" spans="1:7" x14ac:dyDescent="0.2">
      <c r="A980" t="s">
        <v>994</v>
      </c>
      <c r="B980" t="s">
        <v>1006</v>
      </c>
      <c r="C980" t="s">
        <v>11176</v>
      </c>
      <c r="D980" t="e">
        <v>#N/A</v>
      </c>
      <c r="E980" s="9">
        <v>1520</v>
      </c>
      <c r="F980" s="9">
        <v>13617</v>
      </c>
      <c r="G980" s="9" t="s">
        <v>30</v>
      </c>
    </row>
    <row r="981" spans="1:7" x14ac:dyDescent="0.2">
      <c r="A981" t="s">
        <v>994</v>
      </c>
      <c r="B981" t="s">
        <v>1007</v>
      </c>
      <c r="C981" t="s">
        <v>10214</v>
      </c>
      <c r="D981" t="s">
        <v>9715</v>
      </c>
      <c r="E981" s="9">
        <v>2186</v>
      </c>
      <c r="F981" s="9">
        <v>14437</v>
      </c>
      <c r="G981" s="9" t="s">
        <v>30</v>
      </c>
    </row>
    <row r="982" spans="1:7" x14ac:dyDescent="0.2">
      <c r="A982" t="s">
        <v>994</v>
      </c>
      <c r="B982" t="s">
        <v>1008</v>
      </c>
      <c r="C982" t="s">
        <v>10231</v>
      </c>
      <c r="D982" t="s">
        <v>9715</v>
      </c>
      <c r="E982" s="9">
        <v>2033</v>
      </c>
      <c r="F982" s="9">
        <v>10517</v>
      </c>
      <c r="G982" s="9" t="s">
        <v>30</v>
      </c>
    </row>
    <row r="983" spans="1:7" x14ac:dyDescent="0.2">
      <c r="A983" t="s">
        <v>994</v>
      </c>
      <c r="B983" t="s">
        <v>1009</v>
      </c>
      <c r="C983" t="s">
        <v>10232</v>
      </c>
      <c r="D983" t="s">
        <v>9715</v>
      </c>
      <c r="E983" s="9">
        <v>1646</v>
      </c>
      <c r="F983" s="9">
        <v>12488</v>
      </c>
      <c r="G983" s="9" t="s">
        <v>30</v>
      </c>
    </row>
    <row r="984" spans="1:7" x14ac:dyDescent="0.2">
      <c r="A984" t="s">
        <v>994</v>
      </c>
      <c r="B984" t="s">
        <v>1010</v>
      </c>
      <c r="C984" t="s">
        <v>10215</v>
      </c>
      <c r="D984" t="s">
        <v>9715</v>
      </c>
      <c r="E984" s="9">
        <v>2337</v>
      </c>
      <c r="F984" s="9">
        <v>7301</v>
      </c>
      <c r="G984" s="9" t="s">
        <v>30</v>
      </c>
    </row>
    <row r="985" spans="1:7" x14ac:dyDescent="0.2">
      <c r="A985" t="s">
        <v>994</v>
      </c>
      <c r="B985" t="s">
        <v>1011</v>
      </c>
      <c r="C985" t="s">
        <v>11177</v>
      </c>
      <c r="D985" t="e">
        <v>#N/A</v>
      </c>
      <c r="E985" s="9">
        <v>824</v>
      </c>
      <c r="F985" s="9">
        <v>9792</v>
      </c>
      <c r="G985" s="9" t="s">
        <v>30</v>
      </c>
    </row>
    <row r="986" spans="1:7" x14ac:dyDescent="0.2">
      <c r="A986" t="s">
        <v>994</v>
      </c>
      <c r="B986" t="s">
        <v>1012</v>
      </c>
      <c r="C986" t="s">
        <v>11178</v>
      </c>
      <c r="D986" t="e">
        <v>#N/A</v>
      </c>
      <c r="E986" s="9">
        <v>2360</v>
      </c>
      <c r="F986" s="9">
        <v>12132</v>
      </c>
      <c r="G986" s="9" t="s">
        <v>30</v>
      </c>
    </row>
    <row r="987" spans="1:7" x14ac:dyDescent="0.2">
      <c r="A987" t="s">
        <v>994</v>
      </c>
      <c r="B987" t="s">
        <v>1013</v>
      </c>
      <c r="C987" t="s">
        <v>11179</v>
      </c>
      <c r="D987" t="e">
        <v>#N/A</v>
      </c>
      <c r="E987" s="9">
        <v>1480</v>
      </c>
      <c r="F987" s="9">
        <v>12432</v>
      </c>
      <c r="G987" s="9" t="s">
        <v>30</v>
      </c>
    </row>
    <row r="988" spans="1:7" x14ac:dyDescent="0.2">
      <c r="A988" t="s">
        <v>994</v>
      </c>
      <c r="B988" t="s">
        <v>1014</v>
      </c>
      <c r="C988" t="s">
        <v>11180</v>
      </c>
      <c r="D988" t="e">
        <v>#N/A</v>
      </c>
      <c r="E988" s="9">
        <v>2246</v>
      </c>
      <c r="F988" s="9">
        <v>12401</v>
      </c>
      <c r="G988" s="9" t="s">
        <v>30</v>
      </c>
    </row>
    <row r="989" spans="1:7" x14ac:dyDescent="0.2">
      <c r="A989" t="s">
        <v>994</v>
      </c>
      <c r="B989" t="s">
        <v>1015</v>
      </c>
      <c r="C989" t="s">
        <v>11181</v>
      </c>
      <c r="D989" t="e">
        <v>#N/A</v>
      </c>
      <c r="E989" s="9">
        <v>1177</v>
      </c>
      <c r="F989" s="9">
        <v>16769</v>
      </c>
      <c r="G989" s="9" t="s">
        <v>30</v>
      </c>
    </row>
    <row r="990" spans="1:7" x14ac:dyDescent="0.2">
      <c r="A990" t="s">
        <v>994</v>
      </c>
      <c r="B990" t="s">
        <v>1016</v>
      </c>
      <c r="C990" t="s">
        <v>11182</v>
      </c>
      <c r="D990" t="e">
        <v>#N/A</v>
      </c>
      <c r="E990" s="9">
        <v>540</v>
      </c>
      <c r="F990" s="9">
        <v>12213</v>
      </c>
      <c r="G990" s="9" t="s">
        <v>30</v>
      </c>
    </row>
    <row r="991" spans="1:7" x14ac:dyDescent="0.2">
      <c r="A991" t="s">
        <v>994</v>
      </c>
      <c r="B991" t="s">
        <v>1017</v>
      </c>
      <c r="C991" t="s">
        <v>10216</v>
      </c>
      <c r="D991" t="s">
        <v>9715</v>
      </c>
      <c r="E991" s="9">
        <v>2205</v>
      </c>
      <c r="F991" s="9">
        <v>6372</v>
      </c>
      <c r="G991" s="9" t="s">
        <v>30</v>
      </c>
    </row>
    <row r="992" spans="1:7" x14ac:dyDescent="0.2">
      <c r="A992" t="s">
        <v>994</v>
      </c>
      <c r="B992" t="s">
        <v>1018</v>
      </c>
      <c r="C992" t="s">
        <v>11183</v>
      </c>
      <c r="D992" t="e">
        <v>#N/A</v>
      </c>
      <c r="E992" s="9">
        <v>658</v>
      </c>
      <c r="F992" s="9">
        <v>10346</v>
      </c>
      <c r="G992" s="9" t="s">
        <v>30</v>
      </c>
    </row>
    <row r="993" spans="1:7" x14ac:dyDescent="0.2">
      <c r="A993" t="s">
        <v>994</v>
      </c>
      <c r="B993" t="s">
        <v>1019</v>
      </c>
      <c r="C993" t="s">
        <v>10208</v>
      </c>
      <c r="D993" t="s">
        <v>9715</v>
      </c>
      <c r="E993" s="9">
        <v>550</v>
      </c>
      <c r="F993" s="9">
        <v>10109</v>
      </c>
      <c r="G993" s="9" t="s">
        <v>30</v>
      </c>
    </row>
    <row r="994" spans="1:7" x14ac:dyDescent="0.2">
      <c r="A994" t="s">
        <v>994</v>
      </c>
      <c r="B994" t="s">
        <v>1020</v>
      </c>
      <c r="C994" t="s">
        <v>10212</v>
      </c>
      <c r="D994" t="s">
        <v>9715</v>
      </c>
      <c r="E994" s="9">
        <v>537</v>
      </c>
      <c r="F994" s="9">
        <v>9353</v>
      </c>
      <c r="G994" s="9" t="s">
        <v>30</v>
      </c>
    </row>
    <row r="995" spans="1:7" x14ac:dyDescent="0.2">
      <c r="A995" t="s">
        <v>994</v>
      </c>
      <c r="B995" t="s">
        <v>1021</v>
      </c>
      <c r="C995" t="s">
        <v>11184</v>
      </c>
      <c r="D995" t="e">
        <v>#N/A</v>
      </c>
      <c r="E995" s="9">
        <v>4487</v>
      </c>
      <c r="F995" s="9">
        <v>8383</v>
      </c>
      <c r="G995" s="9" t="s">
        <v>30</v>
      </c>
    </row>
    <row r="996" spans="1:7" x14ac:dyDescent="0.2">
      <c r="A996" t="s">
        <v>994</v>
      </c>
      <c r="B996" t="s">
        <v>1022</v>
      </c>
      <c r="C996" t="s">
        <v>11185</v>
      </c>
      <c r="D996" t="e">
        <v>#N/A</v>
      </c>
      <c r="E996" s="9">
        <v>1147</v>
      </c>
      <c r="F996" s="9">
        <v>23067</v>
      </c>
      <c r="G996" s="9" t="s">
        <v>30</v>
      </c>
    </row>
    <row r="997" spans="1:7" x14ac:dyDescent="0.2">
      <c r="A997" t="s">
        <v>994</v>
      </c>
      <c r="B997" t="s">
        <v>1023</v>
      </c>
      <c r="C997" t="s">
        <v>11186</v>
      </c>
      <c r="D997" t="e">
        <v>#N/A</v>
      </c>
      <c r="E997" s="9">
        <v>614</v>
      </c>
      <c r="F997" s="9">
        <v>11221</v>
      </c>
      <c r="G997" s="9" t="s">
        <v>30</v>
      </c>
    </row>
    <row r="998" spans="1:7" x14ac:dyDescent="0.2">
      <c r="A998" t="s">
        <v>994</v>
      </c>
      <c r="B998" t="s">
        <v>1024</v>
      </c>
      <c r="C998" t="s">
        <v>11187</v>
      </c>
      <c r="D998" t="e">
        <v>#N/A</v>
      </c>
      <c r="E998" s="9">
        <v>931</v>
      </c>
      <c r="F998" s="9">
        <v>9555</v>
      </c>
      <c r="G998" s="9" t="s">
        <v>30</v>
      </c>
    </row>
    <row r="999" spans="1:7" x14ac:dyDescent="0.2">
      <c r="A999" t="s">
        <v>994</v>
      </c>
      <c r="B999" t="s">
        <v>1025</v>
      </c>
      <c r="C999" t="s">
        <v>11188</v>
      </c>
      <c r="D999" t="e">
        <v>#N/A</v>
      </c>
      <c r="E999" s="9">
        <v>1077</v>
      </c>
      <c r="F999" s="9">
        <v>14107</v>
      </c>
      <c r="G999" s="9" t="s">
        <v>30</v>
      </c>
    </row>
    <row r="1000" spans="1:7" x14ac:dyDescent="0.2">
      <c r="A1000" t="s">
        <v>994</v>
      </c>
      <c r="B1000" t="s">
        <v>1026</v>
      </c>
      <c r="C1000" t="s">
        <v>10235</v>
      </c>
      <c r="D1000" t="s">
        <v>9715</v>
      </c>
      <c r="E1000" s="9">
        <v>1888</v>
      </c>
      <c r="F1000" s="9">
        <v>11004</v>
      </c>
      <c r="G1000" s="9" t="s">
        <v>30</v>
      </c>
    </row>
    <row r="1001" spans="1:7" x14ac:dyDescent="0.2">
      <c r="A1001" t="s">
        <v>994</v>
      </c>
      <c r="B1001" t="s">
        <v>1027</v>
      </c>
      <c r="C1001" t="s">
        <v>11189</v>
      </c>
      <c r="D1001" t="e">
        <v>#N/A</v>
      </c>
      <c r="E1001" s="9">
        <v>1455</v>
      </c>
      <c r="F1001" s="9">
        <v>16548</v>
      </c>
      <c r="G1001" s="9" t="s">
        <v>30</v>
      </c>
    </row>
    <row r="1002" spans="1:7" x14ac:dyDescent="0.2">
      <c r="A1002" t="s">
        <v>994</v>
      </c>
      <c r="B1002" t="s">
        <v>1028</v>
      </c>
      <c r="C1002" t="s">
        <v>10233</v>
      </c>
      <c r="D1002" t="s">
        <v>9715</v>
      </c>
      <c r="E1002" s="9">
        <v>1772</v>
      </c>
      <c r="F1002" s="9">
        <v>15571</v>
      </c>
      <c r="G1002" s="9" t="s">
        <v>30</v>
      </c>
    </row>
    <row r="1003" spans="1:7" x14ac:dyDescent="0.2">
      <c r="A1003" t="s">
        <v>994</v>
      </c>
      <c r="B1003" t="s">
        <v>1029</v>
      </c>
      <c r="C1003" t="s">
        <v>10209</v>
      </c>
      <c r="D1003" t="s">
        <v>9715</v>
      </c>
      <c r="E1003" s="9">
        <v>177</v>
      </c>
      <c r="F1003" s="9">
        <v>12497</v>
      </c>
      <c r="G1003" s="9" t="s">
        <v>30</v>
      </c>
    </row>
    <row r="1004" spans="1:7" x14ac:dyDescent="0.2">
      <c r="A1004" t="s">
        <v>994</v>
      </c>
      <c r="B1004" t="s">
        <v>1030</v>
      </c>
      <c r="C1004" t="s">
        <v>11190</v>
      </c>
      <c r="D1004" t="e">
        <v>#N/A</v>
      </c>
      <c r="E1004" s="9">
        <v>1831</v>
      </c>
      <c r="F1004" s="9">
        <v>11441</v>
      </c>
      <c r="G1004" s="9" t="s">
        <v>30</v>
      </c>
    </row>
    <row r="1005" spans="1:7" x14ac:dyDescent="0.2">
      <c r="A1005" t="s">
        <v>994</v>
      </c>
      <c r="B1005" t="s">
        <v>1031</v>
      </c>
      <c r="C1005" t="s">
        <v>10217</v>
      </c>
      <c r="D1005" t="s">
        <v>9715</v>
      </c>
      <c r="E1005" s="9">
        <v>373</v>
      </c>
      <c r="F1005" s="9">
        <v>15543</v>
      </c>
      <c r="G1005" s="9" t="s">
        <v>30</v>
      </c>
    </row>
    <row r="1006" spans="1:7" x14ac:dyDescent="0.2">
      <c r="A1006" t="s">
        <v>994</v>
      </c>
      <c r="B1006" t="s">
        <v>1032</v>
      </c>
      <c r="C1006" t="s">
        <v>10210</v>
      </c>
      <c r="D1006" t="s">
        <v>9715</v>
      </c>
      <c r="E1006" s="9">
        <v>0</v>
      </c>
      <c r="F1006" s="9">
        <v>11134</v>
      </c>
      <c r="G1006" s="9" t="s">
        <v>30</v>
      </c>
    </row>
    <row r="1007" spans="1:7" x14ac:dyDescent="0.2">
      <c r="A1007" t="s">
        <v>994</v>
      </c>
      <c r="B1007" t="s">
        <v>1033</v>
      </c>
      <c r="C1007" t="s">
        <v>10218</v>
      </c>
      <c r="D1007" t="s">
        <v>9715</v>
      </c>
      <c r="E1007" s="9">
        <v>941</v>
      </c>
      <c r="F1007" s="9">
        <v>11763</v>
      </c>
      <c r="G1007" s="9" t="s">
        <v>30</v>
      </c>
    </row>
    <row r="1008" spans="1:7" x14ac:dyDescent="0.2">
      <c r="A1008" t="s">
        <v>994</v>
      </c>
      <c r="B1008" t="s">
        <v>1034</v>
      </c>
      <c r="C1008" t="s">
        <v>10229</v>
      </c>
      <c r="D1008" t="s">
        <v>9715</v>
      </c>
      <c r="E1008" s="9">
        <v>244</v>
      </c>
      <c r="F1008" s="9">
        <v>9009</v>
      </c>
      <c r="G1008" s="9" t="s">
        <v>30</v>
      </c>
    </row>
    <row r="1009" spans="1:7" x14ac:dyDescent="0.2">
      <c r="A1009" t="s">
        <v>994</v>
      </c>
      <c r="B1009" t="s">
        <v>1035</v>
      </c>
      <c r="C1009" t="s">
        <v>11191</v>
      </c>
      <c r="D1009" t="e">
        <v>#N/A</v>
      </c>
      <c r="E1009" s="9">
        <v>4267</v>
      </c>
      <c r="F1009" s="9">
        <v>40964</v>
      </c>
      <c r="G1009" s="9" t="s">
        <v>30</v>
      </c>
    </row>
    <row r="1010" spans="1:7" x14ac:dyDescent="0.2">
      <c r="A1010" t="s">
        <v>994</v>
      </c>
      <c r="B1010" t="s">
        <v>1036</v>
      </c>
      <c r="C1010" t="s">
        <v>10234</v>
      </c>
      <c r="D1010" t="s">
        <v>9715</v>
      </c>
      <c r="E1010" s="9">
        <v>2790</v>
      </c>
      <c r="F1010" s="9">
        <v>10580</v>
      </c>
      <c r="G1010" s="9" t="s">
        <v>30</v>
      </c>
    </row>
    <row r="1011" spans="1:7" x14ac:dyDescent="0.2">
      <c r="A1011" t="s">
        <v>994</v>
      </c>
      <c r="B1011" t="s">
        <v>1037</v>
      </c>
      <c r="C1011" t="s">
        <v>10219</v>
      </c>
      <c r="D1011" t="s">
        <v>9715</v>
      </c>
      <c r="E1011" s="9">
        <v>506</v>
      </c>
      <c r="F1011" s="9">
        <v>11705</v>
      </c>
      <c r="G1011" s="9" t="s">
        <v>30</v>
      </c>
    </row>
    <row r="1012" spans="1:7" x14ac:dyDescent="0.2">
      <c r="A1012" t="s">
        <v>994</v>
      </c>
      <c r="B1012" t="s">
        <v>1038</v>
      </c>
      <c r="C1012" t="s">
        <v>11192</v>
      </c>
      <c r="D1012" t="e">
        <v>#N/A</v>
      </c>
      <c r="E1012" s="9">
        <v>1229</v>
      </c>
      <c r="F1012" s="9">
        <v>11875</v>
      </c>
      <c r="G1012" s="9" t="s">
        <v>30</v>
      </c>
    </row>
    <row r="1013" spans="1:7" x14ac:dyDescent="0.2">
      <c r="A1013" t="s">
        <v>994</v>
      </c>
      <c r="B1013" t="s">
        <v>1039</v>
      </c>
      <c r="C1013" t="s">
        <v>10220</v>
      </c>
      <c r="D1013" t="s">
        <v>9715</v>
      </c>
      <c r="E1013" s="9">
        <v>536</v>
      </c>
      <c r="F1013" s="9">
        <v>7916</v>
      </c>
      <c r="G1013" s="9" t="s">
        <v>30</v>
      </c>
    </row>
    <row r="1014" spans="1:7" x14ac:dyDescent="0.2">
      <c r="A1014" t="s">
        <v>994</v>
      </c>
      <c r="B1014" t="s">
        <v>1040</v>
      </c>
      <c r="C1014" t="s">
        <v>10211</v>
      </c>
      <c r="D1014" t="s">
        <v>9715</v>
      </c>
      <c r="E1014" s="9">
        <v>537</v>
      </c>
      <c r="F1014" s="9">
        <v>7972</v>
      </c>
      <c r="G1014" s="9" t="s">
        <v>30</v>
      </c>
    </row>
    <row r="1015" spans="1:7" x14ac:dyDescent="0.2">
      <c r="A1015" t="s">
        <v>994</v>
      </c>
      <c r="B1015" t="s">
        <v>1041</v>
      </c>
      <c r="C1015" t="s">
        <v>10204</v>
      </c>
      <c r="D1015" t="s">
        <v>9715</v>
      </c>
      <c r="E1015" s="9">
        <v>2363</v>
      </c>
      <c r="F1015" s="9">
        <v>8656</v>
      </c>
      <c r="G1015" s="9" t="s">
        <v>30</v>
      </c>
    </row>
    <row r="1016" spans="1:7" x14ac:dyDescent="0.2">
      <c r="A1016" t="s">
        <v>994</v>
      </c>
      <c r="B1016" t="s">
        <v>1042</v>
      </c>
      <c r="C1016" t="s">
        <v>11193</v>
      </c>
      <c r="D1016" t="e">
        <v>#N/A</v>
      </c>
      <c r="E1016" s="9">
        <v>1452</v>
      </c>
      <c r="F1016" s="9">
        <v>12674</v>
      </c>
      <c r="G1016" s="9" t="s">
        <v>30</v>
      </c>
    </row>
    <row r="1017" spans="1:7" x14ac:dyDescent="0.2">
      <c r="A1017" t="s">
        <v>994</v>
      </c>
      <c r="B1017" t="s">
        <v>1043</v>
      </c>
      <c r="C1017" t="s">
        <v>11194</v>
      </c>
      <c r="D1017" t="e">
        <v>#N/A</v>
      </c>
      <c r="E1017" s="9">
        <v>1225</v>
      </c>
      <c r="F1017" s="9">
        <v>13173</v>
      </c>
      <c r="G1017" s="9" t="s">
        <v>30</v>
      </c>
    </row>
    <row r="1018" spans="1:7" x14ac:dyDescent="0.2">
      <c r="A1018" t="s">
        <v>994</v>
      </c>
      <c r="B1018" t="s">
        <v>1044</v>
      </c>
      <c r="C1018" t="s">
        <v>10221</v>
      </c>
      <c r="D1018" t="s">
        <v>9715</v>
      </c>
      <c r="E1018" s="9">
        <v>2431</v>
      </c>
      <c r="F1018" s="9">
        <v>11221</v>
      </c>
      <c r="G1018" s="9" t="s">
        <v>30</v>
      </c>
    </row>
    <row r="1019" spans="1:7" x14ac:dyDescent="0.2">
      <c r="A1019" t="s">
        <v>994</v>
      </c>
      <c r="B1019" t="s">
        <v>1045</v>
      </c>
      <c r="C1019" t="s">
        <v>11195</v>
      </c>
      <c r="D1019" t="e">
        <v>#N/A</v>
      </c>
      <c r="E1019" s="9">
        <v>2822</v>
      </c>
      <c r="F1019" s="9">
        <v>12645</v>
      </c>
      <c r="G1019" s="9" t="s">
        <v>30</v>
      </c>
    </row>
    <row r="1020" spans="1:7" x14ac:dyDescent="0.2">
      <c r="A1020" t="s">
        <v>994</v>
      </c>
      <c r="B1020" t="s">
        <v>1046</v>
      </c>
      <c r="C1020" t="s">
        <v>10230</v>
      </c>
      <c r="D1020" t="s">
        <v>9715</v>
      </c>
      <c r="E1020" s="9">
        <v>1098</v>
      </c>
      <c r="F1020" s="9">
        <v>8514</v>
      </c>
      <c r="G1020" s="9" t="s">
        <v>30</v>
      </c>
    </row>
    <row r="1021" spans="1:7" x14ac:dyDescent="0.2">
      <c r="A1021" t="s">
        <v>994</v>
      </c>
      <c r="B1021" t="s">
        <v>1047</v>
      </c>
      <c r="C1021" t="s">
        <v>11196</v>
      </c>
      <c r="D1021" t="e">
        <v>#N/A</v>
      </c>
      <c r="E1021" s="9">
        <v>2762</v>
      </c>
      <c r="F1021" s="9">
        <v>11028</v>
      </c>
      <c r="G1021" s="9" t="s">
        <v>30</v>
      </c>
    </row>
    <row r="1022" spans="1:7" x14ac:dyDescent="0.2">
      <c r="A1022" t="s">
        <v>994</v>
      </c>
      <c r="B1022" t="s">
        <v>1048</v>
      </c>
      <c r="C1022" t="s">
        <v>10222</v>
      </c>
      <c r="D1022" t="s">
        <v>9715</v>
      </c>
      <c r="E1022" s="9">
        <v>3100</v>
      </c>
      <c r="F1022" s="9">
        <v>9908</v>
      </c>
      <c r="G1022" s="9" t="s">
        <v>30</v>
      </c>
    </row>
    <row r="1023" spans="1:7" x14ac:dyDescent="0.2">
      <c r="A1023" t="s">
        <v>994</v>
      </c>
      <c r="B1023" t="s">
        <v>1049</v>
      </c>
      <c r="C1023" t="s">
        <v>10223</v>
      </c>
      <c r="D1023" t="s">
        <v>9715</v>
      </c>
      <c r="E1023" s="9">
        <v>891</v>
      </c>
      <c r="F1023" s="9">
        <v>10548</v>
      </c>
      <c r="G1023" s="9" t="s">
        <v>30</v>
      </c>
    </row>
    <row r="1024" spans="1:7" x14ac:dyDescent="0.2">
      <c r="A1024" t="s">
        <v>994</v>
      </c>
      <c r="B1024" t="s">
        <v>1050</v>
      </c>
      <c r="C1024" t="s">
        <v>10224</v>
      </c>
      <c r="D1024" t="s">
        <v>9715</v>
      </c>
      <c r="E1024" s="9">
        <v>334</v>
      </c>
      <c r="F1024" s="9">
        <v>7167</v>
      </c>
      <c r="G1024" s="9" t="s">
        <v>30</v>
      </c>
    </row>
    <row r="1025" spans="1:7" x14ac:dyDescent="0.2">
      <c r="A1025" t="s">
        <v>994</v>
      </c>
      <c r="B1025" t="s">
        <v>1051</v>
      </c>
      <c r="C1025" t="s">
        <v>10225</v>
      </c>
      <c r="D1025" t="s">
        <v>9715</v>
      </c>
      <c r="E1025" s="9">
        <v>1515</v>
      </c>
      <c r="F1025" s="9">
        <v>15066</v>
      </c>
      <c r="G1025" s="9" t="s">
        <v>30</v>
      </c>
    </row>
    <row r="1026" spans="1:7" x14ac:dyDescent="0.2">
      <c r="A1026" t="s">
        <v>994</v>
      </c>
      <c r="B1026" t="s">
        <v>1052</v>
      </c>
      <c r="C1026" t="s">
        <v>11197</v>
      </c>
      <c r="D1026" t="e">
        <v>#N/A</v>
      </c>
      <c r="E1026" s="9">
        <v>1297</v>
      </c>
      <c r="F1026" s="9">
        <v>10424</v>
      </c>
      <c r="G1026" s="9" t="s">
        <v>30</v>
      </c>
    </row>
    <row r="1027" spans="1:7" x14ac:dyDescent="0.2">
      <c r="A1027" t="s">
        <v>994</v>
      </c>
      <c r="B1027" t="s">
        <v>1053</v>
      </c>
      <c r="C1027" t="s">
        <v>10226</v>
      </c>
      <c r="D1027" t="s">
        <v>9715</v>
      </c>
      <c r="E1027" s="9">
        <v>2637</v>
      </c>
      <c r="F1027" s="9">
        <v>11621</v>
      </c>
      <c r="G1027" s="9" t="s">
        <v>30</v>
      </c>
    </row>
    <row r="1028" spans="1:7" x14ac:dyDescent="0.2">
      <c r="A1028" t="s">
        <v>994</v>
      </c>
      <c r="B1028" t="s">
        <v>1054</v>
      </c>
      <c r="C1028" t="s">
        <v>10205</v>
      </c>
      <c r="D1028" t="s">
        <v>9715</v>
      </c>
      <c r="E1028" s="9">
        <v>2073</v>
      </c>
      <c r="F1028" s="9">
        <v>9450</v>
      </c>
      <c r="G1028" s="9" t="s">
        <v>30</v>
      </c>
    </row>
    <row r="1029" spans="1:7" x14ac:dyDescent="0.2">
      <c r="A1029" t="s">
        <v>994</v>
      </c>
      <c r="B1029" t="s">
        <v>1055</v>
      </c>
      <c r="C1029" t="s">
        <v>10227</v>
      </c>
      <c r="D1029" t="s">
        <v>9715</v>
      </c>
      <c r="E1029" s="9">
        <v>2234</v>
      </c>
      <c r="F1029" s="9">
        <v>10069</v>
      </c>
      <c r="G1029" s="9" t="s">
        <v>30</v>
      </c>
    </row>
    <row r="1030" spans="1:7" x14ac:dyDescent="0.2">
      <c r="A1030" t="s">
        <v>994</v>
      </c>
      <c r="B1030" t="s">
        <v>1056</v>
      </c>
      <c r="C1030" t="s">
        <v>10228</v>
      </c>
      <c r="D1030" t="s">
        <v>9715</v>
      </c>
      <c r="E1030" s="9">
        <v>3304</v>
      </c>
      <c r="F1030" s="9">
        <v>12712</v>
      </c>
      <c r="G1030" s="9" t="s">
        <v>30</v>
      </c>
    </row>
    <row r="1031" spans="1:7" x14ac:dyDescent="0.2">
      <c r="A1031" t="s">
        <v>994</v>
      </c>
      <c r="B1031" t="s">
        <v>1057</v>
      </c>
      <c r="C1031" t="s">
        <v>11198</v>
      </c>
      <c r="D1031" t="e">
        <v>#N/A</v>
      </c>
      <c r="E1031" s="9">
        <v>1892</v>
      </c>
      <c r="F1031" s="9">
        <v>11304</v>
      </c>
      <c r="G1031" s="9" t="s">
        <v>30</v>
      </c>
    </row>
    <row r="1032" spans="1:7" x14ac:dyDescent="0.2">
      <c r="A1032" t="s">
        <v>1058</v>
      </c>
      <c r="B1032" t="s">
        <v>1059</v>
      </c>
      <c r="C1032" t="s">
        <v>11199</v>
      </c>
      <c r="D1032" t="e">
        <v>#N/A</v>
      </c>
      <c r="E1032" s="9">
        <v>681</v>
      </c>
      <c r="F1032" s="9">
        <v>7586</v>
      </c>
      <c r="G1032" s="9" t="s">
        <v>30</v>
      </c>
    </row>
    <row r="1033" spans="1:7" x14ac:dyDescent="0.2">
      <c r="A1033" t="s">
        <v>1058</v>
      </c>
      <c r="B1033" t="s">
        <v>1060</v>
      </c>
      <c r="C1033" t="s">
        <v>11200</v>
      </c>
      <c r="D1033" t="e">
        <v>#N/A</v>
      </c>
      <c r="E1033" s="9">
        <v>1478</v>
      </c>
      <c r="F1033" s="9">
        <v>10188</v>
      </c>
      <c r="G1033" s="9" t="s">
        <v>30</v>
      </c>
    </row>
    <row r="1034" spans="1:7" x14ac:dyDescent="0.2">
      <c r="A1034" t="s">
        <v>1058</v>
      </c>
      <c r="B1034" t="s">
        <v>1061</v>
      </c>
      <c r="C1034" t="s">
        <v>11201</v>
      </c>
      <c r="D1034" t="e">
        <v>#N/A</v>
      </c>
      <c r="E1034" s="9">
        <v>1826</v>
      </c>
      <c r="F1034" s="9">
        <v>11029</v>
      </c>
      <c r="G1034" s="9" t="s">
        <v>30</v>
      </c>
    </row>
    <row r="1035" spans="1:7" x14ac:dyDescent="0.2">
      <c r="A1035" t="s">
        <v>1058</v>
      </c>
      <c r="B1035" t="s">
        <v>1062</v>
      </c>
      <c r="C1035" t="s">
        <v>11202</v>
      </c>
      <c r="D1035" t="e">
        <v>#N/A</v>
      </c>
      <c r="E1035" s="9">
        <v>1871</v>
      </c>
      <c r="F1035" s="9">
        <v>10186</v>
      </c>
      <c r="G1035" s="9" t="s">
        <v>30</v>
      </c>
    </row>
    <row r="1036" spans="1:7" x14ac:dyDescent="0.2">
      <c r="A1036" t="s">
        <v>1058</v>
      </c>
      <c r="B1036" t="s">
        <v>1063</v>
      </c>
      <c r="C1036" t="s">
        <v>10236</v>
      </c>
      <c r="D1036" t="s">
        <v>9715</v>
      </c>
      <c r="E1036" s="9">
        <v>232</v>
      </c>
      <c r="F1036" s="9">
        <v>8372</v>
      </c>
      <c r="G1036" s="9" t="s">
        <v>30</v>
      </c>
    </row>
    <row r="1037" spans="1:7" x14ac:dyDescent="0.2">
      <c r="A1037" t="s">
        <v>1058</v>
      </c>
      <c r="B1037" t="s">
        <v>1064</v>
      </c>
      <c r="C1037" t="s">
        <v>11203</v>
      </c>
      <c r="D1037" t="e">
        <v>#N/A</v>
      </c>
      <c r="E1037" s="9">
        <v>1316</v>
      </c>
      <c r="F1037" s="9">
        <v>9607</v>
      </c>
      <c r="G1037" s="9" t="s">
        <v>30</v>
      </c>
    </row>
    <row r="1038" spans="1:7" x14ac:dyDescent="0.2">
      <c r="A1038" t="s">
        <v>1058</v>
      </c>
      <c r="B1038" t="s">
        <v>1065</v>
      </c>
      <c r="C1038" t="s">
        <v>11204</v>
      </c>
      <c r="D1038" t="e">
        <v>#N/A</v>
      </c>
      <c r="E1038" s="9">
        <v>857</v>
      </c>
      <c r="F1038" s="9">
        <v>9036</v>
      </c>
      <c r="G1038" s="9" t="s">
        <v>30</v>
      </c>
    </row>
    <row r="1039" spans="1:7" x14ac:dyDescent="0.2">
      <c r="A1039" t="s">
        <v>1058</v>
      </c>
      <c r="B1039" t="s">
        <v>1066</v>
      </c>
      <c r="C1039" t="s">
        <v>11205</v>
      </c>
      <c r="D1039" t="e">
        <v>#N/A</v>
      </c>
      <c r="E1039" s="9">
        <v>2052</v>
      </c>
      <c r="F1039" s="9">
        <v>11661</v>
      </c>
      <c r="G1039" s="9" t="s">
        <v>30</v>
      </c>
    </row>
    <row r="1040" spans="1:7" x14ac:dyDescent="0.2">
      <c r="A1040" t="s">
        <v>1058</v>
      </c>
      <c r="B1040" t="s">
        <v>1067</v>
      </c>
      <c r="C1040" t="s">
        <v>10237</v>
      </c>
      <c r="D1040" t="s">
        <v>9715</v>
      </c>
      <c r="E1040" s="9">
        <v>175</v>
      </c>
      <c r="F1040" s="9">
        <v>6936</v>
      </c>
      <c r="G1040" s="9" t="s">
        <v>30</v>
      </c>
    </row>
    <row r="1041" spans="1:7" x14ac:dyDescent="0.2">
      <c r="A1041" t="s">
        <v>1058</v>
      </c>
      <c r="B1041" t="s">
        <v>1068</v>
      </c>
      <c r="C1041" t="s">
        <v>10238</v>
      </c>
      <c r="D1041" t="s">
        <v>9715</v>
      </c>
      <c r="E1041" s="9">
        <v>59</v>
      </c>
      <c r="F1041" s="9">
        <v>8328</v>
      </c>
      <c r="G1041" s="9" t="s">
        <v>30</v>
      </c>
    </row>
    <row r="1042" spans="1:7" x14ac:dyDescent="0.2">
      <c r="A1042" t="s">
        <v>1058</v>
      </c>
      <c r="B1042" t="s">
        <v>1069</v>
      </c>
      <c r="C1042" t="s">
        <v>10247</v>
      </c>
      <c r="D1042" t="s">
        <v>9715</v>
      </c>
      <c r="E1042" s="9">
        <v>94</v>
      </c>
      <c r="F1042" s="9">
        <v>8605</v>
      </c>
      <c r="G1042" s="9" t="s">
        <v>30</v>
      </c>
    </row>
    <row r="1043" spans="1:7" x14ac:dyDescent="0.2">
      <c r="A1043" t="s">
        <v>1058</v>
      </c>
      <c r="B1043" t="s">
        <v>1070</v>
      </c>
      <c r="C1043" t="s">
        <v>10248</v>
      </c>
      <c r="D1043" t="s">
        <v>9715</v>
      </c>
      <c r="E1043" s="9">
        <v>182</v>
      </c>
      <c r="F1043" s="9">
        <v>7634</v>
      </c>
      <c r="G1043" s="9" t="s">
        <v>30</v>
      </c>
    </row>
    <row r="1044" spans="1:7" x14ac:dyDescent="0.2">
      <c r="A1044" t="s">
        <v>1058</v>
      </c>
      <c r="B1044" t="s">
        <v>1071</v>
      </c>
      <c r="C1044" t="s">
        <v>10245</v>
      </c>
      <c r="D1044" t="s">
        <v>9715</v>
      </c>
      <c r="E1044" s="9">
        <v>498</v>
      </c>
      <c r="F1044" s="9">
        <v>8425</v>
      </c>
      <c r="G1044" s="9" t="s">
        <v>30</v>
      </c>
    </row>
    <row r="1045" spans="1:7" x14ac:dyDescent="0.2">
      <c r="A1045" t="s">
        <v>1058</v>
      </c>
      <c r="B1045" t="s">
        <v>1072</v>
      </c>
      <c r="C1045" t="s">
        <v>11206</v>
      </c>
      <c r="D1045" t="e">
        <v>#N/A</v>
      </c>
      <c r="E1045" s="9">
        <v>903</v>
      </c>
      <c r="F1045" s="9">
        <v>8125</v>
      </c>
      <c r="G1045" s="9" t="s">
        <v>30</v>
      </c>
    </row>
    <row r="1046" spans="1:7" x14ac:dyDescent="0.2">
      <c r="A1046" t="s">
        <v>1058</v>
      </c>
      <c r="B1046" t="s">
        <v>1073</v>
      </c>
      <c r="C1046" t="s">
        <v>10240</v>
      </c>
      <c r="D1046" t="s">
        <v>9715</v>
      </c>
      <c r="E1046" s="9">
        <v>1473</v>
      </c>
      <c r="F1046" s="9">
        <v>10984</v>
      </c>
      <c r="G1046" s="9" t="s">
        <v>30</v>
      </c>
    </row>
    <row r="1047" spans="1:7" x14ac:dyDescent="0.2">
      <c r="A1047" t="s">
        <v>1058</v>
      </c>
      <c r="B1047" t="s">
        <v>1074</v>
      </c>
      <c r="C1047" t="s">
        <v>11207</v>
      </c>
      <c r="D1047" t="e">
        <v>#N/A</v>
      </c>
      <c r="E1047" s="9">
        <v>1066</v>
      </c>
      <c r="F1047" s="9">
        <v>11468</v>
      </c>
      <c r="G1047" s="9" t="s">
        <v>30</v>
      </c>
    </row>
    <row r="1048" spans="1:7" x14ac:dyDescent="0.2">
      <c r="A1048" t="s">
        <v>1058</v>
      </c>
      <c r="B1048" t="s">
        <v>1075</v>
      </c>
      <c r="C1048" t="s">
        <v>10241</v>
      </c>
      <c r="D1048" t="s">
        <v>9715</v>
      </c>
      <c r="E1048" s="9">
        <v>600</v>
      </c>
      <c r="F1048" s="9">
        <v>10091</v>
      </c>
      <c r="G1048" s="9" t="s">
        <v>30</v>
      </c>
    </row>
    <row r="1049" spans="1:7" x14ac:dyDescent="0.2">
      <c r="A1049" t="s">
        <v>1058</v>
      </c>
      <c r="B1049" t="s">
        <v>1076</v>
      </c>
      <c r="C1049" t="s">
        <v>11208</v>
      </c>
      <c r="D1049" t="e">
        <v>#N/A</v>
      </c>
      <c r="E1049" s="9">
        <v>13965.055555555555</v>
      </c>
      <c r="F1049" s="9">
        <v>210064.38888888888</v>
      </c>
      <c r="G1049" s="9" t="s">
        <v>30</v>
      </c>
    </row>
    <row r="1050" spans="1:7" x14ac:dyDescent="0.2">
      <c r="A1050" t="s">
        <v>1058</v>
      </c>
      <c r="B1050" t="s">
        <v>1077</v>
      </c>
      <c r="C1050" t="s">
        <v>11209</v>
      </c>
      <c r="D1050" t="e">
        <v>#N/A</v>
      </c>
      <c r="E1050" s="9">
        <v>2373</v>
      </c>
      <c r="F1050" s="9">
        <v>22107</v>
      </c>
      <c r="G1050" s="9" t="s">
        <v>30</v>
      </c>
    </row>
    <row r="1051" spans="1:7" x14ac:dyDescent="0.2">
      <c r="A1051" t="s">
        <v>1058</v>
      </c>
      <c r="B1051" t="s">
        <v>1078</v>
      </c>
      <c r="C1051" t="s">
        <v>11210</v>
      </c>
      <c r="D1051" t="e">
        <v>#N/A</v>
      </c>
      <c r="E1051" s="9">
        <v>1000</v>
      </c>
      <c r="F1051" s="9">
        <v>11620</v>
      </c>
      <c r="G1051" s="9" t="s">
        <v>30</v>
      </c>
    </row>
    <row r="1052" spans="1:7" x14ac:dyDescent="0.2">
      <c r="A1052" t="s">
        <v>1058</v>
      </c>
      <c r="B1052" t="s">
        <v>1079</v>
      </c>
      <c r="C1052" t="s">
        <v>10242</v>
      </c>
      <c r="D1052" t="s">
        <v>9715</v>
      </c>
      <c r="E1052" s="9">
        <v>458</v>
      </c>
      <c r="F1052" s="9">
        <v>9225</v>
      </c>
      <c r="G1052" s="9" t="s">
        <v>30</v>
      </c>
    </row>
    <row r="1053" spans="1:7" x14ac:dyDescent="0.2">
      <c r="A1053" t="s">
        <v>1058</v>
      </c>
      <c r="B1053" t="s">
        <v>1080</v>
      </c>
      <c r="C1053" t="s">
        <v>10243</v>
      </c>
      <c r="D1053" t="s">
        <v>9715</v>
      </c>
      <c r="E1053" s="9">
        <v>464</v>
      </c>
      <c r="F1053" s="9">
        <v>9347</v>
      </c>
      <c r="G1053" s="9" t="s">
        <v>30</v>
      </c>
    </row>
    <row r="1054" spans="1:7" x14ac:dyDescent="0.2">
      <c r="A1054" t="s">
        <v>1058</v>
      </c>
      <c r="B1054" t="s">
        <v>1081</v>
      </c>
      <c r="C1054" t="s">
        <v>10239</v>
      </c>
      <c r="D1054" t="s">
        <v>9715</v>
      </c>
      <c r="E1054" s="9">
        <v>437</v>
      </c>
      <c r="F1054" s="9">
        <v>9602</v>
      </c>
      <c r="G1054" s="9" t="s">
        <v>30</v>
      </c>
    </row>
    <row r="1055" spans="1:7" x14ac:dyDescent="0.2">
      <c r="A1055" t="s">
        <v>1058</v>
      </c>
      <c r="B1055" t="s">
        <v>1082</v>
      </c>
      <c r="C1055" t="s">
        <v>11211</v>
      </c>
      <c r="D1055" t="e">
        <v>#N/A</v>
      </c>
      <c r="E1055" s="9">
        <v>968</v>
      </c>
      <c r="F1055" s="9">
        <v>13978</v>
      </c>
      <c r="G1055" s="9" t="s">
        <v>30</v>
      </c>
    </row>
    <row r="1056" spans="1:7" x14ac:dyDescent="0.2">
      <c r="A1056" t="s">
        <v>1058</v>
      </c>
      <c r="B1056" t="s">
        <v>1083</v>
      </c>
      <c r="C1056" t="s">
        <v>11212</v>
      </c>
      <c r="D1056" t="e">
        <v>#N/A</v>
      </c>
      <c r="E1056" s="9">
        <v>1572</v>
      </c>
      <c r="F1056" s="9">
        <v>10156</v>
      </c>
      <c r="G1056" s="9" t="s">
        <v>30</v>
      </c>
    </row>
    <row r="1057" spans="1:7" x14ac:dyDescent="0.2">
      <c r="A1057" t="s">
        <v>1058</v>
      </c>
      <c r="B1057" t="s">
        <v>1084</v>
      </c>
      <c r="C1057" t="s">
        <v>11213</v>
      </c>
      <c r="D1057" t="e">
        <v>#N/A</v>
      </c>
      <c r="E1057" s="9">
        <v>1132</v>
      </c>
      <c r="F1057" s="9">
        <v>10989</v>
      </c>
      <c r="G1057" s="9" t="s">
        <v>30</v>
      </c>
    </row>
    <row r="1058" spans="1:7" x14ac:dyDescent="0.2">
      <c r="A1058" t="s">
        <v>1058</v>
      </c>
      <c r="B1058" t="s">
        <v>1085</v>
      </c>
      <c r="C1058" t="s">
        <v>10246</v>
      </c>
      <c r="D1058" t="s">
        <v>9715</v>
      </c>
      <c r="E1058" s="9">
        <v>506</v>
      </c>
      <c r="F1058" s="9">
        <v>8918</v>
      </c>
      <c r="G1058" s="9" t="s">
        <v>30</v>
      </c>
    </row>
    <row r="1059" spans="1:7" x14ac:dyDescent="0.2">
      <c r="A1059" t="s">
        <v>1058</v>
      </c>
      <c r="B1059" t="s">
        <v>1086</v>
      </c>
      <c r="C1059" t="s">
        <v>11214</v>
      </c>
      <c r="D1059" t="e">
        <v>#N/A</v>
      </c>
      <c r="E1059" s="9">
        <v>1081</v>
      </c>
      <c r="F1059" s="9">
        <v>16871</v>
      </c>
      <c r="G1059" s="9" t="s">
        <v>30</v>
      </c>
    </row>
    <row r="1060" spans="1:7" x14ac:dyDescent="0.2">
      <c r="A1060" t="s">
        <v>1058</v>
      </c>
      <c r="B1060" t="s">
        <v>1087</v>
      </c>
      <c r="C1060" t="s">
        <v>11215</v>
      </c>
      <c r="D1060" t="e">
        <v>#N/A</v>
      </c>
      <c r="E1060" s="9">
        <v>1552</v>
      </c>
      <c r="F1060" s="9">
        <v>10457</v>
      </c>
      <c r="G1060" s="9" t="s">
        <v>30</v>
      </c>
    </row>
    <row r="1061" spans="1:7" x14ac:dyDescent="0.2">
      <c r="A1061" t="s">
        <v>1058</v>
      </c>
      <c r="B1061" t="s">
        <v>1088</v>
      </c>
      <c r="C1061" t="s">
        <v>10244</v>
      </c>
      <c r="D1061" t="s">
        <v>9715</v>
      </c>
      <c r="E1061" s="9">
        <v>399</v>
      </c>
      <c r="F1061" s="9">
        <v>9206</v>
      </c>
      <c r="G1061" s="9" t="s">
        <v>30</v>
      </c>
    </row>
    <row r="1062" spans="1:7" x14ac:dyDescent="0.2">
      <c r="A1062" t="s">
        <v>1089</v>
      </c>
      <c r="B1062" t="s">
        <v>1090</v>
      </c>
      <c r="C1062" t="s">
        <v>10249</v>
      </c>
      <c r="D1062" t="s">
        <v>9715</v>
      </c>
      <c r="E1062" s="9">
        <v>636</v>
      </c>
      <c r="F1062" s="9">
        <v>11320</v>
      </c>
      <c r="G1062" s="9" t="s">
        <v>30</v>
      </c>
    </row>
    <row r="1063" spans="1:7" x14ac:dyDescent="0.2">
      <c r="A1063" t="s">
        <v>1089</v>
      </c>
      <c r="B1063" t="s">
        <v>1091</v>
      </c>
      <c r="C1063" t="s">
        <v>11216</v>
      </c>
      <c r="D1063" t="e">
        <v>#N/A</v>
      </c>
      <c r="E1063" s="9">
        <v>2983</v>
      </c>
      <c r="F1063" s="9">
        <v>247049</v>
      </c>
      <c r="G1063" s="9" t="s">
        <v>30</v>
      </c>
    </row>
    <row r="1064" spans="1:7" x14ac:dyDescent="0.2">
      <c r="A1064" t="s">
        <v>1089</v>
      </c>
      <c r="B1064" t="s">
        <v>1092</v>
      </c>
      <c r="C1064" t="s">
        <v>11217</v>
      </c>
      <c r="D1064" t="e">
        <v>#N/A</v>
      </c>
      <c r="E1064" s="9">
        <v>2159</v>
      </c>
      <c r="F1064" s="9">
        <v>15901</v>
      </c>
      <c r="G1064" s="9" t="s">
        <v>30</v>
      </c>
    </row>
    <row r="1065" spans="1:7" x14ac:dyDescent="0.2">
      <c r="A1065" t="s">
        <v>1093</v>
      </c>
      <c r="B1065" t="s">
        <v>1094</v>
      </c>
      <c r="C1065" t="s">
        <v>11218</v>
      </c>
      <c r="D1065" t="e">
        <v>#N/A</v>
      </c>
      <c r="E1065" s="9">
        <v>2236</v>
      </c>
      <c r="F1065" s="9">
        <v>12435</v>
      </c>
      <c r="G1065" s="9" t="s">
        <v>30</v>
      </c>
    </row>
    <row r="1066" spans="1:7" x14ac:dyDescent="0.2">
      <c r="A1066" t="s">
        <v>1093</v>
      </c>
      <c r="B1066" t="s">
        <v>1095</v>
      </c>
      <c r="C1066" t="s">
        <v>11219</v>
      </c>
      <c r="D1066" t="e">
        <v>#N/A</v>
      </c>
      <c r="E1066" s="9">
        <v>967</v>
      </c>
      <c r="F1066" s="9">
        <v>11552</v>
      </c>
      <c r="G1066" s="9" t="s">
        <v>30</v>
      </c>
    </row>
    <row r="1067" spans="1:7" x14ac:dyDescent="0.2">
      <c r="A1067" t="s">
        <v>1093</v>
      </c>
      <c r="B1067" t="s">
        <v>1096</v>
      </c>
      <c r="C1067" t="s">
        <v>11220</v>
      </c>
      <c r="D1067" t="e">
        <v>#N/A</v>
      </c>
      <c r="E1067" s="9">
        <v>1452</v>
      </c>
      <c r="F1067" s="9">
        <v>9977</v>
      </c>
      <c r="G1067" s="9" t="s">
        <v>30</v>
      </c>
    </row>
    <row r="1068" spans="1:7" x14ac:dyDescent="0.2">
      <c r="A1068" t="s">
        <v>1093</v>
      </c>
      <c r="B1068" t="s">
        <v>1097</v>
      </c>
      <c r="C1068" t="s">
        <v>11221</v>
      </c>
      <c r="D1068" t="e">
        <v>#N/A</v>
      </c>
      <c r="E1068" s="9">
        <v>1057</v>
      </c>
      <c r="F1068" s="9">
        <v>13044</v>
      </c>
      <c r="G1068" s="9" t="s">
        <v>30</v>
      </c>
    </row>
    <row r="1069" spans="1:7" x14ac:dyDescent="0.2">
      <c r="A1069" t="s">
        <v>1093</v>
      </c>
      <c r="B1069" t="s">
        <v>1098</v>
      </c>
      <c r="C1069" t="s">
        <v>11222</v>
      </c>
      <c r="D1069" t="e">
        <v>#N/A</v>
      </c>
      <c r="E1069" s="9">
        <v>1756</v>
      </c>
      <c r="F1069" s="9">
        <v>9618</v>
      </c>
      <c r="G1069" s="9" t="s">
        <v>30</v>
      </c>
    </row>
    <row r="1070" spans="1:7" x14ac:dyDescent="0.2">
      <c r="A1070" t="s">
        <v>1093</v>
      </c>
      <c r="B1070" t="s">
        <v>1099</v>
      </c>
      <c r="C1070" t="s">
        <v>11223</v>
      </c>
      <c r="D1070" t="e">
        <v>#N/A</v>
      </c>
      <c r="E1070" s="9">
        <v>5777</v>
      </c>
      <c r="F1070" s="9">
        <v>49400</v>
      </c>
      <c r="G1070" s="9" t="s">
        <v>30</v>
      </c>
    </row>
    <row r="1071" spans="1:7" x14ac:dyDescent="0.2">
      <c r="A1071" t="s">
        <v>1093</v>
      </c>
      <c r="B1071" t="s">
        <v>1100</v>
      </c>
      <c r="C1071" t="s">
        <v>11224</v>
      </c>
      <c r="D1071" t="e">
        <v>#N/A</v>
      </c>
      <c r="E1071" s="9">
        <v>2101</v>
      </c>
      <c r="F1071" s="9">
        <v>12036</v>
      </c>
      <c r="G1071" s="9" t="s">
        <v>30</v>
      </c>
    </row>
    <row r="1072" spans="1:7" x14ac:dyDescent="0.2">
      <c r="A1072" t="s">
        <v>1093</v>
      </c>
      <c r="B1072" t="s">
        <v>1101</v>
      </c>
      <c r="C1072" t="s">
        <v>10256</v>
      </c>
      <c r="D1072" t="s">
        <v>9715</v>
      </c>
      <c r="E1072" s="9">
        <v>3145</v>
      </c>
      <c r="F1072" s="9">
        <v>11606</v>
      </c>
      <c r="G1072" s="9" t="s">
        <v>30</v>
      </c>
    </row>
    <row r="1073" spans="1:7" x14ac:dyDescent="0.2">
      <c r="A1073" t="s">
        <v>1093</v>
      </c>
      <c r="B1073" t="s">
        <v>1102</v>
      </c>
      <c r="C1073" t="s">
        <v>10257</v>
      </c>
      <c r="D1073" t="s">
        <v>9715</v>
      </c>
      <c r="E1073" s="9">
        <v>2326</v>
      </c>
      <c r="F1073" s="9">
        <v>14854</v>
      </c>
      <c r="G1073" s="9" t="s">
        <v>30</v>
      </c>
    </row>
    <row r="1074" spans="1:7" x14ac:dyDescent="0.2">
      <c r="A1074" t="s">
        <v>1093</v>
      </c>
      <c r="B1074" t="s">
        <v>1103</v>
      </c>
      <c r="C1074" t="s">
        <v>10258</v>
      </c>
      <c r="D1074" t="s">
        <v>9715</v>
      </c>
      <c r="E1074" s="9">
        <v>1413</v>
      </c>
      <c r="F1074" s="9">
        <v>9689</v>
      </c>
      <c r="G1074" s="9" t="s">
        <v>30</v>
      </c>
    </row>
    <row r="1075" spans="1:7" x14ac:dyDescent="0.2">
      <c r="A1075" t="s">
        <v>1093</v>
      </c>
      <c r="B1075" t="s">
        <v>1104</v>
      </c>
      <c r="C1075" t="s">
        <v>11225</v>
      </c>
      <c r="D1075" t="e">
        <v>#N/A</v>
      </c>
      <c r="E1075" s="9">
        <v>2493</v>
      </c>
      <c r="F1075" s="9">
        <v>11549</v>
      </c>
      <c r="G1075" s="9" t="s">
        <v>30</v>
      </c>
    </row>
    <row r="1076" spans="1:7" x14ac:dyDescent="0.2">
      <c r="A1076" t="s">
        <v>1093</v>
      </c>
      <c r="B1076" t="s">
        <v>1105</v>
      </c>
      <c r="C1076" t="s">
        <v>10250</v>
      </c>
      <c r="D1076" t="s">
        <v>9715</v>
      </c>
      <c r="E1076" s="9">
        <v>581</v>
      </c>
      <c r="F1076" s="9">
        <v>8123</v>
      </c>
      <c r="G1076" s="9" t="s">
        <v>30</v>
      </c>
    </row>
    <row r="1077" spans="1:7" x14ac:dyDescent="0.2">
      <c r="A1077" t="s">
        <v>1093</v>
      </c>
      <c r="B1077" t="s">
        <v>1106</v>
      </c>
      <c r="C1077" t="s">
        <v>10259</v>
      </c>
      <c r="D1077" t="s">
        <v>9715</v>
      </c>
      <c r="E1077" s="9">
        <v>1736</v>
      </c>
      <c r="F1077" s="9">
        <v>10277</v>
      </c>
      <c r="G1077" s="9" t="s">
        <v>30</v>
      </c>
    </row>
    <row r="1078" spans="1:7" x14ac:dyDescent="0.2">
      <c r="A1078" t="s">
        <v>1093</v>
      </c>
      <c r="B1078" t="s">
        <v>1107</v>
      </c>
      <c r="C1078" t="s">
        <v>10260</v>
      </c>
      <c r="D1078" t="s">
        <v>9715</v>
      </c>
      <c r="E1078" s="9">
        <v>243</v>
      </c>
      <c r="F1078" s="9">
        <v>10202</v>
      </c>
      <c r="G1078" s="9" t="s">
        <v>30</v>
      </c>
    </row>
    <row r="1079" spans="1:7" x14ac:dyDescent="0.2">
      <c r="A1079" t="s">
        <v>1093</v>
      </c>
      <c r="B1079" t="s">
        <v>1019</v>
      </c>
      <c r="C1079" t="s">
        <v>10261</v>
      </c>
      <c r="D1079" t="s">
        <v>9715</v>
      </c>
      <c r="E1079" s="9">
        <v>2024</v>
      </c>
      <c r="F1079" s="9">
        <v>8637</v>
      </c>
      <c r="G1079" s="9" t="s">
        <v>30</v>
      </c>
    </row>
    <row r="1080" spans="1:7" x14ac:dyDescent="0.2">
      <c r="A1080" t="s">
        <v>1093</v>
      </c>
      <c r="B1080" t="s">
        <v>1108</v>
      </c>
      <c r="C1080" t="s">
        <v>10262</v>
      </c>
      <c r="D1080" t="s">
        <v>9715</v>
      </c>
      <c r="E1080" s="9">
        <v>518</v>
      </c>
      <c r="F1080" s="9">
        <v>10806</v>
      </c>
      <c r="G1080" s="9" t="s">
        <v>30</v>
      </c>
    </row>
    <row r="1081" spans="1:7" x14ac:dyDescent="0.2">
      <c r="A1081" t="s">
        <v>1093</v>
      </c>
      <c r="B1081" t="s">
        <v>1109</v>
      </c>
      <c r="C1081" t="s">
        <v>11226</v>
      </c>
      <c r="D1081" t="e">
        <v>#N/A</v>
      </c>
      <c r="E1081" s="9">
        <v>1613</v>
      </c>
      <c r="F1081" s="9">
        <v>11702</v>
      </c>
      <c r="G1081" s="9" t="s">
        <v>30</v>
      </c>
    </row>
    <row r="1082" spans="1:7" x14ac:dyDescent="0.2">
      <c r="A1082" t="s">
        <v>1093</v>
      </c>
      <c r="B1082" t="s">
        <v>1110</v>
      </c>
      <c r="C1082" t="s">
        <v>11227</v>
      </c>
      <c r="D1082" t="e">
        <v>#N/A</v>
      </c>
      <c r="E1082" s="9">
        <v>1444</v>
      </c>
      <c r="F1082" s="9">
        <v>11371</v>
      </c>
      <c r="G1082" s="9" t="s">
        <v>30</v>
      </c>
    </row>
    <row r="1083" spans="1:7" x14ac:dyDescent="0.2">
      <c r="A1083" t="s">
        <v>1093</v>
      </c>
      <c r="B1083" t="s">
        <v>1111</v>
      </c>
      <c r="C1083" t="s">
        <v>10263</v>
      </c>
      <c r="D1083" t="s">
        <v>9715</v>
      </c>
      <c r="E1083" s="9">
        <v>3494</v>
      </c>
      <c r="F1083" s="9">
        <v>8285</v>
      </c>
      <c r="G1083" s="9" t="s">
        <v>30</v>
      </c>
    </row>
    <row r="1084" spans="1:7" x14ac:dyDescent="0.2">
      <c r="A1084" t="s">
        <v>1093</v>
      </c>
      <c r="B1084" t="s">
        <v>1112</v>
      </c>
      <c r="C1084" t="s">
        <v>11228</v>
      </c>
      <c r="D1084" t="e">
        <v>#N/A</v>
      </c>
      <c r="E1084" s="9">
        <v>918</v>
      </c>
      <c r="F1084" s="9">
        <v>9736</v>
      </c>
      <c r="G1084" s="9" t="s">
        <v>30</v>
      </c>
    </row>
    <row r="1085" spans="1:7" x14ac:dyDescent="0.2">
      <c r="A1085" t="s">
        <v>1093</v>
      </c>
      <c r="B1085" t="s">
        <v>1113</v>
      </c>
      <c r="C1085" t="s">
        <v>10251</v>
      </c>
      <c r="D1085" t="s">
        <v>9715</v>
      </c>
      <c r="E1085" s="9">
        <v>333</v>
      </c>
      <c r="F1085" s="9">
        <v>8830</v>
      </c>
      <c r="G1085" s="9" t="s">
        <v>30</v>
      </c>
    </row>
    <row r="1086" spans="1:7" x14ac:dyDescent="0.2">
      <c r="A1086" t="s">
        <v>1093</v>
      </c>
      <c r="B1086" t="s">
        <v>1114</v>
      </c>
      <c r="C1086" t="s">
        <v>11229</v>
      </c>
      <c r="D1086" t="e">
        <v>#N/A</v>
      </c>
      <c r="E1086" s="9">
        <v>2226</v>
      </c>
      <c r="F1086" s="9">
        <v>11379</v>
      </c>
      <c r="G1086" s="9" t="s">
        <v>30</v>
      </c>
    </row>
    <row r="1087" spans="1:7" x14ac:dyDescent="0.2">
      <c r="A1087" t="s">
        <v>1093</v>
      </c>
      <c r="B1087" t="s">
        <v>1115</v>
      </c>
      <c r="C1087" t="s">
        <v>11230</v>
      </c>
      <c r="D1087" t="e">
        <v>#N/A</v>
      </c>
      <c r="E1087" s="9">
        <v>957</v>
      </c>
      <c r="F1087" s="9">
        <v>10504</v>
      </c>
      <c r="G1087" s="9" t="s">
        <v>30</v>
      </c>
    </row>
    <row r="1088" spans="1:7" x14ac:dyDescent="0.2">
      <c r="A1088" t="s">
        <v>1093</v>
      </c>
      <c r="B1088" t="s">
        <v>1116</v>
      </c>
      <c r="C1088" t="s">
        <v>10252</v>
      </c>
      <c r="D1088" t="s">
        <v>9715</v>
      </c>
      <c r="E1088" s="9">
        <v>1885</v>
      </c>
      <c r="F1088" s="9">
        <v>14191</v>
      </c>
      <c r="G1088" s="9" t="s">
        <v>30</v>
      </c>
    </row>
    <row r="1089" spans="1:7" x14ac:dyDescent="0.2">
      <c r="A1089" t="s">
        <v>1093</v>
      </c>
      <c r="B1089" t="s">
        <v>1117</v>
      </c>
      <c r="C1089" t="s">
        <v>11231</v>
      </c>
      <c r="D1089" t="e">
        <v>#N/A</v>
      </c>
      <c r="E1089" s="9">
        <v>2253</v>
      </c>
      <c r="F1089" s="9">
        <v>11861</v>
      </c>
      <c r="G1089" s="9" t="s">
        <v>30</v>
      </c>
    </row>
    <row r="1090" spans="1:7" x14ac:dyDescent="0.2">
      <c r="A1090" t="s">
        <v>1093</v>
      </c>
      <c r="B1090" t="s">
        <v>1118</v>
      </c>
      <c r="C1090" t="s">
        <v>11232</v>
      </c>
      <c r="D1090" t="e">
        <v>#N/A</v>
      </c>
      <c r="E1090" s="9">
        <v>2314</v>
      </c>
      <c r="F1090" s="9">
        <v>13226</v>
      </c>
      <c r="G1090" s="9" t="s">
        <v>30</v>
      </c>
    </row>
    <row r="1091" spans="1:7" x14ac:dyDescent="0.2">
      <c r="A1091" t="s">
        <v>1093</v>
      </c>
      <c r="B1091" t="s">
        <v>1119</v>
      </c>
      <c r="C1091" t="s">
        <v>11233</v>
      </c>
      <c r="D1091" t="e">
        <v>#N/A</v>
      </c>
      <c r="E1091" s="9">
        <v>1860</v>
      </c>
      <c r="F1091" s="9">
        <v>11446</v>
      </c>
      <c r="G1091" s="9" t="s">
        <v>30</v>
      </c>
    </row>
    <row r="1092" spans="1:7" x14ac:dyDescent="0.2">
      <c r="A1092" t="s">
        <v>1093</v>
      </c>
      <c r="B1092" t="s">
        <v>1120</v>
      </c>
      <c r="C1092" t="s">
        <v>11234</v>
      </c>
      <c r="D1092" t="e">
        <v>#N/A</v>
      </c>
      <c r="E1092" s="9">
        <v>3001</v>
      </c>
      <c r="F1092" s="9">
        <v>10721</v>
      </c>
      <c r="G1092" s="9" t="s">
        <v>30</v>
      </c>
    </row>
    <row r="1093" spans="1:7" x14ac:dyDescent="0.2">
      <c r="A1093" t="s">
        <v>1093</v>
      </c>
      <c r="B1093" t="s">
        <v>1121</v>
      </c>
      <c r="C1093" t="s">
        <v>11235</v>
      </c>
      <c r="D1093" t="e">
        <v>#N/A</v>
      </c>
      <c r="E1093" s="9">
        <v>1656</v>
      </c>
      <c r="F1093" s="9">
        <v>12970</v>
      </c>
      <c r="G1093" s="9" t="s">
        <v>30</v>
      </c>
    </row>
    <row r="1094" spans="1:7" x14ac:dyDescent="0.2">
      <c r="A1094" t="s">
        <v>1093</v>
      </c>
      <c r="B1094" t="s">
        <v>1122</v>
      </c>
      <c r="C1094" t="s">
        <v>10264</v>
      </c>
      <c r="D1094" t="s">
        <v>9715</v>
      </c>
      <c r="E1094" s="9">
        <v>329</v>
      </c>
      <c r="F1094" s="9">
        <v>9309</v>
      </c>
      <c r="G1094" s="9" t="s">
        <v>30</v>
      </c>
    </row>
    <row r="1095" spans="1:7" x14ac:dyDescent="0.2">
      <c r="A1095" t="s">
        <v>1093</v>
      </c>
      <c r="B1095" t="s">
        <v>1123</v>
      </c>
      <c r="C1095" t="s">
        <v>10267</v>
      </c>
      <c r="D1095" t="s">
        <v>9715</v>
      </c>
      <c r="E1095" s="9">
        <v>1248</v>
      </c>
      <c r="F1095" s="9">
        <v>9330</v>
      </c>
      <c r="G1095" s="9" t="s">
        <v>30</v>
      </c>
    </row>
    <row r="1096" spans="1:7" x14ac:dyDescent="0.2">
      <c r="A1096" t="s">
        <v>1093</v>
      </c>
      <c r="B1096" t="s">
        <v>1124</v>
      </c>
      <c r="C1096" t="s">
        <v>10265</v>
      </c>
      <c r="D1096" t="s">
        <v>9715</v>
      </c>
      <c r="E1096" s="9">
        <v>758</v>
      </c>
      <c r="F1096" s="9">
        <v>9864</v>
      </c>
      <c r="G1096" s="9" t="s">
        <v>30</v>
      </c>
    </row>
    <row r="1097" spans="1:7" x14ac:dyDescent="0.2">
      <c r="A1097" t="s">
        <v>1093</v>
      </c>
      <c r="B1097" t="s">
        <v>1125</v>
      </c>
      <c r="C1097" t="s">
        <v>11236</v>
      </c>
      <c r="D1097" t="e">
        <v>#N/A</v>
      </c>
      <c r="E1097" s="9">
        <v>3503</v>
      </c>
      <c r="F1097" s="9">
        <v>43915</v>
      </c>
      <c r="G1097" s="9" t="s">
        <v>30</v>
      </c>
    </row>
    <row r="1098" spans="1:7" x14ac:dyDescent="0.2">
      <c r="A1098" t="s">
        <v>1093</v>
      </c>
      <c r="B1098" t="s">
        <v>1126</v>
      </c>
      <c r="C1098" t="s">
        <v>11237</v>
      </c>
      <c r="D1098" t="e">
        <v>#N/A</v>
      </c>
      <c r="E1098" s="9">
        <v>1474</v>
      </c>
      <c r="F1098" s="9">
        <v>11114</v>
      </c>
      <c r="G1098" s="9" t="s">
        <v>30</v>
      </c>
    </row>
    <row r="1099" spans="1:7" x14ac:dyDescent="0.2">
      <c r="A1099" t="s">
        <v>1093</v>
      </c>
      <c r="B1099" t="s">
        <v>1127</v>
      </c>
      <c r="C1099" t="s">
        <v>11238</v>
      </c>
      <c r="D1099" t="e">
        <v>#N/A</v>
      </c>
      <c r="E1099" s="9">
        <v>1399</v>
      </c>
      <c r="F1099" s="9">
        <v>10703</v>
      </c>
      <c r="G1099" s="9" t="s">
        <v>30</v>
      </c>
    </row>
    <row r="1100" spans="1:7" x14ac:dyDescent="0.2">
      <c r="A1100" t="s">
        <v>1093</v>
      </c>
      <c r="B1100" t="s">
        <v>1128</v>
      </c>
      <c r="C1100" t="s">
        <v>11239</v>
      </c>
      <c r="D1100" t="e">
        <v>#N/A</v>
      </c>
      <c r="E1100" s="9">
        <v>1201</v>
      </c>
      <c r="F1100" s="9">
        <v>7106</v>
      </c>
      <c r="G1100" s="9" t="s">
        <v>30</v>
      </c>
    </row>
    <row r="1101" spans="1:7" x14ac:dyDescent="0.2">
      <c r="A1101" t="s">
        <v>1093</v>
      </c>
      <c r="B1101" t="s">
        <v>1129</v>
      </c>
      <c r="C1101" t="s">
        <v>10268</v>
      </c>
      <c r="D1101" t="s">
        <v>9715</v>
      </c>
      <c r="E1101" s="9">
        <v>1007</v>
      </c>
      <c r="F1101" s="9">
        <v>7659</v>
      </c>
      <c r="G1101" s="9" t="s">
        <v>30</v>
      </c>
    </row>
    <row r="1102" spans="1:7" x14ac:dyDescent="0.2">
      <c r="A1102" t="s">
        <v>1093</v>
      </c>
      <c r="B1102" t="s">
        <v>1130</v>
      </c>
      <c r="C1102" t="s">
        <v>10254</v>
      </c>
      <c r="D1102" t="s">
        <v>9715</v>
      </c>
      <c r="E1102" s="9">
        <v>518</v>
      </c>
      <c r="F1102" s="9">
        <v>8495</v>
      </c>
      <c r="G1102" s="9" t="s">
        <v>30</v>
      </c>
    </row>
    <row r="1103" spans="1:7" x14ac:dyDescent="0.2">
      <c r="A1103" t="s">
        <v>1093</v>
      </c>
      <c r="B1103" t="s">
        <v>1131</v>
      </c>
      <c r="C1103" t="s">
        <v>10255</v>
      </c>
      <c r="D1103" t="s">
        <v>9715</v>
      </c>
      <c r="E1103" s="9">
        <v>49</v>
      </c>
      <c r="F1103" s="9">
        <v>7154</v>
      </c>
      <c r="G1103" s="9" t="s">
        <v>30</v>
      </c>
    </row>
    <row r="1104" spans="1:7" x14ac:dyDescent="0.2">
      <c r="A1104" t="s">
        <v>1093</v>
      </c>
      <c r="B1104" t="s">
        <v>1132</v>
      </c>
      <c r="C1104" t="s">
        <v>10253</v>
      </c>
      <c r="D1104" t="s">
        <v>9715</v>
      </c>
      <c r="E1104" s="9">
        <v>1052</v>
      </c>
      <c r="F1104" s="9">
        <v>8543</v>
      </c>
      <c r="G1104" s="9" t="s">
        <v>30</v>
      </c>
    </row>
    <row r="1105" spans="1:7" x14ac:dyDescent="0.2">
      <c r="A1105" t="s">
        <v>1093</v>
      </c>
      <c r="B1105" t="s">
        <v>1133</v>
      </c>
      <c r="C1105" t="s">
        <v>10266</v>
      </c>
      <c r="D1105" t="s">
        <v>9715</v>
      </c>
      <c r="E1105" s="9">
        <v>380</v>
      </c>
      <c r="F1105" s="9">
        <v>6905</v>
      </c>
      <c r="G1105" s="9" t="s">
        <v>30</v>
      </c>
    </row>
    <row r="1106" spans="1:7" x14ac:dyDescent="0.2">
      <c r="A1106" t="s">
        <v>1093</v>
      </c>
      <c r="B1106" t="s">
        <v>1134</v>
      </c>
      <c r="C1106" t="s">
        <v>10269</v>
      </c>
      <c r="D1106" t="s">
        <v>9715</v>
      </c>
      <c r="E1106" s="9">
        <v>798</v>
      </c>
      <c r="F1106" s="9">
        <v>8212</v>
      </c>
      <c r="G1106" s="9" t="s">
        <v>30</v>
      </c>
    </row>
    <row r="1107" spans="1:7" x14ac:dyDescent="0.2">
      <c r="A1107" t="s">
        <v>1093</v>
      </c>
      <c r="B1107" t="s">
        <v>1135</v>
      </c>
      <c r="C1107" t="s">
        <v>10270</v>
      </c>
      <c r="D1107" t="s">
        <v>9715</v>
      </c>
      <c r="E1107" s="9">
        <v>663</v>
      </c>
      <c r="F1107" s="9">
        <v>8982</v>
      </c>
      <c r="G1107" s="9" t="s">
        <v>30</v>
      </c>
    </row>
    <row r="1108" spans="1:7" x14ac:dyDescent="0.2">
      <c r="A1108" t="s">
        <v>1093</v>
      </c>
      <c r="B1108" t="s">
        <v>1136</v>
      </c>
      <c r="C1108" t="s">
        <v>11240</v>
      </c>
      <c r="D1108" t="e">
        <v>#N/A</v>
      </c>
      <c r="E1108" s="9">
        <v>1058</v>
      </c>
      <c r="F1108" s="9">
        <v>10414</v>
      </c>
      <c r="G1108" s="9" t="s">
        <v>30</v>
      </c>
    </row>
    <row r="1109" spans="1:7" x14ac:dyDescent="0.2">
      <c r="A1109" t="s">
        <v>1093</v>
      </c>
      <c r="B1109" t="s">
        <v>1137</v>
      </c>
      <c r="C1109" t="s">
        <v>11241</v>
      </c>
      <c r="D1109" t="e">
        <v>#N/A</v>
      </c>
      <c r="E1109" s="9">
        <v>2138</v>
      </c>
      <c r="F1109" s="9">
        <v>11450</v>
      </c>
      <c r="G1109" s="9" t="s">
        <v>30</v>
      </c>
    </row>
    <row r="1110" spans="1:7" x14ac:dyDescent="0.2">
      <c r="A1110" t="s">
        <v>1138</v>
      </c>
      <c r="B1110" t="s">
        <v>1139</v>
      </c>
      <c r="C1110" t="s">
        <v>10287</v>
      </c>
      <c r="D1110" t="s">
        <v>9715</v>
      </c>
      <c r="E1110" s="9">
        <v>0</v>
      </c>
      <c r="F1110" s="9">
        <v>22278</v>
      </c>
      <c r="G1110" s="9" t="s">
        <v>30</v>
      </c>
    </row>
    <row r="1111" spans="1:7" x14ac:dyDescent="0.2">
      <c r="A1111" t="s">
        <v>1138</v>
      </c>
      <c r="B1111" t="s">
        <v>1140</v>
      </c>
      <c r="C1111" t="s">
        <v>11242</v>
      </c>
      <c r="D1111" t="e">
        <v>#N/A</v>
      </c>
      <c r="E1111" s="9">
        <v>1857</v>
      </c>
      <c r="F1111" s="9">
        <v>9721</v>
      </c>
      <c r="G1111" s="9" t="s">
        <v>30</v>
      </c>
    </row>
    <row r="1112" spans="1:7" x14ac:dyDescent="0.2">
      <c r="A1112" t="s">
        <v>1138</v>
      </c>
      <c r="B1112" t="s">
        <v>1141</v>
      </c>
      <c r="C1112" t="s">
        <v>10289</v>
      </c>
      <c r="D1112" t="s">
        <v>9715</v>
      </c>
      <c r="E1112" s="9">
        <v>1720</v>
      </c>
      <c r="F1112" s="9">
        <v>8459</v>
      </c>
      <c r="G1112" s="9" t="s">
        <v>30</v>
      </c>
    </row>
    <row r="1113" spans="1:7" x14ac:dyDescent="0.2">
      <c r="A1113" t="s">
        <v>1138</v>
      </c>
      <c r="B1113" t="s">
        <v>1142</v>
      </c>
      <c r="C1113" t="s">
        <v>10290</v>
      </c>
      <c r="D1113" t="s">
        <v>9715</v>
      </c>
      <c r="E1113" s="9">
        <v>1355</v>
      </c>
      <c r="F1113" s="9">
        <v>8869</v>
      </c>
      <c r="G1113" s="9" t="s">
        <v>30</v>
      </c>
    </row>
    <row r="1114" spans="1:7" x14ac:dyDescent="0.2">
      <c r="A1114" t="s">
        <v>1138</v>
      </c>
      <c r="B1114" t="s">
        <v>1143</v>
      </c>
      <c r="C1114" t="s">
        <v>10277</v>
      </c>
      <c r="D1114" t="s">
        <v>9715</v>
      </c>
      <c r="E1114" s="9">
        <v>2027</v>
      </c>
      <c r="F1114" s="9">
        <v>6205</v>
      </c>
      <c r="G1114" s="9" t="s">
        <v>30</v>
      </c>
    </row>
    <row r="1115" spans="1:7" x14ac:dyDescent="0.2">
      <c r="A1115" t="s">
        <v>1138</v>
      </c>
      <c r="B1115" t="s">
        <v>1144</v>
      </c>
      <c r="C1115" t="s">
        <v>11243</v>
      </c>
      <c r="D1115" t="e">
        <v>#N/A</v>
      </c>
      <c r="E1115" s="9">
        <v>3768</v>
      </c>
      <c r="F1115" s="9">
        <v>56773</v>
      </c>
      <c r="G1115" s="9" t="s">
        <v>30</v>
      </c>
    </row>
    <row r="1116" spans="1:7" x14ac:dyDescent="0.2">
      <c r="A1116" t="s">
        <v>1138</v>
      </c>
      <c r="B1116" t="s">
        <v>1145</v>
      </c>
      <c r="C1116" t="s">
        <v>10297</v>
      </c>
      <c r="D1116" t="s">
        <v>9715</v>
      </c>
      <c r="E1116" s="9">
        <v>121</v>
      </c>
      <c r="F1116" s="9">
        <v>15889</v>
      </c>
      <c r="G1116" s="9" t="s">
        <v>30</v>
      </c>
    </row>
    <row r="1117" spans="1:7" x14ac:dyDescent="0.2">
      <c r="A1117" t="s">
        <v>1138</v>
      </c>
      <c r="B1117" t="s">
        <v>1146</v>
      </c>
      <c r="C1117" t="s">
        <v>10278</v>
      </c>
      <c r="D1117" t="s">
        <v>9715</v>
      </c>
      <c r="E1117" s="9">
        <v>881</v>
      </c>
      <c r="F1117" s="9">
        <v>9424</v>
      </c>
      <c r="G1117" s="9" t="s">
        <v>30</v>
      </c>
    </row>
    <row r="1118" spans="1:7" x14ac:dyDescent="0.2">
      <c r="A1118" t="s">
        <v>1138</v>
      </c>
      <c r="B1118" t="s">
        <v>1147</v>
      </c>
      <c r="C1118" t="s">
        <v>10271</v>
      </c>
      <c r="D1118" t="s">
        <v>9715</v>
      </c>
      <c r="E1118" s="9">
        <v>811</v>
      </c>
      <c r="F1118" s="9">
        <v>8692</v>
      </c>
      <c r="G1118" s="9" t="s">
        <v>30</v>
      </c>
    </row>
    <row r="1119" spans="1:7" x14ac:dyDescent="0.2">
      <c r="A1119" t="s">
        <v>1138</v>
      </c>
      <c r="B1119" t="s">
        <v>1148</v>
      </c>
      <c r="C1119" t="s">
        <v>10291</v>
      </c>
      <c r="D1119" t="s">
        <v>9715</v>
      </c>
      <c r="E1119" s="9">
        <v>858</v>
      </c>
      <c r="F1119" s="9">
        <v>9297</v>
      </c>
      <c r="G1119" s="9" t="s">
        <v>30</v>
      </c>
    </row>
    <row r="1120" spans="1:7" x14ac:dyDescent="0.2">
      <c r="A1120" t="s">
        <v>1138</v>
      </c>
      <c r="B1120" t="s">
        <v>1149</v>
      </c>
      <c r="C1120" t="s">
        <v>10279</v>
      </c>
      <c r="D1120" t="s">
        <v>9715</v>
      </c>
      <c r="E1120" s="9">
        <v>1575</v>
      </c>
      <c r="F1120" s="9">
        <v>10634</v>
      </c>
      <c r="G1120" s="9" t="s">
        <v>30</v>
      </c>
    </row>
    <row r="1121" spans="1:7" x14ac:dyDescent="0.2">
      <c r="A1121" t="s">
        <v>1138</v>
      </c>
      <c r="B1121" t="s">
        <v>1150</v>
      </c>
      <c r="C1121" t="s">
        <v>11244</v>
      </c>
      <c r="D1121" t="e">
        <v>#N/A</v>
      </c>
      <c r="E1121" s="9">
        <v>2599</v>
      </c>
      <c r="F1121" s="9">
        <v>11423</v>
      </c>
      <c r="G1121" s="9" t="s">
        <v>30</v>
      </c>
    </row>
    <row r="1122" spans="1:7" x14ac:dyDescent="0.2">
      <c r="A1122" t="s">
        <v>1138</v>
      </c>
      <c r="B1122" t="s">
        <v>1151</v>
      </c>
      <c r="C1122" t="s">
        <v>10298</v>
      </c>
      <c r="D1122" t="s">
        <v>9715</v>
      </c>
      <c r="E1122" s="9">
        <v>1486</v>
      </c>
      <c r="F1122" s="9">
        <v>10698</v>
      </c>
      <c r="G1122" s="9" t="s">
        <v>30</v>
      </c>
    </row>
    <row r="1123" spans="1:7" x14ac:dyDescent="0.2">
      <c r="A1123" t="s">
        <v>1138</v>
      </c>
      <c r="B1123" t="s">
        <v>1152</v>
      </c>
      <c r="C1123" t="s">
        <v>10299</v>
      </c>
      <c r="D1123" t="s">
        <v>9715</v>
      </c>
      <c r="E1123" s="9">
        <v>3297</v>
      </c>
      <c r="F1123" s="9">
        <v>16334</v>
      </c>
      <c r="G1123" s="9" t="s">
        <v>30</v>
      </c>
    </row>
    <row r="1124" spans="1:7" x14ac:dyDescent="0.2">
      <c r="A1124" t="s">
        <v>1138</v>
      </c>
      <c r="B1124" t="s">
        <v>1153</v>
      </c>
      <c r="C1124" t="s">
        <v>10274</v>
      </c>
      <c r="D1124" t="s">
        <v>9715</v>
      </c>
      <c r="E1124" s="9">
        <v>839</v>
      </c>
      <c r="F1124" s="9">
        <v>9290</v>
      </c>
      <c r="G1124" s="9" t="s">
        <v>30</v>
      </c>
    </row>
    <row r="1125" spans="1:7" x14ac:dyDescent="0.2">
      <c r="A1125" t="s">
        <v>1138</v>
      </c>
      <c r="B1125" t="s">
        <v>1154</v>
      </c>
      <c r="C1125" t="s">
        <v>11245</v>
      </c>
      <c r="D1125" t="e">
        <v>#N/A</v>
      </c>
      <c r="E1125" s="9">
        <v>933</v>
      </c>
      <c r="F1125" s="9">
        <v>10106</v>
      </c>
      <c r="G1125" s="9" t="s">
        <v>30</v>
      </c>
    </row>
    <row r="1126" spans="1:7" x14ac:dyDescent="0.2">
      <c r="A1126" t="s">
        <v>1138</v>
      </c>
      <c r="B1126" t="s">
        <v>1155</v>
      </c>
      <c r="C1126" t="s">
        <v>11246</v>
      </c>
      <c r="D1126" t="e">
        <v>#N/A</v>
      </c>
      <c r="E1126" s="9">
        <v>1911</v>
      </c>
      <c r="F1126" s="9">
        <v>11184</v>
      </c>
      <c r="G1126" s="9" t="s">
        <v>30</v>
      </c>
    </row>
    <row r="1127" spans="1:7" x14ac:dyDescent="0.2">
      <c r="A1127" t="s">
        <v>1138</v>
      </c>
      <c r="B1127" t="s">
        <v>1156</v>
      </c>
      <c r="C1127" t="s">
        <v>11247</v>
      </c>
      <c r="D1127" t="e">
        <v>#N/A</v>
      </c>
      <c r="E1127" s="9">
        <v>1019</v>
      </c>
      <c r="F1127" s="9">
        <v>10974</v>
      </c>
      <c r="G1127" s="9" t="s">
        <v>30</v>
      </c>
    </row>
    <row r="1128" spans="1:7" x14ac:dyDescent="0.2">
      <c r="A1128" t="s">
        <v>1138</v>
      </c>
      <c r="B1128" t="s">
        <v>1157</v>
      </c>
      <c r="C1128" t="s">
        <v>10288</v>
      </c>
      <c r="D1128" t="s">
        <v>9715</v>
      </c>
      <c r="E1128" s="9">
        <v>1712</v>
      </c>
      <c r="F1128" s="9">
        <v>9828</v>
      </c>
      <c r="G1128" s="9" t="s">
        <v>30</v>
      </c>
    </row>
    <row r="1129" spans="1:7" x14ac:dyDescent="0.2">
      <c r="A1129" t="s">
        <v>1138</v>
      </c>
      <c r="B1129" t="s">
        <v>1158</v>
      </c>
      <c r="C1129" t="s">
        <v>10300</v>
      </c>
      <c r="D1129" t="s">
        <v>9715</v>
      </c>
      <c r="E1129" s="9">
        <v>2590</v>
      </c>
      <c r="F1129" s="9">
        <v>10409</v>
      </c>
      <c r="G1129" s="9" t="s">
        <v>30</v>
      </c>
    </row>
    <row r="1130" spans="1:7" x14ac:dyDescent="0.2">
      <c r="A1130" t="s">
        <v>1138</v>
      </c>
      <c r="B1130" t="s">
        <v>1159</v>
      </c>
      <c r="C1130" t="s">
        <v>11248</v>
      </c>
      <c r="D1130" t="e">
        <v>#N/A</v>
      </c>
      <c r="E1130" s="9">
        <v>2510</v>
      </c>
      <c r="F1130" s="9">
        <v>11623</v>
      </c>
      <c r="G1130" s="9" t="s">
        <v>30</v>
      </c>
    </row>
    <row r="1131" spans="1:7" x14ac:dyDescent="0.2">
      <c r="A1131" t="s">
        <v>1138</v>
      </c>
      <c r="B1131" t="s">
        <v>1160</v>
      </c>
      <c r="C1131" t="s">
        <v>11249</v>
      </c>
      <c r="D1131" t="e">
        <v>#N/A</v>
      </c>
      <c r="E1131" s="9">
        <v>1053</v>
      </c>
      <c r="F1131" s="9">
        <v>13093</v>
      </c>
      <c r="G1131" s="9" t="s">
        <v>30</v>
      </c>
    </row>
    <row r="1132" spans="1:7" x14ac:dyDescent="0.2">
      <c r="A1132" t="s">
        <v>1138</v>
      </c>
      <c r="B1132" t="s">
        <v>1161</v>
      </c>
      <c r="C1132" t="s">
        <v>10292</v>
      </c>
      <c r="D1132" t="s">
        <v>9715</v>
      </c>
      <c r="E1132" s="9">
        <v>3313</v>
      </c>
      <c r="F1132" s="9">
        <v>16085</v>
      </c>
      <c r="G1132" s="9" t="s">
        <v>30</v>
      </c>
    </row>
    <row r="1133" spans="1:7" x14ac:dyDescent="0.2">
      <c r="A1133" t="s">
        <v>1138</v>
      </c>
      <c r="B1133" t="s">
        <v>1162</v>
      </c>
      <c r="C1133" t="s">
        <v>10293</v>
      </c>
      <c r="D1133" t="s">
        <v>9715</v>
      </c>
      <c r="E1133" s="9">
        <v>409</v>
      </c>
      <c r="F1133" s="9">
        <v>7805</v>
      </c>
      <c r="G1133" s="9" t="s">
        <v>30</v>
      </c>
    </row>
    <row r="1134" spans="1:7" x14ac:dyDescent="0.2">
      <c r="A1134" t="s">
        <v>1138</v>
      </c>
      <c r="B1134" t="s">
        <v>1163</v>
      </c>
      <c r="C1134" t="s">
        <v>10294</v>
      </c>
      <c r="D1134" t="s">
        <v>9715</v>
      </c>
      <c r="E1134" s="9">
        <v>418</v>
      </c>
      <c r="F1134" s="9">
        <v>7695</v>
      </c>
      <c r="G1134" s="9" t="s">
        <v>30</v>
      </c>
    </row>
    <row r="1135" spans="1:7" x14ac:dyDescent="0.2">
      <c r="A1135" t="s">
        <v>1138</v>
      </c>
      <c r="B1135" t="s">
        <v>1164</v>
      </c>
      <c r="C1135" t="s">
        <v>10280</v>
      </c>
      <c r="D1135" t="s">
        <v>9715</v>
      </c>
      <c r="E1135" s="9">
        <v>1056</v>
      </c>
      <c r="F1135" s="9">
        <v>10078</v>
      </c>
      <c r="G1135" s="9" t="s">
        <v>30</v>
      </c>
    </row>
    <row r="1136" spans="1:7" x14ac:dyDescent="0.2">
      <c r="A1136" t="s">
        <v>1138</v>
      </c>
      <c r="B1136" t="s">
        <v>1165</v>
      </c>
      <c r="C1136" t="s">
        <v>10301</v>
      </c>
      <c r="D1136" t="s">
        <v>9715</v>
      </c>
      <c r="E1136" s="9">
        <v>532</v>
      </c>
      <c r="F1136" s="9">
        <v>10719</v>
      </c>
      <c r="G1136" s="9" t="s">
        <v>30</v>
      </c>
    </row>
    <row r="1137" spans="1:7" x14ac:dyDescent="0.2">
      <c r="A1137" t="s">
        <v>1138</v>
      </c>
      <c r="B1137" t="s">
        <v>1166</v>
      </c>
      <c r="C1137" t="s">
        <v>10302</v>
      </c>
      <c r="D1137" t="s">
        <v>9715</v>
      </c>
      <c r="E1137" s="9">
        <v>2779</v>
      </c>
      <c r="F1137" s="9">
        <v>10449</v>
      </c>
      <c r="G1137" s="9" t="s">
        <v>30</v>
      </c>
    </row>
    <row r="1138" spans="1:7" x14ac:dyDescent="0.2">
      <c r="A1138" t="s">
        <v>1138</v>
      </c>
      <c r="B1138" t="s">
        <v>1167</v>
      </c>
      <c r="C1138" t="s">
        <v>10303</v>
      </c>
      <c r="D1138" t="s">
        <v>9715</v>
      </c>
      <c r="E1138" s="9">
        <v>1100</v>
      </c>
      <c r="F1138" s="9">
        <v>10842</v>
      </c>
      <c r="G1138" s="9" t="s">
        <v>30</v>
      </c>
    </row>
    <row r="1139" spans="1:7" x14ac:dyDescent="0.2">
      <c r="A1139" t="s">
        <v>1138</v>
      </c>
      <c r="B1139" t="s">
        <v>1168</v>
      </c>
      <c r="C1139" t="s">
        <v>10275</v>
      </c>
      <c r="D1139" t="s">
        <v>9715</v>
      </c>
      <c r="E1139" s="9">
        <v>658</v>
      </c>
      <c r="F1139" s="9">
        <v>14027</v>
      </c>
      <c r="G1139" s="9" t="s">
        <v>30</v>
      </c>
    </row>
    <row r="1140" spans="1:7" x14ac:dyDescent="0.2">
      <c r="A1140" t="s">
        <v>1138</v>
      </c>
      <c r="B1140" t="s">
        <v>1169</v>
      </c>
      <c r="C1140" t="s">
        <v>10273</v>
      </c>
      <c r="D1140" t="s">
        <v>9715</v>
      </c>
      <c r="E1140" s="9">
        <v>438</v>
      </c>
      <c r="F1140" s="9">
        <v>8604</v>
      </c>
      <c r="G1140" s="9" t="s">
        <v>30</v>
      </c>
    </row>
    <row r="1141" spans="1:7" x14ac:dyDescent="0.2">
      <c r="A1141" t="s">
        <v>1138</v>
      </c>
      <c r="B1141" t="s">
        <v>1170</v>
      </c>
      <c r="C1141" t="s">
        <v>11250</v>
      </c>
      <c r="D1141" t="e">
        <v>#N/A</v>
      </c>
      <c r="E1141" s="9">
        <v>1978</v>
      </c>
      <c r="F1141" s="9">
        <v>10227</v>
      </c>
      <c r="G1141" s="9" t="s">
        <v>30</v>
      </c>
    </row>
    <row r="1142" spans="1:7" x14ac:dyDescent="0.2">
      <c r="A1142" t="s">
        <v>1138</v>
      </c>
      <c r="B1142" t="s">
        <v>1171</v>
      </c>
      <c r="C1142" t="s">
        <v>10295</v>
      </c>
      <c r="D1142" t="s">
        <v>9715</v>
      </c>
      <c r="E1142" s="9">
        <v>0</v>
      </c>
      <c r="F1142" s="9">
        <v>15221</v>
      </c>
      <c r="G1142" s="9" t="s">
        <v>30</v>
      </c>
    </row>
    <row r="1143" spans="1:7" x14ac:dyDescent="0.2">
      <c r="A1143" t="s">
        <v>1138</v>
      </c>
      <c r="B1143" t="s">
        <v>1172</v>
      </c>
      <c r="C1143" t="s">
        <v>10276</v>
      </c>
      <c r="D1143" t="s">
        <v>9715</v>
      </c>
      <c r="E1143" s="9">
        <v>238</v>
      </c>
      <c r="F1143" s="9">
        <v>13616</v>
      </c>
      <c r="G1143" s="9" t="s">
        <v>30</v>
      </c>
    </row>
    <row r="1144" spans="1:7" x14ac:dyDescent="0.2">
      <c r="A1144" t="s">
        <v>1138</v>
      </c>
      <c r="B1144" t="s">
        <v>1173</v>
      </c>
      <c r="C1144" t="s">
        <v>11251</v>
      </c>
      <c r="D1144" t="e">
        <v>#N/A</v>
      </c>
      <c r="E1144" s="9">
        <v>1688</v>
      </c>
      <c r="F1144" s="9">
        <v>9688</v>
      </c>
      <c r="G1144" s="9" t="s">
        <v>30</v>
      </c>
    </row>
    <row r="1145" spans="1:7" x14ac:dyDescent="0.2">
      <c r="A1145" t="s">
        <v>1138</v>
      </c>
      <c r="B1145" t="s">
        <v>1174</v>
      </c>
      <c r="C1145" t="s">
        <v>11252</v>
      </c>
      <c r="D1145" t="e">
        <v>#N/A</v>
      </c>
      <c r="E1145" s="9">
        <v>3329</v>
      </c>
      <c r="F1145" s="9">
        <v>10180</v>
      </c>
      <c r="G1145" s="9" t="s">
        <v>30</v>
      </c>
    </row>
    <row r="1146" spans="1:7" x14ac:dyDescent="0.2">
      <c r="A1146" t="s">
        <v>1138</v>
      </c>
      <c r="B1146" t="s">
        <v>1175</v>
      </c>
      <c r="C1146" t="s">
        <v>10281</v>
      </c>
      <c r="D1146" t="s">
        <v>9715</v>
      </c>
      <c r="E1146" s="9">
        <v>1796</v>
      </c>
      <c r="F1146" s="9">
        <v>13613</v>
      </c>
      <c r="G1146" s="9" t="s">
        <v>30</v>
      </c>
    </row>
    <row r="1147" spans="1:7" x14ac:dyDescent="0.2">
      <c r="A1147" t="s">
        <v>1138</v>
      </c>
      <c r="B1147" t="s">
        <v>1176</v>
      </c>
      <c r="C1147" t="s">
        <v>11253</v>
      </c>
      <c r="D1147" t="e">
        <v>#N/A</v>
      </c>
      <c r="E1147" s="9">
        <v>2620</v>
      </c>
      <c r="F1147" s="9">
        <v>13251</v>
      </c>
      <c r="G1147" s="9" t="s">
        <v>30</v>
      </c>
    </row>
    <row r="1148" spans="1:7" x14ac:dyDescent="0.2">
      <c r="A1148" t="s">
        <v>1138</v>
      </c>
      <c r="B1148" t="s">
        <v>1177</v>
      </c>
      <c r="C1148" t="s">
        <v>11254</v>
      </c>
      <c r="D1148" t="e">
        <v>#N/A</v>
      </c>
      <c r="E1148" s="9">
        <v>4070</v>
      </c>
      <c r="F1148" s="9">
        <v>31716</v>
      </c>
      <c r="G1148" s="9" t="s">
        <v>30</v>
      </c>
    </row>
    <row r="1149" spans="1:7" x14ac:dyDescent="0.2">
      <c r="A1149" t="s">
        <v>1138</v>
      </c>
      <c r="B1149" t="s">
        <v>1178</v>
      </c>
      <c r="C1149" t="s">
        <v>11255</v>
      </c>
      <c r="D1149" t="e">
        <v>#N/A</v>
      </c>
      <c r="E1149" s="9">
        <v>1675</v>
      </c>
      <c r="F1149" s="9">
        <v>11920</v>
      </c>
      <c r="G1149" s="9" t="s">
        <v>30</v>
      </c>
    </row>
    <row r="1150" spans="1:7" x14ac:dyDescent="0.2">
      <c r="A1150" t="s">
        <v>1138</v>
      </c>
      <c r="B1150" t="s">
        <v>1179</v>
      </c>
      <c r="C1150" t="s">
        <v>10304</v>
      </c>
      <c r="D1150" t="s">
        <v>9715</v>
      </c>
      <c r="E1150" s="9">
        <v>4094</v>
      </c>
      <c r="F1150" s="9">
        <v>9154</v>
      </c>
      <c r="G1150" s="9" t="s">
        <v>30</v>
      </c>
    </row>
    <row r="1151" spans="1:7" x14ac:dyDescent="0.2">
      <c r="A1151" t="s">
        <v>1138</v>
      </c>
      <c r="B1151" t="s">
        <v>1180</v>
      </c>
      <c r="C1151" t="s">
        <v>10272</v>
      </c>
      <c r="D1151" t="s">
        <v>9715</v>
      </c>
      <c r="E1151" s="9">
        <v>2475</v>
      </c>
      <c r="F1151" s="9">
        <v>17096</v>
      </c>
      <c r="G1151" s="9" t="s">
        <v>30</v>
      </c>
    </row>
    <row r="1152" spans="1:7" x14ac:dyDescent="0.2">
      <c r="A1152" t="s">
        <v>1138</v>
      </c>
      <c r="B1152" t="s">
        <v>1181</v>
      </c>
      <c r="C1152" t="s">
        <v>10282</v>
      </c>
      <c r="D1152" t="s">
        <v>9715</v>
      </c>
      <c r="E1152" s="9">
        <v>2225</v>
      </c>
      <c r="F1152" s="9">
        <v>18232</v>
      </c>
      <c r="G1152" s="9" t="s">
        <v>30</v>
      </c>
    </row>
    <row r="1153" spans="1:7" x14ac:dyDescent="0.2">
      <c r="A1153" t="s">
        <v>1138</v>
      </c>
      <c r="B1153" t="s">
        <v>1182</v>
      </c>
      <c r="C1153" t="s">
        <v>10283</v>
      </c>
      <c r="D1153" t="s">
        <v>9715</v>
      </c>
      <c r="E1153" s="9" t="s">
        <v>30</v>
      </c>
      <c r="F1153" s="9" t="s">
        <v>30</v>
      </c>
      <c r="G1153" s="9" t="s">
        <v>30</v>
      </c>
    </row>
    <row r="1154" spans="1:7" x14ac:dyDescent="0.2">
      <c r="A1154" t="s">
        <v>1138</v>
      </c>
      <c r="B1154" t="s">
        <v>1183</v>
      </c>
      <c r="C1154" t="s">
        <v>10284</v>
      </c>
      <c r="D1154" t="s">
        <v>9715</v>
      </c>
      <c r="E1154" s="9">
        <v>949</v>
      </c>
      <c r="F1154" s="9">
        <v>11571</v>
      </c>
      <c r="G1154" s="9" t="s">
        <v>30</v>
      </c>
    </row>
    <row r="1155" spans="1:7" x14ac:dyDescent="0.2">
      <c r="A1155" t="s">
        <v>1138</v>
      </c>
      <c r="B1155" t="s">
        <v>1184</v>
      </c>
      <c r="C1155" t="s">
        <v>10285</v>
      </c>
      <c r="D1155" t="s">
        <v>9715</v>
      </c>
      <c r="E1155" s="9">
        <v>1606</v>
      </c>
      <c r="F1155" s="9">
        <v>8822</v>
      </c>
      <c r="G1155" s="9" t="s">
        <v>30</v>
      </c>
    </row>
    <row r="1156" spans="1:7" x14ac:dyDescent="0.2">
      <c r="A1156" t="s">
        <v>1138</v>
      </c>
      <c r="B1156" t="s">
        <v>1185</v>
      </c>
      <c r="C1156" t="s">
        <v>11256</v>
      </c>
      <c r="D1156" t="e">
        <v>#N/A</v>
      </c>
      <c r="E1156" s="9">
        <v>3630</v>
      </c>
      <c r="F1156" s="9">
        <v>11943</v>
      </c>
      <c r="G1156" s="9" t="s">
        <v>30</v>
      </c>
    </row>
    <row r="1157" spans="1:7" x14ac:dyDescent="0.2">
      <c r="A1157" t="s">
        <v>1138</v>
      </c>
      <c r="B1157" t="s">
        <v>1186</v>
      </c>
      <c r="C1157" t="s">
        <v>10296</v>
      </c>
      <c r="D1157" t="s">
        <v>9715</v>
      </c>
      <c r="E1157" s="9" t="s">
        <v>30</v>
      </c>
      <c r="F1157" s="9" t="s">
        <v>30</v>
      </c>
      <c r="G1157" s="9" t="s">
        <v>30</v>
      </c>
    </row>
    <row r="1158" spans="1:7" x14ac:dyDescent="0.2">
      <c r="A1158" t="s">
        <v>1138</v>
      </c>
      <c r="B1158" t="s">
        <v>1187</v>
      </c>
      <c r="C1158" t="s">
        <v>10286</v>
      </c>
      <c r="D1158" t="s">
        <v>9715</v>
      </c>
      <c r="E1158" s="9">
        <v>1077</v>
      </c>
      <c r="F1158" s="9">
        <v>9234</v>
      </c>
      <c r="G1158" s="9" t="s">
        <v>30</v>
      </c>
    </row>
    <row r="1159" spans="1:7" x14ac:dyDescent="0.2">
      <c r="A1159" t="s">
        <v>1188</v>
      </c>
      <c r="B1159" t="s">
        <v>1189</v>
      </c>
      <c r="C1159" t="s">
        <v>11257</v>
      </c>
      <c r="D1159" t="e">
        <v>#N/A</v>
      </c>
      <c r="E1159" s="9">
        <v>1339</v>
      </c>
      <c r="F1159" s="9">
        <v>5200</v>
      </c>
      <c r="G1159" s="9" t="s">
        <v>30</v>
      </c>
    </row>
    <row r="1160" spans="1:7" x14ac:dyDescent="0.2">
      <c r="A1160" t="s">
        <v>1188</v>
      </c>
      <c r="B1160" t="s">
        <v>1190</v>
      </c>
      <c r="C1160" t="s">
        <v>11258</v>
      </c>
      <c r="D1160" t="e">
        <v>#N/A</v>
      </c>
      <c r="E1160" s="9">
        <v>1063</v>
      </c>
      <c r="F1160" s="9">
        <v>9433</v>
      </c>
      <c r="G1160" s="9" t="s">
        <v>30</v>
      </c>
    </row>
    <row r="1161" spans="1:7" x14ac:dyDescent="0.2">
      <c r="A1161" t="s">
        <v>1188</v>
      </c>
      <c r="B1161" t="s">
        <v>1191</v>
      </c>
      <c r="C1161" t="s">
        <v>11259</v>
      </c>
      <c r="D1161" t="e">
        <v>#N/A</v>
      </c>
      <c r="E1161" s="9">
        <v>1456</v>
      </c>
      <c r="F1161" s="9">
        <v>11811</v>
      </c>
      <c r="G1161" s="9" t="s">
        <v>30</v>
      </c>
    </row>
    <row r="1162" spans="1:7" x14ac:dyDescent="0.2">
      <c r="A1162" t="s">
        <v>1188</v>
      </c>
      <c r="B1162" t="s">
        <v>1192</v>
      </c>
      <c r="C1162" t="s">
        <v>11260</v>
      </c>
      <c r="D1162" t="e">
        <v>#N/A</v>
      </c>
      <c r="E1162" s="9">
        <v>2264</v>
      </c>
      <c r="F1162" s="9">
        <v>10238</v>
      </c>
      <c r="G1162" s="9" t="s">
        <v>30</v>
      </c>
    </row>
    <row r="1163" spans="1:7" x14ac:dyDescent="0.2">
      <c r="A1163" t="s">
        <v>1188</v>
      </c>
      <c r="B1163" t="s">
        <v>1193</v>
      </c>
      <c r="C1163" t="s">
        <v>10305</v>
      </c>
      <c r="D1163" t="s">
        <v>9715</v>
      </c>
      <c r="E1163" s="9">
        <v>1302</v>
      </c>
      <c r="F1163" s="9">
        <v>10063</v>
      </c>
      <c r="G1163" s="9" t="s">
        <v>30</v>
      </c>
    </row>
    <row r="1164" spans="1:7" x14ac:dyDescent="0.2">
      <c r="A1164" t="s">
        <v>1188</v>
      </c>
      <c r="B1164" t="s">
        <v>1194</v>
      </c>
      <c r="C1164" t="s">
        <v>11261</v>
      </c>
      <c r="D1164" t="e">
        <v>#N/A</v>
      </c>
      <c r="E1164" s="9">
        <v>4438</v>
      </c>
      <c r="F1164" s="9">
        <v>34520</v>
      </c>
      <c r="G1164" s="9" t="s">
        <v>30</v>
      </c>
    </row>
    <row r="1165" spans="1:7" x14ac:dyDescent="0.2">
      <c r="A1165" t="s">
        <v>1188</v>
      </c>
      <c r="B1165" t="s">
        <v>1195</v>
      </c>
      <c r="C1165" t="s">
        <v>11262</v>
      </c>
      <c r="D1165" t="e">
        <v>#N/A</v>
      </c>
      <c r="E1165" s="9">
        <v>1217</v>
      </c>
      <c r="F1165" s="9">
        <v>8481</v>
      </c>
      <c r="G1165" s="9" t="s">
        <v>30</v>
      </c>
    </row>
    <row r="1166" spans="1:7" x14ac:dyDescent="0.2">
      <c r="A1166" t="s">
        <v>1188</v>
      </c>
      <c r="B1166" t="s">
        <v>1196</v>
      </c>
      <c r="C1166" t="s">
        <v>11263</v>
      </c>
      <c r="D1166" t="e">
        <v>#N/A</v>
      </c>
      <c r="E1166" s="9">
        <v>2199</v>
      </c>
      <c r="F1166" s="9">
        <v>22552</v>
      </c>
      <c r="G1166" s="9" t="s">
        <v>30</v>
      </c>
    </row>
    <row r="1167" spans="1:7" x14ac:dyDescent="0.2">
      <c r="A1167" t="s">
        <v>1188</v>
      </c>
      <c r="B1167" t="s">
        <v>1197</v>
      </c>
      <c r="C1167" t="s">
        <v>11264</v>
      </c>
      <c r="D1167" t="e">
        <v>#N/A</v>
      </c>
      <c r="E1167" s="9">
        <v>81695</v>
      </c>
      <c r="F1167" s="9">
        <v>340603</v>
      </c>
      <c r="G1167" s="9" t="s">
        <v>30</v>
      </c>
    </row>
    <row r="1168" spans="1:7" x14ac:dyDescent="0.2">
      <c r="A1168" t="s">
        <v>1188</v>
      </c>
      <c r="B1168" t="s">
        <v>1198</v>
      </c>
      <c r="C1168" t="s">
        <v>11265</v>
      </c>
      <c r="D1168" t="e">
        <v>#N/A</v>
      </c>
      <c r="E1168" s="9">
        <v>887</v>
      </c>
      <c r="F1168" s="9">
        <v>10168</v>
      </c>
      <c r="G1168" s="9" t="s">
        <v>30</v>
      </c>
    </row>
    <row r="1169" spans="1:7" x14ac:dyDescent="0.2">
      <c r="A1169" t="s">
        <v>1188</v>
      </c>
      <c r="B1169" t="s">
        <v>1199</v>
      </c>
      <c r="C1169" t="s">
        <v>11266</v>
      </c>
      <c r="D1169" t="e">
        <v>#N/A</v>
      </c>
      <c r="E1169" s="9">
        <v>1225</v>
      </c>
      <c r="F1169" s="9">
        <v>8598</v>
      </c>
      <c r="G1169" s="9" t="s">
        <v>30</v>
      </c>
    </row>
    <row r="1170" spans="1:7" x14ac:dyDescent="0.2">
      <c r="A1170" t="s">
        <v>1188</v>
      </c>
      <c r="B1170" t="s">
        <v>1200</v>
      </c>
      <c r="C1170" t="s">
        <v>11267</v>
      </c>
      <c r="D1170" t="e">
        <v>#N/A</v>
      </c>
      <c r="E1170" s="9">
        <v>1497</v>
      </c>
      <c r="F1170" s="9">
        <v>13875</v>
      </c>
      <c r="G1170" s="9" t="s">
        <v>30</v>
      </c>
    </row>
    <row r="1171" spans="1:7" x14ac:dyDescent="0.2">
      <c r="A1171" t="s">
        <v>1188</v>
      </c>
      <c r="B1171" t="s">
        <v>1201</v>
      </c>
      <c r="C1171" t="s">
        <v>11268</v>
      </c>
      <c r="D1171" t="e">
        <v>#N/A</v>
      </c>
      <c r="E1171" s="9">
        <v>2992</v>
      </c>
      <c r="F1171" s="9">
        <v>33033</v>
      </c>
      <c r="G1171" s="9" t="s">
        <v>30</v>
      </c>
    </row>
    <row r="1172" spans="1:7" x14ac:dyDescent="0.2">
      <c r="A1172" t="s">
        <v>1202</v>
      </c>
      <c r="B1172" t="s">
        <v>1203</v>
      </c>
      <c r="C1172" t="s">
        <v>10307</v>
      </c>
      <c r="D1172" t="s">
        <v>9715</v>
      </c>
      <c r="E1172" s="9">
        <v>913</v>
      </c>
      <c r="F1172" s="9">
        <v>8827</v>
      </c>
      <c r="G1172" s="9" t="s">
        <v>30</v>
      </c>
    </row>
    <row r="1173" spans="1:7" x14ac:dyDescent="0.2">
      <c r="A1173" t="s">
        <v>1202</v>
      </c>
      <c r="B1173" t="s">
        <v>1204</v>
      </c>
      <c r="C1173" t="s">
        <v>11269</v>
      </c>
      <c r="D1173" t="e">
        <v>#N/A</v>
      </c>
      <c r="E1173" s="9">
        <v>2742</v>
      </c>
      <c r="F1173" s="9">
        <v>12919</v>
      </c>
      <c r="G1173" s="9" t="s">
        <v>30</v>
      </c>
    </row>
    <row r="1174" spans="1:7" x14ac:dyDescent="0.2">
      <c r="A1174" t="s">
        <v>1202</v>
      </c>
      <c r="B1174" t="s">
        <v>1205</v>
      </c>
      <c r="C1174" t="s">
        <v>10308</v>
      </c>
      <c r="D1174" t="s">
        <v>9715</v>
      </c>
      <c r="E1174" s="9">
        <v>945</v>
      </c>
      <c r="F1174" s="9">
        <v>7760</v>
      </c>
      <c r="G1174" s="9" t="s">
        <v>30</v>
      </c>
    </row>
    <row r="1175" spans="1:7" x14ac:dyDescent="0.2">
      <c r="A1175" t="s">
        <v>1202</v>
      </c>
      <c r="B1175" t="s">
        <v>1206</v>
      </c>
      <c r="C1175" t="s">
        <v>11270</v>
      </c>
      <c r="D1175" t="e">
        <v>#N/A</v>
      </c>
      <c r="E1175" s="9">
        <v>1321</v>
      </c>
      <c r="F1175" s="9">
        <v>10651</v>
      </c>
      <c r="G1175" s="9" t="s">
        <v>30</v>
      </c>
    </row>
    <row r="1176" spans="1:7" x14ac:dyDescent="0.2">
      <c r="A1176" t="s">
        <v>1202</v>
      </c>
      <c r="B1176" t="s">
        <v>1207</v>
      </c>
      <c r="C1176" t="s">
        <v>10318</v>
      </c>
      <c r="D1176" t="s">
        <v>9715</v>
      </c>
      <c r="E1176" s="9">
        <v>563</v>
      </c>
      <c r="F1176" s="9">
        <v>11592</v>
      </c>
      <c r="G1176" s="9" t="s">
        <v>30</v>
      </c>
    </row>
    <row r="1177" spans="1:7" x14ac:dyDescent="0.2">
      <c r="A1177" t="s">
        <v>1202</v>
      </c>
      <c r="B1177" t="s">
        <v>1208</v>
      </c>
      <c r="C1177" t="s">
        <v>11271</v>
      </c>
      <c r="D1177" t="e">
        <v>#N/A</v>
      </c>
      <c r="E1177" s="9">
        <v>2217</v>
      </c>
      <c r="F1177" s="9">
        <v>11014</v>
      </c>
      <c r="G1177" s="9" t="s">
        <v>30</v>
      </c>
    </row>
    <row r="1178" spans="1:7" x14ac:dyDescent="0.2">
      <c r="A1178" t="s">
        <v>1202</v>
      </c>
      <c r="B1178" t="s">
        <v>1209</v>
      </c>
      <c r="C1178" t="s">
        <v>10333</v>
      </c>
      <c r="D1178" t="s">
        <v>9715</v>
      </c>
      <c r="E1178" s="9">
        <v>1506</v>
      </c>
      <c r="F1178" s="9">
        <v>11414</v>
      </c>
      <c r="G1178" s="9" t="s">
        <v>30</v>
      </c>
    </row>
    <row r="1179" spans="1:7" x14ac:dyDescent="0.2">
      <c r="A1179" t="s">
        <v>1202</v>
      </c>
      <c r="B1179" t="s">
        <v>1210</v>
      </c>
      <c r="C1179" t="s">
        <v>11272</v>
      </c>
      <c r="D1179" t="e">
        <v>#N/A</v>
      </c>
      <c r="E1179" s="9">
        <v>3617</v>
      </c>
      <c r="F1179" s="9">
        <v>21123</v>
      </c>
      <c r="G1179" s="9" t="s">
        <v>30</v>
      </c>
    </row>
    <row r="1180" spans="1:7" x14ac:dyDescent="0.2">
      <c r="A1180" t="s">
        <v>1202</v>
      </c>
      <c r="B1180" t="s">
        <v>1211</v>
      </c>
      <c r="C1180" t="s">
        <v>10334</v>
      </c>
      <c r="D1180" t="s">
        <v>9715</v>
      </c>
      <c r="E1180" s="9">
        <v>1825</v>
      </c>
      <c r="F1180" s="9">
        <v>10712</v>
      </c>
      <c r="G1180" s="9" t="s">
        <v>30</v>
      </c>
    </row>
    <row r="1181" spans="1:7" x14ac:dyDescent="0.2">
      <c r="A1181" t="s">
        <v>1202</v>
      </c>
      <c r="B1181" t="s">
        <v>1212</v>
      </c>
      <c r="C1181" t="s">
        <v>11273</v>
      </c>
      <c r="D1181" t="e">
        <v>#N/A</v>
      </c>
      <c r="E1181" s="9">
        <v>3014</v>
      </c>
      <c r="F1181" s="9">
        <v>8753</v>
      </c>
      <c r="G1181" s="9" t="s">
        <v>30</v>
      </c>
    </row>
    <row r="1182" spans="1:7" x14ac:dyDescent="0.2">
      <c r="A1182" t="s">
        <v>1202</v>
      </c>
      <c r="B1182" t="s">
        <v>1213</v>
      </c>
      <c r="C1182" t="s">
        <v>11274</v>
      </c>
      <c r="D1182" t="e">
        <v>#N/A</v>
      </c>
      <c r="E1182" s="9">
        <v>4045</v>
      </c>
      <c r="F1182" s="9">
        <v>11939</v>
      </c>
      <c r="G1182" s="9" t="s">
        <v>30</v>
      </c>
    </row>
    <row r="1183" spans="1:7" x14ac:dyDescent="0.2">
      <c r="A1183" t="s">
        <v>1202</v>
      </c>
      <c r="B1183" t="s">
        <v>1214</v>
      </c>
      <c r="C1183" t="s">
        <v>11275</v>
      </c>
      <c r="D1183" t="e">
        <v>#N/A</v>
      </c>
      <c r="E1183" s="9">
        <v>674</v>
      </c>
      <c r="F1183" s="9">
        <v>6691</v>
      </c>
      <c r="G1183" s="9" t="s">
        <v>30</v>
      </c>
    </row>
    <row r="1184" spans="1:7" x14ac:dyDescent="0.2">
      <c r="A1184" t="s">
        <v>1202</v>
      </c>
      <c r="B1184" t="s">
        <v>1215</v>
      </c>
      <c r="C1184" t="s">
        <v>11276</v>
      </c>
      <c r="D1184" t="e">
        <v>#N/A</v>
      </c>
      <c r="E1184" s="9">
        <v>1118</v>
      </c>
      <c r="F1184" s="9">
        <v>11577</v>
      </c>
      <c r="G1184" s="9" t="s">
        <v>30</v>
      </c>
    </row>
    <row r="1185" spans="1:7" x14ac:dyDescent="0.2">
      <c r="A1185" t="s">
        <v>1202</v>
      </c>
      <c r="B1185" t="s">
        <v>1216</v>
      </c>
      <c r="C1185" t="s">
        <v>11277</v>
      </c>
      <c r="D1185" t="e">
        <v>#N/A</v>
      </c>
      <c r="E1185" s="9">
        <v>1143</v>
      </c>
      <c r="F1185" s="9">
        <v>12167</v>
      </c>
      <c r="G1185" s="9" t="s">
        <v>30</v>
      </c>
    </row>
    <row r="1186" spans="1:7" x14ac:dyDescent="0.2">
      <c r="A1186" t="s">
        <v>1202</v>
      </c>
      <c r="B1186" t="s">
        <v>1217</v>
      </c>
      <c r="C1186" t="s">
        <v>11278</v>
      </c>
      <c r="D1186" t="e">
        <v>#N/A</v>
      </c>
      <c r="E1186" s="9">
        <v>2088</v>
      </c>
      <c r="F1186" s="9">
        <v>11861</v>
      </c>
      <c r="G1186" s="9" t="s">
        <v>30</v>
      </c>
    </row>
    <row r="1187" spans="1:7" x14ac:dyDescent="0.2">
      <c r="A1187" t="s">
        <v>1202</v>
      </c>
      <c r="B1187" t="s">
        <v>1218</v>
      </c>
      <c r="C1187" t="s">
        <v>11279</v>
      </c>
      <c r="D1187" t="e">
        <v>#N/A</v>
      </c>
      <c r="E1187" s="9">
        <v>1612</v>
      </c>
      <c r="F1187" s="9">
        <v>12839</v>
      </c>
      <c r="G1187" s="9" t="s">
        <v>30</v>
      </c>
    </row>
    <row r="1188" spans="1:7" x14ac:dyDescent="0.2">
      <c r="A1188" t="s">
        <v>1202</v>
      </c>
      <c r="B1188" t="s">
        <v>1219</v>
      </c>
      <c r="C1188" t="s">
        <v>10345</v>
      </c>
      <c r="D1188" t="s">
        <v>9715</v>
      </c>
      <c r="E1188" s="9">
        <v>1890</v>
      </c>
      <c r="F1188" s="9">
        <v>8828</v>
      </c>
      <c r="G1188" s="9" t="s">
        <v>30</v>
      </c>
    </row>
    <row r="1189" spans="1:7" x14ac:dyDescent="0.2">
      <c r="A1189" t="s">
        <v>1202</v>
      </c>
      <c r="B1189" t="s">
        <v>1220</v>
      </c>
      <c r="C1189" t="s">
        <v>10319</v>
      </c>
      <c r="D1189" t="s">
        <v>9715</v>
      </c>
      <c r="E1189" s="9">
        <v>1900</v>
      </c>
      <c r="F1189" s="9">
        <v>7909</v>
      </c>
      <c r="G1189" s="9" t="s">
        <v>30</v>
      </c>
    </row>
    <row r="1190" spans="1:7" x14ac:dyDescent="0.2">
      <c r="A1190" t="s">
        <v>1202</v>
      </c>
      <c r="B1190" t="s">
        <v>1221</v>
      </c>
      <c r="C1190" t="s">
        <v>10309</v>
      </c>
      <c r="D1190" t="s">
        <v>9715</v>
      </c>
      <c r="E1190" s="9">
        <v>758</v>
      </c>
      <c r="F1190" s="9">
        <v>9864</v>
      </c>
      <c r="G1190" s="9" t="s">
        <v>30</v>
      </c>
    </row>
    <row r="1191" spans="1:7" x14ac:dyDescent="0.2">
      <c r="A1191" t="s">
        <v>1202</v>
      </c>
      <c r="B1191" t="s">
        <v>1222</v>
      </c>
      <c r="C1191" t="s">
        <v>10313</v>
      </c>
      <c r="D1191" t="s">
        <v>9715</v>
      </c>
      <c r="E1191" s="9">
        <v>1593</v>
      </c>
      <c r="F1191" s="9">
        <v>11843</v>
      </c>
      <c r="G1191" s="9" t="s">
        <v>30</v>
      </c>
    </row>
    <row r="1192" spans="1:7" x14ac:dyDescent="0.2">
      <c r="A1192" t="s">
        <v>1202</v>
      </c>
      <c r="B1192" t="s">
        <v>1223</v>
      </c>
      <c r="C1192" t="s">
        <v>10335</v>
      </c>
      <c r="D1192" t="s">
        <v>9715</v>
      </c>
      <c r="E1192" s="9">
        <v>1701</v>
      </c>
      <c r="F1192" s="9">
        <v>9386</v>
      </c>
      <c r="G1192" s="9" t="s">
        <v>30</v>
      </c>
    </row>
    <row r="1193" spans="1:7" x14ac:dyDescent="0.2">
      <c r="A1193" t="s">
        <v>1202</v>
      </c>
      <c r="B1193" t="s">
        <v>1224</v>
      </c>
      <c r="C1193" t="s">
        <v>11280</v>
      </c>
      <c r="D1193" t="e">
        <v>#N/A</v>
      </c>
      <c r="E1193" s="9">
        <v>1062</v>
      </c>
      <c r="F1193" s="9">
        <v>9283</v>
      </c>
      <c r="G1193" s="9" t="s">
        <v>30</v>
      </c>
    </row>
    <row r="1194" spans="1:7" x14ac:dyDescent="0.2">
      <c r="A1194" t="s">
        <v>1202</v>
      </c>
      <c r="B1194" t="s">
        <v>1225</v>
      </c>
      <c r="C1194" t="s">
        <v>10310</v>
      </c>
      <c r="D1194" t="s">
        <v>9715</v>
      </c>
      <c r="E1194" s="9">
        <v>50</v>
      </c>
      <c r="F1194" s="9">
        <v>10539</v>
      </c>
      <c r="G1194" s="9" t="s">
        <v>30</v>
      </c>
    </row>
    <row r="1195" spans="1:7" x14ac:dyDescent="0.2">
      <c r="A1195" t="s">
        <v>1202</v>
      </c>
      <c r="B1195" t="s">
        <v>1226</v>
      </c>
      <c r="C1195" t="s">
        <v>10346</v>
      </c>
      <c r="D1195" t="s">
        <v>9715</v>
      </c>
      <c r="E1195" s="9">
        <v>1040</v>
      </c>
      <c r="F1195" s="9">
        <v>10086</v>
      </c>
      <c r="G1195" s="9" t="s">
        <v>30</v>
      </c>
    </row>
    <row r="1196" spans="1:7" x14ac:dyDescent="0.2">
      <c r="A1196" t="s">
        <v>1202</v>
      </c>
      <c r="B1196" t="s">
        <v>1227</v>
      </c>
      <c r="C1196" t="s">
        <v>11281</v>
      </c>
      <c r="D1196" t="e">
        <v>#N/A</v>
      </c>
      <c r="E1196" s="9">
        <v>3964</v>
      </c>
      <c r="F1196" s="9">
        <v>11897</v>
      </c>
      <c r="G1196" s="9" t="s">
        <v>30</v>
      </c>
    </row>
    <row r="1197" spans="1:7" x14ac:dyDescent="0.2">
      <c r="A1197" t="s">
        <v>1202</v>
      </c>
      <c r="B1197" t="s">
        <v>1228</v>
      </c>
      <c r="C1197" t="s">
        <v>10320</v>
      </c>
      <c r="D1197" t="s">
        <v>9715</v>
      </c>
      <c r="E1197" s="9">
        <v>935</v>
      </c>
      <c r="F1197" s="9">
        <v>10287</v>
      </c>
      <c r="G1197" s="9" t="s">
        <v>30</v>
      </c>
    </row>
    <row r="1198" spans="1:7" x14ac:dyDescent="0.2">
      <c r="A1198" t="s">
        <v>1202</v>
      </c>
      <c r="B1198" t="s">
        <v>1229</v>
      </c>
      <c r="C1198" t="s">
        <v>10321</v>
      </c>
      <c r="D1198" t="s">
        <v>9715</v>
      </c>
      <c r="E1198" s="9">
        <v>271</v>
      </c>
      <c r="F1198" s="9">
        <v>9777</v>
      </c>
      <c r="G1198" s="9" t="s">
        <v>30</v>
      </c>
    </row>
    <row r="1199" spans="1:7" x14ac:dyDescent="0.2">
      <c r="A1199" t="s">
        <v>1202</v>
      </c>
      <c r="B1199" t="s">
        <v>1230</v>
      </c>
      <c r="C1199" t="s">
        <v>10332</v>
      </c>
      <c r="D1199" t="s">
        <v>9715</v>
      </c>
      <c r="E1199" s="9">
        <v>0</v>
      </c>
      <c r="F1199" s="9">
        <v>10039</v>
      </c>
      <c r="G1199" s="9" t="s">
        <v>30</v>
      </c>
    </row>
    <row r="1200" spans="1:7" x14ac:dyDescent="0.2">
      <c r="A1200" t="s">
        <v>1202</v>
      </c>
      <c r="B1200" t="s">
        <v>1231</v>
      </c>
      <c r="C1200" t="s">
        <v>10336</v>
      </c>
      <c r="D1200" t="s">
        <v>9715</v>
      </c>
      <c r="E1200" s="9">
        <v>1546</v>
      </c>
      <c r="F1200" s="9">
        <v>11094</v>
      </c>
      <c r="G1200" s="9" t="s">
        <v>30</v>
      </c>
    </row>
    <row r="1201" spans="1:7" x14ac:dyDescent="0.2">
      <c r="A1201" t="s">
        <v>1202</v>
      </c>
      <c r="B1201" t="s">
        <v>1232</v>
      </c>
      <c r="C1201" t="s">
        <v>11282</v>
      </c>
      <c r="D1201" t="e">
        <v>#N/A</v>
      </c>
      <c r="E1201" s="9">
        <v>1467</v>
      </c>
      <c r="F1201" s="9">
        <v>11112</v>
      </c>
      <c r="G1201" s="9" t="s">
        <v>30</v>
      </c>
    </row>
    <row r="1202" spans="1:7" x14ac:dyDescent="0.2">
      <c r="A1202" t="s">
        <v>1202</v>
      </c>
      <c r="B1202" t="s">
        <v>1233</v>
      </c>
      <c r="C1202" t="s">
        <v>11283</v>
      </c>
      <c r="D1202" t="e">
        <v>#N/A</v>
      </c>
      <c r="E1202" s="9">
        <v>1997</v>
      </c>
      <c r="F1202" s="9">
        <v>12610</v>
      </c>
      <c r="G1202" s="9" t="s">
        <v>30</v>
      </c>
    </row>
    <row r="1203" spans="1:7" x14ac:dyDescent="0.2">
      <c r="A1203" t="s">
        <v>1202</v>
      </c>
      <c r="B1203" t="s">
        <v>1234</v>
      </c>
      <c r="C1203" t="s">
        <v>10337</v>
      </c>
      <c r="D1203" t="s">
        <v>9715</v>
      </c>
      <c r="E1203" s="9">
        <v>1907</v>
      </c>
      <c r="F1203" s="9">
        <v>8889</v>
      </c>
      <c r="G1203" s="9" t="s">
        <v>30</v>
      </c>
    </row>
    <row r="1204" spans="1:7" x14ac:dyDescent="0.2">
      <c r="A1204" t="s">
        <v>1202</v>
      </c>
      <c r="B1204" t="s">
        <v>1235</v>
      </c>
      <c r="C1204" t="s">
        <v>10350</v>
      </c>
      <c r="D1204" t="s">
        <v>9715</v>
      </c>
      <c r="E1204" s="9">
        <v>762</v>
      </c>
      <c r="F1204" s="9">
        <v>8246</v>
      </c>
      <c r="G1204" s="9" t="s">
        <v>30</v>
      </c>
    </row>
    <row r="1205" spans="1:7" x14ac:dyDescent="0.2">
      <c r="A1205" t="s">
        <v>1202</v>
      </c>
      <c r="B1205" t="s">
        <v>1236</v>
      </c>
      <c r="C1205" t="s">
        <v>10314</v>
      </c>
      <c r="D1205" t="s">
        <v>9715</v>
      </c>
      <c r="E1205" s="9">
        <v>807</v>
      </c>
      <c r="F1205" s="9">
        <v>9907</v>
      </c>
      <c r="G1205" s="9" t="s">
        <v>30</v>
      </c>
    </row>
    <row r="1206" spans="1:7" x14ac:dyDescent="0.2">
      <c r="A1206" t="s">
        <v>1202</v>
      </c>
      <c r="B1206" t="s">
        <v>1237</v>
      </c>
      <c r="C1206" t="s">
        <v>11284</v>
      </c>
      <c r="D1206" t="e">
        <v>#N/A</v>
      </c>
      <c r="E1206" s="9">
        <v>2908</v>
      </c>
      <c r="F1206" s="9">
        <v>13122</v>
      </c>
      <c r="G1206" s="9" t="s">
        <v>30</v>
      </c>
    </row>
    <row r="1207" spans="1:7" x14ac:dyDescent="0.2">
      <c r="A1207" t="s">
        <v>1202</v>
      </c>
      <c r="B1207" t="s">
        <v>1238</v>
      </c>
      <c r="C1207" t="s">
        <v>10315</v>
      </c>
      <c r="D1207" t="s">
        <v>9715</v>
      </c>
      <c r="E1207" s="9">
        <v>1177</v>
      </c>
      <c r="F1207" s="9">
        <v>9177</v>
      </c>
      <c r="G1207" s="9" t="s">
        <v>30</v>
      </c>
    </row>
    <row r="1208" spans="1:7" x14ac:dyDescent="0.2">
      <c r="A1208" t="s">
        <v>1202</v>
      </c>
      <c r="B1208" t="s">
        <v>1239</v>
      </c>
      <c r="C1208" t="s">
        <v>10324</v>
      </c>
      <c r="D1208" t="s">
        <v>9715</v>
      </c>
      <c r="E1208" s="9">
        <v>452</v>
      </c>
      <c r="F1208" s="9">
        <v>8580</v>
      </c>
      <c r="G1208" s="9" t="s">
        <v>30</v>
      </c>
    </row>
    <row r="1209" spans="1:7" x14ac:dyDescent="0.2">
      <c r="A1209" t="s">
        <v>1202</v>
      </c>
      <c r="B1209" t="s">
        <v>1240</v>
      </c>
      <c r="C1209" t="s">
        <v>10325</v>
      </c>
      <c r="D1209" t="s">
        <v>9715</v>
      </c>
      <c r="E1209" s="9">
        <v>382</v>
      </c>
      <c r="F1209" s="9">
        <v>8141</v>
      </c>
      <c r="G1209" s="9" t="s">
        <v>30</v>
      </c>
    </row>
    <row r="1210" spans="1:7" x14ac:dyDescent="0.2">
      <c r="A1210" t="s">
        <v>1202</v>
      </c>
      <c r="B1210" t="s">
        <v>1241</v>
      </c>
      <c r="C1210" t="s">
        <v>10326</v>
      </c>
      <c r="D1210" t="s">
        <v>9715</v>
      </c>
      <c r="E1210" s="9">
        <v>372</v>
      </c>
      <c r="F1210" s="9">
        <v>7508</v>
      </c>
      <c r="G1210" s="9" t="s">
        <v>30</v>
      </c>
    </row>
    <row r="1211" spans="1:7" x14ac:dyDescent="0.2">
      <c r="A1211" t="s">
        <v>1202</v>
      </c>
      <c r="B1211" t="s">
        <v>1242</v>
      </c>
      <c r="C1211" t="s">
        <v>10327</v>
      </c>
      <c r="D1211" t="s">
        <v>9715</v>
      </c>
      <c r="E1211" s="9">
        <v>391</v>
      </c>
      <c r="F1211" s="9">
        <v>6014</v>
      </c>
      <c r="G1211" s="9" t="s">
        <v>30</v>
      </c>
    </row>
    <row r="1212" spans="1:7" x14ac:dyDescent="0.2">
      <c r="A1212" t="s">
        <v>1202</v>
      </c>
      <c r="B1212" t="s">
        <v>1243</v>
      </c>
      <c r="C1212" t="s">
        <v>10328</v>
      </c>
      <c r="D1212" t="s">
        <v>9715</v>
      </c>
      <c r="E1212" s="9">
        <v>357</v>
      </c>
      <c r="F1212" s="9">
        <v>8101</v>
      </c>
      <c r="G1212" s="9" t="s">
        <v>30</v>
      </c>
    </row>
    <row r="1213" spans="1:7" x14ac:dyDescent="0.2">
      <c r="A1213" t="s">
        <v>1202</v>
      </c>
      <c r="B1213" t="s">
        <v>1244</v>
      </c>
      <c r="C1213" t="s">
        <v>10329</v>
      </c>
      <c r="D1213" t="s">
        <v>9715</v>
      </c>
      <c r="E1213" s="9">
        <v>435</v>
      </c>
      <c r="F1213" s="9">
        <v>9041</v>
      </c>
      <c r="G1213" s="9" t="s">
        <v>30</v>
      </c>
    </row>
    <row r="1214" spans="1:7" x14ac:dyDescent="0.2">
      <c r="A1214" t="s">
        <v>1202</v>
      </c>
      <c r="B1214" t="s">
        <v>1245</v>
      </c>
      <c r="C1214" t="s">
        <v>10330</v>
      </c>
      <c r="D1214" t="s">
        <v>9715</v>
      </c>
      <c r="E1214" s="9">
        <v>347</v>
      </c>
      <c r="F1214" s="9">
        <v>6281</v>
      </c>
      <c r="G1214" s="9" t="s">
        <v>30</v>
      </c>
    </row>
    <row r="1215" spans="1:7" x14ac:dyDescent="0.2">
      <c r="A1215" t="s">
        <v>1202</v>
      </c>
      <c r="B1215" t="s">
        <v>1246</v>
      </c>
      <c r="C1215" t="s">
        <v>11285</v>
      </c>
      <c r="D1215" t="e">
        <v>#N/A</v>
      </c>
      <c r="E1215" s="9">
        <v>1642</v>
      </c>
      <c r="F1215" s="9">
        <v>11884</v>
      </c>
      <c r="G1215" s="9" t="s">
        <v>30</v>
      </c>
    </row>
    <row r="1216" spans="1:7" x14ac:dyDescent="0.2">
      <c r="A1216" t="s">
        <v>1202</v>
      </c>
      <c r="B1216" t="s">
        <v>710</v>
      </c>
      <c r="C1216" t="s">
        <v>11286</v>
      </c>
      <c r="D1216" t="e">
        <v>#N/A</v>
      </c>
      <c r="E1216" s="9">
        <v>1411</v>
      </c>
      <c r="F1216" s="9">
        <v>8672</v>
      </c>
      <c r="G1216" s="9" t="s">
        <v>30</v>
      </c>
    </row>
    <row r="1217" spans="1:7" x14ac:dyDescent="0.2">
      <c r="A1217" t="s">
        <v>1202</v>
      </c>
      <c r="B1217" t="s">
        <v>1247</v>
      </c>
      <c r="C1217" t="s">
        <v>11287</v>
      </c>
      <c r="D1217" t="e">
        <v>#N/A</v>
      </c>
      <c r="E1217" s="9">
        <v>830</v>
      </c>
      <c r="F1217" s="9">
        <v>11113</v>
      </c>
      <c r="G1217" s="9" t="s">
        <v>30</v>
      </c>
    </row>
    <row r="1218" spans="1:7" x14ac:dyDescent="0.2">
      <c r="A1218" t="s">
        <v>1202</v>
      </c>
      <c r="B1218" t="s">
        <v>1248</v>
      </c>
      <c r="C1218" t="s">
        <v>11288</v>
      </c>
      <c r="D1218" t="e">
        <v>#N/A</v>
      </c>
      <c r="E1218" s="9">
        <v>3091</v>
      </c>
      <c r="F1218" s="9">
        <v>6673</v>
      </c>
      <c r="G1218" s="9" t="s">
        <v>30</v>
      </c>
    </row>
    <row r="1219" spans="1:7" x14ac:dyDescent="0.2">
      <c r="A1219" t="s">
        <v>1202</v>
      </c>
      <c r="B1219" t="s">
        <v>1249</v>
      </c>
      <c r="C1219" t="s">
        <v>10338</v>
      </c>
      <c r="D1219" t="s">
        <v>9715</v>
      </c>
      <c r="E1219" s="9">
        <v>2696</v>
      </c>
      <c r="F1219" s="9">
        <v>11547</v>
      </c>
      <c r="G1219" s="9" t="s">
        <v>30</v>
      </c>
    </row>
    <row r="1220" spans="1:7" x14ac:dyDescent="0.2">
      <c r="A1220" t="s">
        <v>1202</v>
      </c>
      <c r="B1220" t="s">
        <v>1250</v>
      </c>
      <c r="C1220" t="s">
        <v>10347</v>
      </c>
      <c r="D1220" t="s">
        <v>9715</v>
      </c>
      <c r="E1220" s="9">
        <v>1872</v>
      </c>
      <c r="F1220" s="9">
        <v>9802</v>
      </c>
      <c r="G1220" s="9" t="s">
        <v>30</v>
      </c>
    </row>
    <row r="1221" spans="1:7" x14ac:dyDescent="0.2">
      <c r="A1221" t="s">
        <v>1202</v>
      </c>
      <c r="B1221" t="s">
        <v>1251</v>
      </c>
      <c r="C1221" t="s">
        <v>11289</v>
      </c>
      <c r="D1221" t="e">
        <v>#N/A</v>
      </c>
      <c r="E1221" s="9">
        <v>604</v>
      </c>
      <c r="F1221" s="9">
        <v>9743</v>
      </c>
      <c r="G1221" s="9" t="s">
        <v>30</v>
      </c>
    </row>
    <row r="1222" spans="1:7" x14ac:dyDescent="0.2">
      <c r="A1222" t="s">
        <v>1202</v>
      </c>
      <c r="B1222" t="s">
        <v>1252</v>
      </c>
      <c r="C1222" t="s">
        <v>10339</v>
      </c>
      <c r="D1222" t="s">
        <v>9715</v>
      </c>
      <c r="E1222" s="9">
        <v>0</v>
      </c>
      <c r="F1222" s="9">
        <v>13493</v>
      </c>
      <c r="G1222" s="9" t="s">
        <v>30</v>
      </c>
    </row>
    <row r="1223" spans="1:7" x14ac:dyDescent="0.2">
      <c r="A1223" t="s">
        <v>1202</v>
      </c>
      <c r="B1223" t="s">
        <v>1253</v>
      </c>
      <c r="C1223" t="s">
        <v>10349</v>
      </c>
      <c r="D1223" t="s">
        <v>9715</v>
      </c>
      <c r="E1223" s="9">
        <v>0</v>
      </c>
      <c r="F1223" s="9">
        <v>14464</v>
      </c>
      <c r="G1223" s="9" t="s">
        <v>30</v>
      </c>
    </row>
    <row r="1224" spans="1:7" x14ac:dyDescent="0.2">
      <c r="A1224" t="s">
        <v>1202</v>
      </c>
      <c r="B1224" t="s">
        <v>1254</v>
      </c>
      <c r="C1224" t="s">
        <v>11290</v>
      </c>
      <c r="D1224" t="e">
        <v>#N/A</v>
      </c>
      <c r="E1224" s="9">
        <v>2250</v>
      </c>
      <c r="F1224" s="9">
        <v>10578</v>
      </c>
      <c r="G1224" s="9" t="s">
        <v>30</v>
      </c>
    </row>
    <row r="1225" spans="1:7" x14ac:dyDescent="0.2">
      <c r="A1225" t="s">
        <v>1202</v>
      </c>
      <c r="B1225" t="s">
        <v>1255</v>
      </c>
      <c r="C1225" t="s">
        <v>10316</v>
      </c>
      <c r="D1225" t="s">
        <v>9715</v>
      </c>
      <c r="E1225" s="9">
        <v>1842</v>
      </c>
      <c r="F1225" s="9">
        <v>11149</v>
      </c>
      <c r="G1225" s="9" t="s">
        <v>30</v>
      </c>
    </row>
    <row r="1226" spans="1:7" x14ac:dyDescent="0.2">
      <c r="A1226" t="s">
        <v>1202</v>
      </c>
      <c r="B1226" t="s">
        <v>1256</v>
      </c>
      <c r="C1226" t="s">
        <v>10340</v>
      </c>
      <c r="D1226" t="s">
        <v>9715</v>
      </c>
      <c r="E1226" s="9">
        <v>7090</v>
      </c>
      <c r="F1226" s="9">
        <v>12988</v>
      </c>
      <c r="G1226" s="9" t="s">
        <v>30</v>
      </c>
    </row>
    <row r="1227" spans="1:7" x14ac:dyDescent="0.2">
      <c r="A1227" t="s">
        <v>1202</v>
      </c>
      <c r="B1227" t="s">
        <v>1257</v>
      </c>
      <c r="C1227" t="s">
        <v>10341</v>
      </c>
      <c r="D1227" t="s">
        <v>9715</v>
      </c>
      <c r="E1227" s="9">
        <v>1973</v>
      </c>
      <c r="F1227" s="9">
        <v>9290</v>
      </c>
      <c r="G1227" s="9" t="s">
        <v>30</v>
      </c>
    </row>
    <row r="1228" spans="1:7" x14ac:dyDescent="0.2">
      <c r="A1228" t="s">
        <v>1202</v>
      </c>
      <c r="B1228" t="s">
        <v>1258</v>
      </c>
      <c r="C1228" t="s">
        <v>11291</v>
      </c>
      <c r="D1228" t="e">
        <v>#N/A</v>
      </c>
      <c r="E1228" s="9">
        <v>1708</v>
      </c>
      <c r="F1228" s="9">
        <v>11681</v>
      </c>
      <c r="G1228" s="9" t="s">
        <v>30</v>
      </c>
    </row>
    <row r="1229" spans="1:7" x14ac:dyDescent="0.2">
      <c r="A1229" t="s">
        <v>1202</v>
      </c>
      <c r="B1229" t="s">
        <v>1259</v>
      </c>
      <c r="C1229" t="s">
        <v>11292</v>
      </c>
      <c r="D1229" t="e">
        <v>#N/A</v>
      </c>
      <c r="E1229" s="9">
        <v>2439</v>
      </c>
      <c r="F1229" s="9">
        <v>11667</v>
      </c>
      <c r="G1229" s="9" t="s">
        <v>30</v>
      </c>
    </row>
    <row r="1230" spans="1:7" x14ac:dyDescent="0.2">
      <c r="A1230" t="s">
        <v>1202</v>
      </c>
      <c r="B1230" t="s">
        <v>1260</v>
      </c>
      <c r="C1230" t="s">
        <v>11293</v>
      </c>
      <c r="D1230" t="e">
        <v>#N/A</v>
      </c>
      <c r="E1230" s="9">
        <v>1820</v>
      </c>
      <c r="F1230" s="9">
        <v>11370</v>
      </c>
      <c r="G1230" s="9" t="s">
        <v>30</v>
      </c>
    </row>
    <row r="1231" spans="1:7" x14ac:dyDescent="0.2">
      <c r="A1231" t="s">
        <v>1202</v>
      </c>
      <c r="B1231" t="s">
        <v>1261</v>
      </c>
      <c r="C1231" t="s">
        <v>10331</v>
      </c>
      <c r="D1231" t="s">
        <v>9715</v>
      </c>
      <c r="E1231" s="9">
        <v>9353</v>
      </c>
      <c r="F1231" s="9">
        <v>10294</v>
      </c>
      <c r="G1231" s="9" t="s">
        <v>30</v>
      </c>
    </row>
    <row r="1232" spans="1:7" x14ac:dyDescent="0.2">
      <c r="A1232" t="s">
        <v>1202</v>
      </c>
      <c r="B1232" t="s">
        <v>1262</v>
      </c>
      <c r="C1232" t="s">
        <v>10311</v>
      </c>
      <c r="D1232" t="s">
        <v>9715</v>
      </c>
      <c r="E1232" s="9">
        <v>951</v>
      </c>
      <c r="F1232" s="9">
        <v>8901</v>
      </c>
      <c r="G1232" s="9" t="s">
        <v>30</v>
      </c>
    </row>
    <row r="1233" spans="1:7" x14ac:dyDescent="0.2">
      <c r="A1233" t="s">
        <v>1202</v>
      </c>
      <c r="B1233" t="s">
        <v>1263</v>
      </c>
      <c r="C1233" t="s">
        <v>11294</v>
      </c>
      <c r="D1233" t="e">
        <v>#N/A</v>
      </c>
      <c r="E1233" s="9">
        <v>2872</v>
      </c>
      <c r="F1233" s="9">
        <v>13373</v>
      </c>
      <c r="G1233" s="9" t="s">
        <v>30</v>
      </c>
    </row>
    <row r="1234" spans="1:7" x14ac:dyDescent="0.2">
      <c r="A1234" t="s">
        <v>1202</v>
      </c>
      <c r="B1234" t="s">
        <v>1264</v>
      </c>
      <c r="C1234" t="s">
        <v>11295</v>
      </c>
      <c r="D1234" t="e">
        <v>#N/A</v>
      </c>
      <c r="E1234" s="9">
        <v>4876</v>
      </c>
      <c r="F1234" s="9">
        <v>46176</v>
      </c>
      <c r="G1234" s="9" t="s">
        <v>30</v>
      </c>
    </row>
    <row r="1235" spans="1:7" x14ac:dyDescent="0.2">
      <c r="A1235" t="s">
        <v>1202</v>
      </c>
      <c r="B1235" t="s">
        <v>1265</v>
      </c>
      <c r="C1235" t="s">
        <v>10342</v>
      </c>
      <c r="D1235" t="s">
        <v>9715</v>
      </c>
      <c r="E1235" s="9">
        <v>1688</v>
      </c>
      <c r="F1235" s="9">
        <v>8297</v>
      </c>
      <c r="G1235" s="9" t="s">
        <v>30</v>
      </c>
    </row>
    <row r="1236" spans="1:7" x14ac:dyDescent="0.2">
      <c r="A1236" t="s">
        <v>1202</v>
      </c>
      <c r="B1236" t="s">
        <v>1266</v>
      </c>
      <c r="C1236" t="s">
        <v>11296</v>
      </c>
      <c r="D1236" t="e">
        <v>#N/A</v>
      </c>
      <c r="E1236" s="9">
        <v>1293</v>
      </c>
      <c r="F1236" s="9">
        <v>16531</v>
      </c>
      <c r="G1236" s="9" t="s">
        <v>30</v>
      </c>
    </row>
    <row r="1237" spans="1:7" x14ac:dyDescent="0.2">
      <c r="A1237" t="s">
        <v>1202</v>
      </c>
      <c r="B1237" t="s">
        <v>1267</v>
      </c>
      <c r="C1237" t="s">
        <v>10322</v>
      </c>
      <c r="D1237" t="s">
        <v>9715</v>
      </c>
      <c r="E1237" s="9">
        <v>336</v>
      </c>
      <c r="F1237" s="9">
        <v>7560</v>
      </c>
      <c r="G1237" s="9" t="s">
        <v>30</v>
      </c>
    </row>
    <row r="1238" spans="1:7" x14ac:dyDescent="0.2">
      <c r="A1238" t="s">
        <v>1202</v>
      </c>
      <c r="B1238" t="s">
        <v>1268</v>
      </c>
      <c r="C1238" t="s">
        <v>11297</v>
      </c>
      <c r="D1238" t="e">
        <v>#N/A</v>
      </c>
      <c r="E1238" s="9">
        <v>1486</v>
      </c>
      <c r="F1238" s="9">
        <v>10896</v>
      </c>
      <c r="G1238" s="9" t="s">
        <v>30</v>
      </c>
    </row>
    <row r="1239" spans="1:7" x14ac:dyDescent="0.2">
      <c r="A1239" t="s">
        <v>1202</v>
      </c>
      <c r="B1239" t="s">
        <v>1269</v>
      </c>
      <c r="C1239" t="s">
        <v>10343</v>
      </c>
      <c r="D1239" t="s">
        <v>9715</v>
      </c>
      <c r="E1239" s="9">
        <v>1700</v>
      </c>
      <c r="F1239" s="9">
        <v>10799</v>
      </c>
      <c r="G1239" s="9" t="s">
        <v>30</v>
      </c>
    </row>
    <row r="1240" spans="1:7" x14ac:dyDescent="0.2">
      <c r="A1240" t="s">
        <v>1202</v>
      </c>
      <c r="B1240" t="s">
        <v>1270</v>
      </c>
      <c r="C1240" t="s">
        <v>10317</v>
      </c>
      <c r="D1240" t="s">
        <v>9715</v>
      </c>
      <c r="E1240" s="9">
        <v>3067</v>
      </c>
      <c r="F1240" s="9">
        <v>12063</v>
      </c>
      <c r="G1240" s="9" t="s">
        <v>30</v>
      </c>
    </row>
    <row r="1241" spans="1:7" x14ac:dyDescent="0.2">
      <c r="A1241" t="s">
        <v>1202</v>
      </c>
      <c r="B1241" t="s">
        <v>1271</v>
      </c>
      <c r="C1241" t="s">
        <v>10348</v>
      </c>
      <c r="D1241" t="s">
        <v>9715</v>
      </c>
      <c r="E1241" s="9">
        <v>1067</v>
      </c>
      <c r="F1241" s="9">
        <v>7595</v>
      </c>
      <c r="G1241" s="9" t="s">
        <v>30</v>
      </c>
    </row>
    <row r="1242" spans="1:7" x14ac:dyDescent="0.2">
      <c r="A1242" t="s">
        <v>1202</v>
      </c>
      <c r="B1242" t="s">
        <v>1272</v>
      </c>
      <c r="C1242" t="s">
        <v>10306</v>
      </c>
      <c r="D1242" t="s">
        <v>9715</v>
      </c>
      <c r="E1242" s="9">
        <v>836</v>
      </c>
      <c r="F1242" s="9">
        <v>11870</v>
      </c>
      <c r="G1242" s="9" t="s">
        <v>30</v>
      </c>
    </row>
    <row r="1243" spans="1:7" x14ac:dyDescent="0.2">
      <c r="A1243" t="s">
        <v>1202</v>
      </c>
      <c r="B1243" t="s">
        <v>1273</v>
      </c>
      <c r="C1243" t="s">
        <v>11298</v>
      </c>
      <c r="D1243" t="e">
        <v>#N/A</v>
      </c>
      <c r="E1243" s="9">
        <v>3643</v>
      </c>
      <c r="F1243" s="9">
        <v>24967</v>
      </c>
      <c r="G1243" s="9" t="s">
        <v>30</v>
      </c>
    </row>
    <row r="1244" spans="1:7" x14ac:dyDescent="0.2">
      <c r="A1244" t="s">
        <v>1202</v>
      </c>
      <c r="B1244" t="s">
        <v>1274</v>
      </c>
      <c r="C1244" t="s">
        <v>11299</v>
      </c>
      <c r="D1244" t="e">
        <v>#N/A</v>
      </c>
      <c r="E1244" s="9">
        <v>1795</v>
      </c>
      <c r="F1244" s="9">
        <v>8023</v>
      </c>
      <c r="G1244" s="9" t="s">
        <v>30</v>
      </c>
    </row>
    <row r="1245" spans="1:7" x14ac:dyDescent="0.2">
      <c r="A1245" t="s">
        <v>1202</v>
      </c>
      <c r="B1245" t="s">
        <v>1275</v>
      </c>
      <c r="C1245" t="s">
        <v>11300</v>
      </c>
      <c r="D1245" t="e">
        <v>#N/A</v>
      </c>
      <c r="E1245" s="9">
        <v>3099</v>
      </c>
      <c r="F1245" s="9">
        <v>10076</v>
      </c>
      <c r="G1245" s="9" t="s">
        <v>30</v>
      </c>
    </row>
    <row r="1246" spans="1:7" x14ac:dyDescent="0.2">
      <c r="A1246" t="s">
        <v>1202</v>
      </c>
      <c r="B1246" t="s">
        <v>1276</v>
      </c>
      <c r="C1246" t="s">
        <v>11301</v>
      </c>
      <c r="D1246" t="e">
        <v>#N/A</v>
      </c>
      <c r="E1246" s="9">
        <v>2732</v>
      </c>
      <c r="F1246" s="9">
        <v>14006</v>
      </c>
      <c r="G1246" s="9" t="s">
        <v>30</v>
      </c>
    </row>
    <row r="1247" spans="1:7" x14ac:dyDescent="0.2">
      <c r="A1247" t="s">
        <v>1202</v>
      </c>
      <c r="B1247" t="s">
        <v>1277</v>
      </c>
      <c r="C1247" t="s">
        <v>10323</v>
      </c>
      <c r="D1247" t="s">
        <v>9715</v>
      </c>
      <c r="E1247" s="9">
        <v>10030</v>
      </c>
      <c r="F1247" s="9">
        <v>6482</v>
      </c>
      <c r="G1247" s="9" t="s">
        <v>30</v>
      </c>
    </row>
    <row r="1248" spans="1:7" x14ac:dyDescent="0.2">
      <c r="A1248" t="s">
        <v>1202</v>
      </c>
      <c r="B1248" t="s">
        <v>1278</v>
      </c>
      <c r="C1248" t="s">
        <v>10312</v>
      </c>
      <c r="D1248" t="s">
        <v>9715</v>
      </c>
      <c r="E1248" s="9">
        <v>1069</v>
      </c>
      <c r="F1248" s="9">
        <v>11371</v>
      </c>
      <c r="G1248" s="9" t="s">
        <v>30</v>
      </c>
    </row>
    <row r="1249" spans="1:7" x14ac:dyDescent="0.2">
      <c r="A1249" t="s">
        <v>1202</v>
      </c>
      <c r="B1249" t="s">
        <v>1279</v>
      </c>
      <c r="C1249" t="s">
        <v>10344</v>
      </c>
      <c r="D1249" t="s">
        <v>9715</v>
      </c>
      <c r="E1249" s="9">
        <v>2170</v>
      </c>
      <c r="F1249" s="9">
        <v>11700</v>
      </c>
      <c r="G1249" s="9" t="s">
        <v>30</v>
      </c>
    </row>
    <row r="1250" spans="1:7" x14ac:dyDescent="0.2">
      <c r="A1250" t="s">
        <v>1202</v>
      </c>
      <c r="B1250" t="s">
        <v>1280</v>
      </c>
      <c r="C1250" t="s">
        <v>11302</v>
      </c>
      <c r="D1250" t="e">
        <v>#N/A</v>
      </c>
      <c r="E1250" s="9">
        <v>1958</v>
      </c>
      <c r="F1250" s="9">
        <v>10460</v>
      </c>
      <c r="G1250" s="9" t="s">
        <v>30</v>
      </c>
    </row>
    <row r="1251" spans="1:7" x14ac:dyDescent="0.2">
      <c r="A1251" t="s">
        <v>1281</v>
      </c>
      <c r="B1251" t="s">
        <v>1282</v>
      </c>
      <c r="C1251" t="s">
        <v>10404</v>
      </c>
      <c r="D1251" t="s">
        <v>9715</v>
      </c>
      <c r="E1251" s="9">
        <v>1628</v>
      </c>
      <c r="F1251" s="9">
        <v>10632</v>
      </c>
      <c r="G1251" s="9" t="s">
        <v>30</v>
      </c>
    </row>
    <row r="1252" spans="1:7" x14ac:dyDescent="0.2">
      <c r="A1252" t="s">
        <v>1281</v>
      </c>
      <c r="B1252" t="s">
        <v>1283</v>
      </c>
      <c r="C1252" t="s">
        <v>10709</v>
      </c>
      <c r="D1252" t="s">
        <v>9715</v>
      </c>
      <c r="E1252" s="9">
        <v>1297</v>
      </c>
      <c r="F1252" s="9">
        <v>9488</v>
      </c>
      <c r="G1252" s="9" t="s">
        <v>30</v>
      </c>
    </row>
    <row r="1253" spans="1:7" x14ac:dyDescent="0.2">
      <c r="A1253" t="s">
        <v>1281</v>
      </c>
      <c r="B1253" t="s">
        <v>1284</v>
      </c>
      <c r="C1253" t="s">
        <v>10469</v>
      </c>
      <c r="D1253" t="s">
        <v>9715</v>
      </c>
      <c r="E1253" s="9">
        <v>10167</v>
      </c>
      <c r="F1253" s="9">
        <v>11563</v>
      </c>
      <c r="G1253" s="9" t="s">
        <v>30</v>
      </c>
    </row>
    <row r="1254" spans="1:7" x14ac:dyDescent="0.2">
      <c r="A1254" t="s">
        <v>1281</v>
      </c>
      <c r="B1254" t="s">
        <v>1285</v>
      </c>
      <c r="C1254" t="s">
        <v>10470</v>
      </c>
      <c r="D1254" t="s">
        <v>9715</v>
      </c>
      <c r="E1254" s="9">
        <v>10754</v>
      </c>
      <c r="F1254" s="9">
        <v>2206</v>
      </c>
      <c r="G1254" s="9" t="s">
        <v>30</v>
      </c>
    </row>
    <row r="1255" spans="1:7" x14ac:dyDescent="0.2">
      <c r="A1255" t="s">
        <v>1281</v>
      </c>
      <c r="B1255" t="s">
        <v>1286</v>
      </c>
      <c r="C1255" t="s">
        <v>11303</v>
      </c>
      <c r="D1255" t="e">
        <v>#N/A</v>
      </c>
      <c r="E1255" s="9">
        <v>1647</v>
      </c>
      <c r="F1255" s="9">
        <v>9813</v>
      </c>
      <c r="G1255" s="9" t="s">
        <v>30</v>
      </c>
    </row>
    <row r="1256" spans="1:7" x14ac:dyDescent="0.2">
      <c r="A1256" t="s">
        <v>1281</v>
      </c>
      <c r="B1256" t="s">
        <v>1287</v>
      </c>
      <c r="C1256" t="s">
        <v>10405</v>
      </c>
      <c r="D1256" t="s">
        <v>9715</v>
      </c>
      <c r="E1256" s="9">
        <v>2220</v>
      </c>
      <c r="F1256" s="9">
        <v>10527</v>
      </c>
      <c r="G1256" s="9" t="s">
        <v>30</v>
      </c>
    </row>
    <row r="1257" spans="1:7" x14ac:dyDescent="0.2">
      <c r="A1257" t="s">
        <v>1281</v>
      </c>
      <c r="B1257" t="s">
        <v>1288</v>
      </c>
      <c r="C1257" t="s">
        <v>10355</v>
      </c>
      <c r="D1257" t="s">
        <v>9715</v>
      </c>
      <c r="E1257" s="9">
        <v>462</v>
      </c>
      <c r="F1257" s="9">
        <v>8845</v>
      </c>
      <c r="G1257" s="9" t="s">
        <v>30</v>
      </c>
    </row>
    <row r="1258" spans="1:7" x14ac:dyDescent="0.2">
      <c r="A1258" t="s">
        <v>1281</v>
      </c>
      <c r="B1258" t="s">
        <v>1289</v>
      </c>
      <c r="C1258" t="s">
        <v>10406</v>
      </c>
      <c r="D1258" t="s">
        <v>9715</v>
      </c>
      <c r="E1258" s="9">
        <v>1549</v>
      </c>
      <c r="F1258" s="9">
        <v>8987</v>
      </c>
      <c r="G1258" s="9" t="s">
        <v>30</v>
      </c>
    </row>
    <row r="1259" spans="1:7" x14ac:dyDescent="0.2">
      <c r="A1259" t="s">
        <v>1281</v>
      </c>
      <c r="B1259" t="s">
        <v>1290</v>
      </c>
      <c r="C1259" t="s">
        <v>10393</v>
      </c>
      <c r="D1259" t="s">
        <v>9715</v>
      </c>
      <c r="E1259" s="9">
        <v>1326</v>
      </c>
      <c r="F1259" s="9">
        <v>13324</v>
      </c>
      <c r="G1259" s="9" t="s">
        <v>30</v>
      </c>
    </row>
    <row r="1260" spans="1:7" x14ac:dyDescent="0.2">
      <c r="A1260" t="s">
        <v>1281</v>
      </c>
      <c r="B1260" t="s">
        <v>1291</v>
      </c>
      <c r="C1260" t="s">
        <v>10369</v>
      </c>
      <c r="D1260" t="s">
        <v>9715</v>
      </c>
      <c r="E1260" s="9">
        <v>1672</v>
      </c>
      <c r="F1260" s="9">
        <v>14140</v>
      </c>
      <c r="G1260" s="9" t="s">
        <v>30</v>
      </c>
    </row>
    <row r="1261" spans="1:7" x14ac:dyDescent="0.2">
      <c r="A1261" t="s">
        <v>1281</v>
      </c>
      <c r="B1261" t="s">
        <v>1292</v>
      </c>
      <c r="C1261" t="s">
        <v>10383</v>
      </c>
      <c r="D1261" t="s">
        <v>9715</v>
      </c>
      <c r="E1261" s="9">
        <v>1296</v>
      </c>
      <c r="F1261" s="9">
        <v>11426</v>
      </c>
      <c r="G1261" s="9" t="s">
        <v>30</v>
      </c>
    </row>
    <row r="1262" spans="1:7" x14ac:dyDescent="0.2">
      <c r="A1262" t="s">
        <v>1281</v>
      </c>
      <c r="B1262" t="s">
        <v>1293</v>
      </c>
      <c r="C1262" t="s">
        <v>10455</v>
      </c>
      <c r="D1262" t="s">
        <v>9715</v>
      </c>
      <c r="E1262" s="9">
        <v>2038</v>
      </c>
      <c r="F1262" s="9">
        <v>12631</v>
      </c>
      <c r="G1262" s="9" t="s">
        <v>30</v>
      </c>
    </row>
    <row r="1263" spans="1:7" x14ac:dyDescent="0.2">
      <c r="A1263" t="s">
        <v>1281</v>
      </c>
      <c r="B1263" t="s">
        <v>1294</v>
      </c>
      <c r="C1263" t="s">
        <v>10464</v>
      </c>
      <c r="D1263" t="s">
        <v>9715</v>
      </c>
      <c r="E1263" s="9">
        <v>1569</v>
      </c>
      <c r="F1263" s="9">
        <v>8993</v>
      </c>
      <c r="G1263" s="9" t="s">
        <v>30</v>
      </c>
    </row>
    <row r="1264" spans="1:7" x14ac:dyDescent="0.2">
      <c r="A1264" t="s">
        <v>1281</v>
      </c>
      <c r="B1264" t="s">
        <v>1295</v>
      </c>
      <c r="C1264" t="s">
        <v>11304</v>
      </c>
      <c r="D1264" t="e">
        <v>#N/A</v>
      </c>
      <c r="E1264" s="9">
        <v>1742</v>
      </c>
      <c r="F1264" s="9">
        <v>10463</v>
      </c>
      <c r="G1264" s="9" t="s">
        <v>30</v>
      </c>
    </row>
    <row r="1265" spans="1:7" x14ac:dyDescent="0.2">
      <c r="A1265" t="s">
        <v>1281</v>
      </c>
      <c r="B1265" t="s">
        <v>1296</v>
      </c>
      <c r="C1265" t="s">
        <v>11305</v>
      </c>
      <c r="D1265" t="e">
        <v>#N/A</v>
      </c>
      <c r="E1265" s="9">
        <v>3542</v>
      </c>
      <c r="F1265" s="9">
        <v>14453</v>
      </c>
      <c r="G1265" s="9" t="s">
        <v>30</v>
      </c>
    </row>
    <row r="1266" spans="1:7" x14ac:dyDescent="0.2">
      <c r="A1266" t="s">
        <v>1281</v>
      </c>
      <c r="B1266" t="s">
        <v>1297</v>
      </c>
      <c r="C1266" t="s">
        <v>10376</v>
      </c>
      <c r="D1266" t="s">
        <v>9715</v>
      </c>
      <c r="E1266" s="9">
        <v>1338</v>
      </c>
      <c r="F1266" s="9">
        <v>8287</v>
      </c>
      <c r="G1266" s="9" t="s">
        <v>30</v>
      </c>
    </row>
    <row r="1267" spans="1:7" x14ac:dyDescent="0.2">
      <c r="A1267" t="s">
        <v>1281</v>
      </c>
      <c r="B1267" t="s">
        <v>1298</v>
      </c>
      <c r="C1267" t="s">
        <v>10362</v>
      </c>
      <c r="D1267" t="s">
        <v>9715</v>
      </c>
      <c r="E1267" s="9">
        <v>328</v>
      </c>
      <c r="F1267" s="9">
        <v>9827</v>
      </c>
      <c r="G1267" s="9" t="s">
        <v>30</v>
      </c>
    </row>
    <row r="1268" spans="1:7" x14ac:dyDescent="0.2">
      <c r="A1268" t="s">
        <v>1281</v>
      </c>
      <c r="B1268" t="s">
        <v>1299</v>
      </c>
      <c r="C1268" t="s">
        <v>11306</v>
      </c>
      <c r="D1268" t="e">
        <v>#N/A</v>
      </c>
      <c r="E1268" s="9">
        <v>2264</v>
      </c>
      <c r="F1268" s="9">
        <v>12327</v>
      </c>
      <c r="G1268" s="9" t="s">
        <v>30</v>
      </c>
    </row>
    <row r="1269" spans="1:7" x14ac:dyDescent="0.2">
      <c r="A1269" t="s">
        <v>1281</v>
      </c>
      <c r="B1269" t="s">
        <v>1300</v>
      </c>
      <c r="C1269" t="s">
        <v>10471</v>
      </c>
      <c r="D1269" t="s">
        <v>9715</v>
      </c>
      <c r="E1269" s="9">
        <v>1089</v>
      </c>
      <c r="F1269" s="9">
        <v>11643</v>
      </c>
      <c r="G1269" s="9" t="s">
        <v>30</v>
      </c>
    </row>
    <row r="1270" spans="1:7" x14ac:dyDescent="0.2">
      <c r="A1270" t="s">
        <v>1281</v>
      </c>
      <c r="B1270" t="s">
        <v>1301</v>
      </c>
      <c r="C1270" t="s">
        <v>10460</v>
      </c>
      <c r="D1270" t="s">
        <v>9715</v>
      </c>
      <c r="E1270" s="9">
        <v>1413</v>
      </c>
      <c r="F1270" s="9">
        <v>6594</v>
      </c>
      <c r="G1270" s="9" t="s">
        <v>30</v>
      </c>
    </row>
    <row r="1271" spans="1:7" x14ac:dyDescent="0.2">
      <c r="A1271" t="s">
        <v>1281</v>
      </c>
      <c r="B1271" t="s">
        <v>1302</v>
      </c>
      <c r="C1271" t="s">
        <v>11307</v>
      </c>
      <c r="D1271" t="e">
        <v>#N/A</v>
      </c>
      <c r="E1271" s="9">
        <v>500</v>
      </c>
      <c r="F1271" s="9">
        <v>14722</v>
      </c>
      <c r="G1271" s="9" t="s">
        <v>30</v>
      </c>
    </row>
    <row r="1272" spans="1:7" x14ac:dyDescent="0.2">
      <c r="A1272" t="s">
        <v>1281</v>
      </c>
      <c r="B1272" t="s">
        <v>1303</v>
      </c>
      <c r="C1272" t="s">
        <v>11308</v>
      </c>
      <c r="D1272" t="e">
        <v>#N/A</v>
      </c>
      <c r="E1272" s="9">
        <v>1316</v>
      </c>
      <c r="F1272" s="9">
        <v>10853</v>
      </c>
      <c r="G1272" s="9" t="s">
        <v>30</v>
      </c>
    </row>
    <row r="1273" spans="1:7" x14ac:dyDescent="0.2">
      <c r="A1273" t="s">
        <v>1281</v>
      </c>
      <c r="B1273" t="s">
        <v>1304</v>
      </c>
      <c r="C1273" t="s">
        <v>10407</v>
      </c>
      <c r="D1273" t="s">
        <v>9715</v>
      </c>
      <c r="E1273" s="9">
        <v>1010</v>
      </c>
      <c r="F1273" s="9">
        <v>11117</v>
      </c>
      <c r="G1273" s="9" t="s">
        <v>30</v>
      </c>
    </row>
    <row r="1274" spans="1:7" x14ac:dyDescent="0.2">
      <c r="A1274" t="s">
        <v>1281</v>
      </c>
      <c r="B1274" t="s">
        <v>1305</v>
      </c>
      <c r="C1274" t="s">
        <v>11309</v>
      </c>
      <c r="D1274" t="e">
        <v>#N/A</v>
      </c>
      <c r="E1274" s="9">
        <v>1926</v>
      </c>
      <c r="F1274" s="9">
        <v>11620</v>
      </c>
      <c r="G1274" s="9" t="s">
        <v>30</v>
      </c>
    </row>
    <row r="1275" spans="1:7" x14ac:dyDescent="0.2">
      <c r="A1275" t="s">
        <v>1281</v>
      </c>
      <c r="B1275" t="s">
        <v>1306</v>
      </c>
      <c r="C1275" t="s">
        <v>10356</v>
      </c>
      <c r="D1275" t="s">
        <v>9715</v>
      </c>
      <c r="E1275" s="9">
        <v>1072</v>
      </c>
      <c r="F1275" s="9">
        <v>10146</v>
      </c>
      <c r="G1275" s="9" t="s">
        <v>30</v>
      </c>
    </row>
    <row r="1276" spans="1:7" x14ac:dyDescent="0.2">
      <c r="A1276" t="s">
        <v>1281</v>
      </c>
      <c r="B1276" t="s">
        <v>1307</v>
      </c>
      <c r="C1276" t="s">
        <v>10408</v>
      </c>
      <c r="D1276" t="s">
        <v>9715</v>
      </c>
      <c r="E1276" s="9">
        <v>1934</v>
      </c>
      <c r="F1276" s="9">
        <v>12264</v>
      </c>
      <c r="G1276" s="9" t="s">
        <v>30</v>
      </c>
    </row>
    <row r="1277" spans="1:7" x14ac:dyDescent="0.2">
      <c r="A1277" t="s">
        <v>1281</v>
      </c>
      <c r="B1277" t="s">
        <v>1308</v>
      </c>
      <c r="C1277" t="s">
        <v>10367</v>
      </c>
      <c r="D1277" t="s">
        <v>9715</v>
      </c>
      <c r="E1277" s="9">
        <v>157</v>
      </c>
      <c r="F1277" s="9">
        <v>7638</v>
      </c>
      <c r="G1277" s="9" t="s">
        <v>30</v>
      </c>
    </row>
    <row r="1278" spans="1:7" x14ac:dyDescent="0.2">
      <c r="A1278" t="s">
        <v>1281</v>
      </c>
      <c r="B1278" t="s">
        <v>1309</v>
      </c>
      <c r="C1278" t="s">
        <v>10370</v>
      </c>
      <c r="D1278" t="s">
        <v>9715</v>
      </c>
      <c r="E1278" s="9">
        <v>349</v>
      </c>
      <c r="F1278" s="9">
        <v>8717</v>
      </c>
      <c r="G1278" s="9" t="s">
        <v>30</v>
      </c>
    </row>
    <row r="1279" spans="1:7" x14ac:dyDescent="0.2">
      <c r="A1279" t="s">
        <v>1281</v>
      </c>
      <c r="B1279" t="s">
        <v>1310</v>
      </c>
      <c r="C1279" t="s">
        <v>10394</v>
      </c>
      <c r="D1279" t="s">
        <v>9715</v>
      </c>
      <c r="E1279" s="9">
        <v>151</v>
      </c>
      <c r="F1279" s="9">
        <v>7251</v>
      </c>
      <c r="G1279" s="9" t="s">
        <v>30</v>
      </c>
    </row>
    <row r="1280" spans="1:7" x14ac:dyDescent="0.2">
      <c r="A1280" t="s">
        <v>1281</v>
      </c>
      <c r="B1280" t="s">
        <v>1311</v>
      </c>
      <c r="C1280" t="s">
        <v>10391</v>
      </c>
      <c r="D1280" t="s">
        <v>9715</v>
      </c>
      <c r="E1280" s="9">
        <v>159</v>
      </c>
      <c r="F1280" s="9">
        <v>7808</v>
      </c>
      <c r="G1280" s="9" t="s">
        <v>30</v>
      </c>
    </row>
    <row r="1281" spans="1:7" x14ac:dyDescent="0.2">
      <c r="A1281" t="s">
        <v>1281</v>
      </c>
      <c r="B1281" t="s">
        <v>1312</v>
      </c>
      <c r="C1281" t="s">
        <v>10456</v>
      </c>
      <c r="D1281" t="s">
        <v>9715</v>
      </c>
      <c r="E1281" s="9">
        <v>467</v>
      </c>
      <c r="F1281" s="9">
        <v>6875</v>
      </c>
      <c r="G1281" s="9" t="s">
        <v>30</v>
      </c>
    </row>
    <row r="1282" spans="1:7" x14ac:dyDescent="0.2">
      <c r="A1282" t="s">
        <v>1281</v>
      </c>
      <c r="B1282" t="s">
        <v>1313</v>
      </c>
      <c r="C1282" t="s">
        <v>10395</v>
      </c>
      <c r="D1282" t="s">
        <v>9715</v>
      </c>
      <c r="E1282" s="9">
        <v>186</v>
      </c>
      <c r="F1282" s="9">
        <v>9631</v>
      </c>
      <c r="G1282" s="9" t="s">
        <v>30</v>
      </c>
    </row>
    <row r="1283" spans="1:7" x14ac:dyDescent="0.2">
      <c r="A1283" t="s">
        <v>1281</v>
      </c>
      <c r="B1283" t="s">
        <v>1314</v>
      </c>
      <c r="C1283" t="s">
        <v>10385</v>
      </c>
      <c r="D1283" t="s">
        <v>9715</v>
      </c>
      <c r="E1283" s="9">
        <v>682</v>
      </c>
      <c r="F1283" s="9">
        <v>12213</v>
      </c>
      <c r="G1283" s="9" t="s">
        <v>30</v>
      </c>
    </row>
    <row r="1284" spans="1:7" x14ac:dyDescent="0.2">
      <c r="A1284" t="s">
        <v>1281</v>
      </c>
      <c r="B1284" t="s">
        <v>1315</v>
      </c>
      <c r="C1284" t="s">
        <v>11310</v>
      </c>
      <c r="D1284" t="e">
        <v>#N/A</v>
      </c>
      <c r="E1284" s="9">
        <v>404</v>
      </c>
      <c r="F1284" s="9">
        <v>9980</v>
      </c>
      <c r="G1284" s="9" t="s">
        <v>30</v>
      </c>
    </row>
    <row r="1285" spans="1:7" x14ac:dyDescent="0.2">
      <c r="A1285" t="s">
        <v>1281</v>
      </c>
      <c r="B1285" t="s">
        <v>1316</v>
      </c>
      <c r="C1285" t="s">
        <v>10409</v>
      </c>
      <c r="D1285" t="s">
        <v>9715</v>
      </c>
      <c r="E1285" s="9">
        <v>1800</v>
      </c>
      <c r="F1285" s="9">
        <v>13082</v>
      </c>
      <c r="G1285" s="9" t="s">
        <v>30</v>
      </c>
    </row>
    <row r="1286" spans="1:7" x14ac:dyDescent="0.2">
      <c r="A1286" t="s">
        <v>1281</v>
      </c>
      <c r="B1286" t="s">
        <v>1317</v>
      </c>
      <c r="C1286" t="s">
        <v>11311</v>
      </c>
      <c r="D1286" t="e">
        <v>#N/A</v>
      </c>
      <c r="E1286" s="9">
        <v>2109</v>
      </c>
      <c r="F1286" s="9">
        <v>17417</v>
      </c>
      <c r="G1286" s="9" t="s">
        <v>30</v>
      </c>
    </row>
    <row r="1287" spans="1:7" x14ac:dyDescent="0.2">
      <c r="A1287" t="s">
        <v>1281</v>
      </c>
      <c r="B1287" t="s">
        <v>1318</v>
      </c>
      <c r="C1287" t="s">
        <v>11312</v>
      </c>
      <c r="D1287" t="e">
        <v>#N/A</v>
      </c>
      <c r="E1287" s="9">
        <v>1370</v>
      </c>
      <c r="F1287" s="9">
        <v>16583</v>
      </c>
      <c r="G1287" s="9" t="s">
        <v>30</v>
      </c>
    </row>
    <row r="1288" spans="1:7" x14ac:dyDescent="0.2">
      <c r="A1288" t="s">
        <v>1281</v>
      </c>
      <c r="B1288" t="s">
        <v>1319</v>
      </c>
      <c r="C1288" t="s">
        <v>10363</v>
      </c>
      <c r="D1288" t="s">
        <v>9715</v>
      </c>
      <c r="E1288" s="9">
        <v>1134</v>
      </c>
      <c r="F1288" s="9">
        <v>10029</v>
      </c>
      <c r="G1288" s="9" t="s">
        <v>30</v>
      </c>
    </row>
    <row r="1289" spans="1:7" x14ac:dyDescent="0.2">
      <c r="A1289" t="s">
        <v>1281</v>
      </c>
      <c r="B1289" t="s">
        <v>1320</v>
      </c>
      <c r="C1289" t="s">
        <v>10377</v>
      </c>
      <c r="D1289" t="s">
        <v>9715</v>
      </c>
      <c r="E1289" s="9">
        <v>706</v>
      </c>
      <c r="F1289" s="9">
        <v>11209</v>
      </c>
      <c r="G1289" s="9" t="s">
        <v>30</v>
      </c>
    </row>
    <row r="1290" spans="1:7" x14ac:dyDescent="0.2">
      <c r="A1290" t="s">
        <v>1281</v>
      </c>
      <c r="B1290" t="s">
        <v>1321</v>
      </c>
      <c r="C1290" t="s">
        <v>10396</v>
      </c>
      <c r="D1290" t="s">
        <v>9715</v>
      </c>
      <c r="E1290" s="9">
        <v>170</v>
      </c>
      <c r="F1290" s="9">
        <v>9301</v>
      </c>
      <c r="G1290" s="9" t="s">
        <v>30</v>
      </c>
    </row>
    <row r="1291" spans="1:7" x14ac:dyDescent="0.2">
      <c r="A1291" t="s">
        <v>1281</v>
      </c>
      <c r="B1291" t="s">
        <v>1322</v>
      </c>
      <c r="C1291" t="s">
        <v>10357</v>
      </c>
      <c r="D1291" t="s">
        <v>9715</v>
      </c>
      <c r="E1291" s="9">
        <v>641</v>
      </c>
      <c r="F1291" s="9">
        <v>10095</v>
      </c>
      <c r="G1291" s="9" t="s">
        <v>30</v>
      </c>
    </row>
    <row r="1292" spans="1:7" x14ac:dyDescent="0.2">
      <c r="A1292" t="s">
        <v>1281</v>
      </c>
      <c r="B1292" t="s">
        <v>1323</v>
      </c>
      <c r="C1292" t="s">
        <v>10397</v>
      </c>
      <c r="D1292" t="s">
        <v>9715</v>
      </c>
      <c r="E1292" s="9">
        <v>1072</v>
      </c>
      <c r="F1292" s="9">
        <v>9419</v>
      </c>
      <c r="G1292" s="9" t="s">
        <v>30</v>
      </c>
    </row>
    <row r="1293" spans="1:7" x14ac:dyDescent="0.2">
      <c r="A1293" t="s">
        <v>1281</v>
      </c>
      <c r="B1293" t="s">
        <v>1324</v>
      </c>
      <c r="C1293" t="s">
        <v>10410</v>
      </c>
      <c r="D1293" t="s">
        <v>9715</v>
      </c>
      <c r="E1293" s="9">
        <v>1756</v>
      </c>
      <c r="F1293" s="9">
        <v>11168</v>
      </c>
      <c r="G1293" s="9" t="s">
        <v>30</v>
      </c>
    </row>
    <row r="1294" spans="1:7" x14ac:dyDescent="0.2">
      <c r="A1294" t="s">
        <v>1281</v>
      </c>
      <c r="B1294" t="s">
        <v>1325</v>
      </c>
      <c r="C1294" t="s">
        <v>10352</v>
      </c>
      <c r="D1294" t="s">
        <v>9715</v>
      </c>
      <c r="E1294" s="9">
        <v>1638</v>
      </c>
      <c r="F1294" s="9">
        <v>10469</v>
      </c>
      <c r="G1294" s="9" t="s">
        <v>30</v>
      </c>
    </row>
    <row r="1295" spans="1:7" x14ac:dyDescent="0.2">
      <c r="A1295" t="s">
        <v>1281</v>
      </c>
      <c r="B1295" t="s">
        <v>1326</v>
      </c>
      <c r="C1295" t="s">
        <v>10353</v>
      </c>
      <c r="D1295" t="s">
        <v>9715</v>
      </c>
      <c r="E1295" s="9">
        <v>1210</v>
      </c>
      <c r="F1295" s="9">
        <v>9751</v>
      </c>
      <c r="G1295" s="9" t="s">
        <v>30</v>
      </c>
    </row>
    <row r="1296" spans="1:7" x14ac:dyDescent="0.2">
      <c r="A1296" t="s">
        <v>1281</v>
      </c>
      <c r="B1296" t="s">
        <v>1327</v>
      </c>
      <c r="C1296" t="s">
        <v>10411</v>
      </c>
      <c r="D1296" t="s">
        <v>9715</v>
      </c>
      <c r="E1296" s="9">
        <v>2253</v>
      </c>
      <c r="F1296" s="9">
        <v>9656</v>
      </c>
      <c r="G1296" s="9" t="s">
        <v>30</v>
      </c>
    </row>
    <row r="1297" spans="1:7" x14ac:dyDescent="0.2">
      <c r="A1297" t="s">
        <v>1281</v>
      </c>
      <c r="B1297" t="s">
        <v>1328</v>
      </c>
      <c r="C1297" t="s">
        <v>10386</v>
      </c>
      <c r="D1297" t="s">
        <v>9715</v>
      </c>
      <c r="E1297" s="9">
        <v>1223</v>
      </c>
      <c r="F1297" s="9">
        <v>8785</v>
      </c>
      <c r="G1297" s="9" t="s">
        <v>30</v>
      </c>
    </row>
    <row r="1298" spans="1:7" x14ac:dyDescent="0.2">
      <c r="A1298" t="s">
        <v>1281</v>
      </c>
      <c r="B1298" t="s">
        <v>1329</v>
      </c>
      <c r="C1298" t="s">
        <v>10412</v>
      </c>
      <c r="D1298" t="s">
        <v>9715</v>
      </c>
      <c r="E1298" s="9">
        <v>2788</v>
      </c>
      <c r="F1298" s="9">
        <v>11611</v>
      </c>
      <c r="G1298" s="9" t="s">
        <v>30</v>
      </c>
    </row>
    <row r="1299" spans="1:7" x14ac:dyDescent="0.2">
      <c r="A1299" t="s">
        <v>1281</v>
      </c>
      <c r="B1299" t="s">
        <v>1330</v>
      </c>
      <c r="C1299" t="s">
        <v>11313</v>
      </c>
      <c r="D1299" t="e">
        <v>#N/A</v>
      </c>
      <c r="E1299" s="9">
        <v>1425</v>
      </c>
      <c r="F1299" s="9">
        <v>12977</v>
      </c>
      <c r="G1299" s="9" t="s">
        <v>30</v>
      </c>
    </row>
    <row r="1300" spans="1:7" x14ac:dyDescent="0.2">
      <c r="A1300" t="s">
        <v>1281</v>
      </c>
      <c r="B1300" t="s">
        <v>1331</v>
      </c>
      <c r="C1300" t="s">
        <v>10696</v>
      </c>
      <c r="D1300" t="s">
        <v>9715</v>
      </c>
      <c r="E1300" s="9" t="s">
        <v>30</v>
      </c>
      <c r="F1300" s="9" t="s">
        <v>30</v>
      </c>
      <c r="G1300" s="9" t="s">
        <v>30</v>
      </c>
    </row>
    <row r="1301" spans="1:7" x14ac:dyDescent="0.2">
      <c r="A1301" t="s">
        <v>1281</v>
      </c>
      <c r="B1301" t="s">
        <v>1332</v>
      </c>
      <c r="C1301" t="s">
        <v>10371</v>
      </c>
      <c r="D1301" t="s">
        <v>9715</v>
      </c>
      <c r="E1301" s="9">
        <v>0</v>
      </c>
      <c r="F1301" s="9">
        <v>11313</v>
      </c>
      <c r="G1301" s="9" t="s">
        <v>30</v>
      </c>
    </row>
    <row r="1302" spans="1:7" x14ac:dyDescent="0.2">
      <c r="A1302" t="s">
        <v>1281</v>
      </c>
      <c r="B1302" t="s">
        <v>1333</v>
      </c>
      <c r="C1302" t="s">
        <v>11314</v>
      </c>
      <c r="D1302" t="e">
        <v>#N/A</v>
      </c>
      <c r="E1302" s="9">
        <v>1245</v>
      </c>
      <c r="F1302" s="9">
        <v>4980</v>
      </c>
      <c r="G1302" s="9" t="s">
        <v>30</v>
      </c>
    </row>
    <row r="1303" spans="1:7" x14ac:dyDescent="0.2">
      <c r="A1303" t="s">
        <v>1281</v>
      </c>
      <c r="B1303" t="s">
        <v>1334</v>
      </c>
      <c r="C1303" t="s">
        <v>11315</v>
      </c>
      <c r="D1303" t="e">
        <v>#N/A</v>
      </c>
      <c r="E1303" s="9">
        <v>2804</v>
      </c>
      <c r="F1303" s="9">
        <v>12355</v>
      </c>
      <c r="G1303" s="9" t="s">
        <v>30</v>
      </c>
    </row>
    <row r="1304" spans="1:7" x14ac:dyDescent="0.2">
      <c r="A1304" t="s">
        <v>1281</v>
      </c>
      <c r="B1304" t="s">
        <v>1225</v>
      </c>
      <c r="C1304" t="s">
        <v>10472</v>
      </c>
      <c r="D1304" t="s">
        <v>9715</v>
      </c>
      <c r="E1304" s="9">
        <v>40</v>
      </c>
      <c r="F1304" s="9">
        <v>10685</v>
      </c>
      <c r="G1304" s="9" t="s">
        <v>30</v>
      </c>
    </row>
    <row r="1305" spans="1:7" x14ac:dyDescent="0.2">
      <c r="A1305" t="s">
        <v>1281</v>
      </c>
      <c r="B1305" t="s">
        <v>1335</v>
      </c>
      <c r="C1305" t="s">
        <v>11316</v>
      </c>
      <c r="D1305" t="e">
        <v>#N/A</v>
      </c>
      <c r="E1305" s="9">
        <v>2139</v>
      </c>
      <c r="F1305" s="9">
        <v>13813</v>
      </c>
      <c r="G1305" s="9" t="s">
        <v>30</v>
      </c>
    </row>
    <row r="1306" spans="1:7" x14ac:dyDescent="0.2">
      <c r="A1306" t="s">
        <v>1281</v>
      </c>
      <c r="B1306" t="s">
        <v>1336</v>
      </c>
      <c r="C1306" t="s">
        <v>11317</v>
      </c>
      <c r="D1306" t="e">
        <v>#N/A</v>
      </c>
      <c r="E1306" s="9">
        <v>2597</v>
      </c>
      <c r="F1306" s="9">
        <v>12574</v>
      </c>
      <c r="G1306" s="9" t="s">
        <v>30</v>
      </c>
    </row>
    <row r="1307" spans="1:7" x14ac:dyDescent="0.2">
      <c r="A1307" t="s">
        <v>1281</v>
      </c>
      <c r="B1307" t="s">
        <v>1337</v>
      </c>
      <c r="C1307" t="s">
        <v>10358</v>
      </c>
      <c r="D1307" t="s">
        <v>9715</v>
      </c>
      <c r="E1307" s="9">
        <v>1285</v>
      </c>
      <c r="F1307" s="9">
        <v>10402</v>
      </c>
      <c r="G1307" s="9" t="s">
        <v>30</v>
      </c>
    </row>
    <row r="1308" spans="1:7" x14ac:dyDescent="0.2">
      <c r="A1308" t="s">
        <v>1281</v>
      </c>
      <c r="B1308" t="s">
        <v>1338</v>
      </c>
      <c r="C1308" t="s">
        <v>10413</v>
      </c>
      <c r="D1308" t="s">
        <v>9715</v>
      </c>
      <c r="E1308" s="9">
        <v>1947</v>
      </c>
      <c r="F1308" s="9">
        <v>9978</v>
      </c>
      <c r="G1308" s="9" t="s">
        <v>30</v>
      </c>
    </row>
    <row r="1309" spans="1:7" x14ac:dyDescent="0.2">
      <c r="A1309" t="s">
        <v>1281</v>
      </c>
      <c r="B1309" t="s">
        <v>1339</v>
      </c>
      <c r="C1309" t="s">
        <v>10375</v>
      </c>
      <c r="D1309" t="s">
        <v>9715</v>
      </c>
      <c r="E1309" s="9">
        <v>1280</v>
      </c>
      <c r="F1309" s="9">
        <v>7545</v>
      </c>
      <c r="G1309" s="9" t="s">
        <v>30</v>
      </c>
    </row>
    <row r="1310" spans="1:7" x14ac:dyDescent="0.2">
      <c r="A1310" t="s">
        <v>1281</v>
      </c>
      <c r="B1310" t="s">
        <v>1340</v>
      </c>
      <c r="C1310" t="s">
        <v>10457</v>
      </c>
      <c r="D1310" t="s">
        <v>9715</v>
      </c>
      <c r="E1310" s="9">
        <v>1168</v>
      </c>
      <c r="F1310" s="9">
        <v>12412</v>
      </c>
      <c r="G1310" s="9" t="s">
        <v>30</v>
      </c>
    </row>
    <row r="1311" spans="1:7" x14ac:dyDescent="0.2">
      <c r="A1311" t="s">
        <v>1281</v>
      </c>
      <c r="B1311" t="s">
        <v>1341</v>
      </c>
      <c r="C1311" t="s">
        <v>11318</v>
      </c>
      <c r="D1311" t="e">
        <v>#N/A</v>
      </c>
      <c r="E1311" s="9">
        <v>2157</v>
      </c>
      <c r="F1311" s="9">
        <v>12710</v>
      </c>
      <c r="G1311" s="9" t="s">
        <v>30</v>
      </c>
    </row>
    <row r="1312" spans="1:7" x14ac:dyDescent="0.2">
      <c r="A1312" t="s">
        <v>1281</v>
      </c>
      <c r="B1312" t="s">
        <v>1342</v>
      </c>
      <c r="C1312" t="s">
        <v>10465</v>
      </c>
      <c r="D1312" t="s">
        <v>9715</v>
      </c>
      <c r="E1312" s="9">
        <v>77</v>
      </c>
      <c r="F1312" s="9">
        <v>10516</v>
      </c>
      <c r="G1312" s="9" t="s">
        <v>30</v>
      </c>
    </row>
    <row r="1313" spans="1:7" x14ac:dyDescent="0.2">
      <c r="A1313" t="s">
        <v>1281</v>
      </c>
      <c r="B1313" t="s">
        <v>1343</v>
      </c>
      <c r="C1313" t="s">
        <v>10466</v>
      </c>
      <c r="D1313" t="s">
        <v>9715</v>
      </c>
      <c r="E1313" s="9">
        <v>929</v>
      </c>
      <c r="F1313" s="9">
        <v>11278</v>
      </c>
      <c r="G1313" s="9" t="s">
        <v>30</v>
      </c>
    </row>
    <row r="1314" spans="1:7" x14ac:dyDescent="0.2">
      <c r="A1314" t="s">
        <v>1281</v>
      </c>
      <c r="B1314" t="s">
        <v>1344</v>
      </c>
      <c r="C1314" t="s">
        <v>10378</v>
      </c>
      <c r="D1314" t="s">
        <v>9715</v>
      </c>
      <c r="E1314" s="9">
        <v>749</v>
      </c>
      <c r="F1314" s="9">
        <v>9553</v>
      </c>
      <c r="G1314" s="9" t="s">
        <v>30</v>
      </c>
    </row>
    <row r="1315" spans="1:7" x14ac:dyDescent="0.2">
      <c r="A1315" t="s">
        <v>1281</v>
      </c>
      <c r="B1315" t="s">
        <v>1345</v>
      </c>
      <c r="C1315" t="s">
        <v>10414</v>
      </c>
      <c r="D1315" t="s">
        <v>9715</v>
      </c>
      <c r="E1315" s="9">
        <v>2213</v>
      </c>
      <c r="F1315" s="9">
        <v>10430</v>
      </c>
      <c r="G1315" s="9" t="s">
        <v>30</v>
      </c>
    </row>
    <row r="1316" spans="1:7" x14ac:dyDescent="0.2">
      <c r="A1316" t="s">
        <v>1281</v>
      </c>
      <c r="B1316" t="s">
        <v>1346</v>
      </c>
      <c r="C1316" t="s">
        <v>10462</v>
      </c>
      <c r="D1316" t="s">
        <v>9715</v>
      </c>
      <c r="E1316" s="9">
        <v>1515</v>
      </c>
      <c r="F1316" s="9">
        <v>9984</v>
      </c>
      <c r="G1316" s="9" t="s">
        <v>30</v>
      </c>
    </row>
    <row r="1317" spans="1:7" x14ac:dyDescent="0.2">
      <c r="A1317" t="s">
        <v>1281</v>
      </c>
      <c r="B1317" t="s">
        <v>1347</v>
      </c>
      <c r="C1317" t="s">
        <v>10415</v>
      </c>
      <c r="D1317" t="s">
        <v>9715</v>
      </c>
      <c r="E1317" s="9">
        <v>2079</v>
      </c>
      <c r="F1317" s="9">
        <v>15355</v>
      </c>
      <c r="G1317" s="9" t="s">
        <v>30</v>
      </c>
    </row>
    <row r="1318" spans="1:7" x14ac:dyDescent="0.2">
      <c r="A1318" t="s">
        <v>1281</v>
      </c>
      <c r="B1318" t="s">
        <v>1348</v>
      </c>
      <c r="C1318" t="s">
        <v>10372</v>
      </c>
      <c r="D1318" t="s">
        <v>9715</v>
      </c>
      <c r="E1318" s="9">
        <v>1463</v>
      </c>
      <c r="F1318" s="9">
        <v>9463</v>
      </c>
      <c r="G1318" s="9" t="s">
        <v>30</v>
      </c>
    </row>
    <row r="1319" spans="1:7" x14ac:dyDescent="0.2">
      <c r="A1319" t="s">
        <v>1281</v>
      </c>
      <c r="B1319" t="s">
        <v>1349</v>
      </c>
      <c r="C1319" t="s">
        <v>10368</v>
      </c>
      <c r="D1319" t="s">
        <v>9715</v>
      </c>
      <c r="E1319" s="9">
        <v>0</v>
      </c>
      <c r="F1319" s="9">
        <v>9148</v>
      </c>
      <c r="G1319" s="9" t="s">
        <v>30</v>
      </c>
    </row>
    <row r="1320" spans="1:7" x14ac:dyDescent="0.2">
      <c r="A1320" t="s">
        <v>1281</v>
      </c>
      <c r="B1320" t="s">
        <v>1350</v>
      </c>
      <c r="C1320" t="s">
        <v>10416</v>
      </c>
      <c r="D1320" t="s">
        <v>9715</v>
      </c>
      <c r="E1320" s="9">
        <v>1032</v>
      </c>
      <c r="F1320" s="9">
        <v>9471</v>
      </c>
      <c r="G1320" s="9" t="s">
        <v>30</v>
      </c>
    </row>
    <row r="1321" spans="1:7" x14ac:dyDescent="0.2">
      <c r="A1321" t="s">
        <v>1281</v>
      </c>
      <c r="B1321" t="s">
        <v>1351</v>
      </c>
      <c r="C1321" t="s">
        <v>10446</v>
      </c>
      <c r="D1321" t="s">
        <v>9715</v>
      </c>
      <c r="E1321" s="9">
        <v>1218</v>
      </c>
      <c r="F1321" s="9">
        <v>10353</v>
      </c>
      <c r="G1321" s="9" t="s">
        <v>30</v>
      </c>
    </row>
    <row r="1322" spans="1:7" x14ac:dyDescent="0.2">
      <c r="A1322" t="s">
        <v>1281</v>
      </c>
      <c r="B1322" t="s">
        <v>1352</v>
      </c>
      <c r="C1322" t="s">
        <v>10417</v>
      </c>
      <c r="D1322" t="s">
        <v>9715</v>
      </c>
      <c r="E1322" s="9">
        <v>780</v>
      </c>
      <c r="F1322" s="9">
        <v>9521</v>
      </c>
      <c r="G1322" s="9" t="s">
        <v>30</v>
      </c>
    </row>
    <row r="1323" spans="1:7" x14ac:dyDescent="0.2">
      <c r="A1323" t="s">
        <v>1281</v>
      </c>
      <c r="B1323" t="s">
        <v>1353</v>
      </c>
      <c r="C1323" t="s">
        <v>10447</v>
      </c>
      <c r="D1323" t="s">
        <v>9715</v>
      </c>
      <c r="E1323" s="9">
        <v>593</v>
      </c>
      <c r="F1323" s="9">
        <v>9239</v>
      </c>
      <c r="G1323" s="9" t="s">
        <v>30</v>
      </c>
    </row>
    <row r="1324" spans="1:7" x14ac:dyDescent="0.2">
      <c r="A1324" t="s">
        <v>1281</v>
      </c>
      <c r="B1324" t="s">
        <v>1354</v>
      </c>
      <c r="C1324" t="s">
        <v>10448</v>
      </c>
      <c r="D1324" t="s">
        <v>9715</v>
      </c>
      <c r="E1324" s="9">
        <v>854</v>
      </c>
      <c r="F1324" s="9">
        <v>9719</v>
      </c>
      <c r="G1324" s="9" t="s">
        <v>30</v>
      </c>
    </row>
    <row r="1325" spans="1:7" x14ac:dyDescent="0.2">
      <c r="A1325" t="s">
        <v>1281</v>
      </c>
      <c r="B1325" t="s">
        <v>1355</v>
      </c>
      <c r="C1325" t="s">
        <v>10418</v>
      </c>
      <c r="D1325" t="s">
        <v>9715</v>
      </c>
      <c r="E1325" s="9">
        <v>919</v>
      </c>
      <c r="F1325" s="9">
        <v>10264</v>
      </c>
      <c r="G1325" s="9" t="s">
        <v>30</v>
      </c>
    </row>
    <row r="1326" spans="1:7" x14ac:dyDescent="0.2">
      <c r="A1326" t="s">
        <v>1281</v>
      </c>
      <c r="B1326" t="s">
        <v>1356</v>
      </c>
      <c r="C1326" t="s">
        <v>10449</v>
      </c>
      <c r="D1326" t="s">
        <v>9715</v>
      </c>
      <c r="E1326" s="9">
        <v>1548</v>
      </c>
      <c r="F1326" s="9">
        <v>10422</v>
      </c>
      <c r="G1326" s="9" t="s">
        <v>30</v>
      </c>
    </row>
    <row r="1327" spans="1:7" x14ac:dyDescent="0.2">
      <c r="A1327" t="s">
        <v>1281</v>
      </c>
      <c r="B1327" t="s">
        <v>1357</v>
      </c>
      <c r="C1327" t="s">
        <v>10419</v>
      </c>
      <c r="D1327" t="s">
        <v>9715</v>
      </c>
      <c r="E1327" s="9">
        <v>841</v>
      </c>
      <c r="F1327" s="9">
        <v>10973</v>
      </c>
      <c r="G1327" s="9" t="s">
        <v>30</v>
      </c>
    </row>
    <row r="1328" spans="1:7" x14ac:dyDescent="0.2">
      <c r="A1328" t="s">
        <v>1281</v>
      </c>
      <c r="B1328" t="s">
        <v>1358</v>
      </c>
      <c r="C1328" t="s">
        <v>10420</v>
      </c>
      <c r="D1328" t="s">
        <v>9715</v>
      </c>
      <c r="E1328" s="9">
        <v>944</v>
      </c>
      <c r="F1328" s="9">
        <v>10273</v>
      </c>
      <c r="G1328" s="9" t="s">
        <v>30</v>
      </c>
    </row>
    <row r="1329" spans="1:7" x14ac:dyDescent="0.2">
      <c r="A1329" t="s">
        <v>1281</v>
      </c>
      <c r="B1329" t="s">
        <v>1359</v>
      </c>
      <c r="C1329" t="s">
        <v>10450</v>
      </c>
      <c r="D1329" t="s">
        <v>9715</v>
      </c>
      <c r="E1329" s="9">
        <v>712</v>
      </c>
      <c r="F1329" s="9">
        <v>10173</v>
      </c>
      <c r="G1329" s="9" t="s">
        <v>30</v>
      </c>
    </row>
    <row r="1330" spans="1:7" x14ac:dyDescent="0.2">
      <c r="A1330" t="s">
        <v>1281</v>
      </c>
      <c r="B1330" t="s">
        <v>1360</v>
      </c>
      <c r="C1330" t="s">
        <v>10451</v>
      </c>
      <c r="D1330" t="s">
        <v>9715</v>
      </c>
      <c r="E1330" s="9">
        <v>1502</v>
      </c>
      <c r="F1330" s="9">
        <v>10696</v>
      </c>
      <c r="G1330" s="9" t="s">
        <v>30</v>
      </c>
    </row>
    <row r="1331" spans="1:7" x14ac:dyDescent="0.2">
      <c r="A1331" t="s">
        <v>1281</v>
      </c>
      <c r="B1331" t="s">
        <v>1361</v>
      </c>
      <c r="C1331" t="s">
        <v>10421</v>
      </c>
      <c r="D1331" t="s">
        <v>9715</v>
      </c>
      <c r="E1331" s="9">
        <v>1141</v>
      </c>
      <c r="F1331" s="9">
        <v>9732</v>
      </c>
      <c r="G1331" s="9" t="s">
        <v>30</v>
      </c>
    </row>
    <row r="1332" spans="1:7" x14ac:dyDescent="0.2">
      <c r="A1332" t="s">
        <v>1281</v>
      </c>
      <c r="B1332" t="s">
        <v>1362</v>
      </c>
      <c r="C1332" t="s">
        <v>10452</v>
      </c>
      <c r="D1332" t="s">
        <v>9715</v>
      </c>
      <c r="E1332" s="9">
        <v>1081</v>
      </c>
      <c r="F1332" s="9">
        <v>9187</v>
      </c>
      <c r="G1332" s="9" t="s">
        <v>30</v>
      </c>
    </row>
    <row r="1333" spans="1:7" x14ac:dyDescent="0.2">
      <c r="A1333" t="s">
        <v>1281</v>
      </c>
      <c r="B1333" t="s">
        <v>1363</v>
      </c>
      <c r="C1333" t="s">
        <v>10422</v>
      </c>
      <c r="D1333" t="s">
        <v>9715</v>
      </c>
      <c r="E1333" s="9">
        <v>1054</v>
      </c>
      <c r="F1333" s="9">
        <v>9743</v>
      </c>
      <c r="G1333" s="9" t="s">
        <v>30</v>
      </c>
    </row>
    <row r="1334" spans="1:7" x14ac:dyDescent="0.2">
      <c r="A1334" t="s">
        <v>1281</v>
      </c>
      <c r="B1334" t="s">
        <v>1364</v>
      </c>
      <c r="C1334" t="s">
        <v>10453</v>
      </c>
      <c r="D1334" t="s">
        <v>9715</v>
      </c>
      <c r="E1334" s="9">
        <v>674</v>
      </c>
      <c r="F1334" s="9">
        <v>9278</v>
      </c>
      <c r="G1334" s="9" t="s">
        <v>30</v>
      </c>
    </row>
    <row r="1335" spans="1:7" x14ac:dyDescent="0.2">
      <c r="A1335" t="s">
        <v>1281</v>
      </c>
      <c r="B1335" t="s">
        <v>1365</v>
      </c>
      <c r="C1335" t="s">
        <v>10454</v>
      </c>
      <c r="D1335" t="s">
        <v>9715</v>
      </c>
      <c r="E1335" s="9">
        <v>969</v>
      </c>
      <c r="F1335" s="9">
        <v>9358</v>
      </c>
      <c r="G1335" s="9" t="s">
        <v>30</v>
      </c>
    </row>
    <row r="1336" spans="1:7" x14ac:dyDescent="0.2">
      <c r="A1336" t="s">
        <v>1281</v>
      </c>
      <c r="B1336" t="s">
        <v>1366</v>
      </c>
      <c r="C1336" t="s">
        <v>10423</v>
      </c>
      <c r="D1336" t="s">
        <v>9715</v>
      </c>
      <c r="E1336" s="9">
        <v>1823</v>
      </c>
      <c r="F1336" s="9">
        <v>9716</v>
      </c>
      <c r="G1336" s="9" t="s">
        <v>30</v>
      </c>
    </row>
    <row r="1337" spans="1:7" x14ac:dyDescent="0.2">
      <c r="A1337" t="s">
        <v>1281</v>
      </c>
      <c r="B1337" t="s">
        <v>1367</v>
      </c>
      <c r="C1337" t="s">
        <v>10398</v>
      </c>
      <c r="D1337" t="s">
        <v>9715</v>
      </c>
      <c r="E1337" s="9">
        <v>2202</v>
      </c>
      <c r="F1337" s="9">
        <v>11844</v>
      </c>
      <c r="G1337" s="9" t="s">
        <v>30</v>
      </c>
    </row>
    <row r="1338" spans="1:7" x14ac:dyDescent="0.2">
      <c r="A1338" t="s">
        <v>1281</v>
      </c>
      <c r="B1338" t="s">
        <v>1368</v>
      </c>
      <c r="C1338" t="s">
        <v>10399</v>
      </c>
      <c r="D1338" t="s">
        <v>9715</v>
      </c>
      <c r="E1338" s="9">
        <v>1803</v>
      </c>
      <c r="F1338" s="9">
        <v>10408</v>
      </c>
      <c r="G1338" s="9" t="s">
        <v>30</v>
      </c>
    </row>
    <row r="1339" spans="1:7" x14ac:dyDescent="0.2">
      <c r="A1339" t="s">
        <v>1281</v>
      </c>
      <c r="B1339" t="s">
        <v>1369</v>
      </c>
      <c r="C1339" t="s">
        <v>10424</v>
      </c>
      <c r="D1339" t="s">
        <v>9715</v>
      </c>
      <c r="E1339" s="9">
        <v>1283</v>
      </c>
      <c r="F1339" s="9">
        <v>9080</v>
      </c>
      <c r="G1339" s="9" t="s">
        <v>30</v>
      </c>
    </row>
    <row r="1340" spans="1:7" x14ac:dyDescent="0.2">
      <c r="A1340" t="s">
        <v>1281</v>
      </c>
      <c r="B1340" t="s">
        <v>1370</v>
      </c>
      <c r="C1340" t="s">
        <v>10425</v>
      </c>
      <c r="D1340" t="s">
        <v>9715</v>
      </c>
      <c r="E1340" s="9">
        <v>942</v>
      </c>
      <c r="F1340" s="9">
        <v>8611</v>
      </c>
      <c r="G1340" s="9" t="s">
        <v>30</v>
      </c>
    </row>
    <row r="1341" spans="1:7" x14ac:dyDescent="0.2">
      <c r="A1341" t="s">
        <v>1281</v>
      </c>
      <c r="B1341" t="s">
        <v>1371</v>
      </c>
      <c r="C1341" t="s">
        <v>10461</v>
      </c>
      <c r="D1341" t="s">
        <v>9715</v>
      </c>
      <c r="E1341" s="9">
        <v>1592</v>
      </c>
      <c r="F1341" s="9">
        <v>12312</v>
      </c>
      <c r="G1341" s="9" t="s">
        <v>30</v>
      </c>
    </row>
    <row r="1342" spans="1:7" x14ac:dyDescent="0.2">
      <c r="A1342" t="s">
        <v>1281</v>
      </c>
      <c r="B1342" t="s">
        <v>1372</v>
      </c>
      <c r="C1342" t="s">
        <v>10390</v>
      </c>
      <c r="D1342" t="s">
        <v>9715</v>
      </c>
      <c r="E1342" s="9">
        <v>1817</v>
      </c>
      <c r="F1342" s="9">
        <v>10476</v>
      </c>
      <c r="G1342" s="9" t="s">
        <v>30</v>
      </c>
    </row>
    <row r="1343" spans="1:7" x14ac:dyDescent="0.2">
      <c r="A1343" t="s">
        <v>1281</v>
      </c>
      <c r="B1343" t="s">
        <v>1373</v>
      </c>
      <c r="C1343" t="s">
        <v>11319</v>
      </c>
      <c r="D1343" t="e">
        <v>#N/A</v>
      </c>
      <c r="E1343" s="9">
        <v>2681</v>
      </c>
      <c r="F1343" s="9">
        <v>10222</v>
      </c>
      <c r="G1343" s="9" t="s">
        <v>30</v>
      </c>
    </row>
    <row r="1344" spans="1:7" x14ac:dyDescent="0.2">
      <c r="A1344" t="s">
        <v>1281</v>
      </c>
      <c r="B1344" t="s">
        <v>1374</v>
      </c>
      <c r="C1344" t="s">
        <v>10379</v>
      </c>
      <c r="D1344" t="s">
        <v>9715</v>
      </c>
      <c r="E1344" s="9">
        <v>243</v>
      </c>
      <c r="F1344" s="9">
        <v>10022</v>
      </c>
      <c r="G1344" s="9" t="s">
        <v>30</v>
      </c>
    </row>
    <row r="1345" spans="1:7" x14ac:dyDescent="0.2">
      <c r="A1345" t="s">
        <v>1281</v>
      </c>
      <c r="B1345" t="s">
        <v>1375</v>
      </c>
      <c r="C1345" t="s">
        <v>10400</v>
      </c>
      <c r="D1345" t="s">
        <v>9715</v>
      </c>
      <c r="E1345" s="9">
        <v>298</v>
      </c>
      <c r="F1345" s="9">
        <v>9614</v>
      </c>
      <c r="G1345" s="9" t="s">
        <v>30</v>
      </c>
    </row>
    <row r="1346" spans="1:7" x14ac:dyDescent="0.2">
      <c r="A1346" t="s">
        <v>1281</v>
      </c>
      <c r="B1346" t="s">
        <v>1376</v>
      </c>
      <c r="C1346" t="s">
        <v>10380</v>
      </c>
      <c r="D1346" t="s">
        <v>9715</v>
      </c>
      <c r="E1346" s="9">
        <v>276</v>
      </c>
      <c r="F1346" s="9">
        <v>10843</v>
      </c>
      <c r="G1346" s="9" t="s">
        <v>30</v>
      </c>
    </row>
    <row r="1347" spans="1:7" x14ac:dyDescent="0.2">
      <c r="A1347" t="s">
        <v>1281</v>
      </c>
      <c r="B1347" t="s">
        <v>1377</v>
      </c>
      <c r="C1347" t="s">
        <v>10387</v>
      </c>
      <c r="D1347" t="s">
        <v>9715</v>
      </c>
      <c r="E1347" s="9">
        <v>501</v>
      </c>
      <c r="F1347" s="9">
        <v>7568</v>
      </c>
      <c r="G1347" s="9" t="s">
        <v>30</v>
      </c>
    </row>
    <row r="1348" spans="1:7" x14ac:dyDescent="0.2">
      <c r="A1348" t="s">
        <v>1281</v>
      </c>
      <c r="B1348" t="s">
        <v>1378</v>
      </c>
      <c r="C1348" t="s">
        <v>10381</v>
      </c>
      <c r="D1348" t="s">
        <v>9715</v>
      </c>
      <c r="E1348" s="9">
        <v>42</v>
      </c>
      <c r="F1348" s="9">
        <v>10175</v>
      </c>
      <c r="G1348" s="9" t="s">
        <v>30</v>
      </c>
    </row>
    <row r="1349" spans="1:7" x14ac:dyDescent="0.2">
      <c r="A1349" t="s">
        <v>1281</v>
      </c>
      <c r="B1349" t="s">
        <v>1379</v>
      </c>
      <c r="C1349" t="s">
        <v>11320</v>
      </c>
      <c r="D1349" t="e">
        <v>#N/A</v>
      </c>
      <c r="E1349" s="9">
        <v>2837</v>
      </c>
      <c r="F1349" s="9">
        <v>7833</v>
      </c>
      <c r="G1349" s="9" t="s">
        <v>30</v>
      </c>
    </row>
    <row r="1350" spans="1:7" x14ac:dyDescent="0.2">
      <c r="A1350" t="s">
        <v>1281</v>
      </c>
      <c r="B1350" t="s">
        <v>1380</v>
      </c>
      <c r="C1350" t="s">
        <v>11321</v>
      </c>
      <c r="D1350" t="e">
        <v>#N/A</v>
      </c>
      <c r="E1350" s="9">
        <v>5002</v>
      </c>
      <c r="F1350" s="9">
        <v>24063</v>
      </c>
      <c r="G1350" s="9" t="s">
        <v>30</v>
      </c>
    </row>
    <row r="1351" spans="1:7" x14ac:dyDescent="0.2">
      <c r="A1351" t="s">
        <v>1281</v>
      </c>
      <c r="B1351" t="s">
        <v>1381</v>
      </c>
      <c r="C1351" t="s">
        <v>10426</v>
      </c>
      <c r="D1351" t="s">
        <v>9715</v>
      </c>
      <c r="E1351" s="9">
        <v>255</v>
      </c>
      <c r="F1351" s="9">
        <v>9599</v>
      </c>
      <c r="G1351" s="9" t="s">
        <v>30</v>
      </c>
    </row>
    <row r="1352" spans="1:7" x14ac:dyDescent="0.2">
      <c r="A1352" t="s">
        <v>1281</v>
      </c>
      <c r="B1352" t="s">
        <v>1382</v>
      </c>
      <c r="C1352" t="s">
        <v>10427</v>
      </c>
      <c r="D1352" t="s">
        <v>9715</v>
      </c>
      <c r="E1352" s="9">
        <v>1650</v>
      </c>
      <c r="F1352" s="9">
        <v>10615</v>
      </c>
      <c r="G1352" s="9" t="s">
        <v>30</v>
      </c>
    </row>
    <row r="1353" spans="1:7" x14ac:dyDescent="0.2">
      <c r="A1353" t="s">
        <v>1281</v>
      </c>
      <c r="B1353" t="s">
        <v>1383</v>
      </c>
      <c r="C1353" t="s">
        <v>10354</v>
      </c>
      <c r="D1353" t="s">
        <v>9715</v>
      </c>
      <c r="E1353" s="9">
        <v>1519</v>
      </c>
      <c r="F1353" s="9">
        <v>7483</v>
      </c>
      <c r="G1353" s="9" t="s">
        <v>30</v>
      </c>
    </row>
    <row r="1354" spans="1:7" x14ac:dyDescent="0.2">
      <c r="A1354" t="s">
        <v>1281</v>
      </c>
      <c r="B1354" t="s">
        <v>1384</v>
      </c>
      <c r="C1354" t="s">
        <v>10428</v>
      </c>
      <c r="D1354" t="s">
        <v>9715</v>
      </c>
      <c r="E1354" s="9">
        <v>4238</v>
      </c>
      <c r="F1354" s="9">
        <v>9830</v>
      </c>
      <c r="G1354" s="9" t="s">
        <v>30</v>
      </c>
    </row>
    <row r="1355" spans="1:7" x14ac:dyDescent="0.2">
      <c r="A1355" t="s">
        <v>1281</v>
      </c>
      <c r="B1355" t="s">
        <v>1385</v>
      </c>
      <c r="C1355" t="s">
        <v>10429</v>
      </c>
      <c r="D1355" t="s">
        <v>9715</v>
      </c>
      <c r="E1355" s="9">
        <v>2552</v>
      </c>
      <c r="F1355" s="9">
        <v>9373</v>
      </c>
      <c r="G1355" s="9" t="s">
        <v>30</v>
      </c>
    </row>
    <row r="1356" spans="1:7" x14ac:dyDescent="0.2">
      <c r="A1356" t="s">
        <v>1281</v>
      </c>
      <c r="B1356" t="s">
        <v>1386</v>
      </c>
      <c r="C1356" t="s">
        <v>10430</v>
      </c>
      <c r="D1356" t="s">
        <v>9715</v>
      </c>
      <c r="E1356" s="9">
        <v>3684</v>
      </c>
      <c r="F1356" s="9">
        <v>8620</v>
      </c>
      <c r="G1356" s="9" t="s">
        <v>30</v>
      </c>
    </row>
    <row r="1357" spans="1:7" x14ac:dyDescent="0.2">
      <c r="A1357" t="s">
        <v>1281</v>
      </c>
      <c r="B1357" t="s">
        <v>1387</v>
      </c>
      <c r="C1357" t="s">
        <v>10431</v>
      </c>
      <c r="D1357" t="s">
        <v>9715</v>
      </c>
      <c r="E1357" s="9">
        <v>3064</v>
      </c>
      <c r="F1357" s="9">
        <v>8475</v>
      </c>
      <c r="G1357" s="9" t="s">
        <v>30</v>
      </c>
    </row>
    <row r="1358" spans="1:7" x14ac:dyDescent="0.2">
      <c r="A1358" t="s">
        <v>1281</v>
      </c>
      <c r="B1358" t="s">
        <v>1388</v>
      </c>
      <c r="C1358" t="s">
        <v>10432</v>
      </c>
      <c r="D1358" t="s">
        <v>9715</v>
      </c>
      <c r="E1358" s="9" t="s">
        <v>30</v>
      </c>
      <c r="F1358" s="9" t="s">
        <v>30</v>
      </c>
      <c r="G1358" s="9" t="s">
        <v>30</v>
      </c>
    </row>
    <row r="1359" spans="1:7" x14ac:dyDescent="0.2">
      <c r="A1359" t="s">
        <v>1281</v>
      </c>
      <c r="B1359" t="s">
        <v>1389</v>
      </c>
      <c r="C1359" t="s">
        <v>10433</v>
      </c>
      <c r="D1359" t="s">
        <v>9715</v>
      </c>
      <c r="E1359" s="9">
        <v>1620</v>
      </c>
      <c r="F1359" s="9">
        <v>14917</v>
      </c>
      <c r="G1359" s="9" t="s">
        <v>30</v>
      </c>
    </row>
    <row r="1360" spans="1:7" x14ac:dyDescent="0.2">
      <c r="A1360" t="s">
        <v>1281</v>
      </c>
      <c r="B1360" t="s">
        <v>1390</v>
      </c>
      <c r="C1360" t="s">
        <v>11322</v>
      </c>
      <c r="D1360" t="e">
        <v>#N/A</v>
      </c>
      <c r="E1360" s="9">
        <v>2099</v>
      </c>
      <c r="F1360" s="9">
        <v>11036</v>
      </c>
      <c r="G1360" s="9" t="s">
        <v>30</v>
      </c>
    </row>
    <row r="1361" spans="1:7" x14ac:dyDescent="0.2">
      <c r="A1361" t="s">
        <v>1281</v>
      </c>
      <c r="B1361" t="s">
        <v>406</v>
      </c>
      <c r="C1361" t="s">
        <v>11323</v>
      </c>
      <c r="D1361" t="e">
        <v>#N/A</v>
      </c>
      <c r="E1361" s="9">
        <v>1882</v>
      </c>
      <c r="F1361" s="9">
        <v>12374</v>
      </c>
      <c r="G1361" s="9" t="s">
        <v>30</v>
      </c>
    </row>
    <row r="1362" spans="1:7" x14ac:dyDescent="0.2">
      <c r="A1362" t="s">
        <v>1281</v>
      </c>
      <c r="B1362" t="s">
        <v>1391</v>
      </c>
      <c r="C1362" t="s">
        <v>10434</v>
      </c>
      <c r="D1362" t="s">
        <v>9715</v>
      </c>
      <c r="E1362" s="9">
        <v>1639</v>
      </c>
      <c r="F1362" s="9">
        <v>10734</v>
      </c>
      <c r="G1362" s="9" t="s">
        <v>30</v>
      </c>
    </row>
    <row r="1363" spans="1:7" x14ac:dyDescent="0.2">
      <c r="A1363" t="s">
        <v>1281</v>
      </c>
      <c r="B1363" t="s">
        <v>1392</v>
      </c>
      <c r="C1363" t="s">
        <v>10359</v>
      </c>
      <c r="D1363" t="s">
        <v>9715</v>
      </c>
      <c r="E1363" s="9">
        <v>1187</v>
      </c>
      <c r="F1363" s="9">
        <v>10541</v>
      </c>
      <c r="G1363" s="9" t="s">
        <v>30</v>
      </c>
    </row>
    <row r="1364" spans="1:7" x14ac:dyDescent="0.2">
      <c r="A1364" t="s">
        <v>1281</v>
      </c>
      <c r="B1364" t="s">
        <v>1393</v>
      </c>
      <c r="C1364" t="s">
        <v>11324</v>
      </c>
      <c r="D1364" t="e">
        <v>#N/A</v>
      </c>
      <c r="E1364" s="9">
        <v>2382</v>
      </c>
      <c r="F1364" s="9">
        <v>12465</v>
      </c>
      <c r="G1364" s="9" t="s">
        <v>30</v>
      </c>
    </row>
    <row r="1365" spans="1:7" x14ac:dyDescent="0.2">
      <c r="A1365" t="s">
        <v>1281</v>
      </c>
      <c r="B1365" t="s">
        <v>1394</v>
      </c>
      <c r="C1365" t="s">
        <v>10360</v>
      </c>
      <c r="D1365" t="s">
        <v>9715</v>
      </c>
      <c r="E1365" s="9">
        <v>1414</v>
      </c>
      <c r="F1365" s="9">
        <v>10327</v>
      </c>
      <c r="G1365" s="9" t="s">
        <v>30</v>
      </c>
    </row>
    <row r="1366" spans="1:7" x14ac:dyDescent="0.2">
      <c r="A1366" t="s">
        <v>1281</v>
      </c>
      <c r="B1366" t="s">
        <v>1395</v>
      </c>
      <c r="C1366" t="s">
        <v>10401</v>
      </c>
      <c r="D1366" t="s">
        <v>9715</v>
      </c>
      <c r="E1366" s="9">
        <v>2028</v>
      </c>
      <c r="F1366" s="9">
        <v>8768</v>
      </c>
      <c r="G1366" s="9" t="s">
        <v>30</v>
      </c>
    </row>
    <row r="1367" spans="1:7" x14ac:dyDescent="0.2">
      <c r="A1367" t="s">
        <v>1281</v>
      </c>
      <c r="B1367" t="s">
        <v>1396</v>
      </c>
      <c r="C1367" t="s">
        <v>10463</v>
      </c>
      <c r="D1367" t="s">
        <v>9715</v>
      </c>
      <c r="E1367" s="9" t="s">
        <v>30</v>
      </c>
      <c r="F1367" s="9" t="s">
        <v>30</v>
      </c>
      <c r="G1367" s="9" t="s">
        <v>30</v>
      </c>
    </row>
    <row r="1368" spans="1:7" x14ac:dyDescent="0.2">
      <c r="A1368" t="s">
        <v>1281</v>
      </c>
      <c r="B1368" t="s">
        <v>1397</v>
      </c>
      <c r="C1368" t="s">
        <v>10435</v>
      </c>
      <c r="D1368" t="s">
        <v>9715</v>
      </c>
      <c r="E1368" s="9">
        <v>988</v>
      </c>
      <c r="F1368" s="9">
        <v>9818</v>
      </c>
      <c r="G1368" s="9" t="s">
        <v>30</v>
      </c>
    </row>
    <row r="1369" spans="1:7" x14ac:dyDescent="0.2">
      <c r="A1369" t="s">
        <v>1281</v>
      </c>
      <c r="B1369" t="s">
        <v>1398</v>
      </c>
      <c r="C1369" t="s">
        <v>10436</v>
      </c>
      <c r="D1369" t="s">
        <v>9715</v>
      </c>
      <c r="E1369" s="9" t="s">
        <v>30</v>
      </c>
      <c r="F1369" s="9" t="s">
        <v>30</v>
      </c>
      <c r="G1369" s="9" t="s">
        <v>30</v>
      </c>
    </row>
    <row r="1370" spans="1:7" x14ac:dyDescent="0.2">
      <c r="A1370" t="s">
        <v>1281</v>
      </c>
      <c r="B1370" t="s">
        <v>1399</v>
      </c>
      <c r="C1370" t="s">
        <v>10364</v>
      </c>
      <c r="D1370" t="s">
        <v>9715</v>
      </c>
      <c r="E1370" s="9">
        <v>162</v>
      </c>
      <c r="F1370" s="9">
        <v>7875</v>
      </c>
      <c r="G1370" s="9" t="s">
        <v>30</v>
      </c>
    </row>
    <row r="1371" spans="1:7" x14ac:dyDescent="0.2">
      <c r="A1371" t="s">
        <v>1281</v>
      </c>
      <c r="B1371" t="s">
        <v>1400</v>
      </c>
      <c r="C1371" t="s">
        <v>10388</v>
      </c>
      <c r="D1371" t="s">
        <v>9715</v>
      </c>
      <c r="E1371" s="9">
        <v>1089</v>
      </c>
      <c r="F1371" s="9">
        <v>22912</v>
      </c>
      <c r="G1371" s="9" t="s">
        <v>30</v>
      </c>
    </row>
    <row r="1372" spans="1:7" x14ac:dyDescent="0.2">
      <c r="A1372" t="s">
        <v>1281</v>
      </c>
      <c r="B1372" t="s">
        <v>1401</v>
      </c>
      <c r="C1372" t="s">
        <v>11325</v>
      </c>
      <c r="D1372" t="e">
        <v>#N/A</v>
      </c>
      <c r="E1372" s="9">
        <v>3280</v>
      </c>
      <c r="F1372" s="9">
        <v>11871</v>
      </c>
      <c r="G1372" s="9" t="s">
        <v>30</v>
      </c>
    </row>
    <row r="1373" spans="1:7" x14ac:dyDescent="0.2">
      <c r="A1373" t="s">
        <v>1281</v>
      </c>
      <c r="B1373" t="s">
        <v>1402</v>
      </c>
      <c r="C1373" t="s">
        <v>10361</v>
      </c>
      <c r="D1373" t="s">
        <v>9715</v>
      </c>
      <c r="E1373" s="9">
        <v>1225</v>
      </c>
      <c r="F1373" s="9">
        <v>10032</v>
      </c>
      <c r="G1373" s="9" t="s">
        <v>30</v>
      </c>
    </row>
    <row r="1374" spans="1:7" x14ac:dyDescent="0.2">
      <c r="A1374" t="s">
        <v>1281</v>
      </c>
      <c r="B1374" t="s">
        <v>1403</v>
      </c>
      <c r="C1374" t="s">
        <v>10437</v>
      </c>
      <c r="D1374" t="s">
        <v>9715</v>
      </c>
      <c r="E1374" s="9">
        <v>866</v>
      </c>
      <c r="F1374" s="9">
        <v>11876</v>
      </c>
      <c r="G1374" s="9" t="s">
        <v>30</v>
      </c>
    </row>
    <row r="1375" spans="1:7" x14ac:dyDescent="0.2">
      <c r="A1375" t="s">
        <v>1281</v>
      </c>
      <c r="B1375" t="s">
        <v>1404</v>
      </c>
      <c r="C1375" t="s">
        <v>11326</v>
      </c>
      <c r="D1375" t="e">
        <v>#N/A</v>
      </c>
      <c r="E1375" s="9">
        <v>3095</v>
      </c>
      <c r="F1375" s="9">
        <v>11728</v>
      </c>
      <c r="G1375" s="9" t="s">
        <v>30</v>
      </c>
    </row>
    <row r="1376" spans="1:7" x14ac:dyDescent="0.2">
      <c r="A1376" t="s">
        <v>1281</v>
      </c>
      <c r="B1376" t="s">
        <v>1405</v>
      </c>
      <c r="C1376" t="s">
        <v>10467</v>
      </c>
      <c r="D1376" t="s">
        <v>9715</v>
      </c>
      <c r="E1376" s="9">
        <v>2819</v>
      </c>
      <c r="F1376" s="9">
        <v>14239</v>
      </c>
      <c r="G1376" s="9" t="s">
        <v>30</v>
      </c>
    </row>
    <row r="1377" spans="1:7" x14ac:dyDescent="0.2">
      <c r="A1377" t="s">
        <v>1281</v>
      </c>
      <c r="B1377" t="s">
        <v>1406</v>
      </c>
      <c r="C1377" t="s">
        <v>11327</v>
      </c>
      <c r="D1377" t="e">
        <v>#N/A</v>
      </c>
      <c r="E1377" s="9">
        <v>1811</v>
      </c>
      <c r="F1377" s="9">
        <v>12088</v>
      </c>
      <c r="G1377" s="9" t="s">
        <v>30</v>
      </c>
    </row>
    <row r="1378" spans="1:7" x14ac:dyDescent="0.2">
      <c r="A1378" t="s">
        <v>1281</v>
      </c>
      <c r="B1378" t="s">
        <v>1407</v>
      </c>
      <c r="C1378" t="s">
        <v>10438</v>
      </c>
      <c r="D1378" t="s">
        <v>9715</v>
      </c>
      <c r="E1378" s="9">
        <v>436</v>
      </c>
      <c r="F1378" s="9">
        <v>10053</v>
      </c>
      <c r="G1378" s="9" t="s">
        <v>30</v>
      </c>
    </row>
    <row r="1379" spans="1:7" x14ac:dyDescent="0.2">
      <c r="A1379" t="s">
        <v>1281</v>
      </c>
      <c r="B1379" t="s">
        <v>1408</v>
      </c>
      <c r="C1379" t="s">
        <v>10365</v>
      </c>
      <c r="D1379" t="s">
        <v>9715</v>
      </c>
      <c r="E1379" s="9">
        <v>344</v>
      </c>
      <c r="F1379" s="9">
        <v>10229</v>
      </c>
      <c r="G1379" s="9" t="s">
        <v>30</v>
      </c>
    </row>
    <row r="1380" spans="1:7" x14ac:dyDescent="0.2">
      <c r="A1380" t="s">
        <v>1281</v>
      </c>
      <c r="B1380" t="s">
        <v>1409</v>
      </c>
      <c r="C1380" t="s">
        <v>10402</v>
      </c>
      <c r="D1380" t="s">
        <v>9715</v>
      </c>
      <c r="E1380" s="9">
        <v>530</v>
      </c>
      <c r="F1380" s="9">
        <v>9769</v>
      </c>
      <c r="G1380" s="9" t="s">
        <v>30</v>
      </c>
    </row>
    <row r="1381" spans="1:7" x14ac:dyDescent="0.2">
      <c r="A1381" t="s">
        <v>1281</v>
      </c>
      <c r="B1381" t="s">
        <v>1410</v>
      </c>
      <c r="C1381" t="s">
        <v>10392</v>
      </c>
      <c r="D1381" t="s">
        <v>9715</v>
      </c>
      <c r="E1381" s="9" t="s">
        <v>30</v>
      </c>
      <c r="F1381" s="9" t="s">
        <v>30</v>
      </c>
      <c r="G1381" s="9" t="s">
        <v>30</v>
      </c>
    </row>
    <row r="1382" spans="1:7" x14ac:dyDescent="0.2">
      <c r="A1382" t="s">
        <v>1281</v>
      </c>
      <c r="B1382" t="s">
        <v>1411</v>
      </c>
      <c r="C1382" t="s">
        <v>10473</v>
      </c>
      <c r="D1382" t="s">
        <v>9715</v>
      </c>
      <c r="E1382" s="9">
        <v>207</v>
      </c>
      <c r="F1382" s="9">
        <v>19002</v>
      </c>
      <c r="G1382" s="9" t="s">
        <v>30</v>
      </c>
    </row>
    <row r="1383" spans="1:7" x14ac:dyDescent="0.2">
      <c r="A1383" t="s">
        <v>1281</v>
      </c>
      <c r="B1383" t="s">
        <v>1412</v>
      </c>
      <c r="C1383" t="s">
        <v>10445</v>
      </c>
      <c r="D1383" t="s">
        <v>9715</v>
      </c>
      <c r="E1383" s="9">
        <v>379</v>
      </c>
      <c r="F1383" s="9">
        <v>9164</v>
      </c>
      <c r="G1383" s="9" t="s">
        <v>30</v>
      </c>
    </row>
    <row r="1384" spans="1:7" x14ac:dyDescent="0.2">
      <c r="A1384" t="s">
        <v>1281</v>
      </c>
      <c r="B1384" t="s">
        <v>1413</v>
      </c>
      <c r="C1384" t="s">
        <v>11328</v>
      </c>
      <c r="D1384" t="e">
        <v>#N/A</v>
      </c>
      <c r="E1384" s="9">
        <v>922</v>
      </c>
      <c r="F1384" s="9">
        <v>11478</v>
      </c>
      <c r="G1384" s="9" t="s">
        <v>30</v>
      </c>
    </row>
    <row r="1385" spans="1:7" x14ac:dyDescent="0.2">
      <c r="A1385" t="s">
        <v>1281</v>
      </c>
      <c r="B1385" t="s">
        <v>1414</v>
      </c>
      <c r="C1385" t="s">
        <v>10439</v>
      </c>
      <c r="D1385" t="s">
        <v>9715</v>
      </c>
      <c r="E1385" s="9">
        <v>1937</v>
      </c>
      <c r="F1385" s="9">
        <v>10413</v>
      </c>
      <c r="G1385" s="9" t="s">
        <v>30</v>
      </c>
    </row>
    <row r="1386" spans="1:7" x14ac:dyDescent="0.2">
      <c r="A1386" t="s">
        <v>1281</v>
      </c>
      <c r="B1386" t="s">
        <v>1415</v>
      </c>
      <c r="C1386" t="s">
        <v>11329</v>
      </c>
      <c r="D1386" t="e">
        <v>#N/A</v>
      </c>
      <c r="E1386" s="9">
        <v>1079</v>
      </c>
      <c r="F1386" s="9">
        <v>10588</v>
      </c>
      <c r="G1386" s="9" t="s">
        <v>30</v>
      </c>
    </row>
    <row r="1387" spans="1:7" x14ac:dyDescent="0.2">
      <c r="A1387" t="s">
        <v>1281</v>
      </c>
      <c r="B1387" t="s">
        <v>1416</v>
      </c>
      <c r="C1387" t="s">
        <v>11330</v>
      </c>
      <c r="D1387" t="e">
        <v>#N/A</v>
      </c>
      <c r="E1387" s="9">
        <v>1118</v>
      </c>
      <c r="F1387" s="9">
        <v>18424</v>
      </c>
      <c r="G1387" s="9" t="s">
        <v>30</v>
      </c>
    </row>
    <row r="1388" spans="1:7" x14ac:dyDescent="0.2">
      <c r="A1388" t="s">
        <v>1281</v>
      </c>
      <c r="B1388" t="s">
        <v>1417</v>
      </c>
      <c r="C1388" t="s">
        <v>10384</v>
      </c>
      <c r="D1388" t="s">
        <v>9715</v>
      </c>
      <c r="E1388" s="9">
        <v>77</v>
      </c>
      <c r="F1388" s="9">
        <v>10899</v>
      </c>
      <c r="G1388" s="9" t="s">
        <v>30</v>
      </c>
    </row>
    <row r="1389" spans="1:7" x14ac:dyDescent="0.2">
      <c r="A1389" t="s">
        <v>1281</v>
      </c>
      <c r="B1389" t="s">
        <v>1418</v>
      </c>
      <c r="C1389" t="s">
        <v>10474</v>
      </c>
      <c r="D1389" t="s">
        <v>9715</v>
      </c>
      <c r="E1389" s="9">
        <v>492</v>
      </c>
      <c r="F1389" s="9">
        <v>8846</v>
      </c>
      <c r="G1389" s="9" t="s">
        <v>30</v>
      </c>
    </row>
    <row r="1390" spans="1:7" x14ac:dyDescent="0.2">
      <c r="A1390" t="s">
        <v>1281</v>
      </c>
      <c r="B1390" t="s">
        <v>1419</v>
      </c>
      <c r="C1390" t="s">
        <v>10440</v>
      </c>
      <c r="D1390" t="s">
        <v>9715</v>
      </c>
      <c r="E1390" s="9">
        <v>1422</v>
      </c>
      <c r="F1390" s="9">
        <v>10083</v>
      </c>
      <c r="G1390" s="9" t="s">
        <v>30</v>
      </c>
    </row>
    <row r="1391" spans="1:7" x14ac:dyDescent="0.2">
      <c r="A1391" t="s">
        <v>1281</v>
      </c>
      <c r="B1391" t="s">
        <v>1420</v>
      </c>
      <c r="C1391" t="s">
        <v>11331</v>
      </c>
      <c r="D1391" t="e">
        <v>#N/A</v>
      </c>
      <c r="E1391" s="9">
        <v>5965</v>
      </c>
      <c r="F1391" s="9">
        <v>45195</v>
      </c>
      <c r="G1391" s="9" t="s">
        <v>30</v>
      </c>
    </row>
    <row r="1392" spans="1:7" x14ac:dyDescent="0.2">
      <c r="A1392" t="s">
        <v>1281</v>
      </c>
      <c r="B1392" t="s">
        <v>1421</v>
      </c>
      <c r="C1392" t="s">
        <v>10441</v>
      </c>
      <c r="D1392" t="s">
        <v>9715</v>
      </c>
      <c r="E1392" s="9">
        <v>1106</v>
      </c>
      <c r="F1392" s="9">
        <v>10853</v>
      </c>
      <c r="G1392" s="9" t="s">
        <v>30</v>
      </c>
    </row>
    <row r="1393" spans="1:7" x14ac:dyDescent="0.2">
      <c r="A1393" t="s">
        <v>1281</v>
      </c>
      <c r="B1393" t="s">
        <v>1422</v>
      </c>
      <c r="C1393" t="s">
        <v>10475</v>
      </c>
      <c r="D1393" t="s">
        <v>9715</v>
      </c>
      <c r="E1393" s="9">
        <v>612</v>
      </c>
      <c r="F1393" s="9">
        <v>7783</v>
      </c>
      <c r="G1393" s="9" t="s">
        <v>30</v>
      </c>
    </row>
    <row r="1394" spans="1:7" x14ac:dyDescent="0.2">
      <c r="A1394" t="s">
        <v>1281</v>
      </c>
      <c r="B1394" t="s">
        <v>1423</v>
      </c>
      <c r="C1394" t="s">
        <v>11332</v>
      </c>
      <c r="D1394" t="e">
        <v>#N/A</v>
      </c>
      <c r="E1394" s="9">
        <v>2333</v>
      </c>
      <c r="F1394" s="9">
        <v>13070</v>
      </c>
      <c r="G1394" s="9" t="s">
        <v>30</v>
      </c>
    </row>
    <row r="1395" spans="1:7" x14ac:dyDescent="0.2">
      <c r="A1395" t="s">
        <v>1281</v>
      </c>
      <c r="B1395" t="s">
        <v>1424</v>
      </c>
      <c r="C1395" t="s">
        <v>10389</v>
      </c>
      <c r="D1395" t="s">
        <v>9715</v>
      </c>
      <c r="E1395" s="9">
        <v>52</v>
      </c>
      <c r="F1395" s="9">
        <v>11079</v>
      </c>
      <c r="G1395" s="9" t="s">
        <v>30</v>
      </c>
    </row>
    <row r="1396" spans="1:7" x14ac:dyDescent="0.2">
      <c r="A1396" t="s">
        <v>1281</v>
      </c>
      <c r="B1396" t="s">
        <v>1425</v>
      </c>
      <c r="C1396" t="s">
        <v>10351</v>
      </c>
      <c r="D1396" t="s">
        <v>9715</v>
      </c>
      <c r="E1396" s="9">
        <v>618</v>
      </c>
      <c r="F1396" s="9">
        <v>10901</v>
      </c>
      <c r="G1396" s="9" t="s">
        <v>30</v>
      </c>
    </row>
    <row r="1397" spans="1:7" x14ac:dyDescent="0.2">
      <c r="A1397" t="s">
        <v>1281</v>
      </c>
      <c r="B1397" t="s">
        <v>1426</v>
      </c>
      <c r="C1397" t="s">
        <v>11333</v>
      </c>
      <c r="D1397" t="e">
        <v>#N/A</v>
      </c>
      <c r="E1397" s="9">
        <v>1108</v>
      </c>
      <c r="F1397" s="9">
        <v>10678</v>
      </c>
      <c r="G1397" s="9" t="s">
        <v>30</v>
      </c>
    </row>
    <row r="1398" spans="1:7" x14ac:dyDescent="0.2">
      <c r="A1398" t="s">
        <v>1281</v>
      </c>
      <c r="B1398" t="s">
        <v>1427</v>
      </c>
      <c r="C1398" t="s">
        <v>11334</v>
      </c>
      <c r="D1398" t="e">
        <v>#N/A</v>
      </c>
      <c r="E1398" s="9">
        <v>1385</v>
      </c>
      <c r="F1398" s="9">
        <v>11118</v>
      </c>
      <c r="G1398" s="9" t="s">
        <v>30</v>
      </c>
    </row>
    <row r="1399" spans="1:7" x14ac:dyDescent="0.2">
      <c r="A1399" t="s">
        <v>1281</v>
      </c>
      <c r="B1399" t="s">
        <v>1428</v>
      </c>
      <c r="C1399" t="s">
        <v>11335</v>
      </c>
      <c r="D1399" t="e">
        <v>#N/A</v>
      </c>
      <c r="E1399" s="9">
        <v>772</v>
      </c>
      <c r="F1399" s="9">
        <v>11259</v>
      </c>
      <c r="G1399" s="9" t="s">
        <v>30</v>
      </c>
    </row>
    <row r="1400" spans="1:7" x14ac:dyDescent="0.2">
      <c r="A1400" t="s">
        <v>1281</v>
      </c>
      <c r="B1400" t="s">
        <v>1429</v>
      </c>
      <c r="C1400" t="s">
        <v>11336</v>
      </c>
      <c r="D1400" t="e">
        <v>#N/A</v>
      </c>
      <c r="E1400" s="9">
        <v>2611</v>
      </c>
      <c r="F1400" s="9">
        <v>12137</v>
      </c>
      <c r="G1400" s="9" t="s">
        <v>30</v>
      </c>
    </row>
    <row r="1401" spans="1:7" x14ac:dyDescent="0.2">
      <c r="A1401" t="s">
        <v>1281</v>
      </c>
      <c r="B1401" t="s">
        <v>1430</v>
      </c>
      <c r="C1401" t="s">
        <v>11337</v>
      </c>
      <c r="D1401" t="e">
        <v>#N/A</v>
      </c>
      <c r="E1401" s="9">
        <v>1402</v>
      </c>
      <c r="F1401" s="9">
        <v>10075</v>
      </c>
      <c r="G1401" s="9" t="s">
        <v>30</v>
      </c>
    </row>
    <row r="1402" spans="1:7" x14ac:dyDescent="0.2">
      <c r="A1402" t="s">
        <v>1281</v>
      </c>
      <c r="B1402" t="s">
        <v>1431</v>
      </c>
      <c r="C1402" t="s">
        <v>10403</v>
      </c>
      <c r="D1402" t="s">
        <v>9715</v>
      </c>
      <c r="E1402" s="9">
        <v>3072</v>
      </c>
      <c r="F1402" s="9">
        <v>7254</v>
      </c>
      <c r="G1402" s="9" t="s">
        <v>30</v>
      </c>
    </row>
    <row r="1403" spans="1:7" x14ac:dyDescent="0.2">
      <c r="A1403" t="s">
        <v>1281</v>
      </c>
      <c r="B1403" t="s">
        <v>1432</v>
      </c>
      <c r="C1403" t="s">
        <v>10442</v>
      </c>
      <c r="D1403" t="s">
        <v>9715</v>
      </c>
      <c r="E1403" s="9">
        <v>3026</v>
      </c>
      <c r="F1403" s="9">
        <v>11952</v>
      </c>
      <c r="G1403" s="9" t="s">
        <v>30</v>
      </c>
    </row>
    <row r="1404" spans="1:7" x14ac:dyDescent="0.2">
      <c r="A1404" t="s">
        <v>1281</v>
      </c>
      <c r="B1404" t="s">
        <v>1433</v>
      </c>
      <c r="C1404" t="s">
        <v>10468</v>
      </c>
      <c r="D1404" t="s">
        <v>9715</v>
      </c>
      <c r="E1404" s="9">
        <v>491</v>
      </c>
      <c r="F1404" s="9">
        <v>16414</v>
      </c>
      <c r="G1404" s="9" t="s">
        <v>30</v>
      </c>
    </row>
    <row r="1405" spans="1:7" x14ac:dyDescent="0.2">
      <c r="A1405" t="s">
        <v>1281</v>
      </c>
      <c r="B1405" t="s">
        <v>1434</v>
      </c>
      <c r="C1405" t="s">
        <v>11338</v>
      </c>
      <c r="D1405" t="e">
        <v>#N/A</v>
      </c>
      <c r="E1405" s="9">
        <v>1466</v>
      </c>
      <c r="F1405" s="9">
        <v>17901</v>
      </c>
      <c r="G1405" s="9" t="s">
        <v>30</v>
      </c>
    </row>
    <row r="1406" spans="1:7" x14ac:dyDescent="0.2">
      <c r="A1406" t="s">
        <v>1281</v>
      </c>
      <c r="B1406" t="s">
        <v>1435</v>
      </c>
      <c r="C1406" t="s">
        <v>11339</v>
      </c>
      <c r="D1406" t="e">
        <v>#N/A</v>
      </c>
      <c r="E1406" s="9">
        <v>2299</v>
      </c>
      <c r="F1406" s="9">
        <v>12071</v>
      </c>
      <c r="G1406" s="9" t="s">
        <v>30</v>
      </c>
    </row>
    <row r="1407" spans="1:7" x14ac:dyDescent="0.2">
      <c r="A1407" t="s">
        <v>1281</v>
      </c>
      <c r="B1407" t="s">
        <v>1436</v>
      </c>
      <c r="C1407" t="s">
        <v>10382</v>
      </c>
      <c r="D1407" t="s">
        <v>9715</v>
      </c>
      <c r="E1407" s="9">
        <v>597</v>
      </c>
      <c r="F1407" s="9">
        <v>8476</v>
      </c>
      <c r="G1407" s="9" t="s">
        <v>30</v>
      </c>
    </row>
    <row r="1408" spans="1:7" x14ac:dyDescent="0.2">
      <c r="A1408" t="s">
        <v>1281</v>
      </c>
      <c r="B1408" t="s">
        <v>1437</v>
      </c>
      <c r="C1408" t="s">
        <v>11340</v>
      </c>
      <c r="D1408" t="e">
        <v>#N/A</v>
      </c>
      <c r="E1408" s="9">
        <v>6253</v>
      </c>
      <c r="F1408" s="9">
        <v>24191</v>
      </c>
      <c r="G1408" s="9" t="s">
        <v>30</v>
      </c>
    </row>
    <row r="1409" spans="1:7" x14ac:dyDescent="0.2">
      <c r="A1409" t="s">
        <v>1281</v>
      </c>
      <c r="B1409" t="s">
        <v>1438</v>
      </c>
      <c r="C1409" t="s">
        <v>10373</v>
      </c>
      <c r="D1409" t="s">
        <v>9715</v>
      </c>
      <c r="E1409" s="9">
        <v>693</v>
      </c>
      <c r="F1409" s="9">
        <v>9943</v>
      </c>
      <c r="G1409" s="9" t="s">
        <v>30</v>
      </c>
    </row>
    <row r="1410" spans="1:7" x14ac:dyDescent="0.2">
      <c r="A1410" t="s">
        <v>1281</v>
      </c>
      <c r="B1410" t="s">
        <v>1439</v>
      </c>
      <c r="C1410" t="s">
        <v>10693</v>
      </c>
      <c r="D1410" t="s">
        <v>9715</v>
      </c>
      <c r="E1410" s="9" t="s">
        <v>30</v>
      </c>
      <c r="F1410" s="9" t="s">
        <v>30</v>
      </c>
      <c r="G1410" s="9" t="s">
        <v>30</v>
      </c>
    </row>
    <row r="1411" spans="1:7" x14ac:dyDescent="0.2">
      <c r="A1411" t="s">
        <v>1281</v>
      </c>
      <c r="B1411" t="s">
        <v>1440</v>
      </c>
      <c r="C1411" t="s">
        <v>10458</v>
      </c>
      <c r="D1411" t="s">
        <v>9715</v>
      </c>
      <c r="E1411" s="9">
        <v>1439</v>
      </c>
      <c r="F1411" s="9">
        <v>10096</v>
      </c>
      <c r="G1411" s="9" t="s">
        <v>30</v>
      </c>
    </row>
    <row r="1412" spans="1:7" x14ac:dyDescent="0.2">
      <c r="A1412" t="s">
        <v>1281</v>
      </c>
      <c r="B1412" t="s">
        <v>1441</v>
      </c>
      <c r="C1412" t="s">
        <v>11341</v>
      </c>
      <c r="D1412" t="e">
        <v>#N/A</v>
      </c>
      <c r="E1412" s="9">
        <v>1363</v>
      </c>
      <c r="F1412" s="9">
        <v>11073</v>
      </c>
      <c r="G1412" s="9" t="s">
        <v>30</v>
      </c>
    </row>
    <row r="1413" spans="1:7" x14ac:dyDescent="0.2">
      <c r="A1413" t="s">
        <v>1281</v>
      </c>
      <c r="B1413" t="s">
        <v>1442</v>
      </c>
      <c r="C1413" t="s">
        <v>10366</v>
      </c>
      <c r="D1413" t="s">
        <v>9715</v>
      </c>
      <c r="E1413" s="9">
        <v>89</v>
      </c>
      <c r="F1413" s="9">
        <v>8508</v>
      </c>
      <c r="G1413" s="9" t="s">
        <v>30</v>
      </c>
    </row>
    <row r="1414" spans="1:7" x14ac:dyDescent="0.2">
      <c r="A1414" t="s">
        <v>1281</v>
      </c>
      <c r="B1414" t="s">
        <v>1443</v>
      </c>
      <c r="C1414" t="s">
        <v>10374</v>
      </c>
      <c r="D1414" t="s">
        <v>9715</v>
      </c>
      <c r="E1414" s="9">
        <v>1147</v>
      </c>
      <c r="F1414" s="9">
        <v>11572</v>
      </c>
      <c r="G1414" s="9" t="s">
        <v>30</v>
      </c>
    </row>
    <row r="1415" spans="1:7" x14ac:dyDescent="0.2">
      <c r="A1415" t="s">
        <v>1281</v>
      </c>
      <c r="B1415" t="s">
        <v>1444</v>
      </c>
      <c r="C1415" t="s">
        <v>10443</v>
      </c>
      <c r="D1415" t="s">
        <v>9715</v>
      </c>
      <c r="E1415" s="9">
        <v>610</v>
      </c>
      <c r="F1415" s="9">
        <v>8191</v>
      </c>
      <c r="G1415" s="9" t="s">
        <v>30</v>
      </c>
    </row>
    <row r="1416" spans="1:7" x14ac:dyDescent="0.2">
      <c r="A1416" t="s">
        <v>1281</v>
      </c>
      <c r="B1416" t="s">
        <v>1445</v>
      </c>
      <c r="C1416" t="s">
        <v>10444</v>
      </c>
      <c r="D1416" t="s">
        <v>9715</v>
      </c>
      <c r="E1416" s="9">
        <v>959</v>
      </c>
      <c r="F1416" s="9">
        <v>11303</v>
      </c>
      <c r="G1416" s="9" t="s">
        <v>30</v>
      </c>
    </row>
    <row r="1417" spans="1:7" x14ac:dyDescent="0.2">
      <c r="A1417" t="s">
        <v>1281</v>
      </c>
      <c r="B1417" t="s">
        <v>1446</v>
      </c>
      <c r="C1417" t="s">
        <v>11342</v>
      </c>
      <c r="D1417" t="e">
        <v>#N/A</v>
      </c>
      <c r="E1417" s="9">
        <v>2282</v>
      </c>
      <c r="F1417" s="9">
        <v>15798</v>
      </c>
      <c r="G1417" s="9" t="s">
        <v>30</v>
      </c>
    </row>
    <row r="1418" spans="1:7" x14ac:dyDescent="0.2">
      <c r="A1418" t="s">
        <v>1281</v>
      </c>
      <c r="B1418" t="s">
        <v>1447</v>
      </c>
      <c r="C1418" t="s">
        <v>11343</v>
      </c>
      <c r="D1418" t="e">
        <v>#N/A</v>
      </c>
      <c r="E1418" s="9">
        <v>1867</v>
      </c>
      <c r="F1418" s="9">
        <v>10274</v>
      </c>
      <c r="G1418" s="9" t="s">
        <v>30</v>
      </c>
    </row>
    <row r="1419" spans="1:7" x14ac:dyDescent="0.2">
      <c r="A1419" t="s">
        <v>1281</v>
      </c>
      <c r="B1419" t="s">
        <v>1448</v>
      </c>
      <c r="C1419" t="s">
        <v>10459</v>
      </c>
      <c r="D1419" t="s">
        <v>9715</v>
      </c>
      <c r="E1419" s="9">
        <v>536</v>
      </c>
      <c r="F1419" s="9">
        <v>10858</v>
      </c>
      <c r="G1419" s="9" t="s">
        <v>30</v>
      </c>
    </row>
    <row r="1420" spans="1:7" x14ac:dyDescent="0.2">
      <c r="A1420" t="s">
        <v>1281</v>
      </c>
      <c r="B1420" t="s">
        <v>1449</v>
      </c>
      <c r="C1420" t="s">
        <v>11344</v>
      </c>
      <c r="D1420" t="e">
        <v>#N/A</v>
      </c>
      <c r="E1420" s="9">
        <v>1687</v>
      </c>
      <c r="F1420" s="9">
        <v>11381</v>
      </c>
      <c r="G1420" s="9" t="s">
        <v>30</v>
      </c>
    </row>
    <row r="1421" spans="1:7" x14ac:dyDescent="0.2">
      <c r="A1421" t="s">
        <v>1281</v>
      </c>
      <c r="B1421" t="s">
        <v>1450</v>
      </c>
      <c r="C1421" t="s">
        <v>11345</v>
      </c>
      <c r="D1421" t="e">
        <v>#N/A</v>
      </c>
      <c r="E1421" s="9" t="s">
        <v>30</v>
      </c>
      <c r="F1421" s="9" t="s">
        <v>30</v>
      </c>
      <c r="G1421" s="9" t="s">
        <v>30</v>
      </c>
    </row>
    <row r="1422" spans="1:7" x14ac:dyDescent="0.2">
      <c r="A1422" t="s">
        <v>1451</v>
      </c>
      <c r="B1422" t="s">
        <v>1452</v>
      </c>
      <c r="C1422" t="s">
        <v>10476</v>
      </c>
      <c r="D1422" t="s">
        <v>9715</v>
      </c>
      <c r="E1422" s="9">
        <v>1913</v>
      </c>
      <c r="F1422" s="9">
        <v>11236</v>
      </c>
      <c r="G1422" s="9" t="s">
        <v>30</v>
      </c>
    </row>
    <row r="1423" spans="1:7" x14ac:dyDescent="0.2">
      <c r="A1423" t="s">
        <v>1451</v>
      </c>
      <c r="B1423" t="s">
        <v>1453</v>
      </c>
      <c r="C1423" t="s">
        <v>10477</v>
      </c>
      <c r="D1423" t="s">
        <v>9715</v>
      </c>
      <c r="E1423" s="9">
        <v>2123</v>
      </c>
      <c r="F1423" s="9">
        <v>9787</v>
      </c>
      <c r="G1423" s="9" t="s">
        <v>30</v>
      </c>
    </row>
    <row r="1424" spans="1:7" x14ac:dyDescent="0.2">
      <c r="A1424" t="s">
        <v>1451</v>
      </c>
      <c r="B1424" t="s">
        <v>1454</v>
      </c>
      <c r="C1424" t="s">
        <v>10478</v>
      </c>
      <c r="D1424" t="s">
        <v>9715</v>
      </c>
      <c r="E1424" s="9">
        <v>100</v>
      </c>
      <c r="F1424" s="9">
        <v>2959</v>
      </c>
      <c r="G1424" s="9" t="s">
        <v>30</v>
      </c>
    </row>
    <row r="1425" spans="1:7" x14ac:dyDescent="0.2">
      <c r="A1425" t="s">
        <v>1451</v>
      </c>
      <c r="B1425" t="s">
        <v>1455</v>
      </c>
      <c r="C1425" t="s">
        <v>10479</v>
      </c>
      <c r="D1425" t="s">
        <v>9715</v>
      </c>
      <c r="E1425" s="9">
        <v>1703</v>
      </c>
      <c r="F1425" s="9">
        <v>23502</v>
      </c>
      <c r="G1425" s="9" t="s">
        <v>30</v>
      </c>
    </row>
    <row r="1426" spans="1:7" x14ac:dyDescent="0.2">
      <c r="A1426" t="s">
        <v>1451</v>
      </c>
      <c r="B1426" t="s">
        <v>1456</v>
      </c>
      <c r="C1426" t="s">
        <v>10480</v>
      </c>
      <c r="D1426" t="s">
        <v>9715</v>
      </c>
      <c r="E1426" s="9">
        <v>859</v>
      </c>
      <c r="F1426" s="9">
        <v>12607</v>
      </c>
      <c r="G1426" s="9" t="s">
        <v>30</v>
      </c>
    </row>
    <row r="1427" spans="1:7" x14ac:dyDescent="0.2">
      <c r="A1427" t="s">
        <v>1451</v>
      </c>
      <c r="B1427" t="s">
        <v>1457</v>
      </c>
      <c r="C1427" t="s">
        <v>10481</v>
      </c>
      <c r="D1427" t="s">
        <v>9715</v>
      </c>
      <c r="E1427" s="9">
        <v>1529</v>
      </c>
      <c r="F1427" s="9">
        <v>12127</v>
      </c>
      <c r="G1427" s="9" t="s">
        <v>30</v>
      </c>
    </row>
    <row r="1428" spans="1:7" x14ac:dyDescent="0.2">
      <c r="A1428" t="s">
        <v>1451</v>
      </c>
      <c r="B1428" t="s">
        <v>1458</v>
      </c>
      <c r="C1428" t="s">
        <v>10482</v>
      </c>
      <c r="D1428" t="s">
        <v>9715</v>
      </c>
      <c r="E1428" s="9">
        <v>1729</v>
      </c>
      <c r="F1428" s="9">
        <v>12496</v>
      </c>
      <c r="G1428" s="9" t="s">
        <v>30</v>
      </c>
    </row>
    <row r="1429" spans="1:7" x14ac:dyDescent="0.2">
      <c r="A1429" t="s">
        <v>1451</v>
      </c>
      <c r="B1429" t="s">
        <v>1459</v>
      </c>
      <c r="C1429" t="s">
        <v>10483</v>
      </c>
      <c r="D1429" t="s">
        <v>9715</v>
      </c>
      <c r="E1429" s="9">
        <v>1713</v>
      </c>
      <c r="F1429" s="9">
        <v>13692</v>
      </c>
      <c r="G1429" s="9" t="s">
        <v>30</v>
      </c>
    </row>
    <row r="1430" spans="1:7" x14ac:dyDescent="0.2">
      <c r="A1430" t="s">
        <v>1451</v>
      </c>
      <c r="B1430" t="s">
        <v>1460</v>
      </c>
      <c r="C1430" t="s">
        <v>10490</v>
      </c>
      <c r="D1430" t="s">
        <v>9715</v>
      </c>
      <c r="E1430" s="9">
        <v>1335</v>
      </c>
      <c r="F1430" s="9">
        <v>11599</v>
      </c>
      <c r="G1430" s="9" t="s">
        <v>30</v>
      </c>
    </row>
    <row r="1431" spans="1:7" x14ac:dyDescent="0.2">
      <c r="A1431" t="s">
        <v>1451</v>
      </c>
      <c r="B1431" t="s">
        <v>1461</v>
      </c>
      <c r="C1431" t="s">
        <v>10484</v>
      </c>
      <c r="D1431" t="s">
        <v>9715</v>
      </c>
      <c r="E1431" s="9">
        <v>1894</v>
      </c>
      <c r="F1431" s="9">
        <v>11485</v>
      </c>
      <c r="G1431" s="9" t="s">
        <v>30</v>
      </c>
    </row>
    <row r="1432" spans="1:7" x14ac:dyDescent="0.2">
      <c r="A1432" t="s">
        <v>1451</v>
      </c>
      <c r="B1432" t="s">
        <v>1462</v>
      </c>
      <c r="C1432" t="s">
        <v>10485</v>
      </c>
      <c r="D1432" t="s">
        <v>9715</v>
      </c>
      <c r="E1432" s="9">
        <v>1890</v>
      </c>
      <c r="F1432" s="9">
        <v>11451</v>
      </c>
      <c r="G1432" s="9" t="s">
        <v>30</v>
      </c>
    </row>
    <row r="1433" spans="1:7" x14ac:dyDescent="0.2">
      <c r="A1433" t="s">
        <v>1451</v>
      </c>
      <c r="B1433" t="s">
        <v>1463</v>
      </c>
      <c r="C1433" t="s">
        <v>10486</v>
      </c>
      <c r="D1433" t="s">
        <v>9715</v>
      </c>
      <c r="E1433" s="9">
        <v>1311</v>
      </c>
      <c r="F1433" s="9">
        <v>9910</v>
      </c>
      <c r="G1433" s="9" t="s">
        <v>30</v>
      </c>
    </row>
    <row r="1434" spans="1:7" x14ac:dyDescent="0.2">
      <c r="A1434" t="s">
        <v>1451</v>
      </c>
      <c r="B1434" t="s">
        <v>1464</v>
      </c>
      <c r="C1434" t="s">
        <v>10487</v>
      </c>
      <c r="D1434" t="s">
        <v>9715</v>
      </c>
      <c r="E1434" s="9">
        <v>40340</v>
      </c>
      <c r="F1434" s="9">
        <v>0</v>
      </c>
      <c r="G1434" s="9" t="s">
        <v>30</v>
      </c>
    </row>
    <row r="1435" spans="1:7" x14ac:dyDescent="0.2">
      <c r="A1435" t="s">
        <v>1451</v>
      </c>
      <c r="B1435" t="s">
        <v>1465</v>
      </c>
      <c r="C1435" t="s">
        <v>10488</v>
      </c>
      <c r="D1435" t="s">
        <v>9715</v>
      </c>
      <c r="E1435" s="9">
        <v>2020</v>
      </c>
      <c r="F1435" s="9">
        <v>11961</v>
      </c>
      <c r="G1435" s="9" t="s">
        <v>30</v>
      </c>
    </row>
    <row r="1436" spans="1:7" x14ac:dyDescent="0.2">
      <c r="A1436" t="s">
        <v>1451</v>
      </c>
      <c r="B1436" t="s">
        <v>1466</v>
      </c>
      <c r="C1436" t="s">
        <v>11346</v>
      </c>
      <c r="D1436" t="e">
        <v>#N/A</v>
      </c>
      <c r="E1436" s="9">
        <v>3081</v>
      </c>
      <c r="F1436" s="9">
        <v>18775</v>
      </c>
      <c r="G1436" s="9" t="s">
        <v>30</v>
      </c>
    </row>
    <row r="1437" spans="1:7" x14ac:dyDescent="0.2">
      <c r="A1437" t="s">
        <v>1451</v>
      </c>
      <c r="B1437" t="s">
        <v>1467</v>
      </c>
      <c r="C1437" t="s">
        <v>11347</v>
      </c>
      <c r="D1437" t="e">
        <v>#N/A</v>
      </c>
      <c r="E1437" s="9">
        <v>999</v>
      </c>
      <c r="F1437" s="9">
        <v>7032</v>
      </c>
      <c r="G1437" s="9" t="s">
        <v>30</v>
      </c>
    </row>
    <row r="1438" spans="1:7" x14ac:dyDescent="0.2">
      <c r="A1438" t="s">
        <v>1451</v>
      </c>
      <c r="B1438" t="s">
        <v>1468</v>
      </c>
      <c r="C1438" t="s">
        <v>10491</v>
      </c>
      <c r="D1438" t="s">
        <v>9715</v>
      </c>
      <c r="E1438" s="9">
        <v>329</v>
      </c>
      <c r="F1438" s="9">
        <v>17346</v>
      </c>
      <c r="G1438" s="9" t="s">
        <v>30</v>
      </c>
    </row>
    <row r="1439" spans="1:7" x14ac:dyDescent="0.2">
      <c r="A1439" t="s">
        <v>1451</v>
      </c>
      <c r="B1439" t="s">
        <v>1469</v>
      </c>
      <c r="C1439" t="s">
        <v>10489</v>
      </c>
      <c r="D1439" t="s">
        <v>9715</v>
      </c>
      <c r="E1439" s="9">
        <v>2127</v>
      </c>
      <c r="F1439" s="9">
        <v>9161</v>
      </c>
      <c r="G1439" s="9" t="s">
        <v>30</v>
      </c>
    </row>
    <row r="1440" spans="1:7" x14ac:dyDescent="0.2">
      <c r="A1440" t="s">
        <v>1470</v>
      </c>
      <c r="B1440" t="s">
        <v>1471</v>
      </c>
      <c r="C1440" t="s">
        <v>10509</v>
      </c>
      <c r="D1440" t="s">
        <v>9715</v>
      </c>
      <c r="E1440" s="9">
        <v>1420</v>
      </c>
      <c r="F1440" s="9">
        <v>8789</v>
      </c>
      <c r="G1440" s="9" t="s">
        <v>30</v>
      </c>
    </row>
    <row r="1441" spans="1:7" x14ac:dyDescent="0.2">
      <c r="A1441" t="s">
        <v>1470</v>
      </c>
      <c r="B1441" t="s">
        <v>1472</v>
      </c>
      <c r="C1441" t="s">
        <v>10496</v>
      </c>
      <c r="D1441" t="s">
        <v>9715</v>
      </c>
      <c r="E1441" s="9">
        <v>484</v>
      </c>
      <c r="F1441" s="9">
        <v>8178</v>
      </c>
      <c r="G1441" s="9" t="s">
        <v>30</v>
      </c>
    </row>
    <row r="1442" spans="1:7" x14ac:dyDescent="0.2">
      <c r="A1442" t="s">
        <v>1470</v>
      </c>
      <c r="B1442" t="s">
        <v>1473</v>
      </c>
      <c r="C1442" t="s">
        <v>10497</v>
      </c>
      <c r="D1442" t="s">
        <v>9715</v>
      </c>
      <c r="E1442" s="9">
        <v>705</v>
      </c>
      <c r="F1442" s="9">
        <v>6725</v>
      </c>
      <c r="G1442" s="9" t="s">
        <v>30</v>
      </c>
    </row>
    <row r="1443" spans="1:7" x14ac:dyDescent="0.2">
      <c r="A1443" t="s">
        <v>1470</v>
      </c>
      <c r="B1443" t="s">
        <v>1474</v>
      </c>
      <c r="C1443" t="s">
        <v>10510</v>
      </c>
      <c r="D1443" t="s">
        <v>9715</v>
      </c>
      <c r="E1443" s="9">
        <v>1299</v>
      </c>
      <c r="F1443" s="9">
        <v>8583</v>
      </c>
      <c r="G1443" s="9" t="s">
        <v>30</v>
      </c>
    </row>
    <row r="1444" spans="1:7" x14ac:dyDescent="0.2">
      <c r="A1444" t="s">
        <v>1470</v>
      </c>
      <c r="B1444" t="s">
        <v>1475</v>
      </c>
      <c r="C1444" t="s">
        <v>10511</v>
      </c>
      <c r="D1444" t="s">
        <v>9715</v>
      </c>
      <c r="E1444" s="9">
        <v>1051</v>
      </c>
      <c r="F1444" s="9">
        <v>9838</v>
      </c>
      <c r="G1444" s="9" t="s">
        <v>30</v>
      </c>
    </row>
    <row r="1445" spans="1:7" x14ac:dyDescent="0.2">
      <c r="A1445" t="s">
        <v>1470</v>
      </c>
      <c r="B1445" t="s">
        <v>1476</v>
      </c>
      <c r="C1445" t="s">
        <v>10498</v>
      </c>
      <c r="D1445" t="s">
        <v>9715</v>
      </c>
      <c r="E1445" s="9">
        <v>1227</v>
      </c>
      <c r="F1445" s="9">
        <v>8521</v>
      </c>
      <c r="G1445" s="9" t="s">
        <v>30</v>
      </c>
    </row>
    <row r="1446" spans="1:7" x14ac:dyDescent="0.2">
      <c r="A1446" t="s">
        <v>1470</v>
      </c>
      <c r="B1446" t="s">
        <v>1477</v>
      </c>
      <c r="C1446" t="s">
        <v>10512</v>
      </c>
      <c r="D1446" t="s">
        <v>9715</v>
      </c>
      <c r="E1446" s="9">
        <v>1669</v>
      </c>
      <c r="F1446" s="9">
        <v>5445</v>
      </c>
      <c r="G1446" s="9" t="s">
        <v>30</v>
      </c>
    </row>
    <row r="1447" spans="1:7" x14ac:dyDescent="0.2">
      <c r="A1447" t="s">
        <v>1470</v>
      </c>
      <c r="B1447" t="s">
        <v>1478</v>
      </c>
      <c r="C1447" t="s">
        <v>10513</v>
      </c>
      <c r="D1447" t="s">
        <v>9715</v>
      </c>
      <c r="E1447" s="9">
        <v>3371</v>
      </c>
      <c r="F1447" s="9">
        <v>5599</v>
      </c>
      <c r="G1447" s="9" t="s">
        <v>30</v>
      </c>
    </row>
    <row r="1448" spans="1:7" x14ac:dyDescent="0.2">
      <c r="A1448" t="s">
        <v>1470</v>
      </c>
      <c r="B1448" t="s">
        <v>1479</v>
      </c>
      <c r="C1448" t="s">
        <v>10514</v>
      </c>
      <c r="D1448" t="s">
        <v>9715</v>
      </c>
      <c r="E1448" s="9">
        <v>2328</v>
      </c>
      <c r="F1448" s="9">
        <v>5696</v>
      </c>
      <c r="G1448" s="9" t="s">
        <v>30</v>
      </c>
    </row>
    <row r="1449" spans="1:7" x14ac:dyDescent="0.2">
      <c r="A1449" t="s">
        <v>1470</v>
      </c>
      <c r="B1449" t="s">
        <v>1480</v>
      </c>
      <c r="C1449" t="s">
        <v>10499</v>
      </c>
      <c r="D1449" t="s">
        <v>9715</v>
      </c>
      <c r="E1449" s="9">
        <v>679</v>
      </c>
      <c r="F1449" s="9">
        <v>8432</v>
      </c>
      <c r="G1449" s="9" t="s">
        <v>30</v>
      </c>
    </row>
    <row r="1450" spans="1:7" x14ac:dyDescent="0.2">
      <c r="A1450" t="s">
        <v>1470</v>
      </c>
      <c r="B1450" t="s">
        <v>1481</v>
      </c>
      <c r="C1450" t="s">
        <v>10492</v>
      </c>
      <c r="D1450" t="s">
        <v>9715</v>
      </c>
      <c r="E1450" s="9">
        <v>0</v>
      </c>
      <c r="F1450" s="9">
        <v>9645</v>
      </c>
      <c r="G1450" s="9" t="s">
        <v>30</v>
      </c>
    </row>
    <row r="1451" spans="1:7" x14ac:dyDescent="0.2">
      <c r="A1451" t="s">
        <v>1470</v>
      </c>
      <c r="B1451" t="s">
        <v>1482</v>
      </c>
      <c r="C1451" t="s">
        <v>11348</v>
      </c>
      <c r="D1451" t="e">
        <v>#N/A</v>
      </c>
      <c r="E1451" s="9">
        <v>1714</v>
      </c>
      <c r="F1451" s="9">
        <v>14794</v>
      </c>
      <c r="G1451" s="9" t="s">
        <v>30</v>
      </c>
    </row>
    <row r="1452" spans="1:7" x14ac:dyDescent="0.2">
      <c r="A1452" t="s">
        <v>1470</v>
      </c>
      <c r="B1452" t="s">
        <v>1483</v>
      </c>
      <c r="C1452" t="s">
        <v>10505</v>
      </c>
      <c r="D1452" t="s">
        <v>9715</v>
      </c>
      <c r="E1452" s="9">
        <v>409</v>
      </c>
      <c r="F1452" s="9">
        <v>8828</v>
      </c>
      <c r="G1452" s="9" t="s">
        <v>30</v>
      </c>
    </row>
    <row r="1453" spans="1:7" x14ac:dyDescent="0.2">
      <c r="A1453" t="s">
        <v>1470</v>
      </c>
      <c r="B1453" t="s">
        <v>1484</v>
      </c>
      <c r="C1453" t="s">
        <v>10501</v>
      </c>
      <c r="D1453" t="s">
        <v>9715</v>
      </c>
      <c r="E1453" s="9">
        <v>1438</v>
      </c>
      <c r="F1453" s="9">
        <v>6431</v>
      </c>
      <c r="G1453" s="9" t="s">
        <v>30</v>
      </c>
    </row>
    <row r="1454" spans="1:7" x14ac:dyDescent="0.2">
      <c r="A1454" t="s">
        <v>1470</v>
      </c>
      <c r="B1454" t="s">
        <v>1322</v>
      </c>
      <c r="C1454" t="s">
        <v>10520</v>
      </c>
      <c r="D1454" t="s">
        <v>9715</v>
      </c>
      <c r="E1454" s="9">
        <v>478</v>
      </c>
      <c r="F1454" s="9">
        <v>7913</v>
      </c>
      <c r="G1454" s="9" t="s">
        <v>30</v>
      </c>
    </row>
    <row r="1455" spans="1:7" x14ac:dyDescent="0.2">
      <c r="A1455" t="s">
        <v>1470</v>
      </c>
      <c r="B1455" t="s">
        <v>1485</v>
      </c>
      <c r="C1455" t="s">
        <v>10515</v>
      </c>
      <c r="D1455" t="s">
        <v>9715</v>
      </c>
      <c r="E1455" s="9">
        <v>3315</v>
      </c>
      <c r="F1455" s="9">
        <v>10199</v>
      </c>
      <c r="G1455" s="9" t="s">
        <v>30</v>
      </c>
    </row>
    <row r="1456" spans="1:7" x14ac:dyDescent="0.2">
      <c r="A1456" t="s">
        <v>1470</v>
      </c>
      <c r="B1456" t="s">
        <v>1486</v>
      </c>
      <c r="C1456" t="s">
        <v>10495</v>
      </c>
      <c r="D1456" t="s">
        <v>9715</v>
      </c>
      <c r="E1456" s="9">
        <v>58</v>
      </c>
      <c r="F1456" s="9">
        <v>8743</v>
      </c>
      <c r="G1456" s="9" t="s">
        <v>30</v>
      </c>
    </row>
    <row r="1457" spans="1:7" x14ac:dyDescent="0.2">
      <c r="A1457" t="s">
        <v>1470</v>
      </c>
      <c r="B1457" t="s">
        <v>1487</v>
      </c>
      <c r="C1457" t="s">
        <v>11349</v>
      </c>
      <c r="D1457" t="e">
        <v>#N/A</v>
      </c>
      <c r="E1457" s="9">
        <v>2243</v>
      </c>
      <c r="F1457" s="9">
        <v>22623</v>
      </c>
      <c r="G1457" s="9" t="s">
        <v>30</v>
      </c>
    </row>
    <row r="1458" spans="1:7" x14ac:dyDescent="0.2">
      <c r="A1458" t="s">
        <v>1470</v>
      </c>
      <c r="B1458" t="s">
        <v>1488</v>
      </c>
      <c r="C1458" t="s">
        <v>10502</v>
      </c>
      <c r="D1458" t="s">
        <v>9715</v>
      </c>
      <c r="E1458" s="9">
        <v>2372</v>
      </c>
      <c r="F1458" s="9">
        <v>7933</v>
      </c>
      <c r="G1458" s="9" t="s">
        <v>30</v>
      </c>
    </row>
    <row r="1459" spans="1:7" x14ac:dyDescent="0.2">
      <c r="A1459" t="s">
        <v>1470</v>
      </c>
      <c r="B1459" t="s">
        <v>1489</v>
      </c>
      <c r="C1459" t="s">
        <v>10503</v>
      </c>
      <c r="D1459" t="s">
        <v>9715</v>
      </c>
      <c r="E1459" s="9">
        <v>1272</v>
      </c>
      <c r="F1459" s="9">
        <v>12777</v>
      </c>
      <c r="G1459" s="9" t="s">
        <v>30</v>
      </c>
    </row>
    <row r="1460" spans="1:7" x14ac:dyDescent="0.2">
      <c r="A1460" t="s">
        <v>1470</v>
      </c>
      <c r="B1460" t="s">
        <v>1194</v>
      </c>
      <c r="C1460" t="s">
        <v>11350</v>
      </c>
      <c r="D1460" t="e">
        <v>#N/A</v>
      </c>
      <c r="E1460" s="9">
        <v>851</v>
      </c>
      <c r="F1460" s="9">
        <v>9248</v>
      </c>
      <c r="G1460" s="9" t="s">
        <v>30</v>
      </c>
    </row>
    <row r="1461" spans="1:7" x14ac:dyDescent="0.2">
      <c r="A1461" t="s">
        <v>1470</v>
      </c>
      <c r="B1461" t="s">
        <v>1490</v>
      </c>
      <c r="C1461" t="s">
        <v>11351</v>
      </c>
      <c r="D1461" t="e">
        <v>#N/A</v>
      </c>
      <c r="E1461" s="9">
        <v>406</v>
      </c>
      <c r="F1461" s="9">
        <v>8355</v>
      </c>
      <c r="G1461" s="9" t="s">
        <v>30</v>
      </c>
    </row>
    <row r="1462" spans="1:7" x14ac:dyDescent="0.2">
      <c r="A1462" t="s">
        <v>1470</v>
      </c>
      <c r="B1462" t="s">
        <v>1491</v>
      </c>
      <c r="C1462" t="s">
        <v>11352</v>
      </c>
      <c r="D1462" t="e">
        <v>#N/A</v>
      </c>
      <c r="E1462" s="9">
        <v>1225</v>
      </c>
      <c r="F1462" s="9">
        <v>10669</v>
      </c>
      <c r="G1462" s="9" t="s">
        <v>30</v>
      </c>
    </row>
    <row r="1463" spans="1:7" x14ac:dyDescent="0.2">
      <c r="A1463" t="s">
        <v>1470</v>
      </c>
      <c r="B1463" t="s">
        <v>1492</v>
      </c>
      <c r="C1463" t="s">
        <v>11353</v>
      </c>
      <c r="D1463" t="e">
        <v>#N/A</v>
      </c>
      <c r="E1463" s="9">
        <v>997</v>
      </c>
      <c r="F1463" s="9">
        <v>10982</v>
      </c>
      <c r="G1463" s="9" t="s">
        <v>30</v>
      </c>
    </row>
    <row r="1464" spans="1:7" x14ac:dyDescent="0.2">
      <c r="A1464" t="s">
        <v>1470</v>
      </c>
      <c r="B1464" t="s">
        <v>1493</v>
      </c>
      <c r="C1464" t="s">
        <v>11354</v>
      </c>
      <c r="D1464" t="e">
        <v>#N/A</v>
      </c>
      <c r="E1464" s="9">
        <v>2554</v>
      </c>
      <c r="F1464" s="9">
        <v>10748</v>
      </c>
      <c r="G1464" s="9" t="s">
        <v>30</v>
      </c>
    </row>
    <row r="1465" spans="1:7" x14ac:dyDescent="0.2">
      <c r="A1465" t="s">
        <v>1470</v>
      </c>
      <c r="B1465" t="s">
        <v>1494</v>
      </c>
      <c r="C1465" t="s">
        <v>11355</v>
      </c>
      <c r="D1465" t="e">
        <v>#N/A</v>
      </c>
      <c r="E1465" s="9">
        <v>1999</v>
      </c>
      <c r="F1465" s="9">
        <v>9930</v>
      </c>
      <c r="G1465" s="9" t="s">
        <v>30</v>
      </c>
    </row>
    <row r="1466" spans="1:7" x14ac:dyDescent="0.2">
      <c r="A1466" t="s">
        <v>1470</v>
      </c>
      <c r="B1466" t="s">
        <v>1495</v>
      </c>
      <c r="C1466" t="s">
        <v>10521</v>
      </c>
      <c r="D1466" t="s">
        <v>9715</v>
      </c>
      <c r="E1466" s="9">
        <v>307</v>
      </c>
      <c r="F1466" s="9">
        <v>9140</v>
      </c>
      <c r="G1466" s="9" t="s">
        <v>30</v>
      </c>
    </row>
    <row r="1467" spans="1:7" x14ac:dyDescent="0.2">
      <c r="A1467" t="s">
        <v>1470</v>
      </c>
      <c r="B1467" t="s">
        <v>1496</v>
      </c>
      <c r="C1467" t="s">
        <v>11356</v>
      </c>
      <c r="D1467" t="e">
        <v>#N/A</v>
      </c>
      <c r="E1467" s="9">
        <v>2587</v>
      </c>
      <c r="F1467" s="9">
        <v>13005</v>
      </c>
      <c r="G1467" s="9" t="s">
        <v>30</v>
      </c>
    </row>
    <row r="1468" spans="1:7" x14ac:dyDescent="0.2">
      <c r="A1468" t="s">
        <v>1470</v>
      </c>
      <c r="B1468" t="s">
        <v>1497</v>
      </c>
      <c r="C1468" t="s">
        <v>11357</v>
      </c>
      <c r="D1468" t="e">
        <v>#N/A</v>
      </c>
      <c r="E1468" s="9">
        <v>680</v>
      </c>
      <c r="F1468" s="9">
        <v>10915</v>
      </c>
      <c r="G1468" s="9" t="s">
        <v>30</v>
      </c>
    </row>
    <row r="1469" spans="1:7" x14ac:dyDescent="0.2">
      <c r="A1469" t="s">
        <v>1470</v>
      </c>
      <c r="B1469" t="s">
        <v>1498</v>
      </c>
      <c r="C1469" t="s">
        <v>10493</v>
      </c>
      <c r="D1469" t="s">
        <v>9715</v>
      </c>
      <c r="E1469" s="9">
        <v>1075</v>
      </c>
      <c r="F1469" s="9">
        <v>7776</v>
      </c>
      <c r="G1469" s="9" t="s">
        <v>30</v>
      </c>
    </row>
    <row r="1470" spans="1:7" x14ac:dyDescent="0.2">
      <c r="A1470" t="s">
        <v>1470</v>
      </c>
      <c r="B1470" t="s">
        <v>1499</v>
      </c>
      <c r="C1470" t="s">
        <v>11358</v>
      </c>
      <c r="D1470" t="e">
        <v>#N/A</v>
      </c>
      <c r="E1470" s="9">
        <v>1248</v>
      </c>
      <c r="F1470" s="9">
        <v>9675</v>
      </c>
      <c r="G1470" s="9" t="s">
        <v>30</v>
      </c>
    </row>
    <row r="1471" spans="1:7" x14ac:dyDescent="0.2">
      <c r="A1471" t="s">
        <v>1470</v>
      </c>
      <c r="B1471" t="s">
        <v>1500</v>
      </c>
      <c r="C1471" t="s">
        <v>10506</v>
      </c>
      <c r="D1471" t="s">
        <v>9715</v>
      </c>
      <c r="E1471" s="9">
        <v>299</v>
      </c>
      <c r="F1471" s="9">
        <v>12476</v>
      </c>
      <c r="G1471" s="9" t="s">
        <v>30</v>
      </c>
    </row>
    <row r="1472" spans="1:7" x14ac:dyDescent="0.2">
      <c r="A1472" t="s">
        <v>1470</v>
      </c>
      <c r="B1472" t="s">
        <v>1501</v>
      </c>
      <c r="C1472" t="s">
        <v>10522</v>
      </c>
      <c r="D1472" t="s">
        <v>9715</v>
      </c>
      <c r="E1472" s="9">
        <v>579</v>
      </c>
      <c r="F1472" s="9">
        <v>9382</v>
      </c>
      <c r="G1472" s="9" t="s">
        <v>30</v>
      </c>
    </row>
    <row r="1473" spans="1:7" x14ac:dyDescent="0.2">
      <c r="A1473" t="s">
        <v>1470</v>
      </c>
      <c r="B1473" t="s">
        <v>1502</v>
      </c>
      <c r="C1473" t="s">
        <v>10500</v>
      </c>
      <c r="D1473" t="s">
        <v>9715</v>
      </c>
      <c r="E1473" s="9">
        <v>466</v>
      </c>
      <c r="F1473" s="9">
        <v>10452</v>
      </c>
      <c r="G1473" s="9" t="s">
        <v>30</v>
      </c>
    </row>
    <row r="1474" spans="1:7" x14ac:dyDescent="0.2">
      <c r="A1474" t="s">
        <v>1470</v>
      </c>
      <c r="B1474" t="s">
        <v>1503</v>
      </c>
      <c r="C1474" t="s">
        <v>11359</v>
      </c>
      <c r="D1474" t="e">
        <v>#N/A</v>
      </c>
      <c r="E1474" s="9">
        <v>1012</v>
      </c>
      <c r="F1474" s="9">
        <v>9868</v>
      </c>
      <c r="G1474" s="9" t="s">
        <v>30</v>
      </c>
    </row>
    <row r="1475" spans="1:7" x14ac:dyDescent="0.2">
      <c r="A1475" t="s">
        <v>1470</v>
      </c>
      <c r="B1475" t="s">
        <v>1504</v>
      </c>
      <c r="C1475" t="s">
        <v>10494</v>
      </c>
      <c r="D1475" t="s">
        <v>9715</v>
      </c>
      <c r="E1475" s="9">
        <v>596</v>
      </c>
      <c r="F1475" s="9">
        <v>6956</v>
      </c>
      <c r="G1475" s="9" t="s">
        <v>30</v>
      </c>
    </row>
    <row r="1476" spans="1:7" x14ac:dyDescent="0.2">
      <c r="A1476" t="s">
        <v>1470</v>
      </c>
      <c r="B1476" t="s">
        <v>1505</v>
      </c>
      <c r="C1476" t="s">
        <v>11360</v>
      </c>
      <c r="D1476" t="e">
        <v>#N/A</v>
      </c>
      <c r="E1476" s="9">
        <v>4286</v>
      </c>
      <c r="F1476" s="9">
        <v>36674</v>
      </c>
      <c r="G1476" s="9" t="s">
        <v>30</v>
      </c>
    </row>
    <row r="1477" spans="1:7" x14ac:dyDescent="0.2">
      <c r="A1477" t="s">
        <v>1470</v>
      </c>
      <c r="B1477" t="s">
        <v>1506</v>
      </c>
      <c r="C1477" t="s">
        <v>11361</v>
      </c>
      <c r="D1477" t="e">
        <v>#N/A</v>
      </c>
      <c r="E1477" s="9" t="s">
        <v>30</v>
      </c>
      <c r="F1477" s="9" t="s">
        <v>30</v>
      </c>
      <c r="G1477" s="9" t="s">
        <v>30</v>
      </c>
    </row>
    <row r="1478" spans="1:7" x14ac:dyDescent="0.2">
      <c r="A1478" t="s">
        <v>1470</v>
      </c>
      <c r="B1478" t="s">
        <v>1507</v>
      </c>
      <c r="C1478" t="s">
        <v>10516</v>
      </c>
      <c r="D1478" t="s">
        <v>9715</v>
      </c>
      <c r="E1478" s="9">
        <v>1230</v>
      </c>
      <c r="F1478" s="9">
        <v>9628</v>
      </c>
      <c r="G1478" s="9" t="s">
        <v>30</v>
      </c>
    </row>
    <row r="1479" spans="1:7" x14ac:dyDescent="0.2">
      <c r="A1479" t="s">
        <v>1470</v>
      </c>
      <c r="B1479" t="s">
        <v>1508</v>
      </c>
      <c r="C1479" t="s">
        <v>10517</v>
      </c>
      <c r="D1479" t="s">
        <v>9715</v>
      </c>
      <c r="E1479" s="9">
        <v>797</v>
      </c>
      <c r="F1479" s="9">
        <v>10817</v>
      </c>
      <c r="G1479" s="9" t="s">
        <v>30</v>
      </c>
    </row>
    <row r="1480" spans="1:7" x14ac:dyDescent="0.2">
      <c r="A1480" t="s">
        <v>1470</v>
      </c>
      <c r="B1480" t="s">
        <v>1509</v>
      </c>
      <c r="C1480" t="s">
        <v>11362</v>
      </c>
      <c r="D1480" t="e">
        <v>#N/A</v>
      </c>
      <c r="E1480" s="9">
        <v>2236</v>
      </c>
      <c r="F1480" s="9">
        <v>13802</v>
      </c>
      <c r="G1480" s="9" t="s">
        <v>30</v>
      </c>
    </row>
    <row r="1481" spans="1:7" x14ac:dyDescent="0.2">
      <c r="A1481" t="s">
        <v>1470</v>
      </c>
      <c r="B1481" t="s">
        <v>1510</v>
      </c>
      <c r="C1481" t="s">
        <v>10507</v>
      </c>
      <c r="D1481" t="s">
        <v>9715</v>
      </c>
      <c r="E1481" s="9">
        <v>2378</v>
      </c>
      <c r="F1481" s="9">
        <v>12114</v>
      </c>
      <c r="G1481" s="9" t="s">
        <v>30</v>
      </c>
    </row>
    <row r="1482" spans="1:7" x14ac:dyDescent="0.2">
      <c r="A1482" t="s">
        <v>1470</v>
      </c>
      <c r="B1482" t="s">
        <v>1511</v>
      </c>
      <c r="C1482" t="s">
        <v>10518</v>
      </c>
      <c r="D1482" t="s">
        <v>9715</v>
      </c>
      <c r="E1482" s="9">
        <v>2576</v>
      </c>
      <c r="F1482" s="9">
        <v>10184</v>
      </c>
      <c r="G1482" s="9" t="s">
        <v>30</v>
      </c>
    </row>
    <row r="1483" spans="1:7" x14ac:dyDescent="0.2">
      <c r="A1483" t="s">
        <v>1470</v>
      </c>
      <c r="B1483" t="s">
        <v>1512</v>
      </c>
      <c r="C1483" t="s">
        <v>11363</v>
      </c>
      <c r="D1483" t="e">
        <v>#N/A</v>
      </c>
      <c r="E1483" s="9">
        <v>1376</v>
      </c>
      <c r="F1483" s="9">
        <v>9774</v>
      </c>
      <c r="G1483" s="9" t="s">
        <v>30</v>
      </c>
    </row>
    <row r="1484" spans="1:7" x14ac:dyDescent="0.2">
      <c r="A1484" t="s">
        <v>1470</v>
      </c>
      <c r="B1484" t="s">
        <v>1513</v>
      </c>
      <c r="C1484" t="s">
        <v>10504</v>
      </c>
      <c r="D1484" t="s">
        <v>9715</v>
      </c>
      <c r="E1484" s="9">
        <v>196</v>
      </c>
      <c r="F1484" s="9">
        <v>9711</v>
      </c>
      <c r="G1484" s="9" t="s">
        <v>30</v>
      </c>
    </row>
    <row r="1485" spans="1:7" x14ac:dyDescent="0.2">
      <c r="A1485" t="s">
        <v>1470</v>
      </c>
      <c r="B1485" t="s">
        <v>1514</v>
      </c>
      <c r="C1485" t="s">
        <v>10508</v>
      </c>
      <c r="D1485" t="s">
        <v>9715</v>
      </c>
      <c r="E1485" s="9">
        <v>444</v>
      </c>
      <c r="F1485" s="9">
        <v>12840</v>
      </c>
      <c r="G1485" s="9" t="s">
        <v>30</v>
      </c>
    </row>
    <row r="1486" spans="1:7" x14ac:dyDescent="0.2">
      <c r="A1486" t="s">
        <v>1470</v>
      </c>
      <c r="B1486" t="s">
        <v>1515</v>
      </c>
      <c r="C1486" t="s">
        <v>10692</v>
      </c>
      <c r="D1486" t="s">
        <v>9715</v>
      </c>
      <c r="E1486" s="9" t="s">
        <v>30</v>
      </c>
      <c r="F1486" s="9" t="s">
        <v>30</v>
      </c>
      <c r="G1486" s="9" t="s">
        <v>30</v>
      </c>
    </row>
    <row r="1487" spans="1:7" x14ac:dyDescent="0.2">
      <c r="A1487" t="s">
        <v>1470</v>
      </c>
      <c r="B1487" t="s">
        <v>1516</v>
      </c>
      <c r="C1487" t="s">
        <v>10519</v>
      </c>
      <c r="D1487" t="s">
        <v>9715</v>
      </c>
      <c r="E1487" s="9">
        <v>8583</v>
      </c>
      <c r="F1487" s="9">
        <v>22858</v>
      </c>
      <c r="G1487" s="9" t="s">
        <v>30</v>
      </c>
    </row>
    <row r="1488" spans="1:7" x14ac:dyDescent="0.2">
      <c r="A1488" t="s">
        <v>1517</v>
      </c>
      <c r="B1488" t="s">
        <v>1518</v>
      </c>
      <c r="C1488" t="s">
        <v>10524</v>
      </c>
      <c r="D1488" t="s">
        <v>9715</v>
      </c>
      <c r="E1488" s="9" t="s">
        <v>30</v>
      </c>
      <c r="F1488" s="9" t="s">
        <v>30</v>
      </c>
      <c r="G1488" s="9" t="s">
        <v>30</v>
      </c>
    </row>
    <row r="1489" spans="1:7" x14ac:dyDescent="0.2">
      <c r="A1489" t="s">
        <v>1517</v>
      </c>
      <c r="B1489" t="s">
        <v>1519</v>
      </c>
      <c r="C1489" t="s">
        <v>11364</v>
      </c>
      <c r="D1489" t="e">
        <v>#N/A</v>
      </c>
      <c r="E1489" s="9">
        <v>1004</v>
      </c>
      <c r="F1489" s="9">
        <v>10684</v>
      </c>
      <c r="G1489" s="9" t="s">
        <v>30</v>
      </c>
    </row>
    <row r="1490" spans="1:7" x14ac:dyDescent="0.2">
      <c r="A1490" t="s">
        <v>1517</v>
      </c>
      <c r="B1490" t="s">
        <v>1520</v>
      </c>
      <c r="C1490" t="s">
        <v>10523</v>
      </c>
      <c r="D1490" t="s">
        <v>9715</v>
      </c>
      <c r="E1490" s="9">
        <v>718</v>
      </c>
      <c r="F1490" s="9">
        <v>10308</v>
      </c>
      <c r="G1490" s="9" t="s">
        <v>30</v>
      </c>
    </row>
    <row r="1491" spans="1:7" x14ac:dyDescent="0.2">
      <c r="A1491" t="s">
        <v>1517</v>
      </c>
      <c r="B1491" t="s">
        <v>1521</v>
      </c>
      <c r="C1491" t="s">
        <v>11365</v>
      </c>
      <c r="D1491" t="e">
        <v>#N/A</v>
      </c>
      <c r="E1491" s="9">
        <v>2612</v>
      </c>
      <c r="F1491" s="9">
        <v>21762</v>
      </c>
      <c r="G1491" s="9" t="s">
        <v>30</v>
      </c>
    </row>
    <row r="1492" spans="1:7" x14ac:dyDescent="0.2">
      <c r="A1492" t="s">
        <v>1517</v>
      </c>
      <c r="B1492" t="s">
        <v>1522</v>
      </c>
      <c r="C1492" t="s">
        <v>11366</v>
      </c>
      <c r="D1492" t="e">
        <v>#N/A</v>
      </c>
      <c r="E1492" s="9">
        <v>2548</v>
      </c>
      <c r="F1492" s="9">
        <v>19248</v>
      </c>
      <c r="G1492" s="9" t="s">
        <v>30</v>
      </c>
    </row>
    <row r="1493" spans="1:7" x14ac:dyDescent="0.2">
      <c r="A1493" t="s">
        <v>1517</v>
      </c>
      <c r="B1493" t="s">
        <v>1523</v>
      </c>
      <c r="C1493" t="s">
        <v>11367</v>
      </c>
      <c r="D1493" t="e">
        <v>#N/A</v>
      </c>
      <c r="E1493" s="9">
        <v>1610</v>
      </c>
      <c r="F1493" s="9">
        <v>10275</v>
      </c>
      <c r="G1493" s="9" t="s">
        <v>30</v>
      </c>
    </row>
    <row r="1494" spans="1:7" x14ac:dyDescent="0.2">
      <c r="A1494" t="s">
        <v>1517</v>
      </c>
      <c r="B1494" t="s">
        <v>1524</v>
      </c>
      <c r="C1494" t="s">
        <v>11368</v>
      </c>
      <c r="D1494" t="e">
        <v>#N/A</v>
      </c>
      <c r="E1494" s="9">
        <v>1505</v>
      </c>
      <c r="F1494" s="9">
        <v>10097</v>
      </c>
      <c r="G1494" s="9" t="s">
        <v>30</v>
      </c>
    </row>
    <row r="1495" spans="1:7" x14ac:dyDescent="0.2">
      <c r="A1495" t="s">
        <v>1517</v>
      </c>
      <c r="B1495" t="s">
        <v>1525</v>
      </c>
      <c r="C1495" t="s">
        <v>11369</v>
      </c>
      <c r="D1495" t="e">
        <v>#N/A</v>
      </c>
      <c r="E1495" s="9">
        <v>2318</v>
      </c>
      <c r="F1495" s="9">
        <v>15716</v>
      </c>
      <c r="G1495" s="9" t="s">
        <v>30</v>
      </c>
    </row>
    <row r="1496" spans="1:7" x14ac:dyDescent="0.2">
      <c r="A1496" t="s">
        <v>1517</v>
      </c>
      <c r="B1496" t="s">
        <v>1526</v>
      </c>
      <c r="C1496" t="s">
        <v>11370</v>
      </c>
      <c r="D1496" t="e">
        <v>#N/A</v>
      </c>
      <c r="E1496" s="9">
        <v>2615</v>
      </c>
      <c r="F1496" s="9">
        <v>12090</v>
      </c>
      <c r="G1496" s="9" t="s">
        <v>30</v>
      </c>
    </row>
    <row r="1497" spans="1:7" x14ac:dyDescent="0.2">
      <c r="A1497" t="s">
        <v>1517</v>
      </c>
      <c r="B1497" t="s">
        <v>1527</v>
      </c>
      <c r="C1497" t="s">
        <v>11371</v>
      </c>
      <c r="D1497" t="e">
        <v>#N/A</v>
      </c>
      <c r="E1497" s="9">
        <v>9556</v>
      </c>
      <c r="F1497" s="9">
        <v>56690</v>
      </c>
      <c r="G1497" s="9" t="s">
        <v>30</v>
      </c>
    </row>
    <row r="1498" spans="1:7" x14ac:dyDescent="0.2">
      <c r="A1498" t="s">
        <v>1517</v>
      </c>
      <c r="B1498" t="s">
        <v>1528</v>
      </c>
      <c r="C1498" t="s">
        <v>11372</v>
      </c>
      <c r="D1498" t="e">
        <v>#N/A</v>
      </c>
      <c r="E1498" s="9">
        <v>3131</v>
      </c>
      <c r="F1498" s="9">
        <v>11819</v>
      </c>
      <c r="G1498" s="9" t="s">
        <v>30</v>
      </c>
    </row>
    <row r="1499" spans="1:7" x14ac:dyDescent="0.2">
      <c r="A1499" t="s">
        <v>1517</v>
      </c>
      <c r="B1499" t="s">
        <v>1529</v>
      </c>
      <c r="C1499" t="s">
        <v>11373</v>
      </c>
      <c r="D1499" t="e">
        <v>#N/A</v>
      </c>
      <c r="E1499" s="9">
        <v>2279</v>
      </c>
      <c r="F1499" s="9">
        <v>12544</v>
      </c>
      <c r="G1499" s="9" t="s">
        <v>30</v>
      </c>
    </row>
    <row r="1500" spans="1:7" x14ac:dyDescent="0.2">
      <c r="A1500" t="s">
        <v>1517</v>
      </c>
      <c r="B1500" t="s">
        <v>1530</v>
      </c>
      <c r="C1500" t="s">
        <v>11374</v>
      </c>
      <c r="D1500" t="e">
        <v>#N/A</v>
      </c>
      <c r="E1500" s="9">
        <v>931</v>
      </c>
      <c r="F1500" s="9">
        <v>10966</v>
      </c>
      <c r="G1500" s="9" t="s">
        <v>30</v>
      </c>
    </row>
    <row r="1501" spans="1:7" x14ac:dyDescent="0.2">
      <c r="A1501" t="s">
        <v>1531</v>
      </c>
      <c r="B1501" t="s">
        <v>1532</v>
      </c>
      <c r="C1501" t="s">
        <v>10527</v>
      </c>
      <c r="D1501" t="s">
        <v>9715</v>
      </c>
      <c r="E1501" s="9">
        <v>2282</v>
      </c>
      <c r="F1501" s="9">
        <v>11175</v>
      </c>
      <c r="G1501" s="9" t="s">
        <v>30</v>
      </c>
    </row>
    <row r="1502" spans="1:7" x14ac:dyDescent="0.2">
      <c r="A1502" t="s">
        <v>1531</v>
      </c>
      <c r="B1502" t="s">
        <v>1533</v>
      </c>
      <c r="C1502" t="s">
        <v>11375</v>
      </c>
      <c r="D1502" t="e">
        <v>#N/A</v>
      </c>
      <c r="E1502" s="9">
        <v>3983</v>
      </c>
      <c r="F1502" s="9">
        <v>10976</v>
      </c>
      <c r="G1502" s="9" t="s">
        <v>30</v>
      </c>
    </row>
    <row r="1503" spans="1:7" x14ac:dyDescent="0.2">
      <c r="A1503" t="s">
        <v>1531</v>
      </c>
      <c r="B1503" t="s">
        <v>1534</v>
      </c>
      <c r="C1503" t="s">
        <v>11376</v>
      </c>
      <c r="D1503" t="e">
        <v>#N/A</v>
      </c>
      <c r="E1503" s="9">
        <v>675</v>
      </c>
      <c r="F1503" s="9">
        <v>11453</v>
      </c>
      <c r="G1503" s="9" t="s">
        <v>30</v>
      </c>
    </row>
    <row r="1504" spans="1:7" x14ac:dyDescent="0.2">
      <c r="A1504" t="s">
        <v>1531</v>
      </c>
      <c r="B1504" t="s">
        <v>1535</v>
      </c>
      <c r="C1504" t="s">
        <v>11377</v>
      </c>
      <c r="D1504" t="e">
        <v>#N/A</v>
      </c>
      <c r="E1504" s="9">
        <v>591</v>
      </c>
      <c r="F1504" s="9">
        <v>16609</v>
      </c>
      <c r="G1504" s="9" t="s">
        <v>30</v>
      </c>
    </row>
    <row r="1505" spans="1:7" x14ac:dyDescent="0.2">
      <c r="A1505" t="s">
        <v>1531</v>
      </c>
      <c r="B1505" t="s">
        <v>1536</v>
      </c>
      <c r="C1505" t="s">
        <v>11378</v>
      </c>
      <c r="D1505" t="e">
        <v>#N/A</v>
      </c>
      <c r="E1505" s="9">
        <v>770</v>
      </c>
      <c r="F1505" s="9">
        <v>10262</v>
      </c>
      <c r="G1505" s="9" t="s">
        <v>30</v>
      </c>
    </row>
    <row r="1506" spans="1:7" x14ac:dyDescent="0.2">
      <c r="A1506" t="s">
        <v>1531</v>
      </c>
      <c r="B1506" t="s">
        <v>1537</v>
      </c>
      <c r="C1506" t="s">
        <v>11379</v>
      </c>
      <c r="D1506" t="e">
        <v>#N/A</v>
      </c>
      <c r="E1506" s="9">
        <v>1557</v>
      </c>
      <c r="F1506" s="9">
        <v>11314</v>
      </c>
      <c r="G1506" s="9" t="s">
        <v>30</v>
      </c>
    </row>
    <row r="1507" spans="1:7" x14ac:dyDescent="0.2">
      <c r="A1507" t="s">
        <v>1531</v>
      </c>
      <c r="B1507" t="s">
        <v>1538</v>
      </c>
      <c r="C1507" t="s">
        <v>10525</v>
      </c>
      <c r="D1507" t="s">
        <v>9715</v>
      </c>
      <c r="E1507" s="9">
        <v>948</v>
      </c>
      <c r="F1507" s="9">
        <v>7704</v>
      </c>
      <c r="G1507" s="9" t="s">
        <v>30</v>
      </c>
    </row>
    <row r="1508" spans="1:7" x14ac:dyDescent="0.2">
      <c r="A1508" t="s">
        <v>1531</v>
      </c>
      <c r="B1508" t="s">
        <v>1539</v>
      </c>
      <c r="C1508" t="s">
        <v>10529</v>
      </c>
      <c r="D1508" t="s">
        <v>9715</v>
      </c>
      <c r="E1508" s="9">
        <v>2108</v>
      </c>
      <c r="F1508" s="9">
        <v>12809</v>
      </c>
      <c r="G1508" s="9" t="s">
        <v>30</v>
      </c>
    </row>
    <row r="1509" spans="1:7" x14ac:dyDescent="0.2">
      <c r="A1509" t="s">
        <v>1531</v>
      </c>
      <c r="B1509" t="s">
        <v>1540</v>
      </c>
      <c r="C1509" t="s">
        <v>10534</v>
      </c>
      <c r="D1509" t="s">
        <v>9715</v>
      </c>
      <c r="E1509" s="9">
        <v>514</v>
      </c>
      <c r="F1509" s="9">
        <v>15605</v>
      </c>
      <c r="G1509" s="9" t="s">
        <v>30</v>
      </c>
    </row>
    <row r="1510" spans="1:7" x14ac:dyDescent="0.2">
      <c r="A1510" t="s">
        <v>1531</v>
      </c>
      <c r="B1510" t="s">
        <v>1541</v>
      </c>
      <c r="C1510" t="s">
        <v>10535</v>
      </c>
      <c r="D1510" t="s">
        <v>9715</v>
      </c>
      <c r="E1510" s="9">
        <v>2246</v>
      </c>
      <c r="F1510" s="9">
        <v>17051</v>
      </c>
      <c r="G1510" s="9" t="s">
        <v>30</v>
      </c>
    </row>
    <row r="1511" spans="1:7" x14ac:dyDescent="0.2">
      <c r="A1511" t="s">
        <v>1531</v>
      </c>
      <c r="B1511" t="s">
        <v>1542</v>
      </c>
      <c r="C1511" t="s">
        <v>10536</v>
      </c>
      <c r="D1511" t="s">
        <v>9715</v>
      </c>
      <c r="E1511" s="9">
        <v>1918</v>
      </c>
      <c r="F1511" s="9">
        <v>11232</v>
      </c>
      <c r="G1511" s="9" t="s">
        <v>30</v>
      </c>
    </row>
    <row r="1512" spans="1:7" x14ac:dyDescent="0.2">
      <c r="A1512" t="s">
        <v>1531</v>
      </c>
      <c r="B1512" t="s">
        <v>1543</v>
      </c>
      <c r="C1512" t="s">
        <v>11380</v>
      </c>
      <c r="D1512" t="e">
        <v>#N/A</v>
      </c>
      <c r="E1512" s="9">
        <v>605</v>
      </c>
      <c r="F1512" s="9">
        <v>23952</v>
      </c>
      <c r="G1512" s="9" t="s">
        <v>30</v>
      </c>
    </row>
    <row r="1513" spans="1:7" x14ac:dyDescent="0.2">
      <c r="A1513" t="s">
        <v>1531</v>
      </c>
      <c r="B1513" t="s">
        <v>1194</v>
      </c>
      <c r="C1513" t="s">
        <v>11381</v>
      </c>
      <c r="D1513" t="e">
        <v>#N/A</v>
      </c>
      <c r="E1513" s="9">
        <v>1914</v>
      </c>
      <c r="F1513" s="9">
        <v>11705</v>
      </c>
      <c r="G1513" s="9" t="s">
        <v>30</v>
      </c>
    </row>
    <row r="1514" spans="1:7" x14ac:dyDescent="0.2">
      <c r="A1514" t="s">
        <v>1531</v>
      </c>
      <c r="B1514" t="s">
        <v>1544</v>
      </c>
      <c r="C1514" t="s">
        <v>11382</v>
      </c>
      <c r="D1514" t="e">
        <v>#N/A</v>
      </c>
      <c r="E1514" s="9">
        <v>1330</v>
      </c>
      <c r="F1514" s="9">
        <v>13326</v>
      </c>
      <c r="G1514" s="9" t="s">
        <v>30</v>
      </c>
    </row>
    <row r="1515" spans="1:7" x14ac:dyDescent="0.2">
      <c r="A1515" t="s">
        <v>1531</v>
      </c>
      <c r="B1515" t="s">
        <v>1545</v>
      </c>
      <c r="C1515" t="s">
        <v>10537</v>
      </c>
      <c r="D1515" t="s">
        <v>9715</v>
      </c>
      <c r="E1515" s="9">
        <v>423</v>
      </c>
      <c r="F1515" s="9">
        <v>14370</v>
      </c>
      <c r="G1515" s="9" t="s">
        <v>30</v>
      </c>
    </row>
    <row r="1516" spans="1:7" x14ac:dyDescent="0.2">
      <c r="A1516" t="s">
        <v>1531</v>
      </c>
      <c r="B1516" t="s">
        <v>1546</v>
      </c>
      <c r="C1516" t="s">
        <v>10530</v>
      </c>
      <c r="D1516" t="s">
        <v>9715</v>
      </c>
      <c r="E1516" s="9">
        <v>1541</v>
      </c>
      <c r="F1516" s="9">
        <v>11593</v>
      </c>
      <c r="G1516" s="9" t="s">
        <v>30</v>
      </c>
    </row>
    <row r="1517" spans="1:7" x14ac:dyDescent="0.2">
      <c r="A1517" t="s">
        <v>1531</v>
      </c>
      <c r="B1517" t="s">
        <v>1547</v>
      </c>
      <c r="C1517" t="s">
        <v>10528</v>
      </c>
      <c r="D1517" t="s">
        <v>9715</v>
      </c>
      <c r="E1517" s="9">
        <v>2076</v>
      </c>
      <c r="F1517" s="9">
        <v>11577</v>
      </c>
      <c r="G1517" s="9" t="s">
        <v>30</v>
      </c>
    </row>
    <row r="1518" spans="1:7" x14ac:dyDescent="0.2">
      <c r="A1518" t="s">
        <v>1531</v>
      </c>
      <c r="B1518" t="s">
        <v>1548</v>
      </c>
      <c r="C1518" t="s">
        <v>11383</v>
      </c>
      <c r="D1518" t="e">
        <v>#N/A</v>
      </c>
      <c r="E1518" s="9">
        <v>2536</v>
      </c>
      <c r="F1518" s="9">
        <v>22656</v>
      </c>
      <c r="G1518" s="9" t="s">
        <v>30</v>
      </c>
    </row>
    <row r="1519" spans="1:7" x14ac:dyDescent="0.2">
      <c r="A1519" t="s">
        <v>1531</v>
      </c>
      <c r="B1519" t="s">
        <v>1549</v>
      </c>
      <c r="C1519" t="s">
        <v>11384</v>
      </c>
      <c r="D1519" t="e">
        <v>#N/A</v>
      </c>
      <c r="E1519" s="9">
        <v>736</v>
      </c>
      <c r="F1519" s="9">
        <v>25845</v>
      </c>
      <c r="G1519" s="9" t="s">
        <v>30</v>
      </c>
    </row>
    <row r="1520" spans="1:7" x14ac:dyDescent="0.2">
      <c r="A1520" t="s">
        <v>1531</v>
      </c>
      <c r="B1520" t="s">
        <v>1550</v>
      </c>
      <c r="C1520" t="s">
        <v>11385</v>
      </c>
      <c r="D1520" t="e">
        <v>#N/A</v>
      </c>
      <c r="E1520" s="9">
        <v>699</v>
      </c>
      <c r="F1520" s="9">
        <v>20600</v>
      </c>
      <c r="G1520" s="9" t="s">
        <v>30</v>
      </c>
    </row>
    <row r="1521" spans="1:7" x14ac:dyDescent="0.2">
      <c r="A1521" t="s">
        <v>1531</v>
      </c>
      <c r="B1521" t="s">
        <v>1551</v>
      </c>
      <c r="C1521" t="s">
        <v>11386</v>
      </c>
      <c r="D1521" t="e">
        <v>#N/A</v>
      </c>
      <c r="E1521" s="9">
        <v>1203</v>
      </c>
      <c r="F1521" s="9">
        <v>10802</v>
      </c>
      <c r="G1521" s="9" t="s">
        <v>30</v>
      </c>
    </row>
    <row r="1522" spans="1:7" x14ac:dyDescent="0.2">
      <c r="A1522" t="s">
        <v>1531</v>
      </c>
      <c r="B1522" t="s">
        <v>1552</v>
      </c>
      <c r="C1522" t="s">
        <v>10533</v>
      </c>
      <c r="D1522" t="s">
        <v>9715</v>
      </c>
      <c r="E1522" s="9">
        <v>3748</v>
      </c>
      <c r="F1522" s="9">
        <v>14674</v>
      </c>
      <c r="G1522" s="9" t="s">
        <v>30</v>
      </c>
    </row>
    <row r="1523" spans="1:7" x14ac:dyDescent="0.2">
      <c r="A1523" t="s">
        <v>1531</v>
      </c>
      <c r="B1523" t="s">
        <v>1553</v>
      </c>
      <c r="C1523" t="s">
        <v>11387</v>
      </c>
      <c r="D1523" t="e">
        <v>#N/A</v>
      </c>
      <c r="E1523" s="9">
        <v>999</v>
      </c>
      <c r="F1523" s="9">
        <v>10833</v>
      </c>
      <c r="G1523" s="9" t="s">
        <v>30</v>
      </c>
    </row>
    <row r="1524" spans="1:7" x14ac:dyDescent="0.2">
      <c r="A1524" t="s">
        <v>1531</v>
      </c>
      <c r="B1524" t="s">
        <v>1554</v>
      </c>
      <c r="C1524" t="s">
        <v>11388</v>
      </c>
      <c r="D1524" t="e">
        <v>#N/A</v>
      </c>
      <c r="E1524" s="9">
        <v>570</v>
      </c>
      <c r="F1524" s="9">
        <v>28416</v>
      </c>
      <c r="G1524" s="9" t="s">
        <v>30</v>
      </c>
    </row>
    <row r="1525" spans="1:7" x14ac:dyDescent="0.2">
      <c r="A1525" t="s">
        <v>1531</v>
      </c>
      <c r="B1525" t="s">
        <v>1555</v>
      </c>
      <c r="C1525" t="s">
        <v>11389</v>
      </c>
      <c r="D1525" t="e">
        <v>#N/A</v>
      </c>
      <c r="E1525" s="9">
        <v>4972</v>
      </c>
      <c r="F1525" s="9">
        <v>19964</v>
      </c>
      <c r="G1525" s="9" t="s">
        <v>30</v>
      </c>
    </row>
    <row r="1526" spans="1:7" x14ac:dyDescent="0.2">
      <c r="A1526" t="s">
        <v>1531</v>
      </c>
      <c r="B1526" t="s">
        <v>1556</v>
      </c>
      <c r="C1526" t="s">
        <v>11390</v>
      </c>
      <c r="D1526" t="e">
        <v>#N/A</v>
      </c>
      <c r="E1526" s="9">
        <v>2596</v>
      </c>
      <c r="F1526" s="9">
        <v>14072</v>
      </c>
      <c r="G1526" s="9" t="s">
        <v>30</v>
      </c>
    </row>
    <row r="1527" spans="1:7" x14ac:dyDescent="0.2">
      <c r="A1527" t="s">
        <v>1531</v>
      </c>
      <c r="B1527" t="s">
        <v>1557</v>
      </c>
      <c r="C1527" t="s">
        <v>10531</v>
      </c>
      <c r="D1527" t="s">
        <v>9715</v>
      </c>
      <c r="E1527" s="9">
        <v>1745</v>
      </c>
      <c r="F1527" s="9">
        <v>11096</v>
      </c>
      <c r="G1527" s="9" t="s">
        <v>30</v>
      </c>
    </row>
    <row r="1528" spans="1:7" x14ac:dyDescent="0.2">
      <c r="A1528" t="s">
        <v>1531</v>
      </c>
      <c r="B1528" t="s">
        <v>1558</v>
      </c>
      <c r="C1528" t="s">
        <v>11391</v>
      </c>
      <c r="D1528" t="e">
        <v>#N/A</v>
      </c>
      <c r="E1528" s="9">
        <v>1352</v>
      </c>
      <c r="F1528" s="9">
        <v>12261</v>
      </c>
      <c r="G1528" s="9" t="s">
        <v>30</v>
      </c>
    </row>
    <row r="1529" spans="1:7" x14ac:dyDescent="0.2">
      <c r="A1529" t="s">
        <v>1531</v>
      </c>
      <c r="B1529" t="s">
        <v>1559</v>
      </c>
      <c r="C1529" t="s">
        <v>10532</v>
      </c>
      <c r="D1529" t="s">
        <v>9715</v>
      </c>
      <c r="E1529" s="9">
        <v>447</v>
      </c>
      <c r="F1529" s="9">
        <v>13112</v>
      </c>
      <c r="G1529" s="9" t="s">
        <v>30</v>
      </c>
    </row>
    <row r="1530" spans="1:7" x14ac:dyDescent="0.2">
      <c r="A1530" t="s">
        <v>1531</v>
      </c>
      <c r="B1530" t="s">
        <v>1560</v>
      </c>
      <c r="C1530" t="s">
        <v>11392</v>
      </c>
      <c r="D1530" t="e">
        <v>#N/A</v>
      </c>
      <c r="E1530" s="9">
        <v>409</v>
      </c>
      <c r="F1530" s="9">
        <v>12369</v>
      </c>
      <c r="G1530" s="9" t="s">
        <v>30</v>
      </c>
    </row>
    <row r="1531" spans="1:7" x14ac:dyDescent="0.2">
      <c r="A1531" t="s">
        <v>1531</v>
      </c>
      <c r="B1531" t="s">
        <v>1561</v>
      </c>
      <c r="C1531" t="s">
        <v>11393</v>
      </c>
      <c r="D1531" t="e">
        <v>#N/A</v>
      </c>
      <c r="E1531" s="9">
        <v>0</v>
      </c>
      <c r="F1531" s="9">
        <v>92546</v>
      </c>
      <c r="G1531" s="9" t="s">
        <v>30</v>
      </c>
    </row>
    <row r="1532" spans="1:7" x14ac:dyDescent="0.2">
      <c r="A1532" t="s">
        <v>1531</v>
      </c>
      <c r="B1532" t="s">
        <v>1562</v>
      </c>
      <c r="C1532" t="s">
        <v>11394</v>
      </c>
      <c r="D1532" t="e">
        <v>#N/A</v>
      </c>
      <c r="E1532" s="9">
        <v>956</v>
      </c>
      <c r="F1532" s="9">
        <v>18441</v>
      </c>
      <c r="G1532" s="9" t="s">
        <v>30</v>
      </c>
    </row>
    <row r="1533" spans="1:7" x14ac:dyDescent="0.2">
      <c r="A1533" t="s">
        <v>1531</v>
      </c>
      <c r="B1533" t="s">
        <v>1563</v>
      </c>
      <c r="C1533" t="s">
        <v>11395</v>
      </c>
      <c r="D1533" t="e">
        <v>#N/A</v>
      </c>
      <c r="E1533" s="9">
        <v>1286</v>
      </c>
      <c r="F1533" s="9">
        <v>13888</v>
      </c>
      <c r="G1533" s="9" t="s">
        <v>30</v>
      </c>
    </row>
    <row r="1534" spans="1:7" x14ac:dyDescent="0.2">
      <c r="A1534" t="s">
        <v>1531</v>
      </c>
      <c r="B1534" t="s">
        <v>1564</v>
      </c>
      <c r="C1534" t="s">
        <v>11396</v>
      </c>
      <c r="D1534" t="e">
        <v>#N/A</v>
      </c>
      <c r="E1534" s="9">
        <v>987</v>
      </c>
      <c r="F1534" s="9">
        <v>15058</v>
      </c>
      <c r="G1534" s="9" t="s">
        <v>30</v>
      </c>
    </row>
    <row r="1535" spans="1:7" x14ac:dyDescent="0.2">
      <c r="A1535" t="s">
        <v>1531</v>
      </c>
      <c r="B1535" t="s">
        <v>1565</v>
      </c>
      <c r="C1535" t="s">
        <v>11397</v>
      </c>
      <c r="D1535" t="e">
        <v>#N/A</v>
      </c>
      <c r="E1535" s="9">
        <v>1726</v>
      </c>
      <c r="F1535" s="9">
        <v>12325</v>
      </c>
      <c r="G1535" s="9" t="s">
        <v>30</v>
      </c>
    </row>
    <row r="1536" spans="1:7" x14ac:dyDescent="0.2">
      <c r="A1536" t="s">
        <v>1531</v>
      </c>
      <c r="B1536" t="s">
        <v>1566</v>
      </c>
      <c r="C1536" t="s">
        <v>10538</v>
      </c>
      <c r="D1536" t="s">
        <v>9715</v>
      </c>
      <c r="E1536" s="9">
        <v>1698</v>
      </c>
      <c r="F1536" s="9">
        <v>9996</v>
      </c>
      <c r="G1536" s="9" t="s">
        <v>30</v>
      </c>
    </row>
    <row r="1537" spans="1:7" x14ac:dyDescent="0.2">
      <c r="A1537" t="s">
        <v>1531</v>
      </c>
      <c r="B1537" t="s">
        <v>1567</v>
      </c>
      <c r="C1537" t="s">
        <v>10526</v>
      </c>
      <c r="D1537" t="s">
        <v>9715</v>
      </c>
      <c r="E1537" s="9">
        <v>829</v>
      </c>
      <c r="F1537" s="9">
        <v>11476</v>
      </c>
      <c r="G1537" s="9" t="s">
        <v>30</v>
      </c>
    </row>
    <row r="1538" spans="1:7" x14ac:dyDescent="0.2">
      <c r="A1538" t="s">
        <v>1531</v>
      </c>
      <c r="B1538" t="s">
        <v>1568</v>
      </c>
      <c r="C1538" t="s">
        <v>11398</v>
      </c>
      <c r="D1538" t="e">
        <v>#N/A</v>
      </c>
      <c r="E1538" s="9">
        <v>898</v>
      </c>
      <c r="F1538" s="9">
        <v>32588</v>
      </c>
      <c r="G1538" s="9" t="s">
        <v>30</v>
      </c>
    </row>
    <row r="1539" spans="1:7" x14ac:dyDescent="0.2">
      <c r="A1539" t="s">
        <v>1569</v>
      </c>
      <c r="B1539" t="s">
        <v>1570</v>
      </c>
      <c r="C1539" t="s">
        <v>10546</v>
      </c>
      <c r="D1539" t="s">
        <v>9715</v>
      </c>
      <c r="E1539" s="9">
        <v>1301</v>
      </c>
      <c r="F1539" s="9">
        <v>11115</v>
      </c>
      <c r="G1539" s="9" t="s">
        <v>30</v>
      </c>
    </row>
    <row r="1540" spans="1:7" x14ac:dyDescent="0.2">
      <c r="A1540" t="s">
        <v>1569</v>
      </c>
      <c r="B1540" t="s">
        <v>1571</v>
      </c>
      <c r="C1540" t="s">
        <v>11399</v>
      </c>
      <c r="D1540" t="e">
        <v>#N/A</v>
      </c>
      <c r="E1540" s="9">
        <v>533</v>
      </c>
      <c r="F1540" s="9">
        <v>18071</v>
      </c>
      <c r="G1540" s="9" t="s">
        <v>30</v>
      </c>
    </row>
    <row r="1541" spans="1:7" x14ac:dyDescent="0.2">
      <c r="A1541" t="s">
        <v>1569</v>
      </c>
      <c r="B1541" t="s">
        <v>1572</v>
      </c>
      <c r="C1541" t="s">
        <v>11400</v>
      </c>
      <c r="D1541" t="e">
        <v>#N/A</v>
      </c>
      <c r="E1541" s="9">
        <v>1059</v>
      </c>
      <c r="F1541" s="9">
        <v>12083</v>
      </c>
      <c r="G1541" s="9" t="s">
        <v>30</v>
      </c>
    </row>
    <row r="1542" spans="1:7" x14ac:dyDescent="0.2">
      <c r="A1542" t="s">
        <v>1569</v>
      </c>
      <c r="B1542" t="s">
        <v>1573</v>
      </c>
      <c r="C1542" t="s">
        <v>11401</v>
      </c>
      <c r="D1542" t="e">
        <v>#N/A</v>
      </c>
      <c r="E1542" s="9">
        <v>853</v>
      </c>
      <c r="F1542" s="9">
        <v>8593</v>
      </c>
      <c r="G1542" s="9" t="s">
        <v>30</v>
      </c>
    </row>
    <row r="1543" spans="1:7" x14ac:dyDescent="0.2">
      <c r="A1543" t="s">
        <v>1569</v>
      </c>
      <c r="B1543" t="s">
        <v>1574</v>
      </c>
      <c r="C1543" t="s">
        <v>10544</v>
      </c>
      <c r="D1543" t="s">
        <v>9715</v>
      </c>
      <c r="E1543" s="9">
        <v>106</v>
      </c>
      <c r="F1543" s="9">
        <v>10228</v>
      </c>
      <c r="G1543" s="9" t="s">
        <v>30</v>
      </c>
    </row>
    <row r="1544" spans="1:7" x14ac:dyDescent="0.2">
      <c r="A1544" t="s">
        <v>1569</v>
      </c>
      <c r="B1544" t="s">
        <v>1575</v>
      </c>
      <c r="C1544" t="s">
        <v>11402</v>
      </c>
      <c r="D1544" t="e">
        <v>#N/A</v>
      </c>
      <c r="E1544" s="9">
        <v>2001</v>
      </c>
      <c r="F1544" s="9">
        <v>13960</v>
      </c>
      <c r="G1544" s="9" t="s">
        <v>30</v>
      </c>
    </row>
    <row r="1545" spans="1:7" x14ac:dyDescent="0.2">
      <c r="A1545" t="s">
        <v>1569</v>
      </c>
      <c r="B1545" t="s">
        <v>1576</v>
      </c>
      <c r="C1545" t="s">
        <v>11403</v>
      </c>
      <c r="D1545" t="e">
        <v>#N/A</v>
      </c>
      <c r="E1545" s="9">
        <v>439</v>
      </c>
      <c r="F1545" s="9">
        <v>25424</v>
      </c>
      <c r="G1545" s="9" t="s">
        <v>30</v>
      </c>
    </row>
    <row r="1546" spans="1:7" x14ac:dyDescent="0.2">
      <c r="A1546" t="s">
        <v>1569</v>
      </c>
      <c r="B1546" t="s">
        <v>1577</v>
      </c>
      <c r="C1546" t="s">
        <v>11404</v>
      </c>
      <c r="D1546" t="e">
        <v>#N/A</v>
      </c>
      <c r="E1546" s="9">
        <v>2211</v>
      </c>
      <c r="F1546" s="9">
        <v>19393</v>
      </c>
      <c r="G1546" s="9" t="s">
        <v>30</v>
      </c>
    </row>
    <row r="1547" spans="1:7" x14ac:dyDescent="0.2">
      <c r="A1547" t="s">
        <v>1569</v>
      </c>
      <c r="B1547" t="s">
        <v>1578</v>
      </c>
      <c r="C1547" t="s">
        <v>11405</v>
      </c>
      <c r="D1547" t="e">
        <v>#N/A</v>
      </c>
      <c r="E1547" s="9" t="s">
        <v>30</v>
      </c>
      <c r="F1547" s="9" t="s">
        <v>30</v>
      </c>
      <c r="G1547" s="9" t="s">
        <v>30</v>
      </c>
    </row>
    <row r="1548" spans="1:7" x14ac:dyDescent="0.2">
      <c r="A1548" t="s">
        <v>1569</v>
      </c>
      <c r="B1548" t="s">
        <v>1579</v>
      </c>
      <c r="C1548" t="s">
        <v>10539</v>
      </c>
      <c r="D1548" t="s">
        <v>9715</v>
      </c>
      <c r="E1548" s="9" t="s">
        <v>30</v>
      </c>
      <c r="F1548" s="9" t="s">
        <v>30</v>
      </c>
      <c r="G1548" s="9" t="s">
        <v>30</v>
      </c>
    </row>
    <row r="1549" spans="1:7" x14ac:dyDescent="0.2">
      <c r="A1549" t="s">
        <v>1569</v>
      </c>
      <c r="B1549" t="s">
        <v>1580</v>
      </c>
      <c r="C1549" t="s">
        <v>11406</v>
      </c>
      <c r="D1549" t="e">
        <v>#N/A</v>
      </c>
      <c r="E1549" s="9">
        <v>1298</v>
      </c>
      <c r="F1549" s="9">
        <v>19224</v>
      </c>
      <c r="G1549" s="9" t="s">
        <v>30</v>
      </c>
    </row>
    <row r="1550" spans="1:7" x14ac:dyDescent="0.2">
      <c r="A1550" t="s">
        <v>1569</v>
      </c>
      <c r="B1550" t="s">
        <v>1581</v>
      </c>
      <c r="C1550" t="s">
        <v>11407</v>
      </c>
      <c r="D1550" t="e">
        <v>#N/A</v>
      </c>
      <c r="E1550" s="9">
        <v>2759</v>
      </c>
      <c r="F1550" s="9">
        <v>11454</v>
      </c>
      <c r="G1550" s="9" t="s">
        <v>30</v>
      </c>
    </row>
    <row r="1551" spans="1:7" x14ac:dyDescent="0.2">
      <c r="A1551" t="s">
        <v>1569</v>
      </c>
      <c r="B1551" t="s">
        <v>1582</v>
      </c>
      <c r="C1551" t="s">
        <v>11408</v>
      </c>
      <c r="D1551" t="e">
        <v>#N/A</v>
      </c>
      <c r="E1551" s="9">
        <v>943</v>
      </c>
      <c r="F1551" s="9">
        <v>14911</v>
      </c>
      <c r="G1551" s="9" t="s">
        <v>30</v>
      </c>
    </row>
    <row r="1552" spans="1:7" x14ac:dyDescent="0.2">
      <c r="A1552" t="s">
        <v>1569</v>
      </c>
      <c r="B1552" t="s">
        <v>1583</v>
      </c>
      <c r="C1552" t="s">
        <v>11409</v>
      </c>
      <c r="D1552" t="e">
        <v>#N/A</v>
      </c>
      <c r="E1552" s="9">
        <v>1383</v>
      </c>
      <c r="F1552" s="9">
        <v>12070</v>
      </c>
      <c r="G1552" s="9" t="s">
        <v>30</v>
      </c>
    </row>
    <row r="1553" spans="1:7" x14ac:dyDescent="0.2">
      <c r="A1553" t="s">
        <v>1569</v>
      </c>
      <c r="B1553" t="s">
        <v>1584</v>
      </c>
      <c r="C1553" t="s">
        <v>11410</v>
      </c>
      <c r="D1553" t="e">
        <v>#N/A</v>
      </c>
      <c r="E1553" s="9">
        <v>81</v>
      </c>
      <c r="F1553" s="9">
        <v>12985</v>
      </c>
      <c r="G1553" s="9" t="s">
        <v>30</v>
      </c>
    </row>
    <row r="1554" spans="1:7" x14ac:dyDescent="0.2">
      <c r="A1554" t="s">
        <v>1569</v>
      </c>
      <c r="B1554" t="s">
        <v>1585</v>
      </c>
      <c r="C1554" t="s">
        <v>10545</v>
      </c>
      <c r="D1554" t="s">
        <v>9715</v>
      </c>
      <c r="E1554" s="9">
        <v>1744</v>
      </c>
      <c r="F1554" s="9">
        <v>10704</v>
      </c>
      <c r="G1554" s="9" t="s">
        <v>30</v>
      </c>
    </row>
    <row r="1555" spans="1:7" x14ac:dyDescent="0.2">
      <c r="A1555" t="s">
        <v>1569</v>
      </c>
      <c r="B1555" t="s">
        <v>1586</v>
      </c>
      <c r="C1555" t="s">
        <v>11411</v>
      </c>
      <c r="D1555" t="e">
        <v>#N/A</v>
      </c>
      <c r="E1555" s="9">
        <v>228</v>
      </c>
      <c r="F1555" s="9">
        <v>30757</v>
      </c>
      <c r="G1555" s="9" t="s">
        <v>30</v>
      </c>
    </row>
    <row r="1556" spans="1:7" x14ac:dyDescent="0.2">
      <c r="A1556" t="s">
        <v>1569</v>
      </c>
      <c r="B1556" t="s">
        <v>1587</v>
      </c>
      <c r="C1556" t="s">
        <v>10548</v>
      </c>
      <c r="D1556" t="s">
        <v>9715</v>
      </c>
      <c r="E1556" s="9">
        <v>252</v>
      </c>
      <c r="F1556" s="9">
        <v>9628</v>
      </c>
      <c r="G1556" s="9" t="s">
        <v>30</v>
      </c>
    </row>
    <row r="1557" spans="1:7" x14ac:dyDescent="0.2">
      <c r="A1557" t="s">
        <v>1569</v>
      </c>
      <c r="B1557" t="s">
        <v>1588</v>
      </c>
      <c r="C1557" t="s">
        <v>10549</v>
      </c>
      <c r="D1557" t="s">
        <v>9715</v>
      </c>
      <c r="E1557" s="9">
        <v>636</v>
      </c>
      <c r="F1557" s="9">
        <v>12192</v>
      </c>
      <c r="G1557" s="9" t="s">
        <v>30</v>
      </c>
    </row>
    <row r="1558" spans="1:7" x14ac:dyDescent="0.2">
      <c r="A1558" t="s">
        <v>1569</v>
      </c>
      <c r="B1558" t="s">
        <v>1589</v>
      </c>
      <c r="C1558" t="s">
        <v>10550</v>
      </c>
      <c r="D1558" t="s">
        <v>9715</v>
      </c>
      <c r="E1558" s="9">
        <v>638</v>
      </c>
      <c r="F1558" s="9">
        <v>12364</v>
      </c>
      <c r="G1558" s="9" t="s">
        <v>30</v>
      </c>
    </row>
    <row r="1559" spans="1:7" x14ac:dyDescent="0.2">
      <c r="A1559" t="s">
        <v>1569</v>
      </c>
      <c r="B1559" t="s">
        <v>1590</v>
      </c>
      <c r="C1559" t="s">
        <v>10551</v>
      </c>
      <c r="D1559" t="s">
        <v>9715</v>
      </c>
      <c r="E1559" s="9">
        <v>501</v>
      </c>
      <c r="F1559" s="9">
        <v>11056</v>
      </c>
      <c r="G1559" s="9" t="s">
        <v>30</v>
      </c>
    </row>
    <row r="1560" spans="1:7" x14ac:dyDescent="0.2">
      <c r="A1560" t="s">
        <v>1569</v>
      </c>
      <c r="B1560" t="s">
        <v>1591</v>
      </c>
      <c r="C1560" t="s">
        <v>11412</v>
      </c>
      <c r="D1560" t="e">
        <v>#N/A</v>
      </c>
      <c r="E1560" s="9" t="s">
        <v>30</v>
      </c>
      <c r="F1560" s="9" t="s">
        <v>30</v>
      </c>
      <c r="G1560" s="9" t="s">
        <v>30</v>
      </c>
    </row>
    <row r="1561" spans="1:7" x14ac:dyDescent="0.2">
      <c r="A1561" t="s">
        <v>1569</v>
      </c>
      <c r="B1561" t="s">
        <v>1592</v>
      </c>
      <c r="C1561" t="s">
        <v>10547</v>
      </c>
      <c r="D1561" t="s">
        <v>9715</v>
      </c>
      <c r="E1561" s="9">
        <v>1550</v>
      </c>
      <c r="F1561" s="9">
        <v>10273</v>
      </c>
      <c r="G1561" s="9" t="s">
        <v>30</v>
      </c>
    </row>
    <row r="1562" spans="1:7" x14ac:dyDescent="0.2">
      <c r="A1562" t="s">
        <v>1569</v>
      </c>
      <c r="B1562" t="s">
        <v>1593</v>
      </c>
      <c r="C1562" t="s">
        <v>11413</v>
      </c>
      <c r="D1562" t="e">
        <v>#N/A</v>
      </c>
      <c r="E1562" s="9">
        <v>10953</v>
      </c>
      <c r="F1562" s="9">
        <v>55207</v>
      </c>
      <c r="G1562" s="9" t="s">
        <v>30</v>
      </c>
    </row>
    <row r="1563" spans="1:7" x14ac:dyDescent="0.2">
      <c r="A1563" t="s">
        <v>1569</v>
      </c>
      <c r="B1563" t="s">
        <v>1594</v>
      </c>
      <c r="C1563" t="s">
        <v>11414</v>
      </c>
      <c r="D1563" t="e">
        <v>#N/A</v>
      </c>
      <c r="E1563" s="9">
        <v>1394</v>
      </c>
      <c r="F1563" s="9">
        <v>13206</v>
      </c>
      <c r="G1563" s="9" t="s">
        <v>30</v>
      </c>
    </row>
    <row r="1564" spans="1:7" x14ac:dyDescent="0.2">
      <c r="A1564" t="s">
        <v>1569</v>
      </c>
      <c r="B1564" t="s">
        <v>1595</v>
      </c>
      <c r="C1564" t="s">
        <v>11415</v>
      </c>
      <c r="D1564" t="e">
        <v>#N/A</v>
      </c>
      <c r="E1564" s="9">
        <v>1732</v>
      </c>
      <c r="F1564" s="9">
        <v>11289</v>
      </c>
      <c r="G1564" s="9" t="s">
        <v>30</v>
      </c>
    </row>
    <row r="1565" spans="1:7" x14ac:dyDescent="0.2">
      <c r="A1565" t="s">
        <v>1569</v>
      </c>
      <c r="B1565" t="s">
        <v>1596</v>
      </c>
      <c r="C1565" t="s">
        <v>11416</v>
      </c>
      <c r="D1565" t="e">
        <v>#N/A</v>
      </c>
      <c r="E1565" s="9">
        <v>2059</v>
      </c>
      <c r="F1565" s="9">
        <v>11198</v>
      </c>
      <c r="G1565" s="9" t="s">
        <v>30</v>
      </c>
    </row>
    <row r="1566" spans="1:7" x14ac:dyDescent="0.2">
      <c r="A1566" t="s">
        <v>1569</v>
      </c>
      <c r="B1566" t="s">
        <v>1597</v>
      </c>
      <c r="C1566" t="s">
        <v>10543</v>
      </c>
      <c r="D1566" t="s">
        <v>9715</v>
      </c>
      <c r="E1566" s="9">
        <v>307</v>
      </c>
      <c r="F1566" s="9">
        <v>11650</v>
      </c>
      <c r="G1566" s="9" t="s">
        <v>30</v>
      </c>
    </row>
    <row r="1567" spans="1:7" x14ac:dyDescent="0.2">
      <c r="A1567" t="s">
        <v>1569</v>
      </c>
      <c r="B1567" t="s">
        <v>1598</v>
      </c>
      <c r="C1567" t="s">
        <v>11417</v>
      </c>
      <c r="D1567" t="e">
        <v>#N/A</v>
      </c>
      <c r="E1567" s="9">
        <v>588</v>
      </c>
      <c r="F1567" s="9">
        <v>14838</v>
      </c>
      <c r="G1567" s="9" t="s">
        <v>30</v>
      </c>
    </row>
    <row r="1568" spans="1:7" x14ac:dyDescent="0.2">
      <c r="A1568" t="s">
        <v>1569</v>
      </c>
      <c r="B1568" t="s">
        <v>1599</v>
      </c>
      <c r="C1568" t="s">
        <v>11418</v>
      </c>
      <c r="D1568" t="e">
        <v>#N/A</v>
      </c>
      <c r="E1568" s="9">
        <v>2111</v>
      </c>
      <c r="F1568" s="9">
        <v>8709</v>
      </c>
      <c r="G1568" s="9" t="s">
        <v>30</v>
      </c>
    </row>
    <row r="1569" spans="1:7" x14ac:dyDescent="0.2">
      <c r="A1569" t="s">
        <v>1569</v>
      </c>
      <c r="B1569" t="s">
        <v>1600</v>
      </c>
      <c r="C1569" t="s">
        <v>10540</v>
      </c>
      <c r="D1569" t="s">
        <v>9715</v>
      </c>
      <c r="E1569" s="9">
        <v>423</v>
      </c>
      <c r="F1569" s="9">
        <v>9470</v>
      </c>
      <c r="G1569" s="9" t="s">
        <v>30</v>
      </c>
    </row>
    <row r="1570" spans="1:7" x14ac:dyDescent="0.2">
      <c r="A1570" t="s">
        <v>1569</v>
      </c>
      <c r="B1570" t="s">
        <v>1601</v>
      </c>
      <c r="C1570" t="s">
        <v>10541</v>
      </c>
      <c r="D1570" t="s">
        <v>9715</v>
      </c>
      <c r="E1570" s="9">
        <v>364</v>
      </c>
      <c r="F1570" s="9">
        <v>10248</v>
      </c>
      <c r="G1570" s="9" t="s">
        <v>30</v>
      </c>
    </row>
    <row r="1571" spans="1:7" x14ac:dyDescent="0.2">
      <c r="A1571" t="s">
        <v>1569</v>
      </c>
      <c r="B1571" t="s">
        <v>1602</v>
      </c>
      <c r="C1571" t="s">
        <v>10542</v>
      </c>
      <c r="D1571" t="s">
        <v>9715</v>
      </c>
      <c r="E1571" s="9">
        <v>255</v>
      </c>
      <c r="F1571" s="9">
        <v>7776</v>
      </c>
      <c r="G1571" s="9" t="s">
        <v>30</v>
      </c>
    </row>
    <row r="1572" spans="1:7" x14ac:dyDescent="0.2">
      <c r="A1572" t="s">
        <v>1569</v>
      </c>
      <c r="B1572" t="s">
        <v>1603</v>
      </c>
      <c r="C1572" t="s">
        <v>11419</v>
      </c>
      <c r="D1572" t="e">
        <v>#N/A</v>
      </c>
      <c r="E1572" s="9">
        <v>5607</v>
      </c>
      <c r="F1572" s="9">
        <v>56193</v>
      </c>
      <c r="G1572" s="9" t="s">
        <v>30</v>
      </c>
    </row>
    <row r="1573" spans="1:7" x14ac:dyDescent="0.2">
      <c r="A1573" t="s">
        <v>1604</v>
      </c>
      <c r="B1573" t="s">
        <v>1605</v>
      </c>
      <c r="C1573" t="s">
        <v>10555</v>
      </c>
      <c r="D1573" t="s">
        <v>9715</v>
      </c>
      <c r="E1573" s="9">
        <v>1827</v>
      </c>
      <c r="F1573" s="9">
        <v>12494</v>
      </c>
      <c r="G1573" s="9" t="s">
        <v>30</v>
      </c>
    </row>
    <row r="1574" spans="1:7" x14ac:dyDescent="0.2">
      <c r="A1574" t="s">
        <v>1604</v>
      </c>
      <c r="B1574" t="s">
        <v>1606</v>
      </c>
      <c r="C1574" t="s">
        <v>10574</v>
      </c>
      <c r="D1574" t="s">
        <v>9715</v>
      </c>
      <c r="E1574" s="9">
        <v>3093</v>
      </c>
      <c r="F1574" s="9">
        <v>17945</v>
      </c>
      <c r="G1574" s="9" t="s">
        <v>30</v>
      </c>
    </row>
    <row r="1575" spans="1:7" x14ac:dyDescent="0.2">
      <c r="A1575" t="s">
        <v>1604</v>
      </c>
      <c r="B1575" t="s">
        <v>1607</v>
      </c>
      <c r="C1575" t="s">
        <v>10564</v>
      </c>
      <c r="D1575" t="s">
        <v>9715</v>
      </c>
      <c r="E1575" s="9">
        <v>2569</v>
      </c>
      <c r="F1575" s="9">
        <v>15709</v>
      </c>
      <c r="G1575" s="9" t="s">
        <v>30</v>
      </c>
    </row>
    <row r="1576" spans="1:7" x14ac:dyDescent="0.2">
      <c r="A1576" t="s">
        <v>1604</v>
      </c>
      <c r="B1576" t="s">
        <v>1608</v>
      </c>
      <c r="C1576" t="s">
        <v>10571</v>
      </c>
      <c r="D1576" t="s">
        <v>9715</v>
      </c>
      <c r="E1576" s="9">
        <v>2219</v>
      </c>
      <c r="F1576" s="9">
        <v>14000</v>
      </c>
      <c r="G1576" s="9" t="s">
        <v>30</v>
      </c>
    </row>
    <row r="1577" spans="1:7" x14ac:dyDescent="0.2">
      <c r="A1577" t="s">
        <v>1604</v>
      </c>
      <c r="B1577" t="s">
        <v>1609</v>
      </c>
      <c r="C1577" t="s">
        <v>10556</v>
      </c>
      <c r="D1577" t="s">
        <v>9715</v>
      </c>
      <c r="E1577" s="9">
        <v>2328</v>
      </c>
      <c r="F1577" s="9">
        <v>11336</v>
      </c>
      <c r="G1577" s="9" t="s">
        <v>30</v>
      </c>
    </row>
    <row r="1578" spans="1:7" x14ac:dyDescent="0.2">
      <c r="A1578" t="s">
        <v>1604</v>
      </c>
      <c r="B1578" t="s">
        <v>1610</v>
      </c>
      <c r="C1578" t="s">
        <v>10552</v>
      </c>
      <c r="D1578" t="s">
        <v>9715</v>
      </c>
      <c r="E1578" s="9">
        <v>2872</v>
      </c>
      <c r="F1578" s="9">
        <v>11963</v>
      </c>
      <c r="G1578" s="9" t="s">
        <v>30</v>
      </c>
    </row>
    <row r="1579" spans="1:7" x14ac:dyDescent="0.2">
      <c r="A1579" t="s">
        <v>1604</v>
      </c>
      <c r="B1579" t="s">
        <v>1611</v>
      </c>
      <c r="C1579" t="s">
        <v>10575</v>
      </c>
      <c r="D1579" t="s">
        <v>9715</v>
      </c>
      <c r="E1579" s="9">
        <v>1760</v>
      </c>
      <c r="F1579" s="9">
        <v>9851</v>
      </c>
      <c r="G1579" s="9" t="s">
        <v>30</v>
      </c>
    </row>
    <row r="1580" spans="1:7" x14ac:dyDescent="0.2">
      <c r="A1580" t="s">
        <v>1604</v>
      </c>
      <c r="B1580" t="s">
        <v>1612</v>
      </c>
      <c r="C1580" t="s">
        <v>10576</v>
      </c>
      <c r="D1580" t="s">
        <v>9715</v>
      </c>
      <c r="E1580" s="9">
        <v>3029</v>
      </c>
      <c r="F1580" s="9">
        <v>11341</v>
      </c>
      <c r="G1580" s="9" t="s">
        <v>30</v>
      </c>
    </row>
    <row r="1581" spans="1:7" x14ac:dyDescent="0.2">
      <c r="A1581" t="s">
        <v>1604</v>
      </c>
      <c r="B1581" t="s">
        <v>1613</v>
      </c>
      <c r="C1581" t="s">
        <v>11420</v>
      </c>
      <c r="D1581" t="e">
        <v>#N/A</v>
      </c>
      <c r="E1581" s="9">
        <v>2332</v>
      </c>
      <c r="F1581" s="9">
        <v>13057</v>
      </c>
      <c r="G1581" s="9" t="s">
        <v>30</v>
      </c>
    </row>
    <row r="1582" spans="1:7" x14ac:dyDescent="0.2">
      <c r="A1582" t="s">
        <v>1604</v>
      </c>
      <c r="B1582" t="s">
        <v>1614</v>
      </c>
      <c r="C1582" t="s">
        <v>10557</v>
      </c>
      <c r="D1582" t="s">
        <v>9715</v>
      </c>
      <c r="E1582" s="9" t="s">
        <v>30</v>
      </c>
      <c r="F1582" s="9" t="s">
        <v>30</v>
      </c>
      <c r="G1582" s="9" t="s">
        <v>30</v>
      </c>
    </row>
    <row r="1583" spans="1:7" x14ac:dyDescent="0.2">
      <c r="A1583" t="s">
        <v>1604</v>
      </c>
      <c r="B1583" t="s">
        <v>1615</v>
      </c>
      <c r="C1583" t="s">
        <v>11421</v>
      </c>
      <c r="D1583" t="e">
        <v>#N/A</v>
      </c>
      <c r="E1583" s="9">
        <v>1810</v>
      </c>
      <c r="F1583" s="9">
        <v>10822</v>
      </c>
      <c r="G1583" s="9" t="s">
        <v>30</v>
      </c>
    </row>
    <row r="1584" spans="1:7" x14ac:dyDescent="0.2">
      <c r="A1584" t="s">
        <v>1604</v>
      </c>
      <c r="B1584" t="s">
        <v>1616</v>
      </c>
      <c r="C1584" t="s">
        <v>10577</v>
      </c>
      <c r="D1584" t="s">
        <v>9715</v>
      </c>
      <c r="E1584" s="9">
        <v>104</v>
      </c>
      <c r="F1584" s="9">
        <v>12523</v>
      </c>
      <c r="G1584" s="9" t="s">
        <v>30</v>
      </c>
    </row>
    <row r="1585" spans="1:7" x14ac:dyDescent="0.2">
      <c r="A1585" t="s">
        <v>1604</v>
      </c>
      <c r="B1585" t="s">
        <v>1617</v>
      </c>
      <c r="C1585" t="s">
        <v>11422</v>
      </c>
      <c r="D1585" t="e">
        <v>#N/A</v>
      </c>
      <c r="E1585" s="9">
        <v>955</v>
      </c>
      <c r="F1585" s="9">
        <v>12619</v>
      </c>
      <c r="G1585" s="9" t="s">
        <v>30</v>
      </c>
    </row>
    <row r="1586" spans="1:7" x14ac:dyDescent="0.2">
      <c r="A1586" t="s">
        <v>1604</v>
      </c>
      <c r="B1586" t="s">
        <v>1618</v>
      </c>
      <c r="C1586" t="s">
        <v>11423</v>
      </c>
      <c r="D1586" t="e">
        <v>#N/A</v>
      </c>
      <c r="E1586" s="9">
        <v>1517</v>
      </c>
      <c r="F1586" s="9">
        <v>12786</v>
      </c>
      <c r="G1586" s="9" t="s">
        <v>30</v>
      </c>
    </row>
    <row r="1587" spans="1:7" x14ac:dyDescent="0.2">
      <c r="A1587" t="s">
        <v>1604</v>
      </c>
      <c r="B1587" t="s">
        <v>1619</v>
      </c>
      <c r="C1587" t="s">
        <v>11424</v>
      </c>
      <c r="D1587" t="e">
        <v>#N/A</v>
      </c>
      <c r="E1587" s="9">
        <v>1385</v>
      </c>
      <c r="F1587" s="9">
        <v>12192</v>
      </c>
      <c r="G1587" s="9" t="s">
        <v>30</v>
      </c>
    </row>
    <row r="1588" spans="1:7" x14ac:dyDescent="0.2">
      <c r="A1588" t="s">
        <v>1604</v>
      </c>
      <c r="B1588" t="s">
        <v>1620</v>
      </c>
      <c r="C1588" t="s">
        <v>10570</v>
      </c>
      <c r="D1588" t="s">
        <v>9715</v>
      </c>
      <c r="E1588" s="9">
        <v>390</v>
      </c>
      <c r="F1588" s="9">
        <v>9534</v>
      </c>
      <c r="G1588" s="9" t="s">
        <v>30</v>
      </c>
    </row>
    <row r="1589" spans="1:7" x14ac:dyDescent="0.2">
      <c r="A1589" t="s">
        <v>1604</v>
      </c>
      <c r="B1589" t="s">
        <v>1621</v>
      </c>
      <c r="C1589" t="s">
        <v>11425</v>
      </c>
      <c r="D1589" t="e">
        <v>#N/A</v>
      </c>
      <c r="E1589" s="9">
        <v>736</v>
      </c>
      <c r="F1589" s="9">
        <v>12358</v>
      </c>
      <c r="G1589" s="9" t="s">
        <v>30</v>
      </c>
    </row>
    <row r="1590" spans="1:7" x14ac:dyDescent="0.2">
      <c r="A1590" t="s">
        <v>1604</v>
      </c>
      <c r="B1590" t="s">
        <v>1322</v>
      </c>
      <c r="C1590" t="s">
        <v>10578</v>
      </c>
      <c r="D1590" t="s">
        <v>9715</v>
      </c>
      <c r="E1590" s="9">
        <v>384</v>
      </c>
      <c r="F1590" s="9">
        <v>9814</v>
      </c>
      <c r="G1590" s="9" t="s">
        <v>30</v>
      </c>
    </row>
    <row r="1591" spans="1:7" x14ac:dyDescent="0.2">
      <c r="A1591" t="s">
        <v>1604</v>
      </c>
      <c r="B1591" t="s">
        <v>1622</v>
      </c>
      <c r="C1591" t="s">
        <v>10579</v>
      </c>
      <c r="D1591" t="s">
        <v>9715</v>
      </c>
      <c r="E1591" s="9">
        <v>422</v>
      </c>
      <c r="F1591" s="9">
        <v>9152</v>
      </c>
      <c r="G1591" s="9" t="s">
        <v>30</v>
      </c>
    </row>
    <row r="1592" spans="1:7" x14ac:dyDescent="0.2">
      <c r="A1592" t="s">
        <v>1604</v>
      </c>
      <c r="B1592" t="s">
        <v>1623</v>
      </c>
      <c r="C1592" t="s">
        <v>10580</v>
      </c>
      <c r="D1592" t="s">
        <v>9715</v>
      </c>
      <c r="E1592" s="9">
        <v>672</v>
      </c>
      <c r="F1592" s="9">
        <v>12203</v>
      </c>
      <c r="G1592" s="9" t="s">
        <v>30</v>
      </c>
    </row>
    <row r="1593" spans="1:7" x14ac:dyDescent="0.2">
      <c r="A1593" t="s">
        <v>1604</v>
      </c>
      <c r="B1593" t="s">
        <v>1624</v>
      </c>
      <c r="C1593" t="s">
        <v>10572</v>
      </c>
      <c r="D1593" t="s">
        <v>9715</v>
      </c>
      <c r="E1593" s="9">
        <v>1038</v>
      </c>
      <c r="F1593" s="9">
        <v>14571</v>
      </c>
      <c r="G1593" s="9" t="s">
        <v>30</v>
      </c>
    </row>
    <row r="1594" spans="1:7" x14ac:dyDescent="0.2">
      <c r="A1594" t="s">
        <v>1604</v>
      </c>
      <c r="B1594" t="s">
        <v>1625</v>
      </c>
      <c r="C1594" t="s">
        <v>10573</v>
      </c>
      <c r="D1594" t="s">
        <v>9715</v>
      </c>
      <c r="E1594" s="9">
        <v>1018</v>
      </c>
      <c r="F1594" s="9">
        <v>15390</v>
      </c>
      <c r="G1594" s="9" t="s">
        <v>30</v>
      </c>
    </row>
    <row r="1595" spans="1:7" x14ac:dyDescent="0.2">
      <c r="A1595" t="s">
        <v>1604</v>
      </c>
      <c r="B1595" t="s">
        <v>1626</v>
      </c>
      <c r="C1595" t="s">
        <v>11426</v>
      </c>
      <c r="D1595" t="e">
        <v>#N/A</v>
      </c>
      <c r="E1595" s="9">
        <v>1189</v>
      </c>
      <c r="F1595" s="9">
        <v>11000</v>
      </c>
      <c r="G1595" s="9" t="s">
        <v>30</v>
      </c>
    </row>
    <row r="1596" spans="1:7" x14ac:dyDescent="0.2">
      <c r="A1596" t="s">
        <v>1604</v>
      </c>
      <c r="B1596" t="s">
        <v>1627</v>
      </c>
      <c r="C1596" t="s">
        <v>10558</v>
      </c>
      <c r="D1596" t="s">
        <v>9715</v>
      </c>
      <c r="E1596" s="9">
        <v>2368</v>
      </c>
      <c r="F1596" s="9">
        <v>12961</v>
      </c>
      <c r="G1596" s="9" t="s">
        <v>30</v>
      </c>
    </row>
    <row r="1597" spans="1:7" x14ac:dyDescent="0.2">
      <c r="A1597" t="s">
        <v>1604</v>
      </c>
      <c r="B1597" t="s">
        <v>1628</v>
      </c>
      <c r="C1597" t="s">
        <v>10559</v>
      </c>
      <c r="D1597" t="s">
        <v>9715</v>
      </c>
      <c r="E1597" s="9">
        <v>1321</v>
      </c>
      <c r="F1597" s="9">
        <v>15070</v>
      </c>
      <c r="G1597" s="9" t="s">
        <v>30</v>
      </c>
    </row>
    <row r="1598" spans="1:7" x14ac:dyDescent="0.2">
      <c r="A1598" t="s">
        <v>1604</v>
      </c>
      <c r="B1598" t="s">
        <v>1629</v>
      </c>
      <c r="C1598" t="s">
        <v>11427</v>
      </c>
      <c r="D1598" t="e">
        <v>#N/A</v>
      </c>
      <c r="E1598" s="9">
        <v>1426</v>
      </c>
      <c r="F1598" s="9">
        <v>10778</v>
      </c>
      <c r="G1598" s="9" t="s">
        <v>30</v>
      </c>
    </row>
    <row r="1599" spans="1:7" x14ac:dyDescent="0.2">
      <c r="A1599" t="s">
        <v>1604</v>
      </c>
      <c r="B1599" t="s">
        <v>1630</v>
      </c>
      <c r="C1599" t="s">
        <v>11428</v>
      </c>
      <c r="D1599" t="e">
        <v>#N/A</v>
      </c>
      <c r="E1599" s="9">
        <v>3709</v>
      </c>
      <c r="F1599" s="9">
        <v>13966</v>
      </c>
      <c r="G1599" s="9" t="s">
        <v>30</v>
      </c>
    </row>
    <row r="1600" spans="1:7" x14ac:dyDescent="0.2">
      <c r="A1600" t="s">
        <v>1604</v>
      </c>
      <c r="B1600" t="s">
        <v>1631</v>
      </c>
      <c r="C1600" t="s">
        <v>11429</v>
      </c>
      <c r="D1600" t="e">
        <v>#N/A</v>
      </c>
      <c r="E1600" s="9">
        <v>665</v>
      </c>
      <c r="F1600" s="9">
        <v>15839</v>
      </c>
      <c r="G1600" s="9" t="s">
        <v>30</v>
      </c>
    </row>
    <row r="1601" spans="1:7" x14ac:dyDescent="0.2">
      <c r="A1601" t="s">
        <v>1604</v>
      </c>
      <c r="B1601" t="s">
        <v>1632</v>
      </c>
      <c r="C1601" t="s">
        <v>10569</v>
      </c>
      <c r="D1601" t="s">
        <v>9715</v>
      </c>
      <c r="E1601" s="9">
        <v>2027</v>
      </c>
      <c r="F1601" s="9">
        <v>10464</v>
      </c>
      <c r="G1601" s="9" t="s">
        <v>30</v>
      </c>
    </row>
    <row r="1602" spans="1:7" x14ac:dyDescent="0.2">
      <c r="A1602" t="s">
        <v>1604</v>
      </c>
      <c r="B1602" t="s">
        <v>1633</v>
      </c>
      <c r="C1602" t="s">
        <v>11430</v>
      </c>
      <c r="D1602" t="e">
        <v>#N/A</v>
      </c>
      <c r="E1602" s="9">
        <v>1707</v>
      </c>
      <c r="F1602" s="9">
        <v>11176</v>
      </c>
      <c r="G1602" s="9" t="s">
        <v>30</v>
      </c>
    </row>
    <row r="1603" spans="1:7" x14ac:dyDescent="0.2">
      <c r="A1603" t="s">
        <v>1604</v>
      </c>
      <c r="B1603" t="s">
        <v>1634</v>
      </c>
      <c r="C1603" t="s">
        <v>10553</v>
      </c>
      <c r="D1603" t="s">
        <v>9715</v>
      </c>
      <c r="E1603" s="9">
        <v>1475</v>
      </c>
      <c r="F1603" s="9">
        <v>11302</v>
      </c>
      <c r="G1603" s="9" t="s">
        <v>30</v>
      </c>
    </row>
    <row r="1604" spans="1:7" x14ac:dyDescent="0.2">
      <c r="A1604" t="s">
        <v>1604</v>
      </c>
      <c r="B1604" t="s">
        <v>1635</v>
      </c>
      <c r="C1604" t="s">
        <v>10565</v>
      </c>
      <c r="D1604" t="s">
        <v>9715</v>
      </c>
      <c r="E1604" s="9">
        <v>1177</v>
      </c>
      <c r="F1604" s="9">
        <v>11937</v>
      </c>
      <c r="G1604" s="9" t="s">
        <v>30</v>
      </c>
    </row>
    <row r="1605" spans="1:7" x14ac:dyDescent="0.2">
      <c r="A1605" t="s">
        <v>1604</v>
      </c>
      <c r="B1605" t="s">
        <v>1636</v>
      </c>
      <c r="C1605" t="s">
        <v>10595</v>
      </c>
      <c r="D1605" t="s">
        <v>9715</v>
      </c>
      <c r="E1605" s="9">
        <v>1089</v>
      </c>
      <c r="F1605" s="9">
        <v>11914</v>
      </c>
      <c r="G1605" s="9" t="s">
        <v>30</v>
      </c>
    </row>
    <row r="1606" spans="1:7" x14ac:dyDescent="0.2">
      <c r="A1606" t="s">
        <v>1604</v>
      </c>
      <c r="B1606" t="s">
        <v>1637</v>
      </c>
      <c r="C1606" t="s">
        <v>10554</v>
      </c>
      <c r="D1606" t="s">
        <v>9715</v>
      </c>
      <c r="E1606" s="9">
        <v>1497</v>
      </c>
      <c r="F1606" s="9">
        <v>11346</v>
      </c>
      <c r="G1606" s="9" t="s">
        <v>30</v>
      </c>
    </row>
    <row r="1607" spans="1:7" x14ac:dyDescent="0.2">
      <c r="A1607" t="s">
        <v>1604</v>
      </c>
      <c r="B1607" t="s">
        <v>1638</v>
      </c>
      <c r="C1607" t="s">
        <v>10560</v>
      </c>
      <c r="D1607" t="s">
        <v>9715</v>
      </c>
      <c r="E1607" s="9">
        <v>1195</v>
      </c>
      <c r="F1607" s="9">
        <v>11635</v>
      </c>
      <c r="G1607" s="9" t="s">
        <v>30</v>
      </c>
    </row>
    <row r="1608" spans="1:7" x14ac:dyDescent="0.2">
      <c r="A1608" t="s">
        <v>1604</v>
      </c>
      <c r="B1608" t="s">
        <v>1639</v>
      </c>
      <c r="C1608" t="s">
        <v>11431</v>
      </c>
      <c r="D1608" t="e">
        <v>#N/A</v>
      </c>
      <c r="E1608" s="9">
        <v>1247</v>
      </c>
      <c r="F1608" s="9">
        <v>29544</v>
      </c>
      <c r="G1608" s="9" t="s">
        <v>30</v>
      </c>
    </row>
    <row r="1609" spans="1:7" x14ac:dyDescent="0.2">
      <c r="A1609" t="s">
        <v>1604</v>
      </c>
      <c r="B1609" t="s">
        <v>1640</v>
      </c>
      <c r="C1609" t="s">
        <v>10561</v>
      </c>
      <c r="D1609" t="s">
        <v>9715</v>
      </c>
      <c r="E1609" s="9" t="s">
        <v>30</v>
      </c>
      <c r="F1609" s="9" t="s">
        <v>30</v>
      </c>
      <c r="G1609" s="9" t="s">
        <v>30</v>
      </c>
    </row>
    <row r="1610" spans="1:7" x14ac:dyDescent="0.2">
      <c r="A1610" t="s">
        <v>1604</v>
      </c>
      <c r="B1610" t="s">
        <v>1641</v>
      </c>
      <c r="C1610" t="s">
        <v>11432</v>
      </c>
      <c r="D1610" t="e">
        <v>#N/A</v>
      </c>
      <c r="E1610" s="9">
        <v>857</v>
      </c>
      <c r="F1610" s="9">
        <v>15751</v>
      </c>
      <c r="G1610" s="9" t="s">
        <v>30</v>
      </c>
    </row>
    <row r="1611" spans="1:7" x14ac:dyDescent="0.2">
      <c r="A1611" t="s">
        <v>1604</v>
      </c>
      <c r="B1611" t="s">
        <v>1642</v>
      </c>
      <c r="C1611" t="s">
        <v>11433</v>
      </c>
      <c r="D1611" t="e">
        <v>#N/A</v>
      </c>
      <c r="E1611" s="9">
        <v>1697</v>
      </c>
      <c r="F1611" s="9">
        <v>17291</v>
      </c>
      <c r="G1611" s="9" t="s">
        <v>30</v>
      </c>
    </row>
    <row r="1612" spans="1:7" x14ac:dyDescent="0.2">
      <c r="A1612" t="s">
        <v>1604</v>
      </c>
      <c r="B1612" t="s">
        <v>1643</v>
      </c>
      <c r="C1612" t="s">
        <v>11434</v>
      </c>
      <c r="D1612" t="e">
        <v>#N/A</v>
      </c>
      <c r="E1612" s="9">
        <v>217</v>
      </c>
      <c r="F1612" s="9">
        <v>13039</v>
      </c>
      <c r="G1612" s="9" t="s">
        <v>30</v>
      </c>
    </row>
    <row r="1613" spans="1:7" x14ac:dyDescent="0.2">
      <c r="A1613" t="s">
        <v>1604</v>
      </c>
      <c r="B1613" t="s">
        <v>1644</v>
      </c>
      <c r="C1613" t="s">
        <v>11435</v>
      </c>
      <c r="D1613" t="e">
        <v>#N/A</v>
      </c>
      <c r="E1613" s="9">
        <v>516</v>
      </c>
      <c r="F1613" s="9">
        <v>15027</v>
      </c>
      <c r="G1613" s="9" t="s">
        <v>30</v>
      </c>
    </row>
    <row r="1614" spans="1:7" x14ac:dyDescent="0.2">
      <c r="A1614" t="s">
        <v>1604</v>
      </c>
      <c r="B1614" t="s">
        <v>1645</v>
      </c>
      <c r="C1614" t="s">
        <v>10562</v>
      </c>
      <c r="D1614" t="s">
        <v>9715</v>
      </c>
      <c r="E1614" s="9" t="s">
        <v>30</v>
      </c>
      <c r="F1614" s="9" t="s">
        <v>30</v>
      </c>
      <c r="G1614" s="9" t="s">
        <v>30</v>
      </c>
    </row>
    <row r="1615" spans="1:7" x14ac:dyDescent="0.2">
      <c r="A1615" t="s">
        <v>1604</v>
      </c>
      <c r="B1615" t="s">
        <v>1646</v>
      </c>
      <c r="C1615" t="s">
        <v>11436</v>
      </c>
      <c r="D1615" t="e">
        <v>#N/A</v>
      </c>
      <c r="E1615" s="9">
        <v>3475</v>
      </c>
      <c r="F1615" s="9">
        <v>11547</v>
      </c>
      <c r="G1615" s="9" t="s">
        <v>30</v>
      </c>
    </row>
    <row r="1616" spans="1:7" x14ac:dyDescent="0.2">
      <c r="A1616" t="s">
        <v>1604</v>
      </c>
      <c r="B1616" t="s">
        <v>1647</v>
      </c>
      <c r="C1616" t="s">
        <v>11437</v>
      </c>
      <c r="D1616" t="e">
        <v>#N/A</v>
      </c>
      <c r="E1616" s="9" t="s">
        <v>30</v>
      </c>
      <c r="F1616" s="9" t="s">
        <v>30</v>
      </c>
      <c r="G1616" s="9" t="s">
        <v>30</v>
      </c>
    </row>
    <row r="1617" spans="1:7" x14ac:dyDescent="0.2">
      <c r="A1617" t="s">
        <v>1604</v>
      </c>
      <c r="B1617" t="s">
        <v>1648</v>
      </c>
      <c r="C1617" t="s">
        <v>11438</v>
      </c>
      <c r="D1617" t="e">
        <v>#N/A</v>
      </c>
      <c r="E1617" s="9">
        <v>1123</v>
      </c>
      <c r="F1617" s="9">
        <v>10689</v>
      </c>
      <c r="G1617" s="9" t="s">
        <v>30</v>
      </c>
    </row>
    <row r="1618" spans="1:7" x14ac:dyDescent="0.2">
      <c r="A1618" t="s">
        <v>1604</v>
      </c>
      <c r="B1618" t="s">
        <v>1649</v>
      </c>
      <c r="C1618" t="s">
        <v>11439</v>
      </c>
      <c r="D1618" t="e">
        <v>#N/A</v>
      </c>
      <c r="E1618" s="9">
        <v>1501</v>
      </c>
      <c r="F1618" s="9">
        <v>11492</v>
      </c>
      <c r="G1618" s="9" t="s">
        <v>30</v>
      </c>
    </row>
    <row r="1619" spans="1:7" x14ac:dyDescent="0.2">
      <c r="A1619" t="s">
        <v>1604</v>
      </c>
      <c r="B1619" t="s">
        <v>1650</v>
      </c>
      <c r="C1619" t="s">
        <v>11440</v>
      </c>
      <c r="D1619" t="e">
        <v>#N/A</v>
      </c>
      <c r="E1619" s="9">
        <v>223</v>
      </c>
      <c r="F1619" s="9">
        <v>9859</v>
      </c>
      <c r="G1619" s="9" t="s">
        <v>30</v>
      </c>
    </row>
    <row r="1620" spans="1:7" x14ac:dyDescent="0.2">
      <c r="A1620" t="s">
        <v>1604</v>
      </c>
      <c r="B1620" t="s">
        <v>1651</v>
      </c>
      <c r="C1620" t="s">
        <v>11441</v>
      </c>
      <c r="D1620" t="e">
        <v>#N/A</v>
      </c>
      <c r="E1620" s="9">
        <v>2362</v>
      </c>
      <c r="F1620" s="9">
        <v>12497</v>
      </c>
      <c r="G1620" s="9" t="s">
        <v>30</v>
      </c>
    </row>
    <row r="1621" spans="1:7" x14ac:dyDescent="0.2">
      <c r="A1621" t="s">
        <v>1604</v>
      </c>
      <c r="B1621" t="s">
        <v>1652</v>
      </c>
      <c r="C1621" t="s">
        <v>11442</v>
      </c>
      <c r="D1621" t="e">
        <v>#N/A</v>
      </c>
      <c r="E1621" s="9">
        <v>794</v>
      </c>
      <c r="F1621" s="9">
        <v>16630</v>
      </c>
      <c r="G1621" s="9" t="s">
        <v>30</v>
      </c>
    </row>
    <row r="1622" spans="1:7" x14ac:dyDescent="0.2">
      <c r="A1622" t="s">
        <v>1604</v>
      </c>
      <c r="B1622" t="s">
        <v>1653</v>
      </c>
      <c r="C1622" t="s">
        <v>11443</v>
      </c>
      <c r="D1622" t="e">
        <v>#N/A</v>
      </c>
      <c r="E1622" s="9">
        <v>7777</v>
      </c>
      <c r="F1622" s="9">
        <v>16592</v>
      </c>
      <c r="G1622" s="9" t="s">
        <v>30</v>
      </c>
    </row>
    <row r="1623" spans="1:7" x14ac:dyDescent="0.2">
      <c r="A1623" t="s">
        <v>1604</v>
      </c>
      <c r="B1623" t="s">
        <v>1654</v>
      </c>
      <c r="C1623" t="s">
        <v>11444</v>
      </c>
      <c r="D1623" t="e">
        <v>#N/A</v>
      </c>
      <c r="E1623" s="9" t="s">
        <v>30</v>
      </c>
      <c r="F1623" s="9" t="s">
        <v>30</v>
      </c>
      <c r="G1623" s="9" t="s">
        <v>30</v>
      </c>
    </row>
    <row r="1624" spans="1:7" x14ac:dyDescent="0.2">
      <c r="A1624" t="s">
        <v>1604</v>
      </c>
      <c r="B1624" t="s">
        <v>1655</v>
      </c>
      <c r="C1624" t="s">
        <v>11445</v>
      </c>
      <c r="D1624" t="e">
        <v>#N/A</v>
      </c>
      <c r="E1624" s="9">
        <v>950</v>
      </c>
      <c r="F1624" s="9">
        <v>11136</v>
      </c>
      <c r="G1624" s="9" t="s">
        <v>30</v>
      </c>
    </row>
    <row r="1625" spans="1:7" x14ac:dyDescent="0.2">
      <c r="A1625" t="s">
        <v>1604</v>
      </c>
      <c r="B1625" t="s">
        <v>1656</v>
      </c>
      <c r="C1625" t="s">
        <v>11446</v>
      </c>
      <c r="D1625" t="e">
        <v>#N/A</v>
      </c>
      <c r="E1625" s="9">
        <v>1718</v>
      </c>
      <c r="F1625" s="9">
        <v>4104</v>
      </c>
      <c r="G1625" s="9" t="s">
        <v>30</v>
      </c>
    </row>
    <row r="1626" spans="1:7" x14ac:dyDescent="0.2">
      <c r="A1626" t="s">
        <v>1604</v>
      </c>
      <c r="B1626" t="s">
        <v>1657</v>
      </c>
      <c r="C1626" t="s">
        <v>11447</v>
      </c>
      <c r="D1626" t="e">
        <v>#N/A</v>
      </c>
      <c r="E1626" s="9">
        <v>894</v>
      </c>
      <c r="F1626" s="9">
        <v>22873</v>
      </c>
      <c r="G1626" s="9" t="s">
        <v>30</v>
      </c>
    </row>
    <row r="1627" spans="1:7" x14ac:dyDescent="0.2">
      <c r="A1627" t="s">
        <v>1604</v>
      </c>
      <c r="B1627" t="s">
        <v>1658</v>
      </c>
      <c r="C1627" t="s">
        <v>10596</v>
      </c>
      <c r="D1627" t="s">
        <v>9715</v>
      </c>
      <c r="E1627" s="9">
        <v>4044</v>
      </c>
      <c r="F1627" s="9">
        <v>13953</v>
      </c>
      <c r="G1627" s="9" t="s">
        <v>30</v>
      </c>
    </row>
    <row r="1628" spans="1:7" x14ac:dyDescent="0.2">
      <c r="A1628" t="s">
        <v>1604</v>
      </c>
      <c r="B1628" t="s">
        <v>1659</v>
      </c>
      <c r="C1628" t="s">
        <v>10581</v>
      </c>
      <c r="D1628" t="s">
        <v>9715</v>
      </c>
      <c r="E1628" s="9">
        <v>1860</v>
      </c>
      <c r="F1628" s="9">
        <v>11551</v>
      </c>
      <c r="G1628" s="9" t="s">
        <v>30</v>
      </c>
    </row>
    <row r="1629" spans="1:7" x14ac:dyDescent="0.2">
      <c r="A1629" t="s">
        <v>1604</v>
      </c>
      <c r="B1629" t="s">
        <v>1660</v>
      </c>
      <c r="C1629" t="s">
        <v>10582</v>
      </c>
      <c r="D1629" t="s">
        <v>9715</v>
      </c>
      <c r="E1629" s="9">
        <v>2019</v>
      </c>
      <c r="F1629" s="9">
        <v>10883</v>
      </c>
      <c r="G1629" s="9" t="s">
        <v>30</v>
      </c>
    </row>
    <row r="1630" spans="1:7" x14ac:dyDescent="0.2">
      <c r="A1630" t="s">
        <v>1604</v>
      </c>
      <c r="B1630" t="s">
        <v>1661</v>
      </c>
      <c r="C1630" t="s">
        <v>10583</v>
      </c>
      <c r="D1630" t="s">
        <v>9715</v>
      </c>
      <c r="E1630" s="9">
        <v>1637</v>
      </c>
      <c r="F1630" s="9">
        <v>10671</v>
      </c>
      <c r="G1630" s="9" t="s">
        <v>30</v>
      </c>
    </row>
    <row r="1631" spans="1:7" x14ac:dyDescent="0.2">
      <c r="A1631" t="s">
        <v>1604</v>
      </c>
      <c r="B1631" t="s">
        <v>1662</v>
      </c>
      <c r="C1631" t="s">
        <v>10584</v>
      </c>
      <c r="D1631" t="s">
        <v>9715</v>
      </c>
      <c r="E1631" s="9">
        <v>2206</v>
      </c>
      <c r="F1631" s="9">
        <v>10270</v>
      </c>
      <c r="G1631" s="9" t="s">
        <v>30</v>
      </c>
    </row>
    <row r="1632" spans="1:7" x14ac:dyDescent="0.2">
      <c r="A1632" t="s">
        <v>1604</v>
      </c>
      <c r="B1632" t="s">
        <v>1663</v>
      </c>
      <c r="C1632" t="s">
        <v>10585</v>
      </c>
      <c r="D1632" t="s">
        <v>9715</v>
      </c>
      <c r="E1632" s="9">
        <v>1846</v>
      </c>
      <c r="F1632" s="9">
        <v>11883</v>
      </c>
      <c r="G1632" s="9" t="s">
        <v>30</v>
      </c>
    </row>
    <row r="1633" spans="1:7" x14ac:dyDescent="0.2">
      <c r="A1633" t="s">
        <v>1604</v>
      </c>
      <c r="B1633" t="s">
        <v>1664</v>
      </c>
      <c r="C1633" t="s">
        <v>10586</v>
      </c>
      <c r="D1633" t="s">
        <v>9715</v>
      </c>
      <c r="E1633" s="9">
        <v>1788</v>
      </c>
      <c r="F1633" s="9">
        <v>10772</v>
      </c>
      <c r="G1633" s="9" t="s">
        <v>30</v>
      </c>
    </row>
    <row r="1634" spans="1:7" x14ac:dyDescent="0.2">
      <c r="A1634" t="s">
        <v>1604</v>
      </c>
      <c r="B1634" t="s">
        <v>1665</v>
      </c>
      <c r="C1634" t="s">
        <v>10566</v>
      </c>
      <c r="D1634" t="s">
        <v>9715</v>
      </c>
      <c r="E1634" s="9">
        <v>1955</v>
      </c>
      <c r="F1634" s="9">
        <v>10903</v>
      </c>
      <c r="G1634" s="9" t="s">
        <v>30</v>
      </c>
    </row>
    <row r="1635" spans="1:7" x14ac:dyDescent="0.2">
      <c r="A1635" t="s">
        <v>1604</v>
      </c>
      <c r="B1635" t="s">
        <v>1666</v>
      </c>
      <c r="C1635" t="s">
        <v>10587</v>
      </c>
      <c r="D1635" t="s">
        <v>9715</v>
      </c>
      <c r="E1635" s="9">
        <v>1538</v>
      </c>
      <c r="F1635" s="9">
        <v>10244</v>
      </c>
      <c r="G1635" s="9" t="s">
        <v>30</v>
      </c>
    </row>
    <row r="1636" spans="1:7" x14ac:dyDescent="0.2">
      <c r="A1636" t="s">
        <v>1604</v>
      </c>
      <c r="B1636" t="s">
        <v>1667</v>
      </c>
      <c r="C1636" t="s">
        <v>10588</v>
      </c>
      <c r="D1636" t="s">
        <v>9715</v>
      </c>
      <c r="E1636" s="9">
        <v>2046</v>
      </c>
      <c r="F1636" s="9">
        <v>12616</v>
      </c>
      <c r="G1636" s="9" t="s">
        <v>30</v>
      </c>
    </row>
    <row r="1637" spans="1:7" x14ac:dyDescent="0.2">
      <c r="A1637" t="s">
        <v>1604</v>
      </c>
      <c r="B1637" t="s">
        <v>1668</v>
      </c>
      <c r="C1637" t="s">
        <v>10567</v>
      </c>
      <c r="D1637" t="s">
        <v>9715</v>
      </c>
      <c r="E1637" s="9">
        <v>1656</v>
      </c>
      <c r="F1637" s="9">
        <v>10408</v>
      </c>
      <c r="G1637" s="9" t="s">
        <v>30</v>
      </c>
    </row>
    <row r="1638" spans="1:7" x14ac:dyDescent="0.2">
      <c r="A1638" t="s">
        <v>1604</v>
      </c>
      <c r="B1638" t="s">
        <v>1669</v>
      </c>
      <c r="C1638" t="s">
        <v>10563</v>
      </c>
      <c r="D1638" t="s">
        <v>9715</v>
      </c>
      <c r="E1638" s="9" t="s">
        <v>30</v>
      </c>
      <c r="F1638" s="9" t="s">
        <v>30</v>
      </c>
      <c r="G1638" s="9" t="s">
        <v>30</v>
      </c>
    </row>
    <row r="1639" spans="1:7" x14ac:dyDescent="0.2">
      <c r="A1639" t="s">
        <v>1604</v>
      </c>
      <c r="B1639" t="s">
        <v>1670</v>
      </c>
      <c r="C1639" t="s">
        <v>11448</v>
      </c>
      <c r="D1639" t="e">
        <v>#N/A</v>
      </c>
      <c r="E1639" s="9">
        <v>1212</v>
      </c>
      <c r="F1639" s="9">
        <v>14721</v>
      </c>
      <c r="G1639" s="9" t="s">
        <v>30</v>
      </c>
    </row>
    <row r="1640" spans="1:7" x14ac:dyDescent="0.2">
      <c r="A1640" t="s">
        <v>1604</v>
      </c>
      <c r="B1640" t="s">
        <v>1671</v>
      </c>
      <c r="C1640" t="s">
        <v>11449</v>
      </c>
      <c r="D1640" t="e">
        <v>#N/A</v>
      </c>
      <c r="E1640" s="9">
        <v>3762</v>
      </c>
      <c r="F1640" s="9">
        <v>72527</v>
      </c>
      <c r="G1640" s="9" t="s">
        <v>30</v>
      </c>
    </row>
    <row r="1641" spans="1:7" x14ac:dyDescent="0.2">
      <c r="A1641" t="s">
        <v>1604</v>
      </c>
      <c r="B1641" t="s">
        <v>1672</v>
      </c>
      <c r="C1641" t="s">
        <v>11450</v>
      </c>
      <c r="D1641" t="e">
        <v>#N/A</v>
      </c>
      <c r="E1641" s="9">
        <v>1017</v>
      </c>
      <c r="F1641" s="9">
        <v>19614</v>
      </c>
      <c r="G1641" s="9" t="s">
        <v>30</v>
      </c>
    </row>
    <row r="1642" spans="1:7" x14ac:dyDescent="0.2">
      <c r="A1642" t="s">
        <v>1604</v>
      </c>
      <c r="B1642" t="s">
        <v>1673</v>
      </c>
      <c r="C1642" t="s">
        <v>11451</v>
      </c>
      <c r="D1642" t="e">
        <v>#N/A</v>
      </c>
      <c r="E1642" s="9">
        <v>677</v>
      </c>
      <c r="F1642" s="9">
        <v>18336</v>
      </c>
      <c r="G1642" s="9" t="s">
        <v>30</v>
      </c>
    </row>
    <row r="1643" spans="1:7" x14ac:dyDescent="0.2">
      <c r="A1643" t="s">
        <v>1604</v>
      </c>
      <c r="B1643" t="s">
        <v>1674</v>
      </c>
      <c r="C1643" t="s">
        <v>10589</v>
      </c>
      <c r="D1643" t="s">
        <v>9715</v>
      </c>
      <c r="E1643" s="9">
        <v>897</v>
      </c>
      <c r="F1643" s="9">
        <v>13049</v>
      </c>
      <c r="G1643" s="9" t="s">
        <v>30</v>
      </c>
    </row>
    <row r="1644" spans="1:7" x14ac:dyDescent="0.2">
      <c r="A1644" t="s">
        <v>1604</v>
      </c>
      <c r="B1644" t="s">
        <v>1675</v>
      </c>
      <c r="C1644" t="s">
        <v>10590</v>
      </c>
      <c r="D1644" t="s">
        <v>9715</v>
      </c>
      <c r="E1644" s="9">
        <v>883</v>
      </c>
      <c r="F1644" s="9">
        <v>10412</v>
      </c>
      <c r="G1644" s="9" t="s">
        <v>30</v>
      </c>
    </row>
    <row r="1645" spans="1:7" x14ac:dyDescent="0.2">
      <c r="A1645" t="s">
        <v>1604</v>
      </c>
      <c r="B1645" t="s">
        <v>1676</v>
      </c>
      <c r="C1645" t="s">
        <v>11452</v>
      </c>
      <c r="D1645" t="e">
        <v>#N/A</v>
      </c>
      <c r="E1645" s="9">
        <v>1348</v>
      </c>
      <c r="F1645" s="9">
        <v>14467</v>
      </c>
      <c r="G1645" s="9" t="s">
        <v>30</v>
      </c>
    </row>
    <row r="1646" spans="1:7" x14ac:dyDescent="0.2">
      <c r="A1646" t="s">
        <v>1604</v>
      </c>
      <c r="B1646" t="s">
        <v>1677</v>
      </c>
      <c r="C1646" t="s">
        <v>10591</v>
      </c>
      <c r="D1646" t="s">
        <v>9715</v>
      </c>
      <c r="E1646" s="9">
        <v>2854</v>
      </c>
      <c r="F1646" s="9">
        <v>10514</v>
      </c>
      <c r="G1646" s="9" t="s">
        <v>30</v>
      </c>
    </row>
    <row r="1647" spans="1:7" x14ac:dyDescent="0.2">
      <c r="A1647" t="s">
        <v>1604</v>
      </c>
      <c r="B1647" t="s">
        <v>1678</v>
      </c>
      <c r="C1647" t="s">
        <v>11453</v>
      </c>
      <c r="D1647" t="e">
        <v>#N/A</v>
      </c>
      <c r="E1647" s="9">
        <v>1277</v>
      </c>
      <c r="F1647" s="9">
        <v>10466</v>
      </c>
      <c r="G1647" s="9" t="s">
        <v>30</v>
      </c>
    </row>
    <row r="1648" spans="1:7" x14ac:dyDescent="0.2">
      <c r="A1648" t="s">
        <v>1604</v>
      </c>
      <c r="B1648" t="s">
        <v>1679</v>
      </c>
      <c r="C1648" t="s">
        <v>10592</v>
      </c>
      <c r="D1648" t="s">
        <v>9715</v>
      </c>
      <c r="E1648" s="9">
        <v>251</v>
      </c>
      <c r="F1648" s="9">
        <v>11218</v>
      </c>
      <c r="G1648" s="9" t="s">
        <v>30</v>
      </c>
    </row>
    <row r="1649" spans="1:7" x14ac:dyDescent="0.2">
      <c r="A1649" t="s">
        <v>1604</v>
      </c>
      <c r="B1649" t="s">
        <v>1680</v>
      </c>
      <c r="C1649" t="s">
        <v>10568</v>
      </c>
      <c r="D1649" t="s">
        <v>9715</v>
      </c>
      <c r="E1649" s="9">
        <v>2349</v>
      </c>
      <c r="F1649" s="9">
        <v>10415</v>
      </c>
      <c r="G1649" s="9" t="s">
        <v>30</v>
      </c>
    </row>
    <row r="1650" spans="1:7" x14ac:dyDescent="0.2">
      <c r="A1650" t="s">
        <v>1604</v>
      </c>
      <c r="B1650" t="s">
        <v>1681</v>
      </c>
      <c r="C1650" t="s">
        <v>10593</v>
      </c>
      <c r="D1650" t="s">
        <v>9715</v>
      </c>
      <c r="E1650" s="9">
        <v>1884</v>
      </c>
      <c r="F1650" s="9">
        <v>8183</v>
      </c>
      <c r="G1650" s="9" t="s">
        <v>30</v>
      </c>
    </row>
    <row r="1651" spans="1:7" x14ac:dyDescent="0.2">
      <c r="A1651" t="s">
        <v>1604</v>
      </c>
      <c r="B1651" t="s">
        <v>1682</v>
      </c>
      <c r="C1651" t="s">
        <v>10594</v>
      </c>
      <c r="D1651" t="s">
        <v>9715</v>
      </c>
      <c r="E1651" s="9">
        <v>2239</v>
      </c>
      <c r="F1651" s="9">
        <v>11832</v>
      </c>
      <c r="G1651" s="9" t="s">
        <v>30</v>
      </c>
    </row>
    <row r="1652" spans="1:7" x14ac:dyDescent="0.2">
      <c r="A1652" t="s">
        <v>1683</v>
      </c>
      <c r="B1652" t="s">
        <v>1684</v>
      </c>
      <c r="C1652" t="s">
        <v>11454</v>
      </c>
      <c r="D1652" t="e">
        <v>#N/A</v>
      </c>
      <c r="E1652" s="9">
        <v>2399</v>
      </c>
      <c r="F1652" s="9">
        <v>18250</v>
      </c>
      <c r="G1652" s="9" t="s">
        <v>30</v>
      </c>
    </row>
    <row r="1653" spans="1:7" x14ac:dyDescent="0.2">
      <c r="A1653" t="s">
        <v>1683</v>
      </c>
      <c r="B1653" t="s">
        <v>1685</v>
      </c>
      <c r="C1653" t="s">
        <v>10601</v>
      </c>
      <c r="D1653" t="s">
        <v>9715</v>
      </c>
      <c r="E1653" s="9">
        <v>134</v>
      </c>
      <c r="F1653" s="9">
        <v>8677</v>
      </c>
      <c r="G1653" s="9" t="s">
        <v>30</v>
      </c>
    </row>
    <row r="1654" spans="1:7" x14ac:dyDescent="0.2">
      <c r="A1654" t="s">
        <v>1683</v>
      </c>
      <c r="B1654" t="s">
        <v>1686</v>
      </c>
      <c r="C1654" t="s">
        <v>10597</v>
      </c>
      <c r="D1654" t="s">
        <v>9715</v>
      </c>
      <c r="E1654" s="9">
        <v>3133</v>
      </c>
      <c r="F1654" s="9">
        <v>9461</v>
      </c>
      <c r="G1654" s="9" t="s">
        <v>30</v>
      </c>
    </row>
    <row r="1655" spans="1:7" x14ac:dyDescent="0.2">
      <c r="A1655" t="s">
        <v>1683</v>
      </c>
      <c r="B1655" t="s">
        <v>1687</v>
      </c>
      <c r="C1655" t="s">
        <v>11455</v>
      </c>
      <c r="D1655" t="e">
        <v>#N/A</v>
      </c>
      <c r="E1655" s="9">
        <v>888</v>
      </c>
      <c r="F1655" s="9">
        <v>12182</v>
      </c>
      <c r="G1655" s="9" t="s">
        <v>30</v>
      </c>
    </row>
    <row r="1656" spans="1:7" x14ac:dyDescent="0.2">
      <c r="A1656" t="s">
        <v>1683</v>
      </c>
      <c r="B1656" t="s">
        <v>1688</v>
      </c>
      <c r="C1656" t="s">
        <v>11456</v>
      </c>
      <c r="D1656" t="e">
        <v>#N/A</v>
      </c>
      <c r="E1656" s="9">
        <v>1554</v>
      </c>
      <c r="F1656" s="9">
        <v>12369</v>
      </c>
      <c r="G1656" s="9" t="s">
        <v>30</v>
      </c>
    </row>
    <row r="1657" spans="1:7" x14ac:dyDescent="0.2">
      <c r="A1657" t="s">
        <v>1683</v>
      </c>
      <c r="B1657" t="s">
        <v>1689</v>
      </c>
      <c r="C1657" t="s">
        <v>11457</v>
      </c>
      <c r="D1657" t="e">
        <v>#N/A</v>
      </c>
      <c r="E1657" s="9">
        <v>567</v>
      </c>
      <c r="F1657" s="9">
        <v>12394</v>
      </c>
      <c r="G1657" s="9" t="s">
        <v>30</v>
      </c>
    </row>
    <row r="1658" spans="1:7" x14ac:dyDescent="0.2">
      <c r="A1658" t="s">
        <v>1683</v>
      </c>
      <c r="B1658" t="s">
        <v>1690</v>
      </c>
      <c r="C1658" t="s">
        <v>10598</v>
      </c>
      <c r="D1658" t="s">
        <v>9715</v>
      </c>
      <c r="E1658" s="9">
        <v>166</v>
      </c>
      <c r="F1658" s="9">
        <v>7592</v>
      </c>
      <c r="G1658" s="9" t="s">
        <v>30</v>
      </c>
    </row>
    <row r="1659" spans="1:7" x14ac:dyDescent="0.2">
      <c r="A1659" t="s">
        <v>1683</v>
      </c>
      <c r="B1659" t="s">
        <v>1691</v>
      </c>
      <c r="C1659" t="s">
        <v>10599</v>
      </c>
      <c r="D1659" t="s">
        <v>9715</v>
      </c>
      <c r="E1659" s="9">
        <v>1247</v>
      </c>
      <c r="F1659" s="9">
        <v>8766</v>
      </c>
      <c r="G1659" s="9" t="s">
        <v>30</v>
      </c>
    </row>
    <row r="1660" spans="1:7" x14ac:dyDescent="0.2">
      <c r="A1660" t="s">
        <v>1683</v>
      </c>
      <c r="B1660" t="s">
        <v>1692</v>
      </c>
      <c r="C1660" t="s">
        <v>11458</v>
      </c>
      <c r="D1660" t="e">
        <v>#N/A</v>
      </c>
      <c r="E1660" s="9">
        <v>1766</v>
      </c>
      <c r="F1660" s="9">
        <v>8235</v>
      </c>
      <c r="G1660" s="9" t="s">
        <v>30</v>
      </c>
    </row>
    <row r="1661" spans="1:7" x14ac:dyDescent="0.2">
      <c r="A1661" t="s">
        <v>1683</v>
      </c>
      <c r="B1661" t="s">
        <v>1693</v>
      </c>
      <c r="C1661" t="s">
        <v>11459</v>
      </c>
      <c r="D1661" t="e">
        <v>#N/A</v>
      </c>
      <c r="E1661" s="9">
        <v>3060</v>
      </c>
      <c r="F1661" s="9">
        <v>14498</v>
      </c>
      <c r="G1661" s="9" t="s">
        <v>30</v>
      </c>
    </row>
    <row r="1662" spans="1:7" x14ac:dyDescent="0.2">
      <c r="A1662" t="s">
        <v>1683</v>
      </c>
      <c r="B1662" t="s">
        <v>1694</v>
      </c>
      <c r="C1662" t="s">
        <v>11460</v>
      </c>
      <c r="D1662" t="e">
        <v>#N/A</v>
      </c>
      <c r="E1662" s="9">
        <v>1000</v>
      </c>
      <c r="F1662" s="9">
        <v>11866</v>
      </c>
      <c r="G1662" s="9" t="s">
        <v>30</v>
      </c>
    </row>
    <row r="1663" spans="1:7" x14ac:dyDescent="0.2">
      <c r="A1663" t="s">
        <v>1683</v>
      </c>
      <c r="B1663" t="s">
        <v>1695</v>
      </c>
      <c r="C1663" t="s">
        <v>11461</v>
      </c>
      <c r="D1663" t="e">
        <v>#N/A</v>
      </c>
      <c r="E1663" s="9">
        <v>1518</v>
      </c>
      <c r="F1663" s="9">
        <v>4704</v>
      </c>
      <c r="G1663" s="9" t="s">
        <v>30</v>
      </c>
    </row>
    <row r="1664" spans="1:7" x14ac:dyDescent="0.2">
      <c r="A1664" t="s">
        <v>1683</v>
      </c>
      <c r="B1664" t="s">
        <v>1696</v>
      </c>
      <c r="C1664" t="s">
        <v>11462</v>
      </c>
      <c r="D1664" t="e">
        <v>#N/A</v>
      </c>
      <c r="E1664" s="9">
        <v>1008</v>
      </c>
      <c r="F1664" s="9">
        <v>2472</v>
      </c>
      <c r="G1664" s="9" t="s">
        <v>30</v>
      </c>
    </row>
    <row r="1665" spans="1:7" x14ac:dyDescent="0.2">
      <c r="A1665" t="s">
        <v>1683</v>
      </c>
      <c r="B1665" t="s">
        <v>1697</v>
      </c>
      <c r="C1665" t="s">
        <v>11463</v>
      </c>
      <c r="D1665" t="e">
        <v>#N/A</v>
      </c>
      <c r="E1665" s="9">
        <v>2379</v>
      </c>
      <c r="F1665" s="9">
        <v>28852</v>
      </c>
      <c r="G1665" s="9" t="s">
        <v>30</v>
      </c>
    </row>
    <row r="1666" spans="1:7" x14ac:dyDescent="0.2">
      <c r="A1666" t="s">
        <v>1683</v>
      </c>
      <c r="B1666" t="s">
        <v>1698</v>
      </c>
      <c r="C1666" t="s">
        <v>11464</v>
      </c>
      <c r="D1666" t="e">
        <v>#N/A</v>
      </c>
      <c r="E1666" s="9">
        <v>634</v>
      </c>
      <c r="F1666" s="9">
        <v>9497</v>
      </c>
      <c r="G1666" s="9" t="s">
        <v>30</v>
      </c>
    </row>
    <row r="1667" spans="1:7" x14ac:dyDescent="0.2">
      <c r="A1667" t="s">
        <v>1683</v>
      </c>
      <c r="B1667" t="s">
        <v>1699</v>
      </c>
      <c r="C1667" t="s">
        <v>11465</v>
      </c>
      <c r="D1667" t="e">
        <v>#N/A</v>
      </c>
      <c r="E1667" s="9">
        <v>792</v>
      </c>
      <c r="F1667" s="9">
        <v>4572</v>
      </c>
      <c r="G1667" s="9" t="s">
        <v>30</v>
      </c>
    </row>
    <row r="1668" spans="1:7" x14ac:dyDescent="0.2">
      <c r="A1668" t="s">
        <v>1683</v>
      </c>
      <c r="B1668" t="s">
        <v>1700</v>
      </c>
      <c r="C1668" t="s">
        <v>10600</v>
      </c>
      <c r="D1668" t="s">
        <v>9715</v>
      </c>
      <c r="E1668" s="9">
        <v>4386</v>
      </c>
      <c r="F1668" s="9">
        <v>12225</v>
      </c>
      <c r="G1668" s="9" t="s">
        <v>30</v>
      </c>
    </row>
    <row r="1669" spans="1:7" x14ac:dyDescent="0.2">
      <c r="A1669" t="s">
        <v>1701</v>
      </c>
      <c r="B1669" t="s">
        <v>1702</v>
      </c>
      <c r="C1669" t="s">
        <v>11466</v>
      </c>
      <c r="D1669" t="e">
        <v>#N/A</v>
      </c>
      <c r="E1669" s="9">
        <v>1607</v>
      </c>
      <c r="F1669" s="9">
        <v>13577</v>
      </c>
      <c r="G1669" s="9" t="s">
        <v>30</v>
      </c>
    </row>
    <row r="1670" spans="1:7" x14ac:dyDescent="0.2">
      <c r="A1670" t="s">
        <v>1701</v>
      </c>
      <c r="B1670" t="s">
        <v>1703</v>
      </c>
      <c r="C1670" t="s">
        <v>11467</v>
      </c>
      <c r="D1670" t="e">
        <v>#N/A</v>
      </c>
      <c r="E1670" s="9">
        <v>1763</v>
      </c>
      <c r="F1670" s="9">
        <v>10971</v>
      </c>
      <c r="G1670" s="9" t="s">
        <v>30</v>
      </c>
    </row>
    <row r="1671" spans="1:7" x14ac:dyDescent="0.2">
      <c r="A1671" t="s">
        <v>1701</v>
      </c>
      <c r="B1671" t="s">
        <v>1704</v>
      </c>
      <c r="C1671" t="s">
        <v>11468</v>
      </c>
      <c r="D1671" t="e">
        <v>#N/A</v>
      </c>
      <c r="E1671" s="9">
        <v>2001</v>
      </c>
      <c r="F1671" s="9">
        <v>6804</v>
      </c>
      <c r="G1671" s="9" t="s">
        <v>30</v>
      </c>
    </row>
    <row r="1672" spans="1:7" x14ac:dyDescent="0.2">
      <c r="A1672" t="s">
        <v>1701</v>
      </c>
      <c r="B1672" t="s">
        <v>1705</v>
      </c>
      <c r="C1672" t="s">
        <v>11469</v>
      </c>
      <c r="D1672" t="e">
        <v>#N/A</v>
      </c>
      <c r="E1672" s="9">
        <v>4282</v>
      </c>
      <c r="F1672" s="9">
        <v>11770</v>
      </c>
      <c r="G1672" s="9" t="s">
        <v>30</v>
      </c>
    </row>
    <row r="1673" spans="1:7" x14ac:dyDescent="0.2">
      <c r="A1673" t="s">
        <v>1701</v>
      </c>
      <c r="B1673" t="s">
        <v>1706</v>
      </c>
      <c r="C1673" t="s">
        <v>11470</v>
      </c>
      <c r="D1673" t="e">
        <v>#N/A</v>
      </c>
      <c r="E1673" s="9">
        <v>2829</v>
      </c>
      <c r="F1673" s="9">
        <v>16477</v>
      </c>
      <c r="G1673" s="9" t="s">
        <v>30</v>
      </c>
    </row>
    <row r="1674" spans="1:7" x14ac:dyDescent="0.2">
      <c r="A1674" t="s">
        <v>1701</v>
      </c>
      <c r="B1674" t="s">
        <v>1707</v>
      </c>
      <c r="C1674" t="s">
        <v>10608</v>
      </c>
      <c r="D1674" t="s">
        <v>9715</v>
      </c>
      <c r="E1674" s="9">
        <v>1092</v>
      </c>
      <c r="F1674" s="9">
        <v>9507</v>
      </c>
      <c r="G1674" s="9" t="s">
        <v>30</v>
      </c>
    </row>
    <row r="1675" spans="1:7" x14ac:dyDescent="0.2">
      <c r="A1675" t="s">
        <v>1701</v>
      </c>
      <c r="B1675" t="s">
        <v>1708</v>
      </c>
      <c r="C1675" t="s">
        <v>11471</v>
      </c>
      <c r="D1675" t="e">
        <v>#N/A</v>
      </c>
      <c r="E1675" s="9">
        <v>1589</v>
      </c>
      <c r="F1675" s="9">
        <v>36270</v>
      </c>
      <c r="G1675" s="9" t="s">
        <v>30</v>
      </c>
    </row>
    <row r="1676" spans="1:7" x14ac:dyDescent="0.2">
      <c r="A1676" t="s">
        <v>1701</v>
      </c>
      <c r="B1676" t="s">
        <v>1709</v>
      </c>
      <c r="C1676" t="s">
        <v>10605</v>
      </c>
      <c r="D1676" t="s">
        <v>9715</v>
      </c>
      <c r="E1676" s="9">
        <v>226</v>
      </c>
      <c r="F1676" s="9">
        <v>8083</v>
      </c>
      <c r="G1676" s="9" t="s">
        <v>30</v>
      </c>
    </row>
    <row r="1677" spans="1:7" x14ac:dyDescent="0.2">
      <c r="A1677" t="s">
        <v>1701</v>
      </c>
      <c r="B1677" t="s">
        <v>1710</v>
      </c>
      <c r="C1677" t="s">
        <v>11472</v>
      </c>
      <c r="D1677" t="e">
        <v>#N/A</v>
      </c>
      <c r="E1677" s="9">
        <v>1209</v>
      </c>
      <c r="F1677" s="9">
        <v>9978</v>
      </c>
      <c r="G1677" s="9" t="s">
        <v>30</v>
      </c>
    </row>
    <row r="1678" spans="1:7" x14ac:dyDescent="0.2">
      <c r="A1678" t="s">
        <v>1701</v>
      </c>
      <c r="B1678" t="s">
        <v>1711</v>
      </c>
      <c r="C1678" t="s">
        <v>11473</v>
      </c>
      <c r="D1678" t="e">
        <v>#N/A</v>
      </c>
      <c r="E1678" s="9">
        <v>2598</v>
      </c>
      <c r="F1678" s="9">
        <v>11446</v>
      </c>
      <c r="G1678" s="9" t="s">
        <v>30</v>
      </c>
    </row>
    <row r="1679" spans="1:7" x14ac:dyDescent="0.2">
      <c r="A1679" t="s">
        <v>1701</v>
      </c>
      <c r="B1679" t="s">
        <v>1712</v>
      </c>
      <c r="C1679" t="s">
        <v>11474</v>
      </c>
      <c r="D1679" t="e">
        <v>#N/A</v>
      </c>
      <c r="E1679" s="9">
        <v>1586</v>
      </c>
      <c r="F1679" s="9">
        <v>4991</v>
      </c>
      <c r="G1679" s="9" t="s">
        <v>30</v>
      </c>
    </row>
    <row r="1680" spans="1:7" x14ac:dyDescent="0.2">
      <c r="A1680" t="s">
        <v>1701</v>
      </c>
      <c r="B1680" t="s">
        <v>1713</v>
      </c>
      <c r="C1680" t="s">
        <v>11475</v>
      </c>
      <c r="D1680" t="e">
        <v>#N/A</v>
      </c>
      <c r="E1680" s="9">
        <v>1673</v>
      </c>
      <c r="F1680" s="9">
        <v>15032</v>
      </c>
      <c r="G1680" s="9" t="s">
        <v>30</v>
      </c>
    </row>
    <row r="1681" spans="1:7" x14ac:dyDescent="0.2">
      <c r="A1681" t="s">
        <v>1701</v>
      </c>
      <c r="B1681" t="s">
        <v>1714</v>
      </c>
      <c r="C1681" t="s">
        <v>11476</v>
      </c>
      <c r="D1681" t="e">
        <v>#N/A</v>
      </c>
      <c r="E1681" s="9">
        <v>3224</v>
      </c>
      <c r="F1681" s="9">
        <v>12016</v>
      </c>
      <c r="G1681" s="9" t="s">
        <v>30</v>
      </c>
    </row>
    <row r="1682" spans="1:7" x14ac:dyDescent="0.2">
      <c r="A1682" t="s">
        <v>1701</v>
      </c>
      <c r="B1682" t="s">
        <v>1715</v>
      </c>
      <c r="C1682" t="s">
        <v>11477</v>
      </c>
      <c r="D1682" t="e">
        <v>#N/A</v>
      </c>
      <c r="E1682" s="9">
        <v>2819</v>
      </c>
      <c r="F1682" s="9">
        <v>9267</v>
      </c>
      <c r="G1682" s="9" t="s">
        <v>30</v>
      </c>
    </row>
    <row r="1683" spans="1:7" x14ac:dyDescent="0.2">
      <c r="A1683" t="s">
        <v>1701</v>
      </c>
      <c r="B1683" t="s">
        <v>1716</v>
      </c>
      <c r="C1683" t="s">
        <v>11478</v>
      </c>
      <c r="D1683" t="e">
        <v>#N/A</v>
      </c>
      <c r="E1683" s="9">
        <v>5986</v>
      </c>
      <c r="F1683" s="9">
        <v>9686</v>
      </c>
      <c r="G1683" s="9" t="s">
        <v>30</v>
      </c>
    </row>
    <row r="1684" spans="1:7" x14ac:dyDescent="0.2">
      <c r="A1684" t="s">
        <v>1701</v>
      </c>
      <c r="B1684" t="s">
        <v>1717</v>
      </c>
      <c r="C1684" t="s">
        <v>11479</v>
      </c>
      <c r="D1684" t="e">
        <v>#N/A</v>
      </c>
      <c r="E1684" s="9">
        <v>3388</v>
      </c>
      <c r="F1684" s="9">
        <v>24052</v>
      </c>
      <c r="G1684" s="9" t="s">
        <v>30</v>
      </c>
    </row>
    <row r="1685" spans="1:7" x14ac:dyDescent="0.2">
      <c r="A1685" t="s">
        <v>1701</v>
      </c>
      <c r="B1685" t="s">
        <v>1718</v>
      </c>
      <c r="C1685" t="s">
        <v>11480</v>
      </c>
      <c r="D1685" t="e">
        <v>#N/A</v>
      </c>
      <c r="E1685" s="9">
        <v>4850</v>
      </c>
      <c r="F1685" s="9">
        <v>28310</v>
      </c>
      <c r="G1685" s="9" t="s">
        <v>30</v>
      </c>
    </row>
    <row r="1686" spans="1:7" x14ac:dyDescent="0.2">
      <c r="A1686" t="s">
        <v>1701</v>
      </c>
      <c r="B1686" t="s">
        <v>1719</v>
      </c>
      <c r="C1686" t="s">
        <v>11481</v>
      </c>
      <c r="D1686" t="e">
        <v>#N/A</v>
      </c>
      <c r="E1686" s="9">
        <v>1132</v>
      </c>
      <c r="F1686" s="9">
        <v>3162</v>
      </c>
      <c r="G1686" s="9" t="s">
        <v>30</v>
      </c>
    </row>
    <row r="1687" spans="1:7" x14ac:dyDescent="0.2">
      <c r="A1687" t="s">
        <v>1701</v>
      </c>
      <c r="B1687" t="s">
        <v>1720</v>
      </c>
      <c r="C1687" t="s">
        <v>11482</v>
      </c>
      <c r="D1687" t="e">
        <v>#N/A</v>
      </c>
      <c r="E1687" s="9">
        <v>1436</v>
      </c>
      <c r="F1687" s="9">
        <v>10535</v>
      </c>
      <c r="G1687" s="9" t="s">
        <v>30</v>
      </c>
    </row>
    <row r="1688" spans="1:7" x14ac:dyDescent="0.2">
      <c r="A1688" t="s">
        <v>1701</v>
      </c>
      <c r="B1688" t="s">
        <v>1721</v>
      </c>
      <c r="C1688" t="s">
        <v>10607</v>
      </c>
      <c r="D1688" t="s">
        <v>9715</v>
      </c>
      <c r="E1688" s="9" t="s">
        <v>30</v>
      </c>
      <c r="F1688" s="9" t="s">
        <v>30</v>
      </c>
      <c r="G1688" s="9" t="s">
        <v>30</v>
      </c>
    </row>
    <row r="1689" spans="1:7" x14ac:dyDescent="0.2">
      <c r="A1689" t="s">
        <v>1701</v>
      </c>
      <c r="B1689" t="s">
        <v>1722</v>
      </c>
      <c r="C1689" t="s">
        <v>11483</v>
      </c>
      <c r="D1689" t="e">
        <v>#N/A</v>
      </c>
      <c r="E1689" s="9">
        <v>3549</v>
      </c>
      <c r="F1689" s="9">
        <v>16014</v>
      </c>
      <c r="G1689" s="9" t="s">
        <v>30</v>
      </c>
    </row>
    <row r="1690" spans="1:7" x14ac:dyDescent="0.2">
      <c r="A1690" t="s">
        <v>1701</v>
      </c>
      <c r="B1690" t="s">
        <v>1723</v>
      </c>
      <c r="C1690" t="s">
        <v>10694</v>
      </c>
      <c r="D1690" t="s">
        <v>9715</v>
      </c>
      <c r="E1690" s="9">
        <v>4409</v>
      </c>
      <c r="F1690" s="9">
        <v>18263</v>
      </c>
      <c r="G1690" s="9" t="s">
        <v>30</v>
      </c>
    </row>
    <row r="1691" spans="1:7" x14ac:dyDescent="0.2">
      <c r="A1691" t="s">
        <v>1701</v>
      </c>
      <c r="B1691" t="s">
        <v>1724</v>
      </c>
      <c r="C1691" t="s">
        <v>11484</v>
      </c>
      <c r="D1691" t="e">
        <v>#N/A</v>
      </c>
      <c r="E1691" s="9">
        <v>853</v>
      </c>
      <c r="F1691" s="9">
        <v>9795</v>
      </c>
      <c r="G1691" s="9" t="s">
        <v>30</v>
      </c>
    </row>
    <row r="1692" spans="1:7" x14ac:dyDescent="0.2">
      <c r="A1692" t="s">
        <v>1701</v>
      </c>
      <c r="B1692" t="s">
        <v>1725</v>
      </c>
      <c r="C1692" t="s">
        <v>10609</v>
      </c>
      <c r="D1692" t="s">
        <v>9715</v>
      </c>
      <c r="E1692" s="9">
        <v>799</v>
      </c>
      <c r="F1692" s="9">
        <v>8086</v>
      </c>
      <c r="G1692" s="9" t="s">
        <v>30</v>
      </c>
    </row>
    <row r="1693" spans="1:7" x14ac:dyDescent="0.2">
      <c r="A1693" t="s">
        <v>1701</v>
      </c>
      <c r="B1693" t="s">
        <v>1726</v>
      </c>
      <c r="C1693" t="s">
        <v>11485</v>
      </c>
      <c r="D1693" t="e">
        <v>#N/A</v>
      </c>
      <c r="E1693" s="9">
        <v>1243</v>
      </c>
      <c r="F1693" s="9">
        <v>11187</v>
      </c>
      <c r="G1693" s="9" t="s">
        <v>30</v>
      </c>
    </row>
    <row r="1694" spans="1:7" x14ac:dyDescent="0.2">
      <c r="A1694" t="s">
        <v>1701</v>
      </c>
      <c r="B1694" t="s">
        <v>1727</v>
      </c>
      <c r="C1694" t="s">
        <v>11486</v>
      </c>
      <c r="D1694" t="e">
        <v>#N/A</v>
      </c>
      <c r="E1694" s="9">
        <v>2119</v>
      </c>
      <c r="F1694" s="9">
        <v>11040</v>
      </c>
      <c r="G1694" s="9" t="s">
        <v>30</v>
      </c>
    </row>
    <row r="1695" spans="1:7" x14ac:dyDescent="0.2">
      <c r="A1695" t="s">
        <v>1701</v>
      </c>
      <c r="B1695" t="s">
        <v>1728</v>
      </c>
      <c r="C1695" t="s">
        <v>10613</v>
      </c>
      <c r="D1695" t="s">
        <v>9715</v>
      </c>
      <c r="E1695" s="9">
        <v>644</v>
      </c>
      <c r="F1695" s="9">
        <v>5992</v>
      </c>
      <c r="G1695" s="9" t="s">
        <v>30</v>
      </c>
    </row>
    <row r="1696" spans="1:7" x14ac:dyDescent="0.2">
      <c r="A1696" t="s">
        <v>1701</v>
      </c>
      <c r="B1696" t="s">
        <v>1729</v>
      </c>
      <c r="C1696" t="s">
        <v>11487</v>
      </c>
      <c r="D1696" t="e">
        <v>#N/A</v>
      </c>
      <c r="E1696" s="9">
        <v>2139</v>
      </c>
      <c r="F1696" s="9">
        <v>12002</v>
      </c>
      <c r="G1696" s="9" t="s">
        <v>30</v>
      </c>
    </row>
    <row r="1697" spans="1:7" x14ac:dyDescent="0.2">
      <c r="A1697" t="s">
        <v>1701</v>
      </c>
      <c r="B1697" t="s">
        <v>1730</v>
      </c>
      <c r="C1697" t="s">
        <v>10603</v>
      </c>
      <c r="D1697" t="s">
        <v>9715</v>
      </c>
      <c r="E1697" s="9">
        <v>970</v>
      </c>
      <c r="F1697" s="9">
        <v>7118</v>
      </c>
      <c r="G1697" s="9" t="s">
        <v>30</v>
      </c>
    </row>
    <row r="1698" spans="1:7" x14ac:dyDescent="0.2">
      <c r="A1698" t="s">
        <v>1701</v>
      </c>
      <c r="B1698" t="s">
        <v>1731</v>
      </c>
      <c r="C1698" t="s">
        <v>10610</v>
      </c>
      <c r="D1698" t="s">
        <v>9715</v>
      </c>
      <c r="E1698" s="9">
        <v>826</v>
      </c>
      <c r="F1698" s="9">
        <v>10008</v>
      </c>
      <c r="G1698" s="9" t="s">
        <v>30</v>
      </c>
    </row>
    <row r="1699" spans="1:7" x14ac:dyDescent="0.2">
      <c r="A1699" t="s">
        <v>1701</v>
      </c>
      <c r="B1699" t="s">
        <v>1732</v>
      </c>
      <c r="C1699" t="s">
        <v>10606</v>
      </c>
      <c r="D1699" t="s">
        <v>9715</v>
      </c>
      <c r="E1699" s="9">
        <v>748</v>
      </c>
      <c r="F1699" s="9">
        <v>10582</v>
      </c>
      <c r="G1699" s="9" t="s">
        <v>30</v>
      </c>
    </row>
    <row r="1700" spans="1:7" x14ac:dyDescent="0.2">
      <c r="A1700" t="s">
        <v>1701</v>
      </c>
      <c r="B1700" t="s">
        <v>1733</v>
      </c>
      <c r="C1700" t="s">
        <v>10611</v>
      </c>
      <c r="D1700" t="s">
        <v>9715</v>
      </c>
      <c r="E1700" s="9">
        <v>305</v>
      </c>
      <c r="F1700" s="9">
        <v>10045</v>
      </c>
      <c r="G1700" s="9" t="s">
        <v>30</v>
      </c>
    </row>
    <row r="1701" spans="1:7" x14ac:dyDescent="0.2">
      <c r="A1701" t="s">
        <v>1701</v>
      </c>
      <c r="B1701" t="s">
        <v>1734</v>
      </c>
      <c r="C1701" t="s">
        <v>11488</v>
      </c>
      <c r="D1701" t="e">
        <v>#N/A</v>
      </c>
      <c r="E1701" s="9">
        <v>5692</v>
      </c>
      <c r="F1701" s="9">
        <v>25841</v>
      </c>
      <c r="G1701" s="9" t="s">
        <v>30</v>
      </c>
    </row>
    <row r="1702" spans="1:7" x14ac:dyDescent="0.2">
      <c r="A1702" t="s">
        <v>1701</v>
      </c>
      <c r="B1702" t="s">
        <v>1735</v>
      </c>
      <c r="C1702" t="s">
        <v>11489</v>
      </c>
      <c r="D1702" t="e">
        <v>#N/A</v>
      </c>
      <c r="E1702" s="9">
        <v>1756</v>
      </c>
      <c r="F1702" s="9">
        <v>12213</v>
      </c>
      <c r="G1702" s="9" t="s">
        <v>30</v>
      </c>
    </row>
    <row r="1703" spans="1:7" x14ac:dyDescent="0.2">
      <c r="A1703" t="s">
        <v>1701</v>
      </c>
      <c r="B1703" t="s">
        <v>1736</v>
      </c>
      <c r="C1703" t="s">
        <v>11490</v>
      </c>
      <c r="D1703" t="e">
        <v>#N/A</v>
      </c>
      <c r="E1703" s="9">
        <v>1271</v>
      </c>
      <c r="F1703" s="9">
        <v>11909</v>
      </c>
      <c r="G1703" s="9" t="s">
        <v>30</v>
      </c>
    </row>
    <row r="1704" spans="1:7" x14ac:dyDescent="0.2">
      <c r="A1704" t="s">
        <v>1701</v>
      </c>
      <c r="B1704" t="s">
        <v>1737</v>
      </c>
      <c r="C1704" t="s">
        <v>10604</v>
      </c>
      <c r="D1704" t="s">
        <v>9715</v>
      </c>
      <c r="E1704" s="9">
        <v>93</v>
      </c>
      <c r="F1704" s="9">
        <v>3440</v>
      </c>
      <c r="G1704" s="9" t="s">
        <v>30</v>
      </c>
    </row>
    <row r="1705" spans="1:7" x14ac:dyDescent="0.2">
      <c r="A1705" t="s">
        <v>1701</v>
      </c>
      <c r="B1705" t="s">
        <v>1738</v>
      </c>
      <c r="C1705" t="s">
        <v>10602</v>
      </c>
      <c r="D1705" t="s">
        <v>9715</v>
      </c>
      <c r="E1705" s="9">
        <v>941</v>
      </c>
      <c r="F1705" s="9">
        <v>8691</v>
      </c>
      <c r="G1705" s="9" t="s">
        <v>30</v>
      </c>
    </row>
    <row r="1706" spans="1:7" x14ac:dyDescent="0.2">
      <c r="A1706" t="s">
        <v>1701</v>
      </c>
      <c r="B1706" t="s">
        <v>1739</v>
      </c>
      <c r="C1706" t="s">
        <v>10612</v>
      </c>
      <c r="D1706" t="s">
        <v>9715</v>
      </c>
      <c r="E1706" s="9" t="s">
        <v>30</v>
      </c>
      <c r="F1706" s="9" t="s">
        <v>30</v>
      </c>
      <c r="G1706" s="9" t="s">
        <v>30</v>
      </c>
    </row>
    <row r="1707" spans="1:7" x14ac:dyDescent="0.2">
      <c r="A1707" t="s">
        <v>1701</v>
      </c>
      <c r="B1707" t="s">
        <v>1740</v>
      </c>
      <c r="C1707" t="s">
        <v>11491</v>
      </c>
      <c r="D1707" t="e">
        <v>#N/A</v>
      </c>
      <c r="E1707" s="9">
        <v>1524</v>
      </c>
      <c r="F1707" s="9">
        <v>9486</v>
      </c>
      <c r="G1707" s="9" t="s">
        <v>30</v>
      </c>
    </row>
    <row r="1708" spans="1:7" x14ac:dyDescent="0.2">
      <c r="A1708" t="s">
        <v>1741</v>
      </c>
      <c r="B1708" t="s">
        <v>1742</v>
      </c>
      <c r="C1708" t="s">
        <v>11492</v>
      </c>
      <c r="D1708" t="e">
        <v>#N/A</v>
      </c>
      <c r="E1708" s="9">
        <v>15731</v>
      </c>
      <c r="F1708" s="9">
        <v>36324</v>
      </c>
      <c r="G1708" s="9" t="s">
        <v>30</v>
      </c>
    </row>
    <row r="1709" spans="1:7" x14ac:dyDescent="0.2">
      <c r="A1709" t="s">
        <v>1741</v>
      </c>
      <c r="B1709" t="s">
        <v>1743</v>
      </c>
      <c r="C1709" t="s">
        <v>11493</v>
      </c>
      <c r="D1709" t="e">
        <v>#N/A</v>
      </c>
      <c r="E1709" s="9">
        <v>1072</v>
      </c>
      <c r="F1709" s="9">
        <v>15564</v>
      </c>
      <c r="G1709" s="9" t="s">
        <v>30</v>
      </c>
    </row>
    <row r="1710" spans="1:7" x14ac:dyDescent="0.2">
      <c r="A1710" t="s">
        <v>1744</v>
      </c>
      <c r="B1710" t="s">
        <v>1745</v>
      </c>
      <c r="C1710" t="s">
        <v>11494</v>
      </c>
      <c r="D1710" t="e">
        <v>#N/A</v>
      </c>
      <c r="E1710" s="9">
        <v>1324</v>
      </c>
      <c r="F1710" s="9">
        <v>12169</v>
      </c>
      <c r="G1710" s="9" t="s">
        <v>30</v>
      </c>
    </row>
    <row r="1711" spans="1:7" x14ac:dyDescent="0.2">
      <c r="A1711" t="s">
        <v>1744</v>
      </c>
      <c r="B1711" t="s">
        <v>1746</v>
      </c>
      <c r="C1711" t="s">
        <v>11495</v>
      </c>
      <c r="D1711" t="e">
        <v>#N/A</v>
      </c>
      <c r="E1711" s="9">
        <v>1884</v>
      </c>
      <c r="F1711" s="9">
        <v>13676</v>
      </c>
      <c r="G1711" s="9" t="s">
        <v>30</v>
      </c>
    </row>
    <row r="1712" spans="1:7" x14ac:dyDescent="0.2">
      <c r="A1712" t="s">
        <v>1744</v>
      </c>
      <c r="B1712" t="s">
        <v>1747</v>
      </c>
      <c r="C1712" t="s">
        <v>11496</v>
      </c>
      <c r="D1712" t="e">
        <v>#N/A</v>
      </c>
      <c r="E1712" s="9" t="s">
        <v>30</v>
      </c>
      <c r="F1712" s="9" t="s">
        <v>30</v>
      </c>
      <c r="G1712" s="9" t="s">
        <v>30</v>
      </c>
    </row>
    <row r="1713" spans="1:7" x14ac:dyDescent="0.2">
      <c r="A1713" t="s">
        <v>1744</v>
      </c>
      <c r="B1713" t="s">
        <v>1748</v>
      </c>
      <c r="C1713" t="s">
        <v>11497</v>
      </c>
      <c r="D1713" t="e">
        <v>#N/A</v>
      </c>
      <c r="E1713" s="9">
        <v>2492</v>
      </c>
      <c r="F1713" s="9">
        <v>9017</v>
      </c>
      <c r="G1713" s="9" t="s">
        <v>30</v>
      </c>
    </row>
    <row r="1714" spans="1:7" x14ac:dyDescent="0.2">
      <c r="A1714" t="s">
        <v>1744</v>
      </c>
      <c r="B1714" t="s">
        <v>1749</v>
      </c>
      <c r="C1714" t="s">
        <v>11498</v>
      </c>
      <c r="D1714" t="e">
        <v>#N/A</v>
      </c>
      <c r="E1714" s="9">
        <v>1379</v>
      </c>
      <c r="F1714" s="9">
        <v>13409</v>
      </c>
      <c r="G1714" s="9" t="s">
        <v>30</v>
      </c>
    </row>
    <row r="1715" spans="1:7" x14ac:dyDescent="0.2">
      <c r="A1715" t="s">
        <v>1744</v>
      </c>
      <c r="B1715" t="s">
        <v>1750</v>
      </c>
      <c r="C1715" t="s">
        <v>11499</v>
      </c>
      <c r="D1715" t="e">
        <v>#N/A</v>
      </c>
      <c r="E1715" s="9">
        <v>3243</v>
      </c>
      <c r="F1715" s="9">
        <v>13421</v>
      </c>
      <c r="G1715" s="9" t="s">
        <v>30</v>
      </c>
    </row>
    <row r="1716" spans="1:7" x14ac:dyDescent="0.2">
      <c r="A1716" t="s">
        <v>1744</v>
      </c>
      <c r="B1716" t="s">
        <v>1751</v>
      </c>
      <c r="C1716" t="s">
        <v>11500</v>
      </c>
      <c r="D1716" t="e">
        <v>#N/A</v>
      </c>
      <c r="E1716" s="9">
        <v>6070</v>
      </c>
      <c r="F1716" s="9">
        <v>33605</v>
      </c>
      <c r="G1716" s="9" t="s">
        <v>30</v>
      </c>
    </row>
    <row r="1717" spans="1:7" x14ac:dyDescent="0.2">
      <c r="A1717" t="s">
        <v>1744</v>
      </c>
      <c r="B1717" t="s">
        <v>1752</v>
      </c>
      <c r="C1717" t="s">
        <v>11501</v>
      </c>
      <c r="D1717" t="e">
        <v>#N/A</v>
      </c>
      <c r="E1717" s="9" t="s">
        <v>30</v>
      </c>
      <c r="F1717" s="9" t="s">
        <v>30</v>
      </c>
      <c r="G1717" s="9" t="s">
        <v>30</v>
      </c>
    </row>
    <row r="1718" spans="1:7" x14ac:dyDescent="0.2">
      <c r="A1718" t="s">
        <v>1744</v>
      </c>
      <c r="B1718" t="s">
        <v>1753</v>
      </c>
      <c r="C1718" t="s">
        <v>11502</v>
      </c>
      <c r="D1718" t="e">
        <v>#N/A</v>
      </c>
      <c r="E1718" s="9">
        <v>1982</v>
      </c>
      <c r="F1718" s="9">
        <v>15688</v>
      </c>
      <c r="G1718" s="9" t="s">
        <v>30</v>
      </c>
    </row>
    <row r="1719" spans="1:7" x14ac:dyDescent="0.2">
      <c r="A1719" t="s">
        <v>1744</v>
      </c>
      <c r="B1719" t="s">
        <v>1754</v>
      </c>
      <c r="C1719" t="s">
        <v>10614</v>
      </c>
      <c r="D1719" t="s">
        <v>9715</v>
      </c>
      <c r="E1719" s="9">
        <v>878</v>
      </c>
      <c r="F1719" s="9">
        <v>12107</v>
      </c>
      <c r="G1719" s="9" t="s">
        <v>30</v>
      </c>
    </row>
    <row r="1720" spans="1:7" x14ac:dyDescent="0.2">
      <c r="A1720" t="s">
        <v>1744</v>
      </c>
      <c r="B1720" t="s">
        <v>1755</v>
      </c>
      <c r="C1720" t="s">
        <v>11503</v>
      </c>
      <c r="D1720" t="e">
        <v>#N/A</v>
      </c>
      <c r="E1720" s="9">
        <v>1163</v>
      </c>
      <c r="F1720" s="9">
        <v>12659</v>
      </c>
      <c r="G1720" s="9" t="s">
        <v>30</v>
      </c>
    </row>
    <row r="1721" spans="1:7" x14ac:dyDescent="0.2">
      <c r="A1721" t="s">
        <v>1744</v>
      </c>
      <c r="B1721" t="s">
        <v>1756</v>
      </c>
      <c r="C1721" t="s">
        <v>11504</v>
      </c>
      <c r="D1721" t="e">
        <v>#N/A</v>
      </c>
      <c r="E1721" s="9">
        <v>3574</v>
      </c>
      <c r="F1721" s="9">
        <v>18875</v>
      </c>
      <c r="G1721" s="9" t="s">
        <v>30</v>
      </c>
    </row>
    <row r="1722" spans="1:7" x14ac:dyDescent="0.2">
      <c r="A1722" t="s">
        <v>1744</v>
      </c>
      <c r="B1722" t="s">
        <v>1757</v>
      </c>
      <c r="C1722" t="s">
        <v>11505</v>
      </c>
      <c r="D1722" t="e">
        <v>#N/A</v>
      </c>
      <c r="E1722" s="9">
        <v>2462</v>
      </c>
      <c r="F1722" s="9">
        <v>18938</v>
      </c>
      <c r="G1722" s="9" t="s">
        <v>30</v>
      </c>
    </row>
    <row r="1723" spans="1:7" x14ac:dyDescent="0.2">
      <c r="A1723" t="s">
        <v>1744</v>
      </c>
      <c r="B1723" t="s">
        <v>1719</v>
      </c>
      <c r="C1723" t="s">
        <v>11506</v>
      </c>
      <c r="D1723" t="e">
        <v>#N/A</v>
      </c>
      <c r="E1723" s="9" t="s">
        <v>30</v>
      </c>
      <c r="F1723" s="9" t="s">
        <v>30</v>
      </c>
      <c r="G1723" s="9" t="s">
        <v>30</v>
      </c>
    </row>
    <row r="1724" spans="1:7" x14ac:dyDescent="0.2">
      <c r="A1724" t="s">
        <v>1744</v>
      </c>
      <c r="B1724" t="s">
        <v>1758</v>
      </c>
      <c r="C1724" t="s">
        <v>11507</v>
      </c>
      <c r="D1724" t="e">
        <v>#N/A</v>
      </c>
      <c r="E1724" s="9">
        <v>8415</v>
      </c>
      <c r="F1724" s="9">
        <v>17066</v>
      </c>
      <c r="G1724" s="9" t="s">
        <v>30</v>
      </c>
    </row>
    <row r="1725" spans="1:7" x14ac:dyDescent="0.2">
      <c r="A1725" t="s">
        <v>1744</v>
      </c>
      <c r="B1725" t="s">
        <v>1759</v>
      </c>
      <c r="C1725" t="s">
        <v>11508</v>
      </c>
      <c r="D1725" t="e">
        <v>#N/A</v>
      </c>
      <c r="E1725" s="9">
        <v>2016</v>
      </c>
      <c r="F1725" s="9">
        <v>21930</v>
      </c>
      <c r="G1725" s="9" t="s">
        <v>30</v>
      </c>
    </row>
    <row r="1726" spans="1:7" x14ac:dyDescent="0.2">
      <c r="A1726" t="s">
        <v>1744</v>
      </c>
      <c r="B1726" t="s">
        <v>1760</v>
      </c>
      <c r="C1726" t="s">
        <v>11509</v>
      </c>
      <c r="D1726" t="e">
        <v>#N/A</v>
      </c>
      <c r="E1726" s="9">
        <v>2014</v>
      </c>
      <c r="F1726" s="9">
        <v>14820</v>
      </c>
      <c r="G1726" s="9" t="s">
        <v>30</v>
      </c>
    </row>
    <row r="1727" spans="1:7" x14ac:dyDescent="0.2">
      <c r="A1727" t="s">
        <v>1744</v>
      </c>
      <c r="B1727" t="s">
        <v>1761</v>
      </c>
      <c r="C1727" t="s">
        <v>11510</v>
      </c>
      <c r="D1727" t="e">
        <v>#N/A</v>
      </c>
      <c r="E1727" s="9">
        <v>1667</v>
      </c>
      <c r="F1727" s="9">
        <v>10867</v>
      </c>
      <c r="G1727" s="9" t="s">
        <v>30</v>
      </c>
    </row>
    <row r="1728" spans="1:7" x14ac:dyDescent="0.2">
      <c r="A1728" t="s">
        <v>1744</v>
      </c>
      <c r="B1728" t="s">
        <v>1762</v>
      </c>
      <c r="C1728" t="s">
        <v>11511</v>
      </c>
      <c r="D1728" t="e">
        <v>#N/A</v>
      </c>
      <c r="E1728" s="9">
        <v>1394</v>
      </c>
      <c r="F1728" s="9">
        <v>11551</v>
      </c>
      <c r="G1728" s="9" t="s">
        <v>30</v>
      </c>
    </row>
    <row r="1729" spans="1:7" x14ac:dyDescent="0.2">
      <c r="A1729" t="s">
        <v>1744</v>
      </c>
      <c r="B1729" t="s">
        <v>1763</v>
      </c>
      <c r="C1729" t="s">
        <v>10615</v>
      </c>
      <c r="D1729" t="s">
        <v>9715</v>
      </c>
      <c r="E1729" s="9">
        <v>1476</v>
      </c>
      <c r="F1729" s="9">
        <v>9857</v>
      </c>
      <c r="G1729" s="9" t="s">
        <v>30</v>
      </c>
    </row>
    <row r="1730" spans="1:7" x14ac:dyDescent="0.2">
      <c r="A1730" t="s">
        <v>1744</v>
      </c>
      <c r="B1730" t="s">
        <v>1764</v>
      </c>
      <c r="C1730" t="s">
        <v>11512</v>
      </c>
      <c r="D1730" t="e">
        <v>#N/A</v>
      </c>
      <c r="E1730" s="9">
        <v>952</v>
      </c>
      <c r="F1730" s="9">
        <v>13446</v>
      </c>
      <c r="G1730" s="9" t="s">
        <v>30</v>
      </c>
    </row>
    <row r="1731" spans="1:7" x14ac:dyDescent="0.2">
      <c r="A1731" t="s">
        <v>1744</v>
      </c>
      <c r="B1731" t="s">
        <v>1765</v>
      </c>
      <c r="C1731" t="s">
        <v>11513</v>
      </c>
      <c r="D1731" t="e">
        <v>#N/A</v>
      </c>
      <c r="E1731" s="9">
        <v>4465</v>
      </c>
      <c r="F1731" s="9">
        <v>36273</v>
      </c>
      <c r="G1731" s="9" t="s">
        <v>30</v>
      </c>
    </row>
    <row r="1732" spans="1:7" x14ac:dyDescent="0.2">
      <c r="A1732" t="s">
        <v>1744</v>
      </c>
      <c r="B1732" t="s">
        <v>1766</v>
      </c>
      <c r="C1732" t="s">
        <v>11514</v>
      </c>
      <c r="D1732" t="e">
        <v>#N/A</v>
      </c>
      <c r="E1732" s="9">
        <v>53746</v>
      </c>
      <c r="F1732" s="9">
        <v>140241</v>
      </c>
      <c r="G1732" s="9" t="s">
        <v>30</v>
      </c>
    </row>
    <row r="1733" spans="1:7" x14ac:dyDescent="0.2">
      <c r="A1733" t="s">
        <v>1744</v>
      </c>
      <c r="B1733" t="s">
        <v>1767</v>
      </c>
      <c r="C1733" t="s">
        <v>11515</v>
      </c>
      <c r="D1733" t="e">
        <v>#N/A</v>
      </c>
      <c r="E1733" s="9" t="s">
        <v>30</v>
      </c>
      <c r="F1733" s="9" t="s">
        <v>30</v>
      </c>
      <c r="G1733" s="9" t="s">
        <v>30</v>
      </c>
    </row>
    <row r="1734" spans="1:7" x14ac:dyDescent="0.2">
      <c r="A1734" t="s">
        <v>1744</v>
      </c>
      <c r="B1734" t="s">
        <v>1768</v>
      </c>
      <c r="C1734" t="s">
        <v>11516</v>
      </c>
      <c r="D1734" t="e">
        <v>#N/A</v>
      </c>
      <c r="E1734" s="9">
        <v>2589</v>
      </c>
      <c r="F1734" s="9">
        <v>12205</v>
      </c>
      <c r="G1734" s="9" t="s">
        <v>30</v>
      </c>
    </row>
    <row r="1735" spans="1:7" x14ac:dyDescent="0.2">
      <c r="A1735" t="s">
        <v>1744</v>
      </c>
      <c r="B1735" t="s">
        <v>1769</v>
      </c>
      <c r="C1735" t="s">
        <v>11517</v>
      </c>
      <c r="D1735" t="e">
        <v>#N/A</v>
      </c>
      <c r="E1735" s="9">
        <v>2078</v>
      </c>
      <c r="F1735" s="9">
        <v>16010</v>
      </c>
      <c r="G1735" s="9" t="s">
        <v>30</v>
      </c>
    </row>
    <row r="1736" spans="1:7" x14ac:dyDescent="0.2">
      <c r="A1736" t="s">
        <v>1744</v>
      </c>
      <c r="B1736" t="s">
        <v>1770</v>
      </c>
      <c r="C1736" t="s">
        <v>11518</v>
      </c>
      <c r="D1736" t="e">
        <v>#N/A</v>
      </c>
      <c r="E1736" s="9" t="s">
        <v>30</v>
      </c>
      <c r="F1736" s="9" t="s">
        <v>30</v>
      </c>
      <c r="G1736" s="9" t="s">
        <v>30</v>
      </c>
    </row>
    <row r="1737" spans="1:7" x14ac:dyDescent="0.2">
      <c r="A1737" t="s">
        <v>1744</v>
      </c>
      <c r="B1737" t="s">
        <v>1771</v>
      </c>
      <c r="C1737" t="s">
        <v>11519</v>
      </c>
      <c r="D1737" t="e">
        <v>#N/A</v>
      </c>
      <c r="E1737" s="9">
        <v>1293</v>
      </c>
      <c r="F1737" s="9">
        <v>11839</v>
      </c>
      <c r="G1737" s="9" t="s">
        <v>30</v>
      </c>
    </row>
    <row r="1738" spans="1:7" x14ac:dyDescent="0.2">
      <c r="A1738" t="s">
        <v>1772</v>
      </c>
      <c r="B1738" t="s">
        <v>1773</v>
      </c>
      <c r="C1738" t="s">
        <v>11520</v>
      </c>
      <c r="D1738" t="e">
        <v>#N/A</v>
      </c>
      <c r="E1738" s="9">
        <v>634</v>
      </c>
      <c r="F1738" s="9">
        <v>9810</v>
      </c>
      <c r="G1738" s="9" t="s">
        <v>30</v>
      </c>
    </row>
    <row r="1739" spans="1:7" x14ac:dyDescent="0.2">
      <c r="A1739" t="s">
        <v>1772</v>
      </c>
      <c r="B1739" t="s">
        <v>1774</v>
      </c>
      <c r="C1739" t="s">
        <v>10619</v>
      </c>
      <c r="D1739" t="s">
        <v>9715</v>
      </c>
      <c r="E1739" s="9">
        <v>680</v>
      </c>
      <c r="F1739" s="9">
        <v>11002</v>
      </c>
      <c r="G1739" s="9" t="s">
        <v>30</v>
      </c>
    </row>
    <row r="1740" spans="1:7" x14ac:dyDescent="0.2">
      <c r="A1740" t="s">
        <v>1772</v>
      </c>
      <c r="B1740" t="s">
        <v>1775</v>
      </c>
      <c r="C1740" t="s">
        <v>10616</v>
      </c>
      <c r="D1740" t="s">
        <v>9715</v>
      </c>
      <c r="E1740" s="9">
        <v>577</v>
      </c>
      <c r="F1740" s="9">
        <v>9808</v>
      </c>
      <c r="G1740" s="9" t="s">
        <v>30</v>
      </c>
    </row>
    <row r="1741" spans="1:7" x14ac:dyDescent="0.2">
      <c r="A1741" t="s">
        <v>1772</v>
      </c>
      <c r="B1741" t="s">
        <v>1776</v>
      </c>
      <c r="C1741" t="s">
        <v>11521</v>
      </c>
      <c r="D1741" t="e">
        <v>#N/A</v>
      </c>
      <c r="E1741" s="9">
        <v>1042</v>
      </c>
      <c r="F1741" s="9">
        <v>7082</v>
      </c>
      <c r="G1741" s="9" t="s">
        <v>30</v>
      </c>
    </row>
    <row r="1742" spans="1:7" x14ac:dyDescent="0.2">
      <c r="A1742" t="s">
        <v>1772</v>
      </c>
      <c r="B1742" t="s">
        <v>1777</v>
      </c>
      <c r="C1742" t="s">
        <v>10617</v>
      </c>
      <c r="D1742" t="s">
        <v>9715</v>
      </c>
      <c r="E1742" s="9">
        <v>1391</v>
      </c>
      <c r="F1742" s="9">
        <v>9806</v>
      </c>
      <c r="G1742" s="9" t="s">
        <v>30</v>
      </c>
    </row>
    <row r="1743" spans="1:7" x14ac:dyDescent="0.2">
      <c r="A1743" t="s">
        <v>1772</v>
      </c>
      <c r="B1743" t="s">
        <v>1778</v>
      </c>
      <c r="C1743" t="s">
        <v>11522</v>
      </c>
      <c r="D1743" t="e">
        <v>#N/A</v>
      </c>
      <c r="E1743" s="9">
        <v>1263</v>
      </c>
      <c r="F1743" s="9">
        <v>10478</v>
      </c>
      <c r="G1743" s="9" t="s">
        <v>30</v>
      </c>
    </row>
    <row r="1744" spans="1:7" x14ac:dyDescent="0.2">
      <c r="A1744" t="s">
        <v>1772</v>
      </c>
      <c r="B1744" t="s">
        <v>1779</v>
      </c>
      <c r="C1744" t="s">
        <v>10620</v>
      </c>
      <c r="D1744" t="s">
        <v>9715</v>
      </c>
      <c r="E1744" s="9" t="s">
        <v>30</v>
      </c>
      <c r="F1744" s="9" t="s">
        <v>30</v>
      </c>
      <c r="G1744" s="9" t="s">
        <v>30</v>
      </c>
    </row>
    <row r="1745" spans="1:7" x14ac:dyDescent="0.2">
      <c r="A1745" t="s">
        <v>1772</v>
      </c>
      <c r="B1745" t="s">
        <v>1780</v>
      </c>
      <c r="C1745" t="s">
        <v>10618</v>
      </c>
      <c r="D1745" t="s">
        <v>9715</v>
      </c>
      <c r="E1745" s="9">
        <v>350</v>
      </c>
      <c r="F1745" s="9">
        <v>8495</v>
      </c>
      <c r="G1745" s="9" t="s">
        <v>30</v>
      </c>
    </row>
    <row r="1746" spans="1:7" x14ac:dyDescent="0.2">
      <c r="A1746" t="s">
        <v>1772</v>
      </c>
      <c r="B1746" t="s">
        <v>1781</v>
      </c>
      <c r="C1746" t="s">
        <v>10621</v>
      </c>
      <c r="D1746" t="s">
        <v>9715</v>
      </c>
      <c r="E1746" s="9" t="s">
        <v>30</v>
      </c>
      <c r="F1746" s="9" t="s">
        <v>30</v>
      </c>
      <c r="G1746" s="9" t="s">
        <v>30</v>
      </c>
    </row>
    <row r="1747" spans="1:7" x14ac:dyDescent="0.2">
      <c r="A1747" t="s">
        <v>1772</v>
      </c>
      <c r="B1747" t="s">
        <v>1782</v>
      </c>
      <c r="C1747" t="s">
        <v>10622</v>
      </c>
      <c r="D1747" t="s">
        <v>9715</v>
      </c>
      <c r="E1747" s="9" t="s">
        <v>30</v>
      </c>
      <c r="F1747" s="9" t="s">
        <v>30</v>
      </c>
      <c r="G1747" s="9" t="s">
        <v>30</v>
      </c>
    </row>
    <row r="1748" spans="1:7" x14ac:dyDescent="0.2">
      <c r="A1748" t="s">
        <v>1772</v>
      </c>
      <c r="B1748" t="s">
        <v>1783</v>
      </c>
      <c r="C1748" t="s">
        <v>10623</v>
      </c>
      <c r="D1748" t="s">
        <v>9715</v>
      </c>
      <c r="E1748" s="9" t="s">
        <v>30</v>
      </c>
      <c r="F1748" s="9" t="s">
        <v>30</v>
      </c>
      <c r="G1748" s="9" t="s">
        <v>30</v>
      </c>
    </row>
    <row r="1749" spans="1:7" x14ac:dyDescent="0.2">
      <c r="A1749" t="s">
        <v>1772</v>
      </c>
      <c r="B1749" t="s">
        <v>1784</v>
      </c>
      <c r="C1749" t="s">
        <v>11523</v>
      </c>
      <c r="D1749" t="e">
        <v>#N/A</v>
      </c>
      <c r="E1749" s="9">
        <v>6185</v>
      </c>
      <c r="F1749" s="9">
        <v>67083</v>
      </c>
      <c r="G1749" s="9" t="s">
        <v>30</v>
      </c>
    </row>
    <row r="1750" spans="1:7" x14ac:dyDescent="0.2">
      <c r="A1750" t="s">
        <v>1772</v>
      </c>
      <c r="B1750" t="s">
        <v>1785</v>
      </c>
      <c r="C1750" t="s">
        <v>11524</v>
      </c>
      <c r="D1750" t="e">
        <v>#N/A</v>
      </c>
      <c r="E1750" s="9">
        <v>687</v>
      </c>
      <c r="F1750" s="9">
        <v>10618</v>
      </c>
      <c r="G1750" s="9" t="s">
        <v>30</v>
      </c>
    </row>
    <row r="1751" spans="1:7" x14ac:dyDescent="0.2">
      <c r="A1751" t="s">
        <v>1772</v>
      </c>
      <c r="B1751" t="s">
        <v>1786</v>
      </c>
      <c r="C1751" t="s">
        <v>11525</v>
      </c>
      <c r="D1751" t="e">
        <v>#N/A</v>
      </c>
      <c r="E1751" s="9">
        <v>1969</v>
      </c>
      <c r="F1751" s="9">
        <v>10843</v>
      </c>
      <c r="G1751" s="9" t="s">
        <v>30</v>
      </c>
    </row>
    <row r="1752" spans="1:7" x14ac:dyDescent="0.2">
      <c r="A1752" t="s">
        <v>1772</v>
      </c>
      <c r="B1752" t="s">
        <v>1787</v>
      </c>
      <c r="C1752" t="s">
        <v>11526</v>
      </c>
      <c r="D1752" t="e">
        <v>#N/A</v>
      </c>
      <c r="E1752" s="9">
        <v>778</v>
      </c>
      <c r="F1752" s="9">
        <v>5377</v>
      </c>
      <c r="G1752" s="9" t="s">
        <v>30</v>
      </c>
    </row>
    <row r="1753" spans="1:7" x14ac:dyDescent="0.2">
      <c r="A1753" t="s">
        <v>1788</v>
      </c>
      <c r="B1753" t="s">
        <v>1789</v>
      </c>
      <c r="C1753" t="s">
        <v>11527</v>
      </c>
      <c r="D1753" t="e">
        <v>#N/A</v>
      </c>
      <c r="E1753" s="9">
        <v>359</v>
      </c>
      <c r="F1753" s="9">
        <v>20974</v>
      </c>
      <c r="G1753" s="9" t="s">
        <v>30</v>
      </c>
    </row>
    <row r="1754" spans="1:7" x14ac:dyDescent="0.2">
      <c r="A1754" t="s">
        <v>1788</v>
      </c>
      <c r="B1754" t="s">
        <v>1790</v>
      </c>
      <c r="C1754" t="s">
        <v>11528</v>
      </c>
      <c r="D1754" t="e">
        <v>#N/A</v>
      </c>
      <c r="E1754" s="9">
        <v>1931</v>
      </c>
      <c r="F1754" s="9">
        <v>12541</v>
      </c>
      <c r="G1754" s="9" t="s">
        <v>30</v>
      </c>
    </row>
    <row r="1755" spans="1:7" x14ac:dyDescent="0.2">
      <c r="A1755" t="s">
        <v>1788</v>
      </c>
      <c r="B1755" t="s">
        <v>1791</v>
      </c>
      <c r="C1755" t="s">
        <v>11529</v>
      </c>
      <c r="D1755" t="e">
        <v>#N/A</v>
      </c>
      <c r="E1755" s="9">
        <v>692</v>
      </c>
      <c r="F1755" s="9">
        <v>10462</v>
      </c>
      <c r="G1755" s="9" t="s">
        <v>30</v>
      </c>
    </row>
    <row r="1756" spans="1:7" x14ac:dyDescent="0.2">
      <c r="A1756" t="s">
        <v>1788</v>
      </c>
      <c r="B1756" t="s">
        <v>1792</v>
      </c>
      <c r="C1756" t="s">
        <v>10625</v>
      </c>
      <c r="D1756" t="s">
        <v>9715</v>
      </c>
      <c r="E1756" s="9">
        <v>408</v>
      </c>
      <c r="F1756" s="9">
        <v>9289</v>
      </c>
      <c r="G1756" s="9" t="s">
        <v>30</v>
      </c>
    </row>
    <row r="1757" spans="1:7" x14ac:dyDescent="0.2">
      <c r="A1757" t="s">
        <v>1788</v>
      </c>
      <c r="B1757" t="s">
        <v>1793</v>
      </c>
      <c r="C1757" t="s">
        <v>10627</v>
      </c>
      <c r="D1757" t="s">
        <v>9715</v>
      </c>
      <c r="E1757" s="9">
        <v>1551</v>
      </c>
      <c r="F1757" s="9">
        <v>5964</v>
      </c>
      <c r="G1757" s="9" t="s">
        <v>30</v>
      </c>
    </row>
    <row r="1758" spans="1:7" x14ac:dyDescent="0.2">
      <c r="A1758" t="s">
        <v>1788</v>
      </c>
      <c r="B1758" t="s">
        <v>1794</v>
      </c>
      <c r="C1758" t="s">
        <v>11530</v>
      </c>
      <c r="D1758" t="e">
        <v>#N/A</v>
      </c>
      <c r="E1758" s="9">
        <v>1190</v>
      </c>
      <c r="F1758" s="9">
        <v>11939</v>
      </c>
      <c r="G1758" s="9" t="s">
        <v>30</v>
      </c>
    </row>
    <row r="1759" spans="1:7" x14ac:dyDescent="0.2">
      <c r="A1759" t="s">
        <v>1788</v>
      </c>
      <c r="B1759" t="s">
        <v>1795</v>
      </c>
      <c r="C1759" t="s">
        <v>11531</v>
      </c>
      <c r="D1759" t="e">
        <v>#N/A</v>
      </c>
      <c r="E1759" s="9">
        <v>1680</v>
      </c>
      <c r="F1759" s="9">
        <v>10477</v>
      </c>
      <c r="G1759" s="9" t="s">
        <v>30</v>
      </c>
    </row>
    <row r="1760" spans="1:7" x14ac:dyDescent="0.2">
      <c r="A1760" t="s">
        <v>1788</v>
      </c>
      <c r="B1760" t="s">
        <v>1796</v>
      </c>
      <c r="C1760" t="s">
        <v>11532</v>
      </c>
      <c r="D1760" t="e">
        <v>#N/A</v>
      </c>
      <c r="E1760" s="9">
        <v>942</v>
      </c>
      <c r="F1760" s="9">
        <v>11941</v>
      </c>
      <c r="G1760" s="9" t="s">
        <v>30</v>
      </c>
    </row>
    <row r="1761" spans="1:7" x14ac:dyDescent="0.2">
      <c r="A1761" t="s">
        <v>1788</v>
      </c>
      <c r="B1761" t="s">
        <v>1797</v>
      </c>
      <c r="C1761" t="s">
        <v>10624</v>
      </c>
      <c r="D1761" t="s">
        <v>9715</v>
      </c>
      <c r="E1761" s="9">
        <v>298</v>
      </c>
      <c r="F1761" s="9">
        <v>7493</v>
      </c>
      <c r="G1761" s="9" t="s">
        <v>30</v>
      </c>
    </row>
    <row r="1762" spans="1:7" x14ac:dyDescent="0.2">
      <c r="A1762" t="s">
        <v>1788</v>
      </c>
      <c r="B1762" t="s">
        <v>1798</v>
      </c>
      <c r="C1762" t="s">
        <v>11533</v>
      </c>
      <c r="D1762" t="e">
        <v>#N/A</v>
      </c>
      <c r="E1762" s="9">
        <v>910</v>
      </c>
      <c r="F1762" s="9">
        <v>11040</v>
      </c>
      <c r="G1762" s="9" t="s">
        <v>30</v>
      </c>
    </row>
    <row r="1763" spans="1:7" x14ac:dyDescent="0.2">
      <c r="A1763" t="s">
        <v>1788</v>
      </c>
      <c r="B1763" t="s">
        <v>1799</v>
      </c>
      <c r="C1763" t="s">
        <v>11534</v>
      </c>
      <c r="D1763" t="e">
        <v>#N/A</v>
      </c>
      <c r="E1763" s="9">
        <v>857</v>
      </c>
      <c r="F1763" s="9">
        <v>16288</v>
      </c>
      <c r="G1763" s="9" t="s">
        <v>30</v>
      </c>
    </row>
    <row r="1764" spans="1:7" x14ac:dyDescent="0.2">
      <c r="A1764" t="s">
        <v>1788</v>
      </c>
      <c r="B1764" t="s">
        <v>1800</v>
      </c>
      <c r="C1764" t="s">
        <v>11535</v>
      </c>
      <c r="D1764" t="e">
        <v>#N/A</v>
      </c>
      <c r="E1764" s="9">
        <v>7258</v>
      </c>
      <c r="F1764" s="9">
        <v>54342</v>
      </c>
      <c r="G1764" s="9" t="s">
        <v>30</v>
      </c>
    </row>
    <row r="1765" spans="1:7" x14ac:dyDescent="0.2">
      <c r="A1765" t="s">
        <v>1788</v>
      </c>
      <c r="B1765" t="s">
        <v>1801</v>
      </c>
      <c r="C1765" t="s">
        <v>11536</v>
      </c>
      <c r="D1765" t="e">
        <v>#N/A</v>
      </c>
      <c r="E1765" s="9">
        <v>4749</v>
      </c>
      <c r="F1765" s="9">
        <v>7015</v>
      </c>
      <c r="G1765" s="9" t="s">
        <v>30</v>
      </c>
    </row>
    <row r="1766" spans="1:7" x14ac:dyDescent="0.2">
      <c r="A1766" t="s">
        <v>1788</v>
      </c>
      <c r="B1766" t="s">
        <v>1802</v>
      </c>
      <c r="C1766" t="s">
        <v>11537</v>
      </c>
      <c r="D1766" t="e">
        <v>#N/A</v>
      </c>
      <c r="E1766" s="9">
        <v>285</v>
      </c>
      <c r="F1766" s="9">
        <v>9870</v>
      </c>
      <c r="G1766" s="9" t="s">
        <v>30</v>
      </c>
    </row>
    <row r="1767" spans="1:7" x14ac:dyDescent="0.2">
      <c r="A1767" t="s">
        <v>1788</v>
      </c>
      <c r="B1767" t="s">
        <v>1803</v>
      </c>
      <c r="C1767" t="s">
        <v>11538</v>
      </c>
      <c r="D1767" t="e">
        <v>#N/A</v>
      </c>
      <c r="E1767" s="9">
        <v>2886</v>
      </c>
      <c r="F1767" s="9">
        <v>20018</v>
      </c>
      <c r="G1767" s="9" t="s">
        <v>30</v>
      </c>
    </row>
    <row r="1768" spans="1:7" x14ac:dyDescent="0.2">
      <c r="A1768" t="s">
        <v>1788</v>
      </c>
      <c r="B1768" t="s">
        <v>1804</v>
      </c>
      <c r="C1768" t="s">
        <v>11539</v>
      </c>
      <c r="D1768" t="e">
        <v>#N/A</v>
      </c>
      <c r="E1768" s="9">
        <v>2406</v>
      </c>
      <c r="F1768" s="9">
        <v>33593</v>
      </c>
      <c r="G1768" s="9" t="s">
        <v>30</v>
      </c>
    </row>
    <row r="1769" spans="1:7" x14ac:dyDescent="0.2">
      <c r="A1769" t="s">
        <v>1788</v>
      </c>
      <c r="B1769" t="s">
        <v>1805</v>
      </c>
      <c r="C1769" t="s">
        <v>11540</v>
      </c>
      <c r="D1769" t="e">
        <v>#N/A</v>
      </c>
      <c r="E1769" s="9">
        <v>1287</v>
      </c>
      <c r="F1769" s="9">
        <v>18804</v>
      </c>
      <c r="G1769" s="9" t="s">
        <v>30</v>
      </c>
    </row>
    <row r="1770" spans="1:7" x14ac:dyDescent="0.2">
      <c r="A1770" t="s">
        <v>1788</v>
      </c>
      <c r="B1770" t="s">
        <v>1806</v>
      </c>
      <c r="C1770" t="s">
        <v>10628</v>
      </c>
      <c r="D1770" t="s">
        <v>9715</v>
      </c>
      <c r="E1770" s="9">
        <v>0</v>
      </c>
      <c r="F1770" s="9">
        <v>9490</v>
      </c>
      <c r="G1770" s="9" t="s">
        <v>30</v>
      </c>
    </row>
    <row r="1771" spans="1:7" x14ac:dyDescent="0.2">
      <c r="A1771" t="s">
        <v>1788</v>
      </c>
      <c r="B1771" t="s">
        <v>1807</v>
      </c>
      <c r="C1771" t="s">
        <v>11541</v>
      </c>
      <c r="D1771" t="e">
        <v>#N/A</v>
      </c>
      <c r="E1771" s="9">
        <v>2261</v>
      </c>
      <c r="F1771" s="9">
        <v>32183</v>
      </c>
      <c r="G1771" s="9" t="s">
        <v>30</v>
      </c>
    </row>
    <row r="1772" spans="1:7" x14ac:dyDescent="0.2">
      <c r="A1772" t="s">
        <v>1788</v>
      </c>
      <c r="B1772" t="s">
        <v>1808</v>
      </c>
      <c r="C1772" t="s">
        <v>11542</v>
      </c>
      <c r="D1772" t="e">
        <v>#N/A</v>
      </c>
      <c r="E1772" s="9">
        <v>9200</v>
      </c>
      <c r="F1772" s="9">
        <v>15774</v>
      </c>
      <c r="G1772" s="9" t="s">
        <v>30</v>
      </c>
    </row>
    <row r="1773" spans="1:7" x14ac:dyDescent="0.2">
      <c r="A1773" t="s">
        <v>1788</v>
      </c>
      <c r="B1773" t="s">
        <v>1809</v>
      </c>
      <c r="C1773" t="s">
        <v>11543</v>
      </c>
      <c r="D1773" t="e">
        <v>#N/A</v>
      </c>
      <c r="E1773" s="9">
        <v>508</v>
      </c>
      <c r="F1773" s="9">
        <v>22200</v>
      </c>
      <c r="G1773" s="9" t="s">
        <v>30</v>
      </c>
    </row>
    <row r="1774" spans="1:7" x14ac:dyDescent="0.2">
      <c r="A1774" t="s">
        <v>1788</v>
      </c>
      <c r="B1774" t="s">
        <v>1810</v>
      </c>
      <c r="C1774" t="s">
        <v>10637</v>
      </c>
      <c r="D1774" t="s">
        <v>9715</v>
      </c>
      <c r="E1774" s="9">
        <v>2430</v>
      </c>
      <c r="F1774" s="9">
        <v>13952</v>
      </c>
      <c r="G1774" s="9" t="s">
        <v>30</v>
      </c>
    </row>
    <row r="1775" spans="1:7" x14ac:dyDescent="0.2">
      <c r="A1775" t="s">
        <v>1788</v>
      </c>
      <c r="B1775" t="s">
        <v>1811</v>
      </c>
      <c r="C1775" t="s">
        <v>11544</v>
      </c>
      <c r="D1775" t="e">
        <v>#N/A</v>
      </c>
      <c r="E1775" s="9">
        <v>369</v>
      </c>
      <c r="F1775" s="9">
        <v>13699</v>
      </c>
      <c r="G1775" s="9" t="s">
        <v>30</v>
      </c>
    </row>
    <row r="1776" spans="1:7" x14ac:dyDescent="0.2">
      <c r="A1776" t="s">
        <v>1788</v>
      </c>
      <c r="B1776" t="s">
        <v>1812</v>
      </c>
      <c r="C1776" t="s">
        <v>10631</v>
      </c>
      <c r="D1776" t="s">
        <v>9715</v>
      </c>
      <c r="E1776" s="9">
        <v>660</v>
      </c>
      <c r="F1776" s="9">
        <v>8417</v>
      </c>
      <c r="G1776" s="9" t="s">
        <v>30</v>
      </c>
    </row>
    <row r="1777" spans="1:7" x14ac:dyDescent="0.2">
      <c r="A1777" t="s">
        <v>1788</v>
      </c>
      <c r="B1777" t="s">
        <v>1813</v>
      </c>
      <c r="C1777" t="s">
        <v>11545</v>
      </c>
      <c r="D1777" t="e">
        <v>#N/A</v>
      </c>
      <c r="E1777" s="9">
        <v>1368</v>
      </c>
      <c r="F1777" s="9">
        <v>12158</v>
      </c>
      <c r="G1777" s="9" t="s">
        <v>30</v>
      </c>
    </row>
    <row r="1778" spans="1:7" x14ac:dyDescent="0.2">
      <c r="A1778" t="s">
        <v>1788</v>
      </c>
      <c r="B1778" t="s">
        <v>1814</v>
      </c>
      <c r="C1778" t="s">
        <v>11546</v>
      </c>
      <c r="D1778" t="e">
        <v>#N/A</v>
      </c>
      <c r="E1778" s="9">
        <v>1235</v>
      </c>
      <c r="F1778" s="9">
        <v>23851</v>
      </c>
      <c r="G1778" s="9" t="s">
        <v>30</v>
      </c>
    </row>
    <row r="1779" spans="1:7" x14ac:dyDescent="0.2">
      <c r="A1779" t="s">
        <v>1788</v>
      </c>
      <c r="B1779" t="s">
        <v>1815</v>
      </c>
      <c r="C1779" t="s">
        <v>11547</v>
      </c>
      <c r="D1779" t="e">
        <v>#N/A</v>
      </c>
      <c r="E1779" s="9">
        <v>5514</v>
      </c>
      <c r="F1779" s="9">
        <v>27099</v>
      </c>
      <c r="G1779" s="9" t="s">
        <v>30</v>
      </c>
    </row>
    <row r="1780" spans="1:7" x14ac:dyDescent="0.2">
      <c r="A1780" t="s">
        <v>1788</v>
      </c>
      <c r="B1780" t="s">
        <v>1816</v>
      </c>
      <c r="C1780" t="s">
        <v>10632</v>
      </c>
      <c r="D1780" t="s">
        <v>9715</v>
      </c>
      <c r="E1780" s="9">
        <v>1517</v>
      </c>
      <c r="F1780" s="9">
        <v>13168</v>
      </c>
      <c r="G1780" s="9" t="s">
        <v>30</v>
      </c>
    </row>
    <row r="1781" spans="1:7" x14ac:dyDescent="0.2">
      <c r="A1781" t="s">
        <v>1788</v>
      </c>
      <c r="B1781" t="s">
        <v>1817</v>
      </c>
      <c r="C1781" t="s">
        <v>10633</v>
      </c>
      <c r="D1781" t="s">
        <v>9715</v>
      </c>
      <c r="E1781" s="9">
        <v>1023</v>
      </c>
      <c r="F1781" s="9">
        <v>10724</v>
      </c>
      <c r="G1781" s="9" t="s">
        <v>30</v>
      </c>
    </row>
    <row r="1782" spans="1:7" x14ac:dyDescent="0.2">
      <c r="A1782" t="s">
        <v>1788</v>
      </c>
      <c r="B1782" t="s">
        <v>1818</v>
      </c>
      <c r="C1782" t="s">
        <v>11548</v>
      </c>
      <c r="D1782" t="e">
        <v>#N/A</v>
      </c>
      <c r="E1782" s="9">
        <v>682</v>
      </c>
      <c r="F1782" s="9">
        <v>10991</v>
      </c>
      <c r="G1782" s="9" t="s">
        <v>30</v>
      </c>
    </row>
    <row r="1783" spans="1:7" x14ac:dyDescent="0.2">
      <c r="A1783" t="s">
        <v>1788</v>
      </c>
      <c r="B1783" t="s">
        <v>1819</v>
      </c>
      <c r="C1783" t="s">
        <v>11549</v>
      </c>
      <c r="D1783" t="e">
        <v>#N/A</v>
      </c>
      <c r="E1783" s="9">
        <v>1431</v>
      </c>
      <c r="F1783" s="9">
        <v>11223</v>
      </c>
      <c r="G1783" s="9" t="s">
        <v>30</v>
      </c>
    </row>
    <row r="1784" spans="1:7" x14ac:dyDescent="0.2">
      <c r="A1784" t="s">
        <v>1788</v>
      </c>
      <c r="B1784" t="s">
        <v>1820</v>
      </c>
      <c r="C1784" t="s">
        <v>10634</v>
      </c>
      <c r="D1784" t="s">
        <v>9715</v>
      </c>
      <c r="E1784" s="9">
        <v>1278</v>
      </c>
      <c r="F1784" s="9">
        <v>14033</v>
      </c>
      <c r="G1784" s="9" t="s">
        <v>30</v>
      </c>
    </row>
    <row r="1785" spans="1:7" x14ac:dyDescent="0.2">
      <c r="A1785" t="s">
        <v>1788</v>
      </c>
      <c r="B1785" t="s">
        <v>1821</v>
      </c>
      <c r="C1785" t="s">
        <v>10626</v>
      </c>
      <c r="D1785" t="s">
        <v>9715</v>
      </c>
      <c r="E1785" s="9">
        <v>423</v>
      </c>
      <c r="F1785" s="9">
        <v>9226</v>
      </c>
      <c r="G1785" s="9" t="s">
        <v>30</v>
      </c>
    </row>
    <row r="1786" spans="1:7" x14ac:dyDescent="0.2">
      <c r="A1786" t="s">
        <v>1788</v>
      </c>
      <c r="B1786" t="s">
        <v>1822</v>
      </c>
      <c r="C1786" t="s">
        <v>11550</v>
      </c>
      <c r="D1786" t="e">
        <v>#N/A</v>
      </c>
      <c r="E1786" s="9">
        <v>959</v>
      </c>
      <c r="F1786" s="9">
        <v>11097</v>
      </c>
      <c r="G1786" s="9" t="s">
        <v>30</v>
      </c>
    </row>
    <row r="1787" spans="1:7" x14ac:dyDescent="0.2">
      <c r="A1787" t="s">
        <v>1788</v>
      </c>
      <c r="B1787" t="s">
        <v>1823</v>
      </c>
      <c r="C1787" t="s">
        <v>11551</v>
      </c>
      <c r="D1787" t="e">
        <v>#N/A</v>
      </c>
      <c r="E1787" s="9">
        <v>959</v>
      </c>
      <c r="F1787" s="9">
        <v>11097</v>
      </c>
      <c r="G1787" s="9" t="s">
        <v>30</v>
      </c>
    </row>
    <row r="1788" spans="1:7" x14ac:dyDescent="0.2">
      <c r="A1788" t="s">
        <v>1788</v>
      </c>
      <c r="B1788" t="s">
        <v>1824</v>
      </c>
      <c r="C1788" t="s">
        <v>10635</v>
      </c>
      <c r="D1788" t="s">
        <v>9715</v>
      </c>
      <c r="E1788" s="9">
        <v>1204</v>
      </c>
      <c r="F1788" s="9">
        <v>9538</v>
      </c>
      <c r="G1788" s="9" t="s">
        <v>30</v>
      </c>
    </row>
    <row r="1789" spans="1:7" x14ac:dyDescent="0.2">
      <c r="A1789" t="s">
        <v>1788</v>
      </c>
      <c r="B1789" t="s">
        <v>1825</v>
      </c>
      <c r="C1789" t="s">
        <v>11552</v>
      </c>
      <c r="D1789" t="e">
        <v>#N/A</v>
      </c>
      <c r="E1789" s="9">
        <v>1452</v>
      </c>
      <c r="F1789" s="9">
        <v>10682</v>
      </c>
      <c r="G1789" s="9" t="s">
        <v>30</v>
      </c>
    </row>
    <row r="1790" spans="1:7" x14ac:dyDescent="0.2">
      <c r="A1790" t="s">
        <v>1788</v>
      </c>
      <c r="B1790" t="s">
        <v>1826</v>
      </c>
      <c r="C1790" t="s">
        <v>10629</v>
      </c>
      <c r="D1790" t="s">
        <v>9715</v>
      </c>
      <c r="E1790" s="9">
        <v>362</v>
      </c>
      <c r="F1790" s="9">
        <v>8391</v>
      </c>
      <c r="G1790" s="9" t="s">
        <v>30</v>
      </c>
    </row>
    <row r="1791" spans="1:7" x14ac:dyDescent="0.2">
      <c r="A1791" t="s">
        <v>1788</v>
      </c>
      <c r="B1791" t="s">
        <v>1827</v>
      </c>
      <c r="C1791" t="s">
        <v>10638</v>
      </c>
      <c r="D1791" t="s">
        <v>9715</v>
      </c>
      <c r="E1791" s="9">
        <v>924</v>
      </c>
      <c r="F1791" s="9">
        <v>10851</v>
      </c>
      <c r="G1791" s="9" t="s">
        <v>30</v>
      </c>
    </row>
    <row r="1792" spans="1:7" x14ac:dyDescent="0.2">
      <c r="A1792" t="s">
        <v>1788</v>
      </c>
      <c r="B1792" t="s">
        <v>1828</v>
      </c>
      <c r="C1792" t="s">
        <v>11553</v>
      </c>
      <c r="D1792" t="e">
        <v>#N/A</v>
      </c>
      <c r="E1792" s="9">
        <v>717</v>
      </c>
      <c r="F1792" s="9">
        <v>13948</v>
      </c>
      <c r="G1792" s="9" t="s">
        <v>30</v>
      </c>
    </row>
    <row r="1793" spans="1:7" x14ac:dyDescent="0.2">
      <c r="A1793" t="s">
        <v>1788</v>
      </c>
      <c r="B1793" t="s">
        <v>1829</v>
      </c>
      <c r="C1793" t="s">
        <v>10630</v>
      </c>
      <c r="D1793" t="s">
        <v>9715</v>
      </c>
      <c r="E1793" s="9">
        <v>234</v>
      </c>
      <c r="F1793" s="9">
        <v>834</v>
      </c>
      <c r="G1793" s="9" t="s">
        <v>30</v>
      </c>
    </row>
    <row r="1794" spans="1:7" x14ac:dyDescent="0.2">
      <c r="A1794" t="s">
        <v>1788</v>
      </c>
      <c r="B1794" t="s">
        <v>1830</v>
      </c>
      <c r="C1794" t="s">
        <v>11554</v>
      </c>
      <c r="D1794" t="e">
        <v>#N/A</v>
      </c>
      <c r="E1794" s="9">
        <v>2372</v>
      </c>
      <c r="F1794" s="9">
        <v>13329</v>
      </c>
      <c r="G1794" s="9" t="s">
        <v>30</v>
      </c>
    </row>
    <row r="1795" spans="1:7" x14ac:dyDescent="0.2">
      <c r="A1795" t="s">
        <v>1788</v>
      </c>
      <c r="B1795" t="s">
        <v>1831</v>
      </c>
      <c r="C1795" t="s">
        <v>10636</v>
      </c>
      <c r="D1795" t="s">
        <v>9715</v>
      </c>
      <c r="E1795" s="9">
        <v>1679</v>
      </c>
      <c r="F1795" s="9">
        <v>10558</v>
      </c>
      <c r="G1795" s="9" t="s">
        <v>30</v>
      </c>
    </row>
    <row r="1796" spans="1:7" x14ac:dyDescent="0.2">
      <c r="A1796" t="s">
        <v>1788</v>
      </c>
      <c r="B1796" t="s">
        <v>1832</v>
      </c>
      <c r="C1796" t="s">
        <v>11555</v>
      </c>
      <c r="D1796" t="e">
        <v>#N/A</v>
      </c>
      <c r="E1796" s="9">
        <v>1989</v>
      </c>
      <c r="F1796" s="9">
        <v>12970</v>
      </c>
      <c r="G1796" s="9" t="s">
        <v>30</v>
      </c>
    </row>
    <row r="1797" spans="1:7" x14ac:dyDescent="0.2">
      <c r="A1797" t="s">
        <v>1788</v>
      </c>
      <c r="B1797" t="s">
        <v>1833</v>
      </c>
      <c r="C1797" t="s">
        <v>11556</v>
      </c>
      <c r="D1797" t="e">
        <v>#N/A</v>
      </c>
      <c r="E1797" s="9">
        <v>1446</v>
      </c>
      <c r="F1797" s="9">
        <v>11009</v>
      </c>
      <c r="G1797" s="9" t="s">
        <v>30</v>
      </c>
    </row>
    <row r="1798" spans="1:7" x14ac:dyDescent="0.2">
      <c r="A1798" t="s">
        <v>1788</v>
      </c>
      <c r="B1798" t="s">
        <v>1834</v>
      </c>
      <c r="C1798" t="s">
        <v>10639</v>
      </c>
      <c r="D1798" t="s">
        <v>9715</v>
      </c>
      <c r="E1798" s="9">
        <v>1081</v>
      </c>
      <c r="F1798" s="9">
        <v>8704</v>
      </c>
      <c r="G1798" s="9" t="s">
        <v>30</v>
      </c>
    </row>
    <row r="1799" spans="1:7" x14ac:dyDescent="0.2">
      <c r="A1799" t="s">
        <v>1788</v>
      </c>
      <c r="B1799" t="s">
        <v>1835</v>
      </c>
      <c r="C1799" t="s">
        <v>11557</v>
      </c>
      <c r="D1799" t="e">
        <v>#N/A</v>
      </c>
      <c r="E1799" s="9">
        <v>1999</v>
      </c>
      <c r="F1799" s="9">
        <v>16186</v>
      </c>
      <c r="G1799" s="9" t="s">
        <v>30</v>
      </c>
    </row>
    <row r="1800" spans="1:7" x14ac:dyDescent="0.2">
      <c r="A1800" t="s">
        <v>1788</v>
      </c>
      <c r="B1800" t="s">
        <v>1836</v>
      </c>
      <c r="C1800" t="s">
        <v>10640</v>
      </c>
      <c r="D1800" t="s">
        <v>9715</v>
      </c>
      <c r="E1800" s="9">
        <v>1607</v>
      </c>
      <c r="F1800" s="9">
        <v>9832</v>
      </c>
      <c r="G1800" s="9" t="s">
        <v>30</v>
      </c>
    </row>
    <row r="1801" spans="1:7" x14ac:dyDescent="0.2">
      <c r="A1801" t="s">
        <v>1788</v>
      </c>
      <c r="B1801" t="s">
        <v>1837</v>
      </c>
      <c r="C1801" t="s">
        <v>11558</v>
      </c>
      <c r="D1801" t="e">
        <v>#N/A</v>
      </c>
      <c r="E1801" s="9">
        <v>5459</v>
      </c>
      <c r="F1801" s="9">
        <v>67950</v>
      </c>
      <c r="G1801" s="9" t="s">
        <v>30</v>
      </c>
    </row>
    <row r="1802" spans="1:7" x14ac:dyDescent="0.2">
      <c r="A1802" t="s">
        <v>1788</v>
      </c>
      <c r="B1802" t="s">
        <v>1838</v>
      </c>
      <c r="C1802" t="s">
        <v>11559</v>
      </c>
      <c r="D1802" t="e">
        <v>#N/A</v>
      </c>
      <c r="E1802" s="9">
        <v>2063</v>
      </c>
      <c r="F1802" s="9">
        <v>9677</v>
      </c>
      <c r="G1802" s="9" t="s">
        <v>30</v>
      </c>
    </row>
    <row r="1803" spans="1:7" x14ac:dyDescent="0.2">
      <c r="A1803" t="s">
        <v>1788</v>
      </c>
      <c r="B1803" t="s">
        <v>1839</v>
      </c>
      <c r="C1803" t="s">
        <v>11560</v>
      </c>
      <c r="D1803" t="e">
        <v>#N/A</v>
      </c>
      <c r="E1803" s="9">
        <v>559</v>
      </c>
      <c r="F1803" s="9">
        <v>11009</v>
      </c>
      <c r="G1803" s="9" t="s">
        <v>30</v>
      </c>
    </row>
    <row r="1804" spans="1:7" x14ac:dyDescent="0.2">
      <c r="A1804" t="s">
        <v>1788</v>
      </c>
      <c r="B1804" t="s">
        <v>1840</v>
      </c>
      <c r="C1804" t="s">
        <v>11561</v>
      </c>
      <c r="D1804" t="e">
        <v>#N/A</v>
      </c>
      <c r="E1804" s="9">
        <v>2041</v>
      </c>
      <c r="F1804" s="9">
        <v>15821</v>
      </c>
      <c r="G1804" s="9" t="s">
        <v>30</v>
      </c>
    </row>
    <row r="1805" spans="1:7" x14ac:dyDescent="0.2">
      <c r="A1805" t="s">
        <v>1788</v>
      </c>
      <c r="B1805" t="s">
        <v>1841</v>
      </c>
      <c r="C1805" t="s">
        <v>10642</v>
      </c>
      <c r="D1805" t="s">
        <v>9715</v>
      </c>
      <c r="E1805" s="9">
        <v>0</v>
      </c>
      <c r="F1805" s="9">
        <v>9681</v>
      </c>
      <c r="G1805" s="9" t="s">
        <v>30</v>
      </c>
    </row>
    <row r="1806" spans="1:7" x14ac:dyDescent="0.2">
      <c r="A1806" t="s">
        <v>1788</v>
      </c>
      <c r="B1806" t="s">
        <v>1842</v>
      </c>
      <c r="C1806" t="s">
        <v>11562</v>
      </c>
      <c r="D1806" t="e">
        <v>#N/A</v>
      </c>
      <c r="E1806" s="9">
        <v>1815</v>
      </c>
      <c r="F1806" s="9">
        <v>20341</v>
      </c>
      <c r="G1806" s="9" t="s">
        <v>30</v>
      </c>
    </row>
    <row r="1807" spans="1:7" x14ac:dyDescent="0.2">
      <c r="A1807" t="s">
        <v>1788</v>
      </c>
      <c r="B1807" t="s">
        <v>1843</v>
      </c>
      <c r="C1807" t="s">
        <v>11563</v>
      </c>
      <c r="D1807" t="e">
        <v>#N/A</v>
      </c>
      <c r="E1807" s="9">
        <v>783</v>
      </c>
      <c r="F1807" s="9">
        <v>11899</v>
      </c>
      <c r="G1807" s="9" t="s">
        <v>30</v>
      </c>
    </row>
    <row r="1808" spans="1:7" x14ac:dyDescent="0.2">
      <c r="A1808" t="s">
        <v>1788</v>
      </c>
      <c r="B1808" t="s">
        <v>1844</v>
      </c>
      <c r="C1808" t="s">
        <v>11564</v>
      </c>
      <c r="D1808" t="e">
        <v>#N/A</v>
      </c>
      <c r="E1808" s="9">
        <v>684</v>
      </c>
      <c r="F1808" s="9">
        <v>14448</v>
      </c>
      <c r="G1808" s="9" t="s">
        <v>30</v>
      </c>
    </row>
    <row r="1809" spans="1:7" x14ac:dyDescent="0.2">
      <c r="A1809" t="s">
        <v>1788</v>
      </c>
      <c r="B1809" t="s">
        <v>1845</v>
      </c>
      <c r="C1809" t="s">
        <v>11565</v>
      </c>
      <c r="D1809" t="e">
        <v>#N/A</v>
      </c>
      <c r="E1809" s="9">
        <v>992</v>
      </c>
      <c r="F1809" s="9">
        <v>9734</v>
      </c>
      <c r="G1809" s="9" t="s">
        <v>30</v>
      </c>
    </row>
    <row r="1810" spans="1:7" x14ac:dyDescent="0.2">
      <c r="A1810" t="s">
        <v>1788</v>
      </c>
      <c r="B1810" t="s">
        <v>1846</v>
      </c>
      <c r="C1810" t="s">
        <v>11566</v>
      </c>
      <c r="D1810" t="e">
        <v>#N/A</v>
      </c>
      <c r="E1810" s="9">
        <v>1001</v>
      </c>
      <c r="F1810" s="9">
        <v>12065</v>
      </c>
      <c r="G1810" s="9" t="s">
        <v>30</v>
      </c>
    </row>
    <row r="1811" spans="1:7" x14ac:dyDescent="0.2">
      <c r="A1811" t="s">
        <v>1788</v>
      </c>
      <c r="B1811" t="s">
        <v>1847</v>
      </c>
      <c r="C1811" t="s">
        <v>10641</v>
      </c>
      <c r="D1811" t="s">
        <v>9715</v>
      </c>
      <c r="E1811" s="9">
        <v>593</v>
      </c>
      <c r="F1811" s="9">
        <v>10205</v>
      </c>
      <c r="G1811" s="9" t="s">
        <v>30</v>
      </c>
    </row>
    <row r="1812" spans="1:7" x14ac:dyDescent="0.2">
      <c r="A1812" t="s">
        <v>1788</v>
      </c>
      <c r="B1812" t="s">
        <v>1848</v>
      </c>
      <c r="C1812" t="s">
        <v>11567</v>
      </c>
      <c r="D1812" t="e">
        <v>#N/A</v>
      </c>
      <c r="E1812" s="9">
        <v>1626</v>
      </c>
      <c r="F1812" s="9">
        <v>12782</v>
      </c>
      <c r="G1812" s="9" t="s">
        <v>30</v>
      </c>
    </row>
    <row r="1813" spans="1:7" x14ac:dyDescent="0.2">
      <c r="A1813" t="s">
        <v>1849</v>
      </c>
      <c r="B1813" t="s">
        <v>1850</v>
      </c>
      <c r="C1813" t="s">
        <v>10643</v>
      </c>
      <c r="D1813" t="s">
        <v>9715</v>
      </c>
      <c r="E1813" s="9">
        <v>1279</v>
      </c>
      <c r="F1813" s="9">
        <v>8661</v>
      </c>
      <c r="G1813" s="9" t="s">
        <v>30</v>
      </c>
    </row>
    <row r="1814" spans="1:7" x14ac:dyDescent="0.2">
      <c r="A1814" t="s">
        <v>1849</v>
      </c>
      <c r="B1814" t="s">
        <v>1851</v>
      </c>
      <c r="C1814" t="s">
        <v>10644</v>
      </c>
      <c r="D1814" t="s">
        <v>9715</v>
      </c>
      <c r="E1814" s="9">
        <v>1768</v>
      </c>
      <c r="F1814" s="9">
        <v>8692</v>
      </c>
      <c r="G1814" s="9" t="s">
        <v>30</v>
      </c>
    </row>
    <row r="1815" spans="1:7" x14ac:dyDescent="0.2">
      <c r="A1815" t="s">
        <v>1849</v>
      </c>
      <c r="B1815" t="s">
        <v>1852</v>
      </c>
      <c r="C1815" t="s">
        <v>10646</v>
      </c>
      <c r="D1815" t="s">
        <v>9715</v>
      </c>
      <c r="E1815" s="9">
        <v>1321</v>
      </c>
      <c r="F1815" s="9">
        <v>8797</v>
      </c>
      <c r="G1815" s="9" t="s">
        <v>30</v>
      </c>
    </row>
    <row r="1816" spans="1:7" x14ac:dyDescent="0.2">
      <c r="A1816" t="s">
        <v>1849</v>
      </c>
      <c r="B1816" t="s">
        <v>1853</v>
      </c>
      <c r="C1816" t="s">
        <v>11568</v>
      </c>
      <c r="D1816" t="e">
        <v>#N/A</v>
      </c>
      <c r="E1816" s="9">
        <v>2104</v>
      </c>
      <c r="F1816" s="9">
        <v>11569</v>
      </c>
      <c r="G1816" s="9" t="s">
        <v>30</v>
      </c>
    </row>
    <row r="1817" spans="1:7" x14ac:dyDescent="0.2">
      <c r="A1817" t="s">
        <v>1849</v>
      </c>
      <c r="B1817" t="s">
        <v>1854</v>
      </c>
      <c r="C1817" t="s">
        <v>11569</v>
      </c>
      <c r="D1817" t="e">
        <v>#N/A</v>
      </c>
      <c r="E1817" s="9">
        <v>1128</v>
      </c>
      <c r="F1817" s="9">
        <v>12162</v>
      </c>
      <c r="G1817" s="9" t="s">
        <v>30</v>
      </c>
    </row>
    <row r="1818" spans="1:7" x14ac:dyDescent="0.2">
      <c r="A1818" t="s">
        <v>1849</v>
      </c>
      <c r="B1818" t="s">
        <v>1855</v>
      </c>
      <c r="C1818" t="s">
        <v>10653</v>
      </c>
      <c r="D1818" t="s">
        <v>9715</v>
      </c>
      <c r="E1818" s="9">
        <v>93</v>
      </c>
      <c r="F1818" s="9">
        <v>8669</v>
      </c>
      <c r="G1818" s="9" t="s">
        <v>30</v>
      </c>
    </row>
    <row r="1819" spans="1:7" x14ac:dyDescent="0.2">
      <c r="A1819" t="s">
        <v>1849</v>
      </c>
      <c r="B1819" t="s">
        <v>1856</v>
      </c>
      <c r="C1819" t="s">
        <v>10645</v>
      </c>
      <c r="D1819" t="s">
        <v>9715</v>
      </c>
      <c r="E1819" s="9">
        <v>271</v>
      </c>
      <c r="F1819" s="9">
        <v>9885</v>
      </c>
      <c r="G1819" s="9" t="s">
        <v>30</v>
      </c>
    </row>
    <row r="1820" spans="1:7" x14ac:dyDescent="0.2">
      <c r="A1820" t="s">
        <v>1849</v>
      </c>
      <c r="B1820" t="s">
        <v>1857</v>
      </c>
      <c r="C1820" t="s">
        <v>11570</v>
      </c>
      <c r="D1820" t="e">
        <v>#N/A</v>
      </c>
      <c r="E1820" s="9">
        <v>1280</v>
      </c>
      <c r="F1820" s="9">
        <v>9850</v>
      </c>
      <c r="G1820" s="9" t="s">
        <v>30</v>
      </c>
    </row>
    <row r="1821" spans="1:7" x14ac:dyDescent="0.2">
      <c r="A1821" t="s">
        <v>1849</v>
      </c>
      <c r="B1821" t="s">
        <v>1858</v>
      </c>
      <c r="C1821" t="s">
        <v>10651</v>
      </c>
      <c r="D1821" t="s">
        <v>9715</v>
      </c>
      <c r="E1821" s="9">
        <v>718</v>
      </c>
      <c r="F1821" s="9">
        <v>15860</v>
      </c>
      <c r="G1821" s="9" t="s">
        <v>30</v>
      </c>
    </row>
    <row r="1822" spans="1:7" x14ac:dyDescent="0.2">
      <c r="A1822" t="s">
        <v>1849</v>
      </c>
      <c r="B1822" t="s">
        <v>1859</v>
      </c>
      <c r="C1822" t="s">
        <v>11571</v>
      </c>
      <c r="D1822" t="e">
        <v>#N/A</v>
      </c>
      <c r="E1822" s="9">
        <v>1890</v>
      </c>
      <c r="F1822" s="9">
        <v>10274</v>
      </c>
      <c r="G1822" s="9" t="s">
        <v>30</v>
      </c>
    </row>
    <row r="1823" spans="1:7" x14ac:dyDescent="0.2">
      <c r="A1823" t="s">
        <v>1849</v>
      </c>
      <c r="B1823" t="s">
        <v>1860</v>
      </c>
      <c r="C1823" t="s">
        <v>10652</v>
      </c>
      <c r="D1823" t="s">
        <v>9715</v>
      </c>
      <c r="E1823" s="9">
        <v>789</v>
      </c>
      <c r="F1823" s="9">
        <v>6463</v>
      </c>
      <c r="G1823" s="9" t="s">
        <v>30</v>
      </c>
    </row>
    <row r="1824" spans="1:7" x14ac:dyDescent="0.2">
      <c r="A1824" t="s">
        <v>1849</v>
      </c>
      <c r="B1824" t="s">
        <v>1861</v>
      </c>
      <c r="C1824" t="s">
        <v>11572</v>
      </c>
      <c r="D1824" t="e">
        <v>#N/A</v>
      </c>
      <c r="E1824" s="9">
        <v>889</v>
      </c>
      <c r="F1824" s="9">
        <v>10474</v>
      </c>
      <c r="G1824" s="9" t="s">
        <v>30</v>
      </c>
    </row>
    <row r="1825" spans="1:7" x14ac:dyDescent="0.2">
      <c r="A1825" t="s">
        <v>1849</v>
      </c>
      <c r="B1825" t="s">
        <v>1862</v>
      </c>
      <c r="C1825" t="s">
        <v>10648</v>
      </c>
      <c r="D1825" t="s">
        <v>9715</v>
      </c>
      <c r="E1825" s="9">
        <v>781</v>
      </c>
      <c r="F1825" s="9">
        <v>9915</v>
      </c>
      <c r="G1825" s="9" t="s">
        <v>30</v>
      </c>
    </row>
    <row r="1826" spans="1:7" x14ac:dyDescent="0.2">
      <c r="A1826" t="s">
        <v>1849</v>
      </c>
      <c r="B1826" t="s">
        <v>1863</v>
      </c>
      <c r="C1826" t="s">
        <v>10647</v>
      </c>
      <c r="D1826" t="s">
        <v>9715</v>
      </c>
      <c r="E1826" s="9">
        <v>615</v>
      </c>
      <c r="F1826" s="9">
        <v>9560</v>
      </c>
      <c r="G1826" s="9" t="s">
        <v>30</v>
      </c>
    </row>
    <row r="1827" spans="1:7" x14ac:dyDescent="0.2">
      <c r="A1827" t="s">
        <v>1849</v>
      </c>
      <c r="B1827" t="s">
        <v>1864</v>
      </c>
      <c r="C1827" t="s">
        <v>11573</v>
      </c>
      <c r="D1827" t="e">
        <v>#N/A</v>
      </c>
      <c r="E1827" s="9">
        <v>1762</v>
      </c>
      <c r="F1827" s="9">
        <v>7814</v>
      </c>
      <c r="G1827" s="9" t="s">
        <v>30</v>
      </c>
    </row>
    <row r="1828" spans="1:7" x14ac:dyDescent="0.2">
      <c r="A1828" t="s">
        <v>1849</v>
      </c>
      <c r="B1828" t="s">
        <v>1865</v>
      </c>
      <c r="C1828" t="s">
        <v>11574</v>
      </c>
      <c r="D1828" t="e">
        <v>#N/A</v>
      </c>
      <c r="E1828" s="9">
        <v>939</v>
      </c>
      <c r="F1828" s="9">
        <v>8675</v>
      </c>
      <c r="G1828" s="9" t="s">
        <v>30</v>
      </c>
    </row>
    <row r="1829" spans="1:7" x14ac:dyDescent="0.2">
      <c r="A1829" t="s">
        <v>1849</v>
      </c>
      <c r="B1829" t="s">
        <v>1866</v>
      </c>
      <c r="C1829" t="s">
        <v>11575</v>
      </c>
      <c r="D1829" t="e">
        <v>#N/A</v>
      </c>
      <c r="E1829" s="9">
        <v>2614</v>
      </c>
      <c r="F1829" s="9">
        <v>7151</v>
      </c>
      <c r="G1829" s="9" t="s">
        <v>30</v>
      </c>
    </row>
    <row r="1830" spans="1:7" x14ac:dyDescent="0.2">
      <c r="A1830" t="s">
        <v>1849</v>
      </c>
      <c r="B1830" t="s">
        <v>1867</v>
      </c>
      <c r="C1830" t="s">
        <v>11576</v>
      </c>
      <c r="D1830" t="e">
        <v>#N/A</v>
      </c>
      <c r="E1830" s="9">
        <v>1955</v>
      </c>
      <c r="F1830" s="9">
        <v>10838</v>
      </c>
      <c r="G1830" s="9" t="s">
        <v>30</v>
      </c>
    </row>
    <row r="1831" spans="1:7" x14ac:dyDescent="0.2">
      <c r="A1831" t="s">
        <v>1849</v>
      </c>
      <c r="B1831" t="s">
        <v>1868</v>
      </c>
      <c r="C1831" t="s">
        <v>11577</v>
      </c>
      <c r="D1831" t="e">
        <v>#N/A</v>
      </c>
      <c r="E1831" s="9">
        <v>827</v>
      </c>
      <c r="F1831" s="9">
        <v>9772</v>
      </c>
      <c r="G1831" s="9" t="s">
        <v>30</v>
      </c>
    </row>
    <row r="1832" spans="1:7" x14ac:dyDescent="0.2">
      <c r="A1832" t="s">
        <v>1849</v>
      </c>
      <c r="B1832" t="s">
        <v>1869</v>
      </c>
      <c r="C1832" t="s">
        <v>11578</v>
      </c>
      <c r="D1832" t="e">
        <v>#N/A</v>
      </c>
      <c r="E1832" s="9">
        <v>1809</v>
      </c>
      <c r="F1832" s="9">
        <v>11165</v>
      </c>
      <c r="G1832" s="9" t="s">
        <v>30</v>
      </c>
    </row>
    <row r="1833" spans="1:7" x14ac:dyDescent="0.2">
      <c r="A1833" t="s">
        <v>1849</v>
      </c>
      <c r="B1833" t="s">
        <v>1870</v>
      </c>
      <c r="C1833" t="s">
        <v>11579</v>
      </c>
      <c r="D1833" t="e">
        <v>#N/A</v>
      </c>
      <c r="E1833" s="9">
        <v>1809</v>
      </c>
      <c r="F1833" s="9">
        <v>11165</v>
      </c>
      <c r="G1833" s="9" t="s">
        <v>30</v>
      </c>
    </row>
    <row r="1834" spans="1:7" x14ac:dyDescent="0.2">
      <c r="A1834" t="s">
        <v>1849</v>
      </c>
      <c r="B1834" t="s">
        <v>1871</v>
      </c>
      <c r="C1834" t="s">
        <v>11580</v>
      </c>
      <c r="D1834" t="e">
        <v>#N/A</v>
      </c>
      <c r="E1834" s="9">
        <v>2097</v>
      </c>
      <c r="F1834" s="9">
        <v>13188</v>
      </c>
      <c r="G1834" s="9" t="s">
        <v>30</v>
      </c>
    </row>
    <row r="1835" spans="1:7" x14ac:dyDescent="0.2">
      <c r="A1835" t="s">
        <v>1849</v>
      </c>
      <c r="B1835" t="s">
        <v>1872</v>
      </c>
      <c r="C1835" t="s">
        <v>11581</v>
      </c>
      <c r="D1835" t="e">
        <v>#N/A</v>
      </c>
      <c r="E1835" s="9">
        <v>1376</v>
      </c>
      <c r="F1835" s="9">
        <v>10601</v>
      </c>
      <c r="G1835" s="9" t="s">
        <v>30</v>
      </c>
    </row>
    <row r="1836" spans="1:7" x14ac:dyDescent="0.2">
      <c r="A1836" t="s">
        <v>1849</v>
      </c>
      <c r="B1836" t="s">
        <v>1873</v>
      </c>
      <c r="C1836" t="s">
        <v>11582</v>
      </c>
      <c r="D1836" t="e">
        <v>#N/A</v>
      </c>
      <c r="E1836" s="9">
        <v>1626</v>
      </c>
      <c r="F1836" s="9">
        <v>10277</v>
      </c>
      <c r="G1836" s="9" t="s">
        <v>30</v>
      </c>
    </row>
    <row r="1837" spans="1:7" x14ac:dyDescent="0.2">
      <c r="A1837" t="s">
        <v>1849</v>
      </c>
      <c r="B1837" t="s">
        <v>1874</v>
      </c>
      <c r="C1837" t="s">
        <v>11583</v>
      </c>
      <c r="D1837" t="e">
        <v>#N/A</v>
      </c>
      <c r="E1837" s="9">
        <v>2648</v>
      </c>
      <c r="F1837" s="9">
        <v>10973</v>
      </c>
      <c r="G1837" s="9" t="s">
        <v>30</v>
      </c>
    </row>
    <row r="1838" spans="1:7" x14ac:dyDescent="0.2">
      <c r="A1838" t="s">
        <v>1849</v>
      </c>
      <c r="B1838" t="s">
        <v>1875</v>
      </c>
      <c r="C1838" t="s">
        <v>11584</v>
      </c>
      <c r="D1838" t="e">
        <v>#N/A</v>
      </c>
      <c r="E1838" s="9">
        <v>2554</v>
      </c>
      <c r="F1838" s="9">
        <v>11834</v>
      </c>
      <c r="G1838" s="9" t="s">
        <v>30</v>
      </c>
    </row>
    <row r="1839" spans="1:7" x14ac:dyDescent="0.2">
      <c r="A1839" t="s">
        <v>1849</v>
      </c>
      <c r="B1839" t="s">
        <v>1876</v>
      </c>
      <c r="C1839" t="s">
        <v>11585</v>
      </c>
      <c r="D1839" t="e">
        <v>#N/A</v>
      </c>
      <c r="E1839" s="9">
        <v>729</v>
      </c>
      <c r="F1839" s="9">
        <v>9959</v>
      </c>
      <c r="G1839" s="9" t="s">
        <v>30</v>
      </c>
    </row>
    <row r="1840" spans="1:7" x14ac:dyDescent="0.2">
      <c r="A1840" t="s">
        <v>1849</v>
      </c>
      <c r="B1840" t="s">
        <v>1877</v>
      </c>
      <c r="C1840" t="s">
        <v>11586</v>
      </c>
      <c r="D1840" t="e">
        <v>#N/A</v>
      </c>
      <c r="E1840" s="9">
        <v>2473</v>
      </c>
      <c r="F1840" s="9">
        <v>11900</v>
      </c>
      <c r="G1840" s="9" t="s">
        <v>30</v>
      </c>
    </row>
    <row r="1841" spans="1:7" x14ac:dyDescent="0.2">
      <c r="A1841" t="s">
        <v>1849</v>
      </c>
      <c r="B1841" t="s">
        <v>1878</v>
      </c>
      <c r="C1841" t="s">
        <v>11587</v>
      </c>
      <c r="D1841" t="e">
        <v>#N/A</v>
      </c>
      <c r="E1841" s="9">
        <v>1660</v>
      </c>
      <c r="F1841" s="9">
        <v>9726</v>
      </c>
      <c r="G1841" s="9" t="s">
        <v>30</v>
      </c>
    </row>
    <row r="1842" spans="1:7" x14ac:dyDescent="0.2">
      <c r="A1842" t="s">
        <v>1849</v>
      </c>
      <c r="B1842" t="s">
        <v>1879</v>
      </c>
      <c r="C1842" t="s">
        <v>10649</v>
      </c>
      <c r="D1842" t="s">
        <v>9715</v>
      </c>
      <c r="E1842" s="9">
        <v>423</v>
      </c>
      <c r="F1842" s="9">
        <v>10480</v>
      </c>
      <c r="G1842" s="9" t="s">
        <v>30</v>
      </c>
    </row>
    <row r="1843" spans="1:7" x14ac:dyDescent="0.2">
      <c r="A1843" t="s">
        <v>1849</v>
      </c>
      <c r="B1843" t="s">
        <v>1880</v>
      </c>
      <c r="C1843" t="s">
        <v>11588</v>
      </c>
      <c r="D1843" t="e">
        <v>#N/A</v>
      </c>
      <c r="E1843" s="9">
        <v>2290</v>
      </c>
      <c r="F1843" s="9">
        <v>30308</v>
      </c>
      <c r="G1843" s="9" t="s">
        <v>30</v>
      </c>
    </row>
    <row r="1844" spans="1:7" x14ac:dyDescent="0.2">
      <c r="A1844" t="s">
        <v>1849</v>
      </c>
      <c r="B1844" t="s">
        <v>1881</v>
      </c>
      <c r="C1844" t="s">
        <v>11589</v>
      </c>
      <c r="D1844" t="e">
        <v>#N/A</v>
      </c>
      <c r="E1844" s="9">
        <v>1835</v>
      </c>
      <c r="F1844" s="9">
        <v>10965</v>
      </c>
      <c r="G1844" s="9" t="s">
        <v>30</v>
      </c>
    </row>
    <row r="1845" spans="1:7" x14ac:dyDescent="0.2">
      <c r="A1845" t="s">
        <v>1849</v>
      </c>
      <c r="B1845" t="s">
        <v>1882</v>
      </c>
      <c r="C1845" t="s">
        <v>11590</v>
      </c>
      <c r="D1845" t="e">
        <v>#N/A</v>
      </c>
      <c r="E1845" s="9">
        <v>1316</v>
      </c>
      <c r="F1845" s="9">
        <v>11493</v>
      </c>
      <c r="G1845" s="9" t="s">
        <v>30</v>
      </c>
    </row>
    <row r="1846" spans="1:7" x14ac:dyDescent="0.2">
      <c r="A1846" t="s">
        <v>1849</v>
      </c>
      <c r="B1846" t="s">
        <v>1883</v>
      </c>
      <c r="C1846" t="s">
        <v>11591</v>
      </c>
      <c r="D1846" t="e">
        <v>#N/A</v>
      </c>
      <c r="E1846" s="9">
        <v>1221</v>
      </c>
      <c r="F1846" s="9">
        <v>11349</v>
      </c>
      <c r="G1846" s="9" t="s">
        <v>30</v>
      </c>
    </row>
    <row r="1847" spans="1:7" x14ac:dyDescent="0.2">
      <c r="A1847" t="s">
        <v>1849</v>
      </c>
      <c r="B1847" t="s">
        <v>1884</v>
      </c>
      <c r="C1847" t="s">
        <v>10650</v>
      </c>
      <c r="D1847" t="s">
        <v>9715</v>
      </c>
      <c r="E1847" s="9">
        <v>310</v>
      </c>
      <c r="F1847" s="9">
        <v>12359</v>
      </c>
      <c r="G1847" s="9" t="s">
        <v>30</v>
      </c>
    </row>
    <row r="1848" spans="1:7" x14ac:dyDescent="0.2">
      <c r="A1848" t="s">
        <v>1849</v>
      </c>
      <c r="B1848" t="s">
        <v>1885</v>
      </c>
      <c r="C1848" t="s">
        <v>11592</v>
      </c>
      <c r="D1848" t="e">
        <v>#N/A</v>
      </c>
      <c r="E1848" s="9">
        <v>1438</v>
      </c>
      <c r="F1848" s="9">
        <v>11245</v>
      </c>
      <c r="G1848" s="9" t="s">
        <v>30</v>
      </c>
    </row>
    <row r="1849" spans="1:7" x14ac:dyDescent="0.2">
      <c r="A1849" t="s">
        <v>1849</v>
      </c>
      <c r="B1849" t="s">
        <v>1886</v>
      </c>
      <c r="C1849" t="s">
        <v>11593</v>
      </c>
      <c r="D1849" t="e">
        <v>#N/A</v>
      </c>
      <c r="E1849" s="9">
        <v>1966</v>
      </c>
      <c r="F1849" s="9">
        <v>13313</v>
      </c>
      <c r="G1849" s="9" t="s">
        <v>30</v>
      </c>
    </row>
    <row r="1850" spans="1:7" x14ac:dyDescent="0.2">
      <c r="A1850" t="s">
        <v>1887</v>
      </c>
      <c r="B1850" t="s">
        <v>1888</v>
      </c>
      <c r="C1850" t="s">
        <v>10657</v>
      </c>
      <c r="D1850" t="s">
        <v>9715</v>
      </c>
      <c r="E1850" s="9">
        <v>1731</v>
      </c>
      <c r="F1850" s="9">
        <v>9500</v>
      </c>
      <c r="G1850" s="9" t="s">
        <v>30</v>
      </c>
    </row>
    <row r="1851" spans="1:7" x14ac:dyDescent="0.2">
      <c r="A1851" t="s">
        <v>1887</v>
      </c>
      <c r="B1851" t="s">
        <v>1889</v>
      </c>
      <c r="C1851" t="s">
        <v>11594</v>
      </c>
      <c r="D1851" t="e">
        <v>#N/A</v>
      </c>
      <c r="E1851" s="9" t="s">
        <v>30</v>
      </c>
      <c r="F1851" s="9" t="s">
        <v>30</v>
      </c>
      <c r="G1851" s="9" t="s">
        <v>30</v>
      </c>
    </row>
    <row r="1852" spans="1:7" x14ac:dyDescent="0.2">
      <c r="A1852" t="s">
        <v>1887</v>
      </c>
      <c r="B1852" t="s">
        <v>1890</v>
      </c>
      <c r="C1852" t="s">
        <v>11595</v>
      </c>
      <c r="D1852" t="e">
        <v>#N/A</v>
      </c>
      <c r="E1852" s="9">
        <v>1443</v>
      </c>
      <c r="F1852" s="9">
        <v>12055</v>
      </c>
      <c r="G1852" s="9" t="s">
        <v>30</v>
      </c>
    </row>
    <row r="1853" spans="1:7" x14ac:dyDescent="0.2">
      <c r="A1853" t="s">
        <v>1887</v>
      </c>
      <c r="B1853" t="s">
        <v>1891</v>
      </c>
      <c r="C1853" t="s">
        <v>10655</v>
      </c>
      <c r="D1853" t="s">
        <v>9715</v>
      </c>
      <c r="E1853" s="9">
        <v>1605</v>
      </c>
      <c r="F1853" s="9">
        <v>7685</v>
      </c>
      <c r="G1853" s="9" t="s">
        <v>30</v>
      </c>
    </row>
    <row r="1854" spans="1:7" x14ac:dyDescent="0.2">
      <c r="A1854" t="s">
        <v>1887</v>
      </c>
      <c r="B1854" t="s">
        <v>1892</v>
      </c>
      <c r="C1854" t="s">
        <v>11596</v>
      </c>
      <c r="D1854" t="e">
        <v>#N/A</v>
      </c>
      <c r="E1854" s="9">
        <v>453</v>
      </c>
      <c r="F1854" s="9">
        <v>6245</v>
      </c>
      <c r="G1854" s="9" t="s">
        <v>30</v>
      </c>
    </row>
    <row r="1855" spans="1:7" x14ac:dyDescent="0.2">
      <c r="A1855" t="s">
        <v>1887</v>
      </c>
      <c r="B1855" t="s">
        <v>1893</v>
      </c>
      <c r="C1855" t="s">
        <v>10658</v>
      </c>
      <c r="D1855" t="s">
        <v>9715</v>
      </c>
      <c r="E1855" s="9">
        <v>220</v>
      </c>
      <c r="F1855" s="9">
        <v>13501</v>
      </c>
      <c r="G1855" s="9" t="s">
        <v>30</v>
      </c>
    </row>
    <row r="1856" spans="1:7" x14ac:dyDescent="0.2">
      <c r="A1856" t="s">
        <v>1887</v>
      </c>
      <c r="B1856" t="s">
        <v>1894</v>
      </c>
      <c r="C1856" t="s">
        <v>11597</v>
      </c>
      <c r="D1856" t="e">
        <v>#N/A</v>
      </c>
      <c r="E1856" s="9">
        <v>814</v>
      </c>
      <c r="F1856" s="9">
        <v>9234</v>
      </c>
      <c r="G1856" s="9" t="s">
        <v>30</v>
      </c>
    </row>
    <row r="1857" spans="1:7" x14ac:dyDescent="0.2">
      <c r="A1857" t="s">
        <v>1887</v>
      </c>
      <c r="B1857" t="s">
        <v>1895</v>
      </c>
      <c r="C1857" t="s">
        <v>11598</v>
      </c>
      <c r="D1857" t="e">
        <v>#N/A</v>
      </c>
      <c r="E1857" s="9">
        <v>1870</v>
      </c>
      <c r="F1857" s="9">
        <v>11273</v>
      </c>
      <c r="G1857" s="9" t="s">
        <v>30</v>
      </c>
    </row>
    <row r="1858" spans="1:7" x14ac:dyDescent="0.2">
      <c r="A1858" t="s">
        <v>1887</v>
      </c>
      <c r="B1858" t="s">
        <v>1896</v>
      </c>
      <c r="C1858" t="s">
        <v>11599</v>
      </c>
      <c r="D1858" t="e">
        <v>#N/A</v>
      </c>
      <c r="E1858" s="9">
        <v>1042</v>
      </c>
      <c r="F1858" s="9">
        <v>12402</v>
      </c>
      <c r="G1858" s="9" t="s">
        <v>30</v>
      </c>
    </row>
    <row r="1859" spans="1:7" x14ac:dyDescent="0.2">
      <c r="A1859" t="s">
        <v>1887</v>
      </c>
      <c r="B1859" t="s">
        <v>1897</v>
      </c>
      <c r="C1859" t="s">
        <v>11600</v>
      </c>
      <c r="D1859" t="e">
        <v>#N/A</v>
      </c>
      <c r="E1859" s="9">
        <v>3002</v>
      </c>
      <c r="F1859" s="9">
        <v>13123</v>
      </c>
      <c r="G1859" s="9" t="s">
        <v>30</v>
      </c>
    </row>
    <row r="1860" spans="1:7" x14ac:dyDescent="0.2">
      <c r="A1860" t="s">
        <v>1887</v>
      </c>
      <c r="B1860" t="s">
        <v>1898</v>
      </c>
      <c r="C1860" t="s">
        <v>11601</v>
      </c>
      <c r="D1860" t="e">
        <v>#N/A</v>
      </c>
      <c r="E1860" s="9">
        <v>858</v>
      </c>
      <c r="F1860" s="9">
        <v>8166</v>
      </c>
      <c r="G1860" s="9" t="s">
        <v>30</v>
      </c>
    </row>
    <row r="1861" spans="1:7" x14ac:dyDescent="0.2">
      <c r="A1861" t="s">
        <v>1887</v>
      </c>
      <c r="B1861" t="s">
        <v>1899</v>
      </c>
      <c r="C1861" t="s">
        <v>11602</v>
      </c>
      <c r="D1861" t="e">
        <v>#N/A</v>
      </c>
      <c r="E1861" s="9">
        <v>404</v>
      </c>
      <c r="F1861" s="9">
        <v>10368</v>
      </c>
      <c r="G1861" s="9" t="s">
        <v>30</v>
      </c>
    </row>
    <row r="1862" spans="1:7" x14ac:dyDescent="0.2">
      <c r="A1862" t="s">
        <v>1887</v>
      </c>
      <c r="B1862" t="s">
        <v>1900</v>
      </c>
      <c r="C1862" t="s">
        <v>10654</v>
      </c>
      <c r="D1862" t="s">
        <v>9715</v>
      </c>
      <c r="E1862" s="9">
        <v>397</v>
      </c>
      <c r="F1862" s="9">
        <v>7756</v>
      </c>
      <c r="G1862" s="9" t="s">
        <v>30</v>
      </c>
    </row>
    <row r="1863" spans="1:7" x14ac:dyDescent="0.2">
      <c r="A1863" t="s">
        <v>1887</v>
      </c>
      <c r="B1863" t="s">
        <v>1901</v>
      </c>
      <c r="C1863" t="s">
        <v>11603</v>
      </c>
      <c r="D1863" t="e">
        <v>#N/A</v>
      </c>
      <c r="E1863" s="9">
        <v>10356</v>
      </c>
      <c r="F1863" s="9">
        <v>75540</v>
      </c>
      <c r="G1863" s="9" t="s">
        <v>30</v>
      </c>
    </row>
    <row r="1864" spans="1:7" x14ac:dyDescent="0.2">
      <c r="A1864" t="s">
        <v>1887</v>
      </c>
      <c r="B1864" t="s">
        <v>1902</v>
      </c>
      <c r="C1864" t="s">
        <v>10656</v>
      </c>
      <c r="D1864" t="s">
        <v>9715</v>
      </c>
      <c r="E1864" s="9">
        <v>194</v>
      </c>
      <c r="F1864" s="9">
        <v>9109</v>
      </c>
      <c r="G1864" s="9" t="s">
        <v>30</v>
      </c>
    </row>
    <row r="1865" spans="1:7" x14ac:dyDescent="0.2">
      <c r="A1865" t="s">
        <v>1887</v>
      </c>
      <c r="B1865" t="s">
        <v>1903</v>
      </c>
      <c r="C1865" t="s">
        <v>11604</v>
      </c>
      <c r="D1865" t="e">
        <v>#N/A</v>
      </c>
      <c r="E1865" s="9">
        <v>863</v>
      </c>
      <c r="F1865" s="9">
        <v>10141</v>
      </c>
      <c r="G1865" s="9" t="s">
        <v>30</v>
      </c>
    </row>
    <row r="1866" spans="1:7" x14ac:dyDescent="0.2">
      <c r="A1866" t="s">
        <v>1887</v>
      </c>
      <c r="B1866" t="s">
        <v>1904</v>
      </c>
      <c r="C1866" t="s">
        <v>10660</v>
      </c>
      <c r="D1866" t="s">
        <v>9715</v>
      </c>
      <c r="E1866" s="9">
        <v>776</v>
      </c>
      <c r="F1866" s="9">
        <v>10469</v>
      </c>
      <c r="G1866" s="9" t="s">
        <v>30</v>
      </c>
    </row>
    <row r="1867" spans="1:7" x14ac:dyDescent="0.2">
      <c r="A1867" t="s">
        <v>1887</v>
      </c>
      <c r="B1867" t="s">
        <v>1905</v>
      </c>
      <c r="C1867" t="s">
        <v>10659</v>
      </c>
      <c r="D1867" t="s">
        <v>9715</v>
      </c>
      <c r="E1867" s="9">
        <v>222</v>
      </c>
      <c r="F1867" s="9">
        <v>11245</v>
      </c>
      <c r="G1867" s="9" t="s">
        <v>30</v>
      </c>
    </row>
    <row r="1868" spans="1:7" x14ac:dyDescent="0.2">
      <c r="A1868" t="s">
        <v>1887</v>
      </c>
      <c r="B1868" t="s">
        <v>1906</v>
      </c>
      <c r="C1868" t="s">
        <v>11605</v>
      </c>
      <c r="D1868" t="e">
        <v>#N/A</v>
      </c>
      <c r="E1868" s="9">
        <v>2372</v>
      </c>
      <c r="F1868" s="9">
        <v>12496</v>
      </c>
      <c r="G1868" s="9" t="s">
        <v>30</v>
      </c>
    </row>
    <row r="1869" spans="1:7" x14ac:dyDescent="0.2">
      <c r="A1869" t="s">
        <v>1887</v>
      </c>
      <c r="B1869" t="s">
        <v>1907</v>
      </c>
      <c r="C1869" t="s">
        <v>10661</v>
      </c>
      <c r="D1869" t="s">
        <v>9715</v>
      </c>
      <c r="E1869" s="9">
        <v>2189</v>
      </c>
      <c r="F1869" s="9">
        <v>10892</v>
      </c>
      <c r="G1869" s="9" t="s">
        <v>30</v>
      </c>
    </row>
    <row r="1870" spans="1:7" x14ac:dyDescent="0.2">
      <c r="A1870" t="s">
        <v>1887</v>
      </c>
      <c r="B1870" t="s">
        <v>1908</v>
      </c>
      <c r="C1870" t="s">
        <v>11606</v>
      </c>
      <c r="D1870" t="e">
        <v>#N/A</v>
      </c>
      <c r="E1870" s="9">
        <v>1317</v>
      </c>
      <c r="F1870" s="9">
        <v>10880</v>
      </c>
      <c r="G1870" s="9" t="s">
        <v>30</v>
      </c>
    </row>
    <row r="1871" spans="1:7" x14ac:dyDescent="0.2">
      <c r="A1871" t="s">
        <v>1909</v>
      </c>
      <c r="B1871" t="s">
        <v>1910</v>
      </c>
      <c r="C1871" t="s">
        <v>11607</v>
      </c>
      <c r="D1871" t="e">
        <v>#N/A</v>
      </c>
      <c r="E1871" s="9">
        <v>410</v>
      </c>
      <c r="F1871" s="9">
        <v>9700</v>
      </c>
      <c r="G1871" s="9" t="s">
        <v>30</v>
      </c>
    </row>
    <row r="1872" spans="1:7" x14ac:dyDescent="0.2">
      <c r="A1872" t="s">
        <v>1909</v>
      </c>
      <c r="B1872" t="s">
        <v>1911</v>
      </c>
      <c r="C1872" t="s">
        <v>11608</v>
      </c>
      <c r="D1872" t="e">
        <v>#N/A</v>
      </c>
      <c r="E1872" s="9">
        <v>1908</v>
      </c>
      <c r="F1872" s="9">
        <v>10769</v>
      </c>
      <c r="G1872" s="9" t="s">
        <v>30</v>
      </c>
    </row>
    <row r="1873" spans="1:7" x14ac:dyDescent="0.2">
      <c r="A1873" t="s">
        <v>1909</v>
      </c>
      <c r="B1873" t="s">
        <v>1912</v>
      </c>
      <c r="C1873" t="s">
        <v>11609</v>
      </c>
      <c r="D1873" t="e">
        <v>#N/A</v>
      </c>
      <c r="E1873" s="9">
        <v>2788</v>
      </c>
      <c r="F1873" s="9">
        <v>10167</v>
      </c>
      <c r="G1873" s="9" t="s">
        <v>30</v>
      </c>
    </row>
    <row r="1874" spans="1:7" x14ac:dyDescent="0.2">
      <c r="A1874" t="s">
        <v>1909</v>
      </c>
      <c r="B1874" t="s">
        <v>1913</v>
      </c>
      <c r="C1874" t="s">
        <v>11610</v>
      </c>
      <c r="D1874" t="e">
        <v>#N/A</v>
      </c>
      <c r="E1874" s="9">
        <v>2319</v>
      </c>
      <c r="F1874" s="9">
        <v>10770</v>
      </c>
      <c r="G1874" s="9" t="s">
        <v>30</v>
      </c>
    </row>
    <row r="1875" spans="1:7" x14ac:dyDescent="0.2">
      <c r="A1875" t="s">
        <v>1909</v>
      </c>
      <c r="B1875" t="s">
        <v>1914</v>
      </c>
      <c r="C1875" t="s">
        <v>11611</v>
      </c>
      <c r="D1875" t="e">
        <v>#N/A</v>
      </c>
      <c r="E1875" s="9">
        <v>1296</v>
      </c>
      <c r="F1875" s="9">
        <v>11192</v>
      </c>
      <c r="G1875" s="9" t="s">
        <v>30</v>
      </c>
    </row>
    <row r="1876" spans="1:7" x14ac:dyDescent="0.2">
      <c r="A1876" t="s">
        <v>1909</v>
      </c>
      <c r="B1876" t="s">
        <v>1915</v>
      </c>
      <c r="C1876" t="s">
        <v>11612</v>
      </c>
      <c r="D1876" t="e">
        <v>#N/A</v>
      </c>
      <c r="E1876" s="9">
        <v>1895</v>
      </c>
      <c r="F1876" s="9">
        <v>11003</v>
      </c>
      <c r="G1876" s="9" t="s">
        <v>30</v>
      </c>
    </row>
    <row r="1877" spans="1:7" x14ac:dyDescent="0.2">
      <c r="A1877" t="s">
        <v>1909</v>
      </c>
      <c r="B1877" t="s">
        <v>1916</v>
      </c>
      <c r="C1877" t="s">
        <v>11613</v>
      </c>
      <c r="D1877" t="e">
        <v>#N/A</v>
      </c>
      <c r="E1877" s="9">
        <v>13110</v>
      </c>
      <c r="F1877" s="9">
        <v>896</v>
      </c>
      <c r="G1877" s="9" t="s">
        <v>30</v>
      </c>
    </row>
    <row r="1878" spans="1:7" x14ac:dyDescent="0.2">
      <c r="A1878" t="s">
        <v>1909</v>
      </c>
      <c r="B1878" t="s">
        <v>1917</v>
      </c>
      <c r="C1878" t="s">
        <v>11614</v>
      </c>
      <c r="D1878" t="e">
        <v>#N/A</v>
      </c>
      <c r="E1878" s="9">
        <v>1070</v>
      </c>
      <c r="F1878" s="9">
        <v>10382</v>
      </c>
      <c r="G1878" s="9" t="s">
        <v>30</v>
      </c>
    </row>
    <row r="1879" spans="1:7" x14ac:dyDescent="0.2">
      <c r="A1879" t="s">
        <v>1909</v>
      </c>
      <c r="B1879" t="s">
        <v>1918</v>
      </c>
      <c r="C1879" t="s">
        <v>11615</v>
      </c>
      <c r="D1879" t="e">
        <v>#N/A</v>
      </c>
      <c r="E1879" s="9">
        <v>480</v>
      </c>
      <c r="F1879" s="9">
        <v>14347</v>
      </c>
      <c r="G1879" s="9" t="s">
        <v>30</v>
      </c>
    </row>
    <row r="1880" spans="1:7" x14ac:dyDescent="0.2">
      <c r="A1880" t="s">
        <v>1909</v>
      </c>
      <c r="B1880" t="s">
        <v>1919</v>
      </c>
      <c r="C1880" t="s">
        <v>11616</v>
      </c>
      <c r="D1880" t="e">
        <v>#N/A</v>
      </c>
      <c r="E1880" s="9">
        <v>2373</v>
      </c>
      <c r="F1880" s="9">
        <v>9894</v>
      </c>
      <c r="G1880" s="9" t="s">
        <v>30</v>
      </c>
    </row>
    <row r="1881" spans="1:7" x14ac:dyDescent="0.2">
      <c r="A1881" t="s">
        <v>1909</v>
      </c>
      <c r="B1881" t="s">
        <v>1920</v>
      </c>
      <c r="C1881" t="s">
        <v>11617</v>
      </c>
      <c r="D1881" t="e">
        <v>#N/A</v>
      </c>
      <c r="E1881" s="9">
        <v>2485</v>
      </c>
      <c r="F1881" s="9">
        <v>12149</v>
      </c>
      <c r="G1881" s="9" t="s">
        <v>30</v>
      </c>
    </row>
    <row r="1882" spans="1:7" x14ac:dyDescent="0.2">
      <c r="A1882" t="s">
        <v>1909</v>
      </c>
      <c r="B1882" t="s">
        <v>1921</v>
      </c>
      <c r="C1882" t="s">
        <v>11618</v>
      </c>
      <c r="D1882" t="e">
        <v>#N/A</v>
      </c>
      <c r="E1882" s="9">
        <v>1127</v>
      </c>
      <c r="F1882" s="9">
        <v>8552</v>
      </c>
      <c r="G1882" s="9" t="s">
        <v>30</v>
      </c>
    </row>
    <row r="1883" spans="1:7" x14ac:dyDescent="0.2">
      <c r="A1883" t="s">
        <v>1909</v>
      </c>
      <c r="B1883" t="s">
        <v>1922</v>
      </c>
      <c r="C1883" t="s">
        <v>11619</v>
      </c>
      <c r="D1883" t="e">
        <v>#N/A</v>
      </c>
      <c r="E1883" s="9">
        <v>1108</v>
      </c>
      <c r="F1883" s="9">
        <v>10837</v>
      </c>
      <c r="G1883" s="9" t="s">
        <v>30</v>
      </c>
    </row>
    <row r="1884" spans="1:7" x14ac:dyDescent="0.2">
      <c r="A1884" t="s">
        <v>1909</v>
      </c>
      <c r="B1884" t="s">
        <v>1923</v>
      </c>
      <c r="C1884" t="s">
        <v>11620</v>
      </c>
      <c r="D1884" t="e">
        <v>#N/A</v>
      </c>
      <c r="E1884" s="9">
        <v>2606</v>
      </c>
      <c r="F1884" s="9">
        <v>18344</v>
      </c>
      <c r="G1884" s="9" t="s">
        <v>30</v>
      </c>
    </row>
    <row r="1885" spans="1:7" x14ac:dyDescent="0.2">
      <c r="A1885" t="s">
        <v>1909</v>
      </c>
      <c r="B1885" t="s">
        <v>1924</v>
      </c>
      <c r="C1885" t="s">
        <v>10662</v>
      </c>
      <c r="D1885" t="s">
        <v>9715</v>
      </c>
      <c r="E1885" s="9">
        <v>79</v>
      </c>
      <c r="F1885" s="9">
        <v>10301</v>
      </c>
      <c r="G1885" s="9" t="s">
        <v>30</v>
      </c>
    </row>
    <row r="1886" spans="1:7" x14ac:dyDescent="0.2">
      <c r="A1886" t="s">
        <v>1925</v>
      </c>
      <c r="B1886" t="s">
        <v>1926</v>
      </c>
      <c r="C1886" t="s">
        <v>11621</v>
      </c>
      <c r="D1886" t="e">
        <v>#N/A</v>
      </c>
      <c r="E1886" s="9">
        <v>1710</v>
      </c>
      <c r="F1886" s="9">
        <v>17755</v>
      </c>
      <c r="G1886" s="9" t="s">
        <v>30</v>
      </c>
    </row>
    <row r="1887" spans="1:7" x14ac:dyDescent="0.2">
      <c r="A1887" t="s">
        <v>1925</v>
      </c>
      <c r="B1887" t="s">
        <v>1927</v>
      </c>
      <c r="C1887" t="s">
        <v>10663</v>
      </c>
      <c r="D1887" t="s">
        <v>9715</v>
      </c>
      <c r="E1887" s="9">
        <v>5538</v>
      </c>
      <c r="F1887" s="9">
        <v>10023</v>
      </c>
      <c r="G1887" s="9" t="s">
        <v>30</v>
      </c>
    </row>
    <row r="1888" spans="1:7" x14ac:dyDescent="0.2">
      <c r="A1888" t="s">
        <v>1925</v>
      </c>
      <c r="B1888" t="s">
        <v>1928</v>
      </c>
      <c r="C1888" t="s">
        <v>11622</v>
      </c>
      <c r="D1888" t="e">
        <v>#N/A</v>
      </c>
      <c r="E1888" s="9">
        <v>2253</v>
      </c>
      <c r="F1888" s="9">
        <v>23111</v>
      </c>
      <c r="G1888" s="9" t="s">
        <v>30</v>
      </c>
    </row>
    <row r="1889" spans="1:7" x14ac:dyDescent="0.2">
      <c r="A1889" t="s">
        <v>1925</v>
      </c>
      <c r="B1889" t="s">
        <v>1929</v>
      </c>
      <c r="C1889" t="s">
        <v>11623</v>
      </c>
      <c r="D1889" t="e">
        <v>#N/A</v>
      </c>
      <c r="E1889" s="9">
        <v>1546</v>
      </c>
      <c r="F1889" s="9">
        <v>11415</v>
      </c>
      <c r="G1889" s="9" t="s">
        <v>30</v>
      </c>
    </row>
    <row r="1890" spans="1:7" x14ac:dyDescent="0.2">
      <c r="A1890" t="s">
        <v>1925</v>
      </c>
      <c r="B1890" t="s">
        <v>1930</v>
      </c>
      <c r="C1890" t="s">
        <v>11624</v>
      </c>
      <c r="D1890" t="e">
        <v>#N/A</v>
      </c>
      <c r="E1890" s="9">
        <v>1576</v>
      </c>
      <c r="F1890" s="9">
        <v>13771</v>
      </c>
      <c r="G1890" s="9" t="s">
        <v>30</v>
      </c>
    </row>
    <row r="1891" spans="1:7" x14ac:dyDescent="0.2">
      <c r="A1891" t="s">
        <v>1925</v>
      </c>
      <c r="B1891" t="s">
        <v>1931</v>
      </c>
      <c r="C1891" t="s">
        <v>11625</v>
      </c>
      <c r="D1891" t="e">
        <v>#N/A</v>
      </c>
      <c r="E1891" s="9">
        <v>4705</v>
      </c>
      <c r="F1891" s="9">
        <v>10882</v>
      </c>
      <c r="G1891" s="9" t="s">
        <v>30</v>
      </c>
    </row>
    <row r="1892" spans="1:7" x14ac:dyDescent="0.2">
      <c r="A1892" t="s">
        <v>1925</v>
      </c>
      <c r="B1892" t="s">
        <v>1932</v>
      </c>
      <c r="C1892" t="s">
        <v>11626</v>
      </c>
      <c r="D1892" t="e">
        <v>#N/A</v>
      </c>
      <c r="E1892" s="9">
        <v>1626</v>
      </c>
      <c r="F1892" s="9">
        <v>10272</v>
      </c>
      <c r="G1892" s="9" t="s">
        <v>30</v>
      </c>
    </row>
    <row r="1893" spans="1:7" x14ac:dyDescent="0.2">
      <c r="A1893" t="s">
        <v>1925</v>
      </c>
      <c r="B1893" t="s">
        <v>1933</v>
      </c>
      <c r="C1893" t="s">
        <v>11627</v>
      </c>
      <c r="D1893" t="e">
        <v>#N/A</v>
      </c>
      <c r="E1893" s="9">
        <v>2744</v>
      </c>
      <c r="F1893" s="9">
        <v>23394</v>
      </c>
      <c r="G1893" s="9" t="s">
        <v>30</v>
      </c>
    </row>
    <row r="1894" spans="1:7" x14ac:dyDescent="0.2">
      <c r="A1894" t="s">
        <v>1925</v>
      </c>
      <c r="B1894" t="s">
        <v>1934</v>
      </c>
      <c r="C1894" t="s">
        <v>11628</v>
      </c>
      <c r="D1894" t="e">
        <v>#N/A</v>
      </c>
      <c r="E1894" s="9">
        <v>8752</v>
      </c>
      <c r="F1894" s="9">
        <v>30015</v>
      </c>
      <c r="G1894" s="9" t="s">
        <v>30</v>
      </c>
    </row>
    <row r="1895" spans="1:7" x14ac:dyDescent="0.2">
      <c r="A1895" t="s">
        <v>1925</v>
      </c>
      <c r="B1895" t="s">
        <v>1935</v>
      </c>
      <c r="C1895" t="s">
        <v>11629</v>
      </c>
      <c r="D1895" t="e">
        <v>#N/A</v>
      </c>
      <c r="E1895" s="9">
        <v>1604</v>
      </c>
      <c r="F1895" s="9">
        <v>15585</v>
      </c>
      <c r="G1895" s="9" t="s">
        <v>30</v>
      </c>
    </row>
    <row r="1896" spans="1:7" x14ac:dyDescent="0.2">
      <c r="A1896" t="s">
        <v>1925</v>
      </c>
      <c r="B1896" t="s">
        <v>1936</v>
      </c>
      <c r="C1896" t="s">
        <v>11630</v>
      </c>
      <c r="D1896" t="e">
        <v>#N/A</v>
      </c>
      <c r="E1896" s="9">
        <v>14838</v>
      </c>
      <c r="F1896" s="9">
        <v>190787</v>
      </c>
      <c r="G1896" s="9" t="s">
        <v>30</v>
      </c>
    </row>
    <row r="1897" spans="1:7" x14ac:dyDescent="0.2">
      <c r="A1897" t="s">
        <v>1937</v>
      </c>
      <c r="B1897" t="s">
        <v>1938</v>
      </c>
      <c r="C1897" t="s">
        <v>11631</v>
      </c>
      <c r="D1897" t="e">
        <v>#N/A</v>
      </c>
      <c r="E1897" s="9">
        <v>3088</v>
      </c>
      <c r="F1897" s="9">
        <v>16576</v>
      </c>
      <c r="G1897" s="9" t="s">
        <v>30</v>
      </c>
    </row>
    <row r="1898" spans="1:7" x14ac:dyDescent="0.2">
      <c r="A1898" t="s">
        <v>1937</v>
      </c>
      <c r="B1898" t="s">
        <v>1939</v>
      </c>
      <c r="C1898" t="s">
        <v>11632</v>
      </c>
      <c r="D1898" t="e">
        <v>#N/A</v>
      </c>
      <c r="E1898" s="9">
        <v>3179</v>
      </c>
      <c r="F1898" s="9">
        <v>12994</v>
      </c>
      <c r="G1898" s="9" t="s">
        <v>30</v>
      </c>
    </row>
    <row r="1899" spans="1:7" x14ac:dyDescent="0.2">
      <c r="A1899" t="s">
        <v>1937</v>
      </c>
      <c r="B1899" t="s">
        <v>1940</v>
      </c>
      <c r="C1899" t="s">
        <v>11633</v>
      </c>
      <c r="D1899" t="e">
        <v>#N/A</v>
      </c>
      <c r="E1899" s="9">
        <v>2473</v>
      </c>
      <c r="F1899" s="9">
        <v>12818</v>
      </c>
      <c r="G1899" s="9" t="s">
        <v>30</v>
      </c>
    </row>
    <row r="1900" spans="1:7" x14ac:dyDescent="0.2">
      <c r="A1900" t="s">
        <v>1937</v>
      </c>
      <c r="B1900" t="s">
        <v>1941</v>
      </c>
      <c r="C1900" t="s">
        <v>10667</v>
      </c>
      <c r="D1900" t="s">
        <v>9715</v>
      </c>
      <c r="E1900" s="9">
        <v>815</v>
      </c>
      <c r="F1900" s="9">
        <v>9044</v>
      </c>
      <c r="G1900" s="9" t="s">
        <v>30</v>
      </c>
    </row>
    <row r="1901" spans="1:7" x14ac:dyDescent="0.2">
      <c r="A1901" t="s">
        <v>1937</v>
      </c>
      <c r="B1901" t="s">
        <v>1942</v>
      </c>
      <c r="C1901" t="s">
        <v>11634</v>
      </c>
      <c r="D1901" t="e">
        <v>#N/A</v>
      </c>
      <c r="E1901" s="9">
        <v>1014</v>
      </c>
      <c r="F1901" s="9">
        <v>10885</v>
      </c>
      <c r="G1901" s="9" t="s">
        <v>30</v>
      </c>
    </row>
    <row r="1902" spans="1:7" x14ac:dyDescent="0.2">
      <c r="A1902" t="s">
        <v>1937</v>
      </c>
      <c r="B1902" t="s">
        <v>1943</v>
      </c>
      <c r="C1902" t="s">
        <v>11635</v>
      </c>
      <c r="D1902" t="e">
        <v>#N/A</v>
      </c>
      <c r="E1902" s="9">
        <v>1282</v>
      </c>
      <c r="F1902" s="9">
        <v>11497</v>
      </c>
      <c r="G1902" s="9" t="s">
        <v>30</v>
      </c>
    </row>
    <row r="1903" spans="1:7" x14ac:dyDescent="0.2">
      <c r="A1903" t="s">
        <v>1937</v>
      </c>
      <c r="B1903" t="s">
        <v>1944</v>
      </c>
      <c r="C1903" t="s">
        <v>10664</v>
      </c>
      <c r="D1903" t="s">
        <v>9715</v>
      </c>
      <c r="E1903" s="9">
        <v>770</v>
      </c>
      <c r="F1903" s="9">
        <v>8490</v>
      </c>
      <c r="G1903" s="9" t="s">
        <v>30</v>
      </c>
    </row>
    <row r="1904" spans="1:7" x14ac:dyDescent="0.2">
      <c r="A1904" t="s">
        <v>1937</v>
      </c>
      <c r="B1904" t="s">
        <v>1945</v>
      </c>
      <c r="C1904" t="s">
        <v>11636</v>
      </c>
      <c r="D1904" t="e">
        <v>#N/A</v>
      </c>
      <c r="E1904" s="9">
        <v>593</v>
      </c>
      <c r="F1904" s="9">
        <v>9936</v>
      </c>
      <c r="G1904" s="9" t="s">
        <v>30</v>
      </c>
    </row>
    <row r="1905" spans="1:7" x14ac:dyDescent="0.2">
      <c r="A1905" t="s">
        <v>1937</v>
      </c>
      <c r="B1905" t="s">
        <v>1946</v>
      </c>
      <c r="C1905" t="s">
        <v>10666</v>
      </c>
      <c r="D1905" t="s">
        <v>9715</v>
      </c>
      <c r="E1905" s="9">
        <v>1516</v>
      </c>
      <c r="F1905" s="9">
        <v>12062</v>
      </c>
      <c r="G1905" s="9" t="s">
        <v>30</v>
      </c>
    </row>
    <row r="1906" spans="1:7" x14ac:dyDescent="0.2">
      <c r="A1906" t="s">
        <v>1937</v>
      </c>
      <c r="B1906" t="s">
        <v>1947</v>
      </c>
      <c r="C1906" t="s">
        <v>11637</v>
      </c>
      <c r="D1906" t="e">
        <v>#N/A</v>
      </c>
      <c r="E1906" s="9">
        <v>4442</v>
      </c>
      <c r="F1906" s="9">
        <v>10705</v>
      </c>
      <c r="G1906" s="9" t="s">
        <v>30</v>
      </c>
    </row>
    <row r="1907" spans="1:7" x14ac:dyDescent="0.2">
      <c r="A1907" t="s">
        <v>1937</v>
      </c>
      <c r="B1907" t="s">
        <v>1948</v>
      </c>
      <c r="C1907" t="s">
        <v>11638</v>
      </c>
      <c r="D1907" t="e">
        <v>#N/A</v>
      </c>
      <c r="E1907" s="9">
        <v>2375</v>
      </c>
      <c r="F1907" s="9">
        <v>10374</v>
      </c>
      <c r="G1907" s="9" t="s">
        <v>30</v>
      </c>
    </row>
    <row r="1908" spans="1:7" x14ac:dyDescent="0.2">
      <c r="A1908" t="s">
        <v>1937</v>
      </c>
      <c r="B1908" t="s">
        <v>1949</v>
      </c>
      <c r="C1908" t="s">
        <v>11639</v>
      </c>
      <c r="D1908" t="e">
        <v>#N/A</v>
      </c>
      <c r="E1908" s="9">
        <v>2898</v>
      </c>
      <c r="F1908" s="9">
        <v>13636</v>
      </c>
      <c r="G1908" s="9" t="s">
        <v>30</v>
      </c>
    </row>
    <row r="1909" spans="1:7" x14ac:dyDescent="0.2">
      <c r="A1909" t="s">
        <v>1937</v>
      </c>
      <c r="B1909" t="s">
        <v>1950</v>
      </c>
      <c r="C1909" t="s">
        <v>11640</v>
      </c>
      <c r="D1909" t="e">
        <v>#N/A</v>
      </c>
      <c r="E1909" s="9">
        <v>5875</v>
      </c>
      <c r="F1909" s="9">
        <v>9878</v>
      </c>
      <c r="G1909" s="9" t="s">
        <v>30</v>
      </c>
    </row>
    <row r="1910" spans="1:7" x14ac:dyDescent="0.2">
      <c r="A1910" t="s">
        <v>1937</v>
      </c>
      <c r="B1910" t="s">
        <v>1951</v>
      </c>
      <c r="C1910" t="s">
        <v>10668</v>
      </c>
      <c r="D1910" t="s">
        <v>9715</v>
      </c>
      <c r="E1910" s="9">
        <v>388</v>
      </c>
      <c r="F1910" s="9">
        <v>9287</v>
      </c>
      <c r="G1910" s="9" t="s">
        <v>30</v>
      </c>
    </row>
    <row r="1911" spans="1:7" x14ac:dyDescent="0.2">
      <c r="A1911" t="s">
        <v>1937</v>
      </c>
      <c r="B1911" t="s">
        <v>1952</v>
      </c>
      <c r="C1911" t="s">
        <v>11641</v>
      </c>
      <c r="D1911" t="e">
        <v>#N/A</v>
      </c>
      <c r="E1911" s="9">
        <v>1856</v>
      </c>
      <c r="F1911" s="9">
        <v>11134</v>
      </c>
      <c r="G1911" s="9" t="s">
        <v>30</v>
      </c>
    </row>
    <row r="1912" spans="1:7" x14ac:dyDescent="0.2">
      <c r="A1912" t="s">
        <v>1937</v>
      </c>
      <c r="B1912" t="s">
        <v>1953</v>
      </c>
      <c r="C1912" t="s">
        <v>11642</v>
      </c>
      <c r="D1912" t="e">
        <v>#N/A</v>
      </c>
      <c r="E1912" s="9">
        <v>2193</v>
      </c>
      <c r="F1912" s="9">
        <v>12693</v>
      </c>
      <c r="G1912" s="9" t="s">
        <v>30</v>
      </c>
    </row>
    <row r="1913" spans="1:7" x14ac:dyDescent="0.2">
      <c r="A1913" t="s">
        <v>1937</v>
      </c>
      <c r="B1913" t="s">
        <v>1582</v>
      </c>
      <c r="C1913" t="s">
        <v>11643</v>
      </c>
      <c r="D1913" t="e">
        <v>#N/A</v>
      </c>
      <c r="E1913" s="9">
        <v>1417</v>
      </c>
      <c r="F1913" s="9">
        <v>10368</v>
      </c>
      <c r="G1913" s="9" t="s">
        <v>30</v>
      </c>
    </row>
    <row r="1914" spans="1:7" x14ac:dyDescent="0.2">
      <c r="A1914" t="s">
        <v>1937</v>
      </c>
      <c r="B1914" t="s">
        <v>1954</v>
      </c>
      <c r="C1914" t="s">
        <v>11644</v>
      </c>
      <c r="D1914" t="e">
        <v>#N/A</v>
      </c>
      <c r="E1914" s="9">
        <v>2087</v>
      </c>
      <c r="F1914" s="9">
        <v>14311</v>
      </c>
      <c r="G1914" s="9" t="s">
        <v>30</v>
      </c>
    </row>
    <row r="1915" spans="1:7" x14ac:dyDescent="0.2">
      <c r="A1915" t="s">
        <v>1937</v>
      </c>
      <c r="B1915" t="s">
        <v>1955</v>
      </c>
      <c r="C1915" t="s">
        <v>11645</v>
      </c>
      <c r="D1915" t="e">
        <v>#N/A</v>
      </c>
      <c r="E1915" s="9">
        <v>2475</v>
      </c>
      <c r="F1915" s="9">
        <v>12964</v>
      </c>
      <c r="G1915" s="9" t="s">
        <v>30</v>
      </c>
    </row>
    <row r="1916" spans="1:7" x14ac:dyDescent="0.2">
      <c r="A1916" t="s">
        <v>1937</v>
      </c>
      <c r="B1916" t="s">
        <v>1811</v>
      </c>
      <c r="C1916" t="s">
        <v>11646</v>
      </c>
      <c r="D1916" t="e">
        <v>#N/A</v>
      </c>
      <c r="E1916" s="9">
        <v>849</v>
      </c>
      <c r="F1916" s="9">
        <v>7376</v>
      </c>
      <c r="G1916" s="9" t="s">
        <v>30</v>
      </c>
    </row>
    <row r="1917" spans="1:7" x14ac:dyDescent="0.2">
      <c r="A1917" t="s">
        <v>1937</v>
      </c>
      <c r="B1917" t="s">
        <v>1956</v>
      </c>
      <c r="C1917" t="s">
        <v>11647</v>
      </c>
      <c r="D1917" t="e">
        <v>#N/A</v>
      </c>
      <c r="E1917" s="9">
        <v>5324</v>
      </c>
      <c r="F1917" s="9">
        <v>15109</v>
      </c>
      <c r="G1917" s="9" t="s">
        <v>30</v>
      </c>
    </row>
    <row r="1918" spans="1:7" x14ac:dyDescent="0.2">
      <c r="A1918" t="s">
        <v>1937</v>
      </c>
      <c r="B1918" t="s">
        <v>1957</v>
      </c>
      <c r="C1918" t="s">
        <v>10665</v>
      </c>
      <c r="D1918" t="s">
        <v>9715</v>
      </c>
      <c r="E1918" s="9">
        <v>195</v>
      </c>
      <c r="F1918" s="9">
        <v>8981</v>
      </c>
      <c r="G1918" s="9" t="s">
        <v>30</v>
      </c>
    </row>
    <row r="1919" spans="1:7" x14ac:dyDescent="0.2">
      <c r="A1919" t="s">
        <v>1937</v>
      </c>
      <c r="B1919" t="s">
        <v>1958</v>
      </c>
      <c r="C1919" t="s">
        <v>11648</v>
      </c>
      <c r="D1919" t="e">
        <v>#N/A</v>
      </c>
      <c r="E1919" s="9">
        <v>2451</v>
      </c>
      <c r="F1919" s="9">
        <v>10121</v>
      </c>
      <c r="G1919" s="9" t="s">
        <v>30</v>
      </c>
    </row>
    <row r="1920" spans="1:7" x14ac:dyDescent="0.2">
      <c r="A1920" t="s">
        <v>1937</v>
      </c>
      <c r="B1920" t="s">
        <v>1959</v>
      </c>
      <c r="C1920" t="s">
        <v>11649</v>
      </c>
      <c r="D1920" t="e">
        <v>#N/A</v>
      </c>
      <c r="E1920" s="9">
        <v>1669</v>
      </c>
      <c r="F1920" s="9">
        <v>9950</v>
      </c>
      <c r="G1920" s="9" t="s">
        <v>30</v>
      </c>
    </row>
    <row r="1921" spans="1:7" x14ac:dyDescent="0.2">
      <c r="A1921" t="s">
        <v>1937</v>
      </c>
      <c r="B1921" t="s">
        <v>1960</v>
      </c>
      <c r="C1921" t="s">
        <v>11650</v>
      </c>
      <c r="D1921" t="e">
        <v>#N/A</v>
      </c>
      <c r="E1921" s="9">
        <v>1487</v>
      </c>
      <c r="F1921" s="9">
        <v>7885</v>
      </c>
      <c r="G1921" s="9" t="s">
        <v>30</v>
      </c>
    </row>
    <row r="1922" spans="1:7" x14ac:dyDescent="0.2">
      <c r="A1922" t="s">
        <v>1937</v>
      </c>
      <c r="B1922" t="s">
        <v>1961</v>
      </c>
      <c r="C1922" t="s">
        <v>11651</v>
      </c>
      <c r="D1922" t="e">
        <v>#N/A</v>
      </c>
      <c r="E1922" s="9">
        <v>1944</v>
      </c>
      <c r="F1922" s="9">
        <v>11422</v>
      </c>
      <c r="G1922" s="9" t="s">
        <v>30</v>
      </c>
    </row>
    <row r="1923" spans="1:7" x14ac:dyDescent="0.2">
      <c r="A1923" t="s">
        <v>1937</v>
      </c>
      <c r="B1923" t="s">
        <v>1962</v>
      </c>
      <c r="C1923" t="s">
        <v>11652</v>
      </c>
      <c r="D1923" t="e">
        <v>#N/A</v>
      </c>
      <c r="E1923" s="9">
        <v>9645</v>
      </c>
      <c r="F1923" s="9">
        <v>5157</v>
      </c>
      <c r="G1923" s="9" t="s">
        <v>30</v>
      </c>
    </row>
    <row r="1924" spans="1:7" x14ac:dyDescent="0.2">
      <c r="A1924" t="s">
        <v>1937</v>
      </c>
      <c r="B1924" t="s">
        <v>1963</v>
      </c>
      <c r="C1924" t="s">
        <v>11653</v>
      </c>
      <c r="D1924" t="e">
        <v>#N/A</v>
      </c>
      <c r="E1924" s="9">
        <v>1150</v>
      </c>
      <c r="F1924" s="9">
        <v>12521</v>
      </c>
      <c r="G1924" s="9" t="s">
        <v>30</v>
      </c>
    </row>
    <row r="1925" spans="1:7" x14ac:dyDescent="0.2">
      <c r="A1925" t="s">
        <v>1937</v>
      </c>
      <c r="B1925" t="s">
        <v>1964</v>
      </c>
      <c r="C1925" t="s">
        <v>11654</v>
      </c>
      <c r="D1925" t="e">
        <v>#N/A</v>
      </c>
      <c r="E1925" s="9">
        <v>2276</v>
      </c>
      <c r="F1925" s="9">
        <v>10102</v>
      </c>
      <c r="G1925" s="9" t="s">
        <v>30</v>
      </c>
    </row>
    <row r="1926" spans="1:7" x14ac:dyDescent="0.2">
      <c r="A1926" t="s">
        <v>1937</v>
      </c>
      <c r="B1926" t="s">
        <v>1965</v>
      </c>
      <c r="C1926" t="s">
        <v>11655</v>
      </c>
      <c r="D1926" t="e">
        <v>#N/A</v>
      </c>
      <c r="E1926" s="9">
        <v>3207</v>
      </c>
      <c r="F1926" s="9">
        <v>14656</v>
      </c>
      <c r="G1926" s="9" t="s">
        <v>30</v>
      </c>
    </row>
    <row r="1927" spans="1:7" x14ac:dyDescent="0.2">
      <c r="A1927" t="s">
        <v>1937</v>
      </c>
      <c r="B1927" t="s">
        <v>1966</v>
      </c>
      <c r="C1927" t="s">
        <v>11656</v>
      </c>
      <c r="D1927" t="e">
        <v>#N/A</v>
      </c>
      <c r="E1927" s="9">
        <v>1371</v>
      </c>
      <c r="F1927" s="9">
        <v>9742</v>
      </c>
      <c r="G1927" s="9" t="s">
        <v>30</v>
      </c>
    </row>
    <row r="1928" spans="1:7" x14ac:dyDescent="0.2">
      <c r="A1928" t="s">
        <v>1937</v>
      </c>
      <c r="B1928" t="s">
        <v>1967</v>
      </c>
      <c r="C1928" t="s">
        <v>11657</v>
      </c>
      <c r="D1928" t="e">
        <v>#N/A</v>
      </c>
      <c r="E1928" s="9">
        <v>1475</v>
      </c>
      <c r="F1928" s="9">
        <v>12253</v>
      </c>
      <c r="G1928" s="9" t="s">
        <v>30</v>
      </c>
    </row>
    <row r="1929" spans="1:7" x14ac:dyDescent="0.2">
      <c r="A1929" t="s">
        <v>1937</v>
      </c>
      <c r="B1929" t="s">
        <v>1968</v>
      </c>
      <c r="C1929" t="s">
        <v>11658</v>
      </c>
      <c r="D1929" t="e">
        <v>#N/A</v>
      </c>
      <c r="E1929" s="9">
        <v>1077</v>
      </c>
      <c r="F1929" s="9">
        <v>10969</v>
      </c>
      <c r="G1929" s="9" t="s">
        <v>30</v>
      </c>
    </row>
    <row r="1930" spans="1:7" x14ac:dyDescent="0.2">
      <c r="A1930" t="s">
        <v>1937</v>
      </c>
      <c r="B1930" t="s">
        <v>1969</v>
      </c>
      <c r="C1930" t="s">
        <v>11659</v>
      </c>
      <c r="D1930" t="e">
        <v>#N/A</v>
      </c>
      <c r="E1930" s="9">
        <v>2865</v>
      </c>
      <c r="F1930" s="9">
        <v>10434</v>
      </c>
      <c r="G1930" s="9" t="s">
        <v>30</v>
      </c>
    </row>
    <row r="1931" spans="1:7" x14ac:dyDescent="0.2">
      <c r="A1931" t="s">
        <v>1937</v>
      </c>
      <c r="B1931" t="s">
        <v>1970</v>
      </c>
      <c r="C1931" t="s">
        <v>11660</v>
      </c>
      <c r="D1931" t="e">
        <v>#N/A</v>
      </c>
      <c r="E1931" s="9">
        <v>2754</v>
      </c>
      <c r="F1931" s="9">
        <v>12010</v>
      </c>
      <c r="G1931" s="9" t="s">
        <v>30</v>
      </c>
    </row>
    <row r="1932" spans="1:7" x14ac:dyDescent="0.2">
      <c r="A1932" t="s">
        <v>1937</v>
      </c>
      <c r="B1932" t="s">
        <v>1971</v>
      </c>
      <c r="C1932" t="s">
        <v>11661</v>
      </c>
      <c r="D1932" t="e">
        <v>#N/A</v>
      </c>
      <c r="E1932" s="9">
        <v>2198</v>
      </c>
      <c r="F1932" s="9">
        <v>10894</v>
      </c>
      <c r="G1932" s="9" t="s">
        <v>30</v>
      </c>
    </row>
    <row r="1933" spans="1:7" x14ac:dyDescent="0.2">
      <c r="A1933" t="s">
        <v>1937</v>
      </c>
      <c r="B1933" t="s">
        <v>1972</v>
      </c>
      <c r="C1933" t="s">
        <v>11662</v>
      </c>
      <c r="D1933" t="e">
        <v>#N/A</v>
      </c>
      <c r="E1933" s="9">
        <v>1069</v>
      </c>
      <c r="F1933" s="9">
        <v>10698</v>
      </c>
      <c r="G1933" s="9" t="s">
        <v>30</v>
      </c>
    </row>
    <row r="1934" spans="1:7" x14ac:dyDescent="0.2">
      <c r="A1934" t="s">
        <v>1937</v>
      </c>
      <c r="B1934" t="s">
        <v>1973</v>
      </c>
      <c r="C1934" t="s">
        <v>11663</v>
      </c>
      <c r="D1934" t="e">
        <v>#N/A</v>
      </c>
      <c r="E1934" s="9">
        <v>2628</v>
      </c>
      <c r="F1934" s="9">
        <v>11875</v>
      </c>
      <c r="G1934" s="9" t="s">
        <v>30</v>
      </c>
    </row>
    <row r="1935" spans="1:7" x14ac:dyDescent="0.2">
      <c r="A1935" t="s">
        <v>1937</v>
      </c>
      <c r="B1935" t="s">
        <v>1974</v>
      </c>
      <c r="C1935" t="s">
        <v>10669</v>
      </c>
      <c r="D1935" t="s">
        <v>9715</v>
      </c>
      <c r="E1935" s="9">
        <v>973</v>
      </c>
      <c r="F1935" s="9">
        <v>8668</v>
      </c>
      <c r="G1935" s="9" t="s">
        <v>30</v>
      </c>
    </row>
    <row r="1936" spans="1:7" x14ac:dyDescent="0.2">
      <c r="A1936" t="s">
        <v>1937</v>
      </c>
      <c r="B1936" t="s">
        <v>1975</v>
      </c>
      <c r="C1936" t="s">
        <v>11664</v>
      </c>
      <c r="D1936" t="e">
        <v>#N/A</v>
      </c>
      <c r="E1936" s="9">
        <v>2733</v>
      </c>
      <c r="F1936" s="9">
        <v>12666</v>
      </c>
      <c r="G1936" s="9" t="s">
        <v>30</v>
      </c>
    </row>
    <row r="1937" spans="1:7" x14ac:dyDescent="0.2">
      <c r="A1937" t="s">
        <v>1937</v>
      </c>
      <c r="B1937" t="s">
        <v>1976</v>
      </c>
      <c r="C1937" t="s">
        <v>11665</v>
      </c>
      <c r="D1937" t="e">
        <v>#N/A</v>
      </c>
      <c r="E1937" s="9">
        <v>1207</v>
      </c>
      <c r="F1937" s="9">
        <v>12424</v>
      </c>
      <c r="G1937" s="9" t="s">
        <v>30</v>
      </c>
    </row>
    <row r="1938" spans="1:7" x14ac:dyDescent="0.2">
      <c r="A1938" t="s">
        <v>1937</v>
      </c>
      <c r="B1938" t="s">
        <v>1977</v>
      </c>
      <c r="C1938" t="s">
        <v>11666</v>
      </c>
      <c r="D1938" t="e">
        <v>#N/A</v>
      </c>
      <c r="E1938" s="9">
        <v>1686</v>
      </c>
      <c r="F1938" s="9">
        <v>11535</v>
      </c>
      <c r="G1938" s="9" t="s">
        <v>30</v>
      </c>
    </row>
    <row r="1939" spans="1:7" x14ac:dyDescent="0.2">
      <c r="A1939" t="s">
        <v>1937</v>
      </c>
      <c r="B1939" t="s">
        <v>1978</v>
      </c>
      <c r="C1939" t="s">
        <v>11667</v>
      </c>
      <c r="D1939" t="e">
        <v>#N/A</v>
      </c>
      <c r="E1939" s="9">
        <v>1818</v>
      </c>
      <c r="F1939" s="9">
        <v>11549</v>
      </c>
      <c r="G1939" s="9" t="s">
        <v>30</v>
      </c>
    </row>
    <row r="1940" spans="1:7" x14ac:dyDescent="0.2">
      <c r="A1940" t="s">
        <v>1937</v>
      </c>
      <c r="B1940" t="s">
        <v>1979</v>
      </c>
      <c r="C1940" t="s">
        <v>11668</v>
      </c>
      <c r="D1940" t="e">
        <v>#N/A</v>
      </c>
      <c r="E1940" s="9">
        <v>2496</v>
      </c>
      <c r="F1940" s="9">
        <v>10650</v>
      </c>
      <c r="G1940" s="9" t="s">
        <v>30</v>
      </c>
    </row>
    <row r="1941" spans="1:7" x14ac:dyDescent="0.2">
      <c r="A1941" t="s">
        <v>1937</v>
      </c>
      <c r="B1941" t="s">
        <v>1980</v>
      </c>
      <c r="C1941" t="s">
        <v>11669</v>
      </c>
      <c r="D1941" t="e">
        <v>#N/A</v>
      </c>
      <c r="E1941" s="9">
        <v>544.43025362318838</v>
      </c>
      <c r="F1941" s="9">
        <v>5173.333333333333</v>
      </c>
      <c r="G1941" s="9" t="s">
        <v>30</v>
      </c>
    </row>
    <row r="1942" spans="1:7" x14ac:dyDescent="0.2">
      <c r="A1942" t="s">
        <v>1937</v>
      </c>
      <c r="B1942" t="s">
        <v>1981</v>
      </c>
      <c r="C1942" t="s">
        <v>11670</v>
      </c>
      <c r="D1942" t="e">
        <v>#N/A</v>
      </c>
      <c r="E1942" s="9">
        <v>1768</v>
      </c>
      <c r="F1942" s="9">
        <v>10487</v>
      </c>
      <c r="G1942" s="9" t="s">
        <v>30</v>
      </c>
    </row>
    <row r="1943" spans="1:7" x14ac:dyDescent="0.2">
      <c r="A1943" t="s">
        <v>1937</v>
      </c>
      <c r="B1943" t="s">
        <v>1982</v>
      </c>
      <c r="C1943" t="s">
        <v>10670</v>
      </c>
      <c r="D1943" t="s">
        <v>9715</v>
      </c>
      <c r="E1943" s="9">
        <v>1024</v>
      </c>
      <c r="F1943" s="9">
        <v>8238</v>
      </c>
      <c r="G1943" s="9" t="s">
        <v>30</v>
      </c>
    </row>
    <row r="1944" spans="1:7" x14ac:dyDescent="0.2">
      <c r="A1944" t="s">
        <v>1937</v>
      </c>
      <c r="B1944" t="s">
        <v>1983</v>
      </c>
      <c r="C1944" t="s">
        <v>11671</v>
      </c>
      <c r="D1944" t="e">
        <v>#N/A</v>
      </c>
      <c r="E1944" s="9">
        <v>1808</v>
      </c>
      <c r="F1944" s="9">
        <v>10713</v>
      </c>
      <c r="G1944" s="9" t="s">
        <v>30</v>
      </c>
    </row>
    <row r="1945" spans="1:7" x14ac:dyDescent="0.2">
      <c r="A1945" t="s">
        <v>1937</v>
      </c>
      <c r="B1945" t="s">
        <v>1984</v>
      </c>
      <c r="C1945" t="s">
        <v>11672</v>
      </c>
      <c r="D1945" t="e">
        <v>#N/A</v>
      </c>
      <c r="E1945" s="9">
        <v>1926</v>
      </c>
      <c r="F1945" s="9">
        <v>11583</v>
      </c>
      <c r="G1945" s="9" t="s">
        <v>30</v>
      </c>
    </row>
    <row r="1946" spans="1:7" x14ac:dyDescent="0.2">
      <c r="A1946" t="s">
        <v>1937</v>
      </c>
      <c r="B1946" t="s">
        <v>1985</v>
      </c>
      <c r="C1946" t="s">
        <v>11673</v>
      </c>
      <c r="D1946" t="e">
        <v>#N/A</v>
      </c>
      <c r="E1946" s="9">
        <v>3715</v>
      </c>
      <c r="F1946" s="9">
        <v>9254</v>
      </c>
      <c r="G1946" s="9" t="s">
        <v>30</v>
      </c>
    </row>
    <row r="1947" spans="1:7" x14ac:dyDescent="0.2">
      <c r="A1947" t="s">
        <v>1937</v>
      </c>
      <c r="B1947" t="s">
        <v>1986</v>
      </c>
      <c r="C1947" t="s">
        <v>11674</v>
      </c>
      <c r="D1947" t="e">
        <v>#N/A</v>
      </c>
      <c r="E1947" s="9">
        <v>2919</v>
      </c>
      <c r="F1947" s="9">
        <v>12149</v>
      </c>
      <c r="G1947" s="9" t="s">
        <v>30</v>
      </c>
    </row>
    <row r="1948" spans="1:7" x14ac:dyDescent="0.2">
      <c r="A1948" t="s">
        <v>1987</v>
      </c>
      <c r="B1948" t="s">
        <v>1988</v>
      </c>
      <c r="C1948" t="s">
        <v>11675</v>
      </c>
      <c r="D1948" t="e">
        <v>#N/A</v>
      </c>
      <c r="E1948" s="9">
        <v>1847</v>
      </c>
      <c r="F1948" s="9">
        <v>12591</v>
      </c>
      <c r="G1948" s="9" t="s">
        <v>30</v>
      </c>
    </row>
    <row r="1949" spans="1:7" x14ac:dyDescent="0.2">
      <c r="A1949" t="s">
        <v>1987</v>
      </c>
      <c r="B1949" t="s">
        <v>1989</v>
      </c>
      <c r="C1949" t="s">
        <v>11676</v>
      </c>
      <c r="D1949" t="e">
        <v>#N/A</v>
      </c>
      <c r="E1949" s="9">
        <v>2385</v>
      </c>
      <c r="F1949" s="9">
        <v>18690</v>
      </c>
      <c r="G1949" s="9" t="s">
        <v>30</v>
      </c>
    </row>
    <row r="1950" spans="1:7" x14ac:dyDescent="0.2">
      <c r="A1950" t="s">
        <v>1987</v>
      </c>
      <c r="B1950" t="s">
        <v>1990</v>
      </c>
      <c r="C1950" t="s">
        <v>11677</v>
      </c>
      <c r="D1950" t="e">
        <v>#N/A</v>
      </c>
      <c r="E1950" s="9">
        <v>610</v>
      </c>
      <c r="F1950" s="9">
        <v>11647</v>
      </c>
      <c r="G1950" s="9" t="s">
        <v>30</v>
      </c>
    </row>
    <row r="1951" spans="1:7" x14ac:dyDescent="0.2">
      <c r="A1951" t="s">
        <v>1987</v>
      </c>
      <c r="B1951" t="s">
        <v>1991</v>
      </c>
      <c r="C1951" t="s">
        <v>11678</v>
      </c>
      <c r="D1951" t="e">
        <v>#N/A</v>
      </c>
      <c r="E1951" s="9">
        <v>1278</v>
      </c>
      <c r="F1951" s="9">
        <v>11488</v>
      </c>
      <c r="G1951" s="9" t="s">
        <v>30</v>
      </c>
    </row>
    <row r="1952" spans="1:7" x14ac:dyDescent="0.2">
      <c r="A1952" t="s">
        <v>1987</v>
      </c>
      <c r="B1952" t="s">
        <v>1992</v>
      </c>
      <c r="C1952" t="s">
        <v>10671</v>
      </c>
      <c r="D1952" t="s">
        <v>9715</v>
      </c>
      <c r="E1952" s="9">
        <v>65</v>
      </c>
      <c r="F1952" s="9">
        <v>9581</v>
      </c>
      <c r="G1952" s="9" t="s">
        <v>30</v>
      </c>
    </row>
    <row r="1953" spans="1:7" x14ac:dyDescent="0.2">
      <c r="A1953" t="s">
        <v>1987</v>
      </c>
      <c r="B1953" t="s">
        <v>1993</v>
      </c>
      <c r="C1953" t="s">
        <v>11679</v>
      </c>
      <c r="D1953" t="e">
        <v>#N/A</v>
      </c>
      <c r="E1953" s="9">
        <v>1242</v>
      </c>
      <c r="F1953" s="9">
        <v>21613</v>
      </c>
      <c r="G1953" s="9" t="s">
        <v>30</v>
      </c>
    </row>
    <row r="1954" spans="1:7" x14ac:dyDescent="0.2">
      <c r="A1954" t="s">
        <v>1987</v>
      </c>
      <c r="B1954" t="s">
        <v>1994</v>
      </c>
      <c r="C1954" t="s">
        <v>11680</v>
      </c>
      <c r="D1954" t="e">
        <v>#N/A</v>
      </c>
      <c r="E1954" s="9">
        <v>10776</v>
      </c>
      <c r="F1954" s="9">
        <v>419</v>
      </c>
      <c r="G1954" s="9" t="s">
        <v>30</v>
      </c>
    </row>
    <row r="1955" spans="1:7" x14ac:dyDescent="0.2">
      <c r="A1955" t="s">
        <v>1987</v>
      </c>
      <c r="B1955" t="s">
        <v>1995</v>
      </c>
      <c r="C1955" t="s">
        <v>11681</v>
      </c>
      <c r="D1955" t="e">
        <v>#N/A</v>
      </c>
      <c r="E1955" s="9">
        <v>1473</v>
      </c>
      <c r="F1955" s="9">
        <v>13149</v>
      </c>
      <c r="G1955" s="9" t="s">
        <v>30</v>
      </c>
    </row>
    <row r="1956" spans="1:7" x14ac:dyDescent="0.2">
      <c r="A1956" t="s">
        <v>1987</v>
      </c>
      <c r="B1956" t="s">
        <v>1996</v>
      </c>
      <c r="C1956" t="s">
        <v>11682</v>
      </c>
      <c r="D1956" t="e">
        <v>#N/A</v>
      </c>
      <c r="E1956" s="9">
        <v>727</v>
      </c>
      <c r="F1956" s="9">
        <v>11703</v>
      </c>
      <c r="G1956" s="9" t="s">
        <v>30</v>
      </c>
    </row>
    <row r="1957" spans="1:7" x14ac:dyDescent="0.2">
      <c r="A1957" t="s">
        <v>1987</v>
      </c>
      <c r="B1957" t="s">
        <v>1997</v>
      </c>
      <c r="C1957" t="s">
        <v>11683</v>
      </c>
      <c r="D1957" t="e">
        <v>#N/A</v>
      </c>
      <c r="E1957" s="9">
        <v>2209</v>
      </c>
      <c r="F1957" s="9">
        <v>9088</v>
      </c>
      <c r="G1957" s="9" t="s">
        <v>30</v>
      </c>
    </row>
    <row r="1958" spans="1:7" x14ac:dyDescent="0.2">
      <c r="A1958" t="s">
        <v>1987</v>
      </c>
      <c r="B1958" t="s">
        <v>1998</v>
      </c>
      <c r="C1958" t="s">
        <v>11684</v>
      </c>
      <c r="D1958" t="e">
        <v>#N/A</v>
      </c>
      <c r="E1958" s="9">
        <v>897</v>
      </c>
      <c r="F1958" s="9">
        <v>13130</v>
      </c>
      <c r="G1958" s="9" t="s">
        <v>30</v>
      </c>
    </row>
    <row r="1959" spans="1:7" x14ac:dyDescent="0.2">
      <c r="A1959" t="s">
        <v>1987</v>
      </c>
      <c r="B1959" t="s">
        <v>1999</v>
      </c>
      <c r="C1959" t="s">
        <v>11685</v>
      </c>
      <c r="D1959" t="e">
        <v>#N/A</v>
      </c>
      <c r="E1959" s="9">
        <v>17527</v>
      </c>
      <c r="F1959" s="9">
        <v>65434</v>
      </c>
      <c r="G1959" s="9" t="s">
        <v>30</v>
      </c>
    </row>
    <row r="1960" spans="1:7" x14ac:dyDescent="0.2">
      <c r="A1960" t="s">
        <v>1987</v>
      </c>
      <c r="B1960" t="s">
        <v>2000</v>
      </c>
      <c r="C1960" t="s">
        <v>11686</v>
      </c>
      <c r="D1960" t="e">
        <v>#N/A</v>
      </c>
      <c r="E1960" s="9">
        <v>989</v>
      </c>
      <c r="F1960" s="9">
        <v>11028</v>
      </c>
      <c r="G1960" s="9" t="s">
        <v>30</v>
      </c>
    </row>
    <row r="1961" spans="1:7" x14ac:dyDescent="0.2">
      <c r="A1961" t="s">
        <v>2001</v>
      </c>
      <c r="B1961" t="s">
        <v>2002</v>
      </c>
      <c r="C1961" t="s">
        <v>10675</v>
      </c>
      <c r="D1961" t="s">
        <v>9715</v>
      </c>
      <c r="E1961" s="9">
        <v>520</v>
      </c>
      <c r="F1961" s="9">
        <v>10452</v>
      </c>
      <c r="G1961" s="9" t="s">
        <v>30</v>
      </c>
    </row>
    <row r="1962" spans="1:7" x14ac:dyDescent="0.2">
      <c r="A1962" t="s">
        <v>2001</v>
      </c>
      <c r="B1962" t="s">
        <v>2003</v>
      </c>
      <c r="C1962" t="s">
        <v>10679</v>
      </c>
      <c r="D1962" t="s">
        <v>9715</v>
      </c>
      <c r="E1962" s="9">
        <v>601</v>
      </c>
      <c r="F1962" s="9">
        <v>9118</v>
      </c>
      <c r="G1962" s="9" t="s">
        <v>30</v>
      </c>
    </row>
    <row r="1963" spans="1:7" x14ac:dyDescent="0.2">
      <c r="A1963" t="s">
        <v>2001</v>
      </c>
      <c r="B1963" t="s">
        <v>2004</v>
      </c>
      <c r="C1963" t="s">
        <v>11687</v>
      </c>
      <c r="D1963" t="e">
        <v>#N/A</v>
      </c>
      <c r="E1963" s="9">
        <v>2682</v>
      </c>
      <c r="F1963" s="9">
        <v>11291</v>
      </c>
      <c r="G1963" s="9" t="s">
        <v>30</v>
      </c>
    </row>
    <row r="1964" spans="1:7" x14ac:dyDescent="0.2">
      <c r="A1964" t="s">
        <v>2001</v>
      </c>
      <c r="B1964" t="s">
        <v>2005</v>
      </c>
      <c r="C1964" t="s">
        <v>10676</v>
      </c>
      <c r="D1964" t="s">
        <v>9715</v>
      </c>
      <c r="E1964" s="9">
        <v>297</v>
      </c>
      <c r="F1964" s="9">
        <v>8305</v>
      </c>
      <c r="G1964" s="9" t="s">
        <v>30</v>
      </c>
    </row>
    <row r="1965" spans="1:7" x14ac:dyDescent="0.2">
      <c r="A1965" t="s">
        <v>2001</v>
      </c>
      <c r="B1965" t="s">
        <v>2006</v>
      </c>
      <c r="C1965" t="s">
        <v>11688</v>
      </c>
      <c r="D1965" t="e">
        <v>#N/A</v>
      </c>
      <c r="E1965" s="9">
        <v>967</v>
      </c>
      <c r="F1965" s="9">
        <v>11055</v>
      </c>
      <c r="G1965" s="9" t="s">
        <v>30</v>
      </c>
    </row>
    <row r="1966" spans="1:7" x14ac:dyDescent="0.2">
      <c r="A1966" t="s">
        <v>2001</v>
      </c>
      <c r="B1966" t="s">
        <v>2007</v>
      </c>
      <c r="C1966" t="s">
        <v>11689</v>
      </c>
      <c r="D1966" t="e">
        <v>#N/A</v>
      </c>
      <c r="E1966" s="9">
        <v>2919</v>
      </c>
      <c r="F1966" s="9">
        <v>12417</v>
      </c>
      <c r="G1966" s="9" t="s">
        <v>30</v>
      </c>
    </row>
    <row r="1967" spans="1:7" x14ac:dyDescent="0.2">
      <c r="A1967" t="s">
        <v>2001</v>
      </c>
      <c r="B1967" t="s">
        <v>2008</v>
      </c>
      <c r="C1967" t="s">
        <v>10672</v>
      </c>
      <c r="D1967" t="s">
        <v>9715</v>
      </c>
      <c r="E1967" s="9">
        <v>259</v>
      </c>
      <c r="F1967" s="9">
        <v>10011</v>
      </c>
      <c r="G1967" s="9" t="s">
        <v>30</v>
      </c>
    </row>
    <row r="1968" spans="1:7" x14ac:dyDescent="0.2">
      <c r="A1968" t="s">
        <v>2001</v>
      </c>
      <c r="B1968" t="s">
        <v>2009</v>
      </c>
      <c r="C1968" t="s">
        <v>11690</v>
      </c>
      <c r="D1968" t="e">
        <v>#N/A</v>
      </c>
      <c r="E1968" s="9">
        <v>1506</v>
      </c>
      <c r="F1968" s="9">
        <v>12184</v>
      </c>
      <c r="G1968" s="9" t="s">
        <v>30</v>
      </c>
    </row>
    <row r="1969" spans="1:7" x14ac:dyDescent="0.2">
      <c r="A1969" t="s">
        <v>2001</v>
      </c>
      <c r="B1969" t="s">
        <v>2010</v>
      </c>
      <c r="C1969" t="s">
        <v>10673</v>
      </c>
      <c r="D1969" t="s">
        <v>9715</v>
      </c>
      <c r="E1969" s="9">
        <v>1851</v>
      </c>
      <c r="F1969" s="9">
        <v>18468</v>
      </c>
      <c r="G1969" s="9" t="s">
        <v>30</v>
      </c>
    </row>
    <row r="1970" spans="1:7" x14ac:dyDescent="0.2">
      <c r="A1970" t="s">
        <v>2001</v>
      </c>
      <c r="B1970" t="s">
        <v>2011</v>
      </c>
      <c r="C1970" t="s">
        <v>10680</v>
      </c>
      <c r="D1970" t="s">
        <v>9715</v>
      </c>
      <c r="E1970" s="9">
        <v>517</v>
      </c>
      <c r="F1970" s="9">
        <v>9924</v>
      </c>
      <c r="G1970" s="9" t="s">
        <v>30</v>
      </c>
    </row>
    <row r="1971" spans="1:7" x14ac:dyDescent="0.2">
      <c r="A1971" t="s">
        <v>2001</v>
      </c>
      <c r="B1971" t="s">
        <v>2012</v>
      </c>
      <c r="C1971" t="s">
        <v>11691</v>
      </c>
      <c r="D1971" t="e">
        <v>#N/A</v>
      </c>
      <c r="E1971" s="9">
        <v>860</v>
      </c>
      <c r="F1971" s="9">
        <v>10490</v>
      </c>
      <c r="G1971" s="9" t="s">
        <v>30</v>
      </c>
    </row>
    <row r="1972" spans="1:7" x14ac:dyDescent="0.2">
      <c r="A1972" t="s">
        <v>2001</v>
      </c>
      <c r="B1972" t="s">
        <v>2013</v>
      </c>
      <c r="C1972" t="s">
        <v>11692</v>
      </c>
      <c r="D1972" t="e">
        <v>#N/A</v>
      </c>
      <c r="E1972" s="9">
        <v>1272</v>
      </c>
      <c r="F1972" s="9">
        <v>10116</v>
      </c>
      <c r="G1972" s="9" t="s">
        <v>30</v>
      </c>
    </row>
    <row r="1973" spans="1:7" x14ac:dyDescent="0.2">
      <c r="A1973" t="s">
        <v>2001</v>
      </c>
      <c r="B1973" t="s">
        <v>2014</v>
      </c>
      <c r="C1973" t="s">
        <v>11693</v>
      </c>
      <c r="D1973" t="e">
        <v>#N/A</v>
      </c>
      <c r="E1973" s="9">
        <v>855</v>
      </c>
      <c r="F1973" s="9">
        <v>9214</v>
      </c>
      <c r="G1973" s="9" t="s">
        <v>30</v>
      </c>
    </row>
    <row r="1974" spans="1:7" x14ac:dyDescent="0.2">
      <c r="A1974" t="s">
        <v>2001</v>
      </c>
      <c r="B1974" t="s">
        <v>2015</v>
      </c>
      <c r="C1974" t="s">
        <v>11694</v>
      </c>
      <c r="D1974" t="e">
        <v>#N/A</v>
      </c>
      <c r="E1974" s="9">
        <v>820</v>
      </c>
      <c r="F1974" s="9">
        <v>9505</v>
      </c>
      <c r="G1974" s="9" t="s">
        <v>30</v>
      </c>
    </row>
    <row r="1975" spans="1:7" x14ac:dyDescent="0.2">
      <c r="A1975" t="s">
        <v>2001</v>
      </c>
      <c r="B1975" t="s">
        <v>1030</v>
      </c>
      <c r="C1975" t="s">
        <v>11695</v>
      </c>
      <c r="D1975" t="e">
        <v>#N/A</v>
      </c>
      <c r="E1975" s="9">
        <v>2674</v>
      </c>
      <c r="F1975" s="9">
        <v>11296</v>
      </c>
      <c r="G1975" s="9" t="s">
        <v>30</v>
      </c>
    </row>
    <row r="1976" spans="1:7" x14ac:dyDescent="0.2">
      <c r="A1976" t="s">
        <v>2001</v>
      </c>
      <c r="B1976" t="s">
        <v>2016</v>
      </c>
      <c r="C1976" t="s">
        <v>11696</v>
      </c>
      <c r="D1976" t="e">
        <v>#N/A</v>
      </c>
      <c r="E1976" s="9">
        <v>762</v>
      </c>
      <c r="F1976" s="9">
        <v>6496</v>
      </c>
      <c r="G1976" s="9" t="s">
        <v>30</v>
      </c>
    </row>
    <row r="1977" spans="1:7" x14ac:dyDescent="0.2">
      <c r="A1977" t="s">
        <v>2001</v>
      </c>
      <c r="B1977" t="s">
        <v>2017</v>
      </c>
      <c r="C1977" t="s">
        <v>11697</v>
      </c>
      <c r="D1977" t="e">
        <v>#N/A</v>
      </c>
      <c r="E1977" s="9">
        <v>2397</v>
      </c>
      <c r="F1977" s="9">
        <v>11813</v>
      </c>
      <c r="G1977" s="9" t="s">
        <v>30</v>
      </c>
    </row>
    <row r="1978" spans="1:7" x14ac:dyDescent="0.2">
      <c r="A1978" t="s">
        <v>2001</v>
      </c>
      <c r="B1978" t="s">
        <v>2018</v>
      </c>
      <c r="C1978" t="s">
        <v>11698</v>
      </c>
      <c r="D1978" t="e">
        <v>#N/A</v>
      </c>
      <c r="E1978" s="9">
        <v>3161</v>
      </c>
      <c r="F1978" s="9">
        <v>10444</v>
      </c>
      <c r="G1978" s="9" t="s">
        <v>30</v>
      </c>
    </row>
    <row r="1979" spans="1:7" x14ac:dyDescent="0.2">
      <c r="A1979" t="s">
        <v>2001</v>
      </c>
      <c r="B1979" t="s">
        <v>2019</v>
      </c>
      <c r="C1979" t="s">
        <v>10677</v>
      </c>
      <c r="D1979" t="s">
        <v>9715</v>
      </c>
      <c r="E1979" s="9">
        <v>593</v>
      </c>
      <c r="F1979" s="9">
        <v>7054</v>
      </c>
      <c r="G1979" s="9" t="s">
        <v>30</v>
      </c>
    </row>
    <row r="1980" spans="1:7" x14ac:dyDescent="0.2">
      <c r="A1980" t="s">
        <v>2001</v>
      </c>
      <c r="B1980" t="s">
        <v>2020</v>
      </c>
      <c r="C1980" t="s">
        <v>11699</v>
      </c>
      <c r="D1980" t="e">
        <v>#N/A</v>
      </c>
      <c r="E1980" s="9">
        <v>910</v>
      </c>
      <c r="F1980" s="9">
        <v>10824</v>
      </c>
      <c r="G1980" s="9" t="s">
        <v>30</v>
      </c>
    </row>
    <row r="1981" spans="1:7" x14ac:dyDescent="0.2">
      <c r="A1981" t="s">
        <v>2001</v>
      </c>
      <c r="B1981" t="s">
        <v>2021</v>
      </c>
      <c r="C1981" t="s">
        <v>11700</v>
      </c>
      <c r="D1981" t="e">
        <v>#N/A</v>
      </c>
      <c r="E1981" s="9">
        <v>1800</v>
      </c>
      <c r="F1981" s="9">
        <v>12491</v>
      </c>
      <c r="G1981" s="9" t="s">
        <v>30</v>
      </c>
    </row>
    <row r="1982" spans="1:7" x14ac:dyDescent="0.2">
      <c r="A1982" t="s">
        <v>2001</v>
      </c>
      <c r="B1982" t="s">
        <v>2022</v>
      </c>
      <c r="C1982" t="s">
        <v>10681</v>
      </c>
      <c r="D1982" t="s">
        <v>9715</v>
      </c>
      <c r="E1982" s="9">
        <v>179</v>
      </c>
      <c r="F1982" s="9">
        <v>9378</v>
      </c>
      <c r="G1982" s="9" t="s">
        <v>30</v>
      </c>
    </row>
    <row r="1983" spans="1:7" x14ac:dyDescent="0.2">
      <c r="A1983" t="s">
        <v>2001</v>
      </c>
      <c r="B1983" t="s">
        <v>2023</v>
      </c>
      <c r="C1983" t="s">
        <v>11701</v>
      </c>
      <c r="D1983" t="e">
        <v>#N/A</v>
      </c>
      <c r="E1983" s="9">
        <v>953</v>
      </c>
      <c r="F1983" s="9">
        <v>11796</v>
      </c>
      <c r="G1983" s="9" t="s">
        <v>30</v>
      </c>
    </row>
    <row r="1984" spans="1:7" x14ac:dyDescent="0.2">
      <c r="A1984" t="s">
        <v>2001</v>
      </c>
      <c r="B1984" t="s">
        <v>2024</v>
      </c>
      <c r="C1984" t="s">
        <v>11702</v>
      </c>
      <c r="D1984" t="e">
        <v>#N/A</v>
      </c>
      <c r="E1984" s="9">
        <v>2553</v>
      </c>
      <c r="F1984" s="9">
        <v>12631</v>
      </c>
      <c r="G1984" s="9" t="s">
        <v>30</v>
      </c>
    </row>
    <row r="1985" spans="1:7" x14ac:dyDescent="0.2">
      <c r="A1985" t="s">
        <v>2001</v>
      </c>
      <c r="B1985" t="s">
        <v>2025</v>
      </c>
      <c r="C1985" t="s">
        <v>11703</v>
      </c>
      <c r="D1985" t="e">
        <v>#N/A</v>
      </c>
      <c r="E1985" s="9">
        <v>1004</v>
      </c>
      <c r="F1985" s="9">
        <v>10678</v>
      </c>
      <c r="G1985" s="9" t="s">
        <v>30</v>
      </c>
    </row>
    <row r="1986" spans="1:7" x14ac:dyDescent="0.2">
      <c r="A1986" t="s">
        <v>2001</v>
      </c>
      <c r="B1986" t="s">
        <v>2026</v>
      </c>
      <c r="C1986" t="s">
        <v>11704</v>
      </c>
      <c r="D1986" t="e">
        <v>#N/A</v>
      </c>
      <c r="E1986" s="9">
        <v>1760</v>
      </c>
      <c r="F1986" s="9">
        <v>13382</v>
      </c>
      <c r="G1986" s="9" t="s">
        <v>30</v>
      </c>
    </row>
    <row r="1987" spans="1:7" x14ac:dyDescent="0.2">
      <c r="A1987" t="s">
        <v>2001</v>
      </c>
      <c r="B1987" t="s">
        <v>2027</v>
      </c>
      <c r="C1987" t="s">
        <v>10678</v>
      </c>
      <c r="D1987" t="s">
        <v>9715</v>
      </c>
      <c r="E1987" s="9">
        <v>968</v>
      </c>
      <c r="F1987" s="9">
        <v>9518</v>
      </c>
      <c r="G1987" s="9" t="s">
        <v>30</v>
      </c>
    </row>
    <row r="1988" spans="1:7" x14ac:dyDescent="0.2">
      <c r="A1988" t="s">
        <v>2001</v>
      </c>
      <c r="B1988" t="s">
        <v>2028</v>
      </c>
      <c r="C1988" t="s">
        <v>10674</v>
      </c>
      <c r="D1988" t="s">
        <v>9715</v>
      </c>
      <c r="E1988" s="9">
        <v>0</v>
      </c>
      <c r="F1988" s="9">
        <v>8737</v>
      </c>
      <c r="G1988" s="9" t="s">
        <v>30</v>
      </c>
    </row>
    <row r="1989" spans="1:7" x14ac:dyDescent="0.2">
      <c r="A1989" t="s">
        <v>2001</v>
      </c>
      <c r="B1989" t="s">
        <v>2029</v>
      </c>
      <c r="C1989" t="s">
        <v>10682</v>
      </c>
      <c r="D1989" t="s">
        <v>9715</v>
      </c>
      <c r="E1989" s="9">
        <v>613</v>
      </c>
      <c r="F1989" s="9">
        <v>9164</v>
      </c>
      <c r="G1989" s="9" t="s">
        <v>30</v>
      </c>
    </row>
    <row r="1990" spans="1:7" x14ac:dyDescent="0.2">
      <c r="A1990" t="s">
        <v>2001</v>
      </c>
      <c r="B1990" t="s">
        <v>2030</v>
      </c>
      <c r="C1990" t="s">
        <v>11705</v>
      </c>
      <c r="D1990" t="e">
        <v>#N/A</v>
      </c>
      <c r="E1990" s="9" t="s">
        <v>30</v>
      </c>
      <c r="F1990" s="9" t="s">
        <v>30</v>
      </c>
      <c r="G1990" s="9" t="s">
        <v>30</v>
      </c>
    </row>
    <row r="1991" spans="1:7" x14ac:dyDescent="0.2">
      <c r="A1991" t="s">
        <v>2001</v>
      </c>
      <c r="B1991" t="s">
        <v>2031</v>
      </c>
      <c r="C1991" t="s">
        <v>11706</v>
      </c>
      <c r="D1991" t="e">
        <v>#N/A</v>
      </c>
      <c r="E1991" s="9" t="s">
        <v>30</v>
      </c>
      <c r="F1991" s="9" t="s">
        <v>30</v>
      </c>
      <c r="G1991" s="9" t="s">
        <v>30</v>
      </c>
    </row>
    <row r="1992" spans="1:7" x14ac:dyDescent="0.2">
      <c r="A1992" t="s">
        <v>2001</v>
      </c>
      <c r="B1992" t="s">
        <v>2032</v>
      </c>
      <c r="C1992" t="s">
        <v>11707</v>
      </c>
      <c r="D1992" t="e">
        <v>#N/A</v>
      </c>
      <c r="E1992" s="9">
        <v>1638</v>
      </c>
      <c r="F1992" s="9">
        <v>10563</v>
      </c>
      <c r="G1992" s="9">
        <v>10990739</v>
      </c>
    </row>
    <row r="1993" spans="1:7" x14ac:dyDescent="0.2">
      <c r="A1993" t="s">
        <v>2001</v>
      </c>
      <c r="B1993" t="s">
        <v>2033</v>
      </c>
      <c r="C1993" t="s">
        <v>10683</v>
      </c>
      <c r="D1993" t="s">
        <v>9715</v>
      </c>
      <c r="E1993" s="9">
        <v>642</v>
      </c>
      <c r="F1993" s="9">
        <v>10617</v>
      </c>
      <c r="G1993" s="9">
        <v>497866</v>
      </c>
    </row>
    <row r="1994" spans="1:7" x14ac:dyDescent="0.2">
      <c r="A1994" t="s">
        <v>2034</v>
      </c>
      <c r="B1994" t="s">
        <v>2035</v>
      </c>
      <c r="C1994" t="s">
        <v>10686</v>
      </c>
      <c r="D1994" t="s">
        <v>9715</v>
      </c>
      <c r="E1994" s="9">
        <v>331</v>
      </c>
      <c r="F1994" s="9">
        <v>9574</v>
      </c>
      <c r="G1994" s="9">
        <v>0</v>
      </c>
    </row>
    <row r="1995" spans="1:7" x14ac:dyDescent="0.2">
      <c r="A1995" t="s">
        <v>2034</v>
      </c>
      <c r="B1995" t="s">
        <v>2036</v>
      </c>
      <c r="C1995" t="s">
        <v>11708</v>
      </c>
      <c r="D1995" t="e">
        <v>#N/A</v>
      </c>
      <c r="E1995" s="9">
        <v>63</v>
      </c>
      <c r="F1995" s="9">
        <v>248</v>
      </c>
      <c r="G1995" s="9">
        <v>10585541</v>
      </c>
    </row>
    <row r="1996" spans="1:7" x14ac:dyDescent="0.2">
      <c r="A1996" t="s">
        <v>2034</v>
      </c>
      <c r="B1996" t="s">
        <v>2037</v>
      </c>
      <c r="C1996" t="s">
        <v>10687</v>
      </c>
      <c r="D1996" t="s">
        <v>9715</v>
      </c>
      <c r="E1996" s="9">
        <v>2423</v>
      </c>
      <c r="F1996" s="9">
        <v>10600</v>
      </c>
      <c r="G1996" s="9">
        <v>401039</v>
      </c>
    </row>
    <row r="1997" spans="1:7" x14ac:dyDescent="0.2">
      <c r="A1997" t="s">
        <v>2034</v>
      </c>
      <c r="B1997" t="s">
        <v>2038</v>
      </c>
      <c r="C1997" t="s">
        <v>11709</v>
      </c>
      <c r="D1997" t="e">
        <v>#N/A</v>
      </c>
      <c r="E1997" s="9">
        <v>2604</v>
      </c>
      <c r="F1997" s="9">
        <v>12696</v>
      </c>
      <c r="G1997" s="9">
        <v>977299</v>
      </c>
    </row>
    <row r="1998" spans="1:7" x14ac:dyDescent="0.2">
      <c r="A1998" t="s">
        <v>2034</v>
      </c>
      <c r="B1998" t="s">
        <v>2039</v>
      </c>
      <c r="C1998" t="s">
        <v>10684</v>
      </c>
      <c r="D1998" t="s">
        <v>9715</v>
      </c>
      <c r="E1998" s="9">
        <v>874</v>
      </c>
      <c r="F1998" s="9">
        <v>10540</v>
      </c>
      <c r="G1998" s="9">
        <v>46715</v>
      </c>
    </row>
    <row r="1999" spans="1:7" x14ac:dyDescent="0.2">
      <c r="A1999" t="s">
        <v>2034</v>
      </c>
      <c r="B1999" t="s">
        <v>2040</v>
      </c>
      <c r="C1999" t="s">
        <v>10685</v>
      </c>
      <c r="D1999" t="s">
        <v>9715</v>
      </c>
      <c r="E1999" s="9">
        <v>993</v>
      </c>
      <c r="F1999" s="9">
        <v>8708</v>
      </c>
      <c r="G1999" s="9">
        <v>26335</v>
      </c>
    </row>
    <row r="2000" spans="1:7" x14ac:dyDescent="0.2">
      <c r="A2000" t="s">
        <v>2034</v>
      </c>
      <c r="B2000" t="s">
        <v>247</v>
      </c>
      <c r="C2000" t="s">
        <v>11710</v>
      </c>
      <c r="D2000" t="e">
        <v>#N/A</v>
      </c>
      <c r="E2000" s="9">
        <v>2264</v>
      </c>
      <c r="F2000" s="9">
        <v>10646</v>
      </c>
      <c r="G2000" s="9">
        <v>1117411</v>
      </c>
    </row>
    <row r="2001" spans="1:7" x14ac:dyDescent="0.2">
      <c r="A2001" t="s">
        <v>2034</v>
      </c>
      <c r="B2001" t="s">
        <v>2041</v>
      </c>
      <c r="C2001" t="s">
        <v>11711</v>
      </c>
      <c r="D2001" t="e">
        <v>#N/A</v>
      </c>
      <c r="E2001" s="9">
        <v>1493</v>
      </c>
      <c r="F2001" s="9">
        <v>15859</v>
      </c>
      <c r="G2001" s="9">
        <v>0</v>
      </c>
    </row>
    <row r="2002" spans="1:7" x14ac:dyDescent="0.2">
      <c r="A2002" t="s">
        <v>2034</v>
      </c>
      <c r="B2002" t="s">
        <v>2042</v>
      </c>
      <c r="C2002" t="s">
        <v>11712</v>
      </c>
      <c r="D2002" t="e">
        <v>#N/A</v>
      </c>
      <c r="E2002" s="9">
        <v>1505</v>
      </c>
      <c r="F2002" s="9">
        <v>5221</v>
      </c>
      <c r="G2002" s="9">
        <v>8393662</v>
      </c>
    </row>
    <row r="2003" spans="1:7" x14ac:dyDescent="0.2">
      <c r="A2003" t="s">
        <v>2034</v>
      </c>
      <c r="B2003" t="s">
        <v>2043</v>
      </c>
      <c r="C2003" t="s">
        <v>11713</v>
      </c>
      <c r="D2003" t="e">
        <v>#N/A</v>
      </c>
      <c r="E2003" s="9">
        <v>47025</v>
      </c>
      <c r="F2003" s="9">
        <v>153110</v>
      </c>
      <c r="G2003" s="9">
        <v>280079</v>
      </c>
    </row>
    <row r="2004" spans="1:7" x14ac:dyDescent="0.2">
      <c r="A2004" t="s">
        <v>2044</v>
      </c>
      <c r="B2004" t="s">
        <v>2045</v>
      </c>
      <c r="C2004" t="s">
        <v>11714</v>
      </c>
      <c r="D2004" t="e">
        <v>#N/A</v>
      </c>
      <c r="E2004" s="9">
        <v>1515</v>
      </c>
      <c r="F2004" s="9">
        <v>16759</v>
      </c>
      <c r="G2004" s="9">
        <v>11643</v>
      </c>
    </row>
    <row r="2005" spans="1:7" x14ac:dyDescent="0.2">
      <c r="A2005" t="s">
        <v>2044</v>
      </c>
      <c r="B2005" t="s">
        <v>2046</v>
      </c>
      <c r="C2005" t="s">
        <v>10688</v>
      </c>
      <c r="D2005" t="s">
        <v>9715</v>
      </c>
      <c r="E2005" s="9">
        <v>434</v>
      </c>
      <c r="F2005" s="9">
        <v>8222</v>
      </c>
      <c r="G2005" s="9">
        <v>245500</v>
      </c>
    </row>
    <row r="2006" spans="1:7" x14ac:dyDescent="0.2">
      <c r="A2006" t="s">
        <v>2044</v>
      </c>
      <c r="B2006" t="s">
        <v>2047</v>
      </c>
      <c r="C2006" t="s">
        <v>11715</v>
      </c>
      <c r="D2006" t="e">
        <v>#N/A</v>
      </c>
      <c r="E2006" s="9">
        <v>2174</v>
      </c>
      <c r="F2006" s="9">
        <v>10482</v>
      </c>
      <c r="G2006" s="9">
        <v>7783708</v>
      </c>
    </row>
    <row r="2007" spans="1:7" x14ac:dyDescent="0.2">
      <c r="A2007" t="s">
        <v>2044</v>
      </c>
      <c r="B2007" t="s">
        <v>2048</v>
      </c>
      <c r="C2007" t="s">
        <v>10689</v>
      </c>
      <c r="D2007" t="s">
        <v>9715</v>
      </c>
      <c r="E2007" s="9">
        <v>2509</v>
      </c>
      <c r="F2007" s="9">
        <v>10437</v>
      </c>
      <c r="G2007" s="9">
        <v>93055</v>
      </c>
    </row>
    <row r="2008" spans="1:7" x14ac:dyDescent="0.2">
      <c r="A2008" t="s">
        <v>2044</v>
      </c>
      <c r="B2008" t="s">
        <v>2049</v>
      </c>
      <c r="C2008" t="s">
        <v>11716</v>
      </c>
      <c r="D2008" t="e">
        <v>#N/A</v>
      </c>
      <c r="E2008" s="9">
        <v>1177</v>
      </c>
      <c r="F2008" s="9">
        <v>9861</v>
      </c>
      <c r="G2008" s="9">
        <v>1865430</v>
      </c>
    </row>
    <row r="2009" spans="1:7" x14ac:dyDescent="0.2">
      <c r="A2009" t="s">
        <v>2044</v>
      </c>
      <c r="B2009" t="s">
        <v>2050</v>
      </c>
      <c r="C2009" t="s">
        <v>11717</v>
      </c>
      <c r="D2009" t="e">
        <v>#N/A</v>
      </c>
      <c r="E2009" s="9">
        <v>1168</v>
      </c>
      <c r="F2009" s="9">
        <v>13887</v>
      </c>
      <c r="G2009" s="9">
        <v>0</v>
      </c>
    </row>
    <row r="2010" spans="1:7" x14ac:dyDescent="0.2">
      <c r="A2010" t="s">
        <v>2044</v>
      </c>
      <c r="B2010" t="s">
        <v>2051</v>
      </c>
      <c r="C2010" t="s">
        <v>11718</v>
      </c>
      <c r="D2010" t="e">
        <v>#N/A</v>
      </c>
      <c r="E2010" s="9">
        <v>1130.8572961373391</v>
      </c>
      <c r="F2010" s="9">
        <v>10324.522532188841</v>
      </c>
      <c r="G2010" s="9">
        <v>983436</v>
      </c>
    </row>
    <row r="2011" spans="1:7" x14ac:dyDescent="0.2">
      <c r="A2011" t="s">
        <v>2044</v>
      </c>
      <c r="B2011" t="s">
        <v>2052</v>
      </c>
      <c r="C2011" t="s">
        <v>11719</v>
      </c>
      <c r="D2011" t="e">
        <v>#N/A</v>
      </c>
      <c r="E2011" s="9">
        <v>2528</v>
      </c>
      <c r="F2011" s="9">
        <v>24130</v>
      </c>
      <c r="G2011" s="9">
        <v>19863580</v>
      </c>
    </row>
    <row r="2012" spans="1:7" x14ac:dyDescent="0.2">
      <c r="A2012" t="s">
        <v>2044</v>
      </c>
      <c r="B2012" t="s">
        <v>2053</v>
      </c>
      <c r="C2012" t="s">
        <v>10690</v>
      </c>
      <c r="D2012" t="s">
        <v>9715</v>
      </c>
      <c r="E2012" s="9">
        <v>4142</v>
      </c>
      <c r="F2012" s="9">
        <v>8495</v>
      </c>
      <c r="G2012" s="9">
        <v>88217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932F-D187-41A1-B762-AC547CBBE7D6}">
  <dimension ref="A1:I9119"/>
  <sheetViews>
    <sheetView workbookViewId="0"/>
  </sheetViews>
  <sheetFormatPr defaultColWidth="9.21875" defaultRowHeight="15" x14ac:dyDescent="0.2"/>
  <cols>
    <col min="1" max="1" width="69.44140625" customWidth="1"/>
    <col min="2" max="2" width="63.5546875" bestFit="1" customWidth="1"/>
    <col min="3" max="3" width="16.44140625" bestFit="1" customWidth="1"/>
    <col min="4" max="4" width="83.5546875" bestFit="1" customWidth="1"/>
    <col min="5" max="5" width="19" bestFit="1" customWidth="1"/>
    <col min="6" max="6" width="31.109375" style="1" bestFit="1" customWidth="1"/>
    <col min="7" max="7" width="36.33203125" style="1" bestFit="1" customWidth="1"/>
    <col min="8" max="8" width="31.21875" style="1" bestFit="1" customWidth="1"/>
    <col min="9" max="9" width="36.44140625" style="1" bestFit="1" customWidth="1"/>
  </cols>
  <sheetData>
    <row r="1" spans="1:9" ht="20.25" x14ac:dyDescent="0.3">
      <c r="A1" s="2" t="s">
        <v>9711</v>
      </c>
    </row>
    <row r="2" spans="1:9" ht="18" x14ac:dyDescent="0.25">
      <c r="A2" s="3" t="s">
        <v>9708</v>
      </c>
    </row>
    <row r="3" spans="1:9" ht="15.75" x14ac:dyDescent="0.25">
      <c r="A3" s="4" t="s">
        <v>9710</v>
      </c>
    </row>
    <row r="4" spans="1:9" ht="15.75" x14ac:dyDescent="0.25">
      <c r="A4" s="5">
        <v>44742</v>
      </c>
    </row>
    <row r="5" spans="1:9" ht="15.75" x14ac:dyDescent="0.25">
      <c r="A5" s="6" t="s">
        <v>9709</v>
      </c>
    </row>
    <row r="6" spans="1:9" ht="15.75" x14ac:dyDescent="0.25">
      <c r="A6" s="7" t="s">
        <v>9712</v>
      </c>
    </row>
    <row r="7" spans="1:9" x14ac:dyDescent="0.2">
      <c r="A7" t="s">
        <v>0</v>
      </c>
      <c r="B7" t="s">
        <v>1</v>
      </c>
      <c r="C7" t="s">
        <v>2054</v>
      </c>
      <c r="D7" t="s">
        <v>2055</v>
      </c>
      <c r="E7" t="s">
        <v>2056</v>
      </c>
      <c r="F7" s="1" t="s">
        <v>2057</v>
      </c>
      <c r="G7" s="1" t="s">
        <v>2058</v>
      </c>
      <c r="H7" s="1" t="s">
        <v>2059</v>
      </c>
      <c r="I7" s="1" t="s">
        <v>2060</v>
      </c>
    </row>
    <row r="8" spans="1:9" x14ac:dyDescent="0.2">
      <c r="A8" t="s">
        <v>6</v>
      </c>
      <c r="B8" t="s">
        <v>11</v>
      </c>
      <c r="C8" t="str">
        <f>"01100170000000"</f>
        <v>01100170000000</v>
      </c>
      <c r="D8" t="s">
        <v>2061</v>
      </c>
      <c r="E8" t="str">
        <f>"01100170130401"</f>
        <v>01100170130401</v>
      </c>
      <c r="F8" s="8">
        <v>9113</v>
      </c>
      <c r="G8" s="8">
        <v>39206</v>
      </c>
      <c r="H8" s="8">
        <v>4823</v>
      </c>
      <c r="I8" s="8">
        <v>26936</v>
      </c>
    </row>
    <row r="9" spans="1:9" x14ac:dyDescent="0.2">
      <c r="A9" t="s">
        <v>6</v>
      </c>
      <c r="B9" t="s">
        <v>11</v>
      </c>
      <c r="C9" t="str">
        <f>"01100170000000"</f>
        <v>01100170000000</v>
      </c>
      <c r="D9" t="s">
        <v>2062</v>
      </c>
      <c r="E9" t="str">
        <f>"01100170130419"</f>
        <v>01100170130419</v>
      </c>
      <c r="F9" s="8">
        <v>2501</v>
      </c>
      <c r="G9" s="8">
        <v>23020</v>
      </c>
      <c r="H9" s="8">
        <v>4823</v>
      </c>
      <c r="I9" s="8">
        <v>26936</v>
      </c>
    </row>
    <row r="10" spans="1:9" x14ac:dyDescent="0.2">
      <c r="A10" t="s">
        <v>6</v>
      </c>
      <c r="B10" t="s">
        <v>11</v>
      </c>
      <c r="C10" t="str">
        <f>"01100170000000"</f>
        <v>01100170000000</v>
      </c>
      <c r="D10" t="s">
        <v>2063</v>
      </c>
      <c r="E10" t="str">
        <f>"01100176106751"</f>
        <v>01100176106751</v>
      </c>
      <c r="F10" s="8">
        <v>0</v>
      </c>
      <c r="G10" s="8">
        <v>21082</v>
      </c>
      <c r="H10" s="8">
        <v>4823</v>
      </c>
      <c r="I10" s="8">
        <v>26936</v>
      </c>
    </row>
    <row r="11" spans="1:9" x14ac:dyDescent="0.2">
      <c r="A11" t="s">
        <v>6</v>
      </c>
      <c r="B11" t="s">
        <v>11</v>
      </c>
      <c r="C11" t="str">
        <f>"01100170000000"</f>
        <v>01100170000000</v>
      </c>
      <c r="D11" t="s">
        <v>2064</v>
      </c>
      <c r="E11" t="str">
        <f>"01100170136226"</f>
        <v>01100170136226</v>
      </c>
      <c r="F11" s="8">
        <v>68</v>
      </c>
      <c r="G11" s="8">
        <v>12690</v>
      </c>
      <c r="H11" s="8">
        <v>4823</v>
      </c>
      <c r="I11" s="8">
        <v>26936</v>
      </c>
    </row>
    <row r="12" spans="1:9" x14ac:dyDescent="0.2">
      <c r="A12" t="s">
        <v>6</v>
      </c>
      <c r="B12" t="s">
        <v>11</v>
      </c>
      <c r="C12" t="str">
        <f>"01100170000000"</f>
        <v>01100170000000</v>
      </c>
      <c r="D12" t="s">
        <v>2065</v>
      </c>
      <c r="E12" t="str">
        <f>"01100170129403"</f>
        <v>01100170129403</v>
      </c>
      <c r="F12" s="8" t="s">
        <v>30</v>
      </c>
      <c r="G12" s="8" t="s">
        <v>30</v>
      </c>
      <c r="H12" s="8" t="s">
        <v>30</v>
      </c>
      <c r="I12" s="8" t="s">
        <v>30</v>
      </c>
    </row>
    <row r="13" spans="1:9" x14ac:dyDescent="0.2">
      <c r="A13" t="s">
        <v>6</v>
      </c>
      <c r="B13" t="s">
        <v>12</v>
      </c>
      <c r="C13" t="str">
        <f t="shared" ref="C13:C27" si="0">"01611190000000"</f>
        <v>01611190000000</v>
      </c>
      <c r="D13" t="s">
        <v>2066</v>
      </c>
      <c r="E13" t="str">
        <f>"01611190134304"</f>
        <v>01611190134304</v>
      </c>
      <c r="F13" s="8">
        <v>527</v>
      </c>
      <c r="G13" s="8">
        <v>20082</v>
      </c>
      <c r="H13" s="8">
        <v>980</v>
      </c>
      <c r="I13" s="8">
        <v>6131</v>
      </c>
    </row>
    <row r="14" spans="1:9" x14ac:dyDescent="0.2">
      <c r="A14" t="s">
        <v>6</v>
      </c>
      <c r="B14" t="s">
        <v>12</v>
      </c>
      <c r="C14" t="str">
        <f t="shared" si="0"/>
        <v>01611190000000</v>
      </c>
      <c r="D14" t="s">
        <v>2067</v>
      </c>
      <c r="E14" t="str">
        <f>"01611196090120"</f>
        <v>01611196090120</v>
      </c>
      <c r="F14" s="8">
        <v>690</v>
      </c>
      <c r="G14" s="8">
        <v>7406</v>
      </c>
      <c r="H14" s="8">
        <v>980</v>
      </c>
      <c r="I14" s="8">
        <v>6131</v>
      </c>
    </row>
    <row r="15" spans="1:9" x14ac:dyDescent="0.2">
      <c r="A15" t="s">
        <v>6</v>
      </c>
      <c r="B15" t="s">
        <v>12</v>
      </c>
      <c r="C15" t="str">
        <f t="shared" si="0"/>
        <v>01611190000000</v>
      </c>
      <c r="D15" t="s">
        <v>2068</v>
      </c>
      <c r="E15" t="str">
        <f>"01611190111765"</f>
        <v>01611190111765</v>
      </c>
      <c r="F15" s="8">
        <v>666</v>
      </c>
      <c r="G15" s="8">
        <v>7281</v>
      </c>
      <c r="H15" s="8">
        <v>980</v>
      </c>
      <c r="I15" s="8">
        <v>6131</v>
      </c>
    </row>
    <row r="16" spans="1:9" x14ac:dyDescent="0.2">
      <c r="A16" t="s">
        <v>6</v>
      </c>
      <c r="B16" t="s">
        <v>12</v>
      </c>
      <c r="C16" t="str">
        <f t="shared" si="0"/>
        <v>01611190000000</v>
      </c>
      <c r="D16" t="s">
        <v>2069</v>
      </c>
      <c r="E16" t="str">
        <f>"01611190132142"</f>
        <v>01611190132142</v>
      </c>
      <c r="F16" s="8">
        <v>0</v>
      </c>
      <c r="G16" s="8">
        <v>7878</v>
      </c>
      <c r="H16" s="8">
        <v>980</v>
      </c>
      <c r="I16" s="8">
        <v>6131</v>
      </c>
    </row>
    <row r="17" spans="1:9" x14ac:dyDescent="0.2">
      <c r="A17" t="s">
        <v>6</v>
      </c>
      <c r="B17" t="s">
        <v>12</v>
      </c>
      <c r="C17" t="str">
        <f t="shared" si="0"/>
        <v>01611190000000</v>
      </c>
      <c r="D17" t="s">
        <v>2070</v>
      </c>
      <c r="E17" t="str">
        <f>"01611196090112"</f>
        <v>01611196090112</v>
      </c>
      <c r="F17" s="8">
        <v>233</v>
      </c>
      <c r="G17" s="8">
        <v>7448</v>
      </c>
      <c r="H17" s="8">
        <v>980</v>
      </c>
      <c r="I17" s="8">
        <v>6131</v>
      </c>
    </row>
    <row r="18" spans="1:9" x14ac:dyDescent="0.2">
      <c r="A18" t="s">
        <v>6</v>
      </c>
      <c r="B18" t="s">
        <v>12</v>
      </c>
      <c r="C18" t="str">
        <f t="shared" si="0"/>
        <v>01611190000000</v>
      </c>
      <c r="D18" t="s">
        <v>348</v>
      </c>
      <c r="E18" t="str">
        <f>"01611196090013"</f>
        <v>01611196090013</v>
      </c>
      <c r="F18" s="8">
        <v>0</v>
      </c>
      <c r="G18" s="8">
        <v>7180</v>
      </c>
      <c r="H18" s="8">
        <v>980</v>
      </c>
      <c r="I18" s="8">
        <v>6131</v>
      </c>
    </row>
    <row r="19" spans="1:9" x14ac:dyDescent="0.2">
      <c r="A19" t="s">
        <v>6</v>
      </c>
      <c r="B19" t="s">
        <v>12</v>
      </c>
      <c r="C19" t="str">
        <f t="shared" si="0"/>
        <v>01611190000000</v>
      </c>
      <c r="D19" t="s">
        <v>2071</v>
      </c>
      <c r="E19" t="str">
        <f>"01611190139220"</f>
        <v>01611190139220</v>
      </c>
      <c r="F19" s="8">
        <v>0</v>
      </c>
      <c r="G19" s="8">
        <v>7064</v>
      </c>
      <c r="H19" s="8">
        <v>980</v>
      </c>
      <c r="I19" s="8">
        <v>6131</v>
      </c>
    </row>
    <row r="20" spans="1:9" x14ac:dyDescent="0.2">
      <c r="A20" t="s">
        <v>6</v>
      </c>
      <c r="B20" t="s">
        <v>12</v>
      </c>
      <c r="C20" t="str">
        <f t="shared" si="0"/>
        <v>01611190000000</v>
      </c>
      <c r="D20" t="s">
        <v>1894</v>
      </c>
      <c r="E20" t="str">
        <f>"01611196090039"</f>
        <v>01611196090039</v>
      </c>
      <c r="F20" s="8">
        <v>0</v>
      </c>
      <c r="G20" s="8">
        <v>6987</v>
      </c>
      <c r="H20" s="8">
        <v>980</v>
      </c>
      <c r="I20" s="8">
        <v>6131</v>
      </c>
    </row>
    <row r="21" spans="1:9" x14ac:dyDescent="0.2">
      <c r="A21" t="s">
        <v>6</v>
      </c>
      <c r="B21" t="s">
        <v>12</v>
      </c>
      <c r="C21" t="str">
        <f t="shared" si="0"/>
        <v>01611190000000</v>
      </c>
      <c r="D21" t="s">
        <v>2072</v>
      </c>
      <c r="E21" t="str">
        <f>"01611196090021"</f>
        <v>01611196090021</v>
      </c>
      <c r="F21" s="8">
        <v>0</v>
      </c>
      <c r="G21" s="8">
        <v>6804</v>
      </c>
      <c r="H21" s="8">
        <v>980</v>
      </c>
      <c r="I21" s="8">
        <v>6131</v>
      </c>
    </row>
    <row r="22" spans="1:9" x14ac:dyDescent="0.2">
      <c r="A22" t="s">
        <v>6</v>
      </c>
      <c r="B22" t="s">
        <v>12</v>
      </c>
      <c r="C22" t="str">
        <f t="shared" si="0"/>
        <v>01611190000000</v>
      </c>
      <c r="D22" t="s">
        <v>2073</v>
      </c>
      <c r="E22" t="str">
        <f>"01611196110779"</f>
        <v>01611196110779</v>
      </c>
      <c r="F22" s="8">
        <v>0</v>
      </c>
      <c r="G22" s="8">
        <v>6758</v>
      </c>
      <c r="H22" s="8">
        <v>980</v>
      </c>
      <c r="I22" s="8">
        <v>6131</v>
      </c>
    </row>
    <row r="23" spans="1:9" x14ac:dyDescent="0.2">
      <c r="A23" t="s">
        <v>6</v>
      </c>
      <c r="B23" t="s">
        <v>12</v>
      </c>
      <c r="C23" t="str">
        <f t="shared" si="0"/>
        <v>01611190000000</v>
      </c>
      <c r="D23" t="s">
        <v>2074</v>
      </c>
      <c r="E23" t="str">
        <f>"01611196090054"</f>
        <v>01611196090054</v>
      </c>
      <c r="F23" s="8">
        <v>0</v>
      </c>
      <c r="G23" s="8">
        <v>6615</v>
      </c>
      <c r="H23" s="8">
        <v>980</v>
      </c>
      <c r="I23" s="8">
        <v>6131</v>
      </c>
    </row>
    <row r="24" spans="1:9" x14ac:dyDescent="0.2">
      <c r="A24" t="s">
        <v>6</v>
      </c>
      <c r="B24" t="s">
        <v>12</v>
      </c>
      <c r="C24" t="str">
        <f t="shared" si="0"/>
        <v>01611190000000</v>
      </c>
      <c r="D24" t="s">
        <v>2075</v>
      </c>
      <c r="E24" t="str">
        <f>"01611196090047"</f>
        <v>01611196090047</v>
      </c>
      <c r="F24" s="8">
        <v>429</v>
      </c>
      <c r="G24" s="8">
        <v>6175</v>
      </c>
      <c r="H24" s="8">
        <v>980</v>
      </c>
      <c r="I24" s="8">
        <v>6131</v>
      </c>
    </row>
    <row r="25" spans="1:9" x14ac:dyDescent="0.2">
      <c r="A25" t="s">
        <v>6</v>
      </c>
      <c r="B25" t="s">
        <v>12</v>
      </c>
      <c r="C25" t="str">
        <f t="shared" si="0"/>
        <v>01611190000000</v>
      </c>
      <c r="D25" t="s">
        <v>2076</v>
      </c>
      <c r="E25" t="str">
        <f>"01611190130229"</f>
        <v>01611190130229</v>
      </c>
      <c r="F25" s="8">
        <v>0</v>
      </c>
      <c r="G25" s="8">
        <v>6571</v>
      </c>
      <c r="H25" s="8">
        <v>980</v>
      </c>
      <c r="I25" s="8">
        <v>6131</v>
      </c>
    </row>
    <row r="26" spans="1:9" x14ac:dyDescent="0.2">
      <c r="A26" t="s">
        <v>6</v>
      </c>
      <c r="B26" t="s">
        <v>12</v>
      </c>
      <c r="C26" t="str">
        <f t="shared" si="0"/>
        <v>01611190000000</v>
      </c>
      <c r="D26" t="s">
        <v>2077</v>
      </c>
      <c r="E26" t="str">
        <f>"01611196100374"</f>
        <v>01611196100374</v>
      </c>
      <c r="F26" s="8">
        <v>0</v>
      </c>
      <c r="G26" s="8">
        <v>6006</v>
      </c>
      <c r="H26" s="8">
        <v>980</v>
      </c>
      <c r="I26" s="8">
        <v>6131</v>
      </c>
    </row>
    <row r="27" spans="1:9" x14ac:dyDescent="0.2">
      <c r="A27" t="s">
        <v>6</v>
      </c>
      <c r="B27" t="s">
        <v>12</v>
      </c>
      <c r="C27" t="str">
        <f t="shared" si="0"/>
        <v>01611190000000</v>
      </c>
      <c r="D27" t="s">
        <v>2078</v>
      </c>
      <c r="E27" t="str">
        <f>"01611190106401"</f>
        <v>01611190106401</v>
      </c>
      <c r="F27" s="8">
        <v>0</v>
      </c>
      <c r="G27" s="8">
        <v>5752</v>
      </c>
      <c r="H27" s="8">
        <v>980</v>
      </c>
      <c r="I27" s="8">
        <v>6131</v>
      </c>
    </row>
    <row r="28" spans="1:9" x14ac:dyDescent="0.2">
      <c r="A28" t="s">
        <v>6</v>
      </c>
      <c r="B28" t="s">
        <v>13</v>
      </c>
      <c r="C28" t="str">
        <f t="shared" ref="C28:C33" si="1">"01611270000000"</f>
        <v>01611270000000</v>
      </c>
      <c r="D28" t="s">
        <v>2079</v>
      </c>
      <c r="E28" t="str">
        <f>"01611270130294"</f>
        <v>01611270130294</v>
      </c>
      <c r="F28" s="8">
        <v>141</v>
      </c>
      <c r="G28" s="8">
        <v>40818</v>
      </c>
      <c r="H28" s="8">
        <v>734</v>
      </c>
      <c r="I28" s="8">
        <v>4722</v>
      </c>
    </row>
    <row r="29" spans="1:9" x14ac:dyDescent="0.2">
      <c r="A29" t="s">
        <v>6</v>
      </c>
      <c r="B29" t="s">
        <v>13</v>
      </c>
      <c r="C29" t="str">
        <f t="shared" si="1"/>
        <v>01611270000000</v>
      </c>
      <c r="D29" t="s">
        <v>2080</v>
      </c>
      <c r="E29" t="str">
        <f>"01611276116222"</f>
        <v>01611276116222</v>
      </c>
      <c r="F29" s="8">
        <v>174</v>
      </c>
      <c r="G29" s="8">
        <v>9191</v>
      </c>
      <c r="H29" s="8">
        <v>734</v>
      </c>
      <c r="I29" s="8">
        <v>4722</v>
      </c>
    </row>
    <row r="30" spans="1:9" x14ac:dyDescent="0.2">
      <c r="A30" t="s">
        <v>6</v>
      </c>
      <c r="B30" t="s">
        <v>13</v>
      </c>
      <c r="C30" t="str">
        <f t="shared" si="1"/>
        <v>01611270000000</v>
      </c>
      <c r="D30" t="s">
        <v>2081</v>
      </c>
      <c r="E30" t="str">
        <f>"01611276090161"</f>
        <v>01611276090161</v>
      </c>
      <c r="F30" s="8">
        <v>281</v>
      </c>
      <c r="G30" s="8">
        <v>8447</v>
      </c>
      <c r="H30" s="8">
        <v>734</v>
      </c>
      <c r="I30" s="8">
        <v>4722</v>
      </c>
    </row>
    <row r="31" spans="1:9" x14ac:dyDescent="0.2">
      <c r="A31" t="s">
        <v>6</v>
      </c>
      <c r="B31" t="s">
        <v>13</v>
      </c>
      <c r="C31" t="str">
        <f t="shared" si="1"/>
        <v>01611270000000</v>
      </c>
      <c r="D31" t="s">
        <v>2082</v>
      </c>
      <c r="E31" t="str">
        <f>"01611276090146"</f>
        <v>01611276090146</v>
      </c>
      <c r="F31" s="8">
        <v>156</v>
      </c>
      <c r="G31" s="8">
        <v>8441</v>
      </c>
      <c r="H31" s="8">
        <v>734</v>
      </c>
      <c r="I31" s="8">
        <v>4722</v>
      </c>
    </row>
    <row r="32" spans="1:9" x14ac:dyDescent="0.2">
      <c r="A32" t="s">
        <v>6</v>
      </c>
      <c r="B32" t="s">
        <v>13</v>
      </c>
      <c r="C32" t="str">
        <f t="shared" si="1"/>
        <v>01611270000000</v>
      </c>
      <c r="D32" t="s">
        <v>2083</v>
      </c>
      <c r="E32" t="str">
        <f>"01611270130450"</f>
        <v>01611270130450</v>
      </c>
      <c r="F32" s="8">
        <v>181</v>
      </c>
      <c r="G32" s="8">
        <v>7931</v>
      </c>
      <c r="H32" s="8">
        <v>733</v>
      </c>
      <c r="I32" s="8">
        <v>4722</v>
      </c>
    </row>
    <row r="33" spans="1:9" x14ac:dyDescent="0.2">
      <c r="A33" t="s">
        <v>6</v>
      </c>
      <c r="B33" t="s">
        <v>13</v>
      </c>
      <c r="C33" t="str">
        <f t="shared" si="1"/>
        <v>01611270000000</v>
      </c>
      <c r="D33" t="s">
        <v>2084</v>
      </c>
      <c r="E33" t="str">
        <f>"01611276095376"</f>
        <v>01611276095376</v>
      </c>
      <c r="F33" s="8">
        <v>132</v>
      </c>
      <c r="G33" s="8">
        <v>7975</v>
      </c>
      <c r="H33" s="8">
        <v>734</v>
      </c>
      <c r="I33" s="8">
        <v>4722</v>
      </c>
    </row>
    <row r="34" spans="1:9" x14ac:dyDescent="0.2">
      <c r="A34" t="s">
        <v>6</v>
      </c>
      <c r="B34" t="s">
        <v>27</v>
      </c>
      <c r="C34" t="str">
        <f t="shared" ref="C34:C49" si="2">"01611430000000"</f>
        <v>01611430000000</v>
      </c>
      <c r="D34" t="s">
        <v>2085</v>
      </c>
      <c r="E34" t="str">
        <f>"01611430134924"</f>
        <v>01611430134924</v>
      </c>
      <c r="F34" s="8">
        <v>8726</v>
      </c>
      <c r="G34" s="8">
        <v>35682</v>
      </c>
      <c r="H34" s="8">
        <v>18682</v>
      </c>
      <c r="I34" s="8">
        <v>23492</v>
      </c>
    </row>
    <row r="35" spans="1:9" x14ac:dyDescent="0.2">
      <c r="A35" t="s">
        <v>6</v>
      </c>
      <c r="B35" t="s">
        <v>27</v>
      </c>
      <c r="C35" t="str">
        <f t="shared" si="2"/>
        <v>01611430000000</v>
      </c>
      <c r="D35" t="s">
        <v>2086</v>
      </c>
      <c r="E35" t="str">
        <f>"01611436090302"</f>
        <v>01611436090302</v>
      </c>
      <c r="F35" s="8">
        <v>4015</v>
      </c>
      <c r="G35" s="8">
        <v>10264</v>
      </c>
      <c r="H35" s="8">
        <v>18682</v>
      </c>
      <c r="I35" s="8">
        <v>23492</v>
      </c>
    </row>
    <row r="36" spans="1:9" x14ac:dyDescent="0.2">
      <c r="A36" t="s">
        <v>6</v>
      </c>
      <c r="B36" t="s">
        <v>27</v>
      </c>
      <c r="C36" t="str">
        <f t="shared" si="2"/>
        <v>01611430000000</v>
      </c>
      <c r="D36" t="s">
        <v>2087</v>
      </c>
      <c r="E36" t="str">
        <f>"01611436090195"</f>
        <v>01611436090195</v>
      </c>
      <c r="F36" s="8">
        <v>2753</v>
      </c>
      <c r="G36" s="8">
        <v>10456</v>
      </c>
      <c r="H36" s="8">
        <v>18682</v>
      </c>
      <c r="I36" s="8">
        <v>23492</v>
      </c>
    </row>
    <row r="37" spans="1:9" x14ac:dyDescent="0.2">
      <c r="A37" t="s">
        <v>6</v>
      </c>
      <c r="B37" t="s">
        <v>27</v>
      </c>
      <c r="C37" t="str">
        <f t="shared" si="2"/>
        <v>01611430000000</v>
      </c>
      <c r="D37" t="s">
        <v>2088</v>
      </c>
      <c r="E37" t="str">
        <f>"01611436090310"</f>
        <v>01611436090310</v>
      </c>
      <c r="F37" s="8">
        <v>2572</v>
      </c>
      <c r="G37" s="8">
        <v>10347</v>
      </c>
      <c r="H37" s="8">
        <v>18682</v>
      </c>
      <c r="I37" s="8">
        <v>23492</v>
      </c>
    </row>
    <row r="38" spans="1:9" x14ac:dyDescent="0.2">
      <c r="A38" t="s">
        <v>6</v>
      </c>
      <c r="B38" t="s">
        <v>27</v>
      </c>
      <c r="C38" t="str">
        <f t="shared" si="2"/>
        <v>01611430000000</v>
      </c>
      <c r="D38" t="s">
        <v>2089</v>
      </c>
      <c r="E38" t="str">
        <f>"01611436090294"</f>
        <v>01611436090294</v>
      </c>
      <c r="F38" s="8">
        <v>2168</v>
      </c>
      <c r="G38" s="8">
        <v>10201</v>
      </c>
      <c r="H38" s="8">
        <v>18682</v>
      </c>
      <c r="I38" s="8">
        <v>23492</v>
      </c>
    </row>
    <row r="39" spans="1:9" x14ac:dyDescent="0.2">
      <c r="A39" t="s">
        <v>6</v>
      </c>
      <c r="B39" t="s">
        <v>27</v>
      </c>
      <c r="C39" t="str">
        <f t="shared" si="2"/>
        <v>01611430000000</v>
      </c>
      <c r="D39" t="s">
        <v>2090</v>
      </c>
      <c r="E39" t="str">
        <f>"01611436090211"</f>
        <v>01611436090211</v>
      </c>
      <c r="F39" s="8">
        <v>3202</v>
      </c>
      <c r="G39" s="8">
        <v>8969</v>
      </c>
      <c r="H39" s="8">
        <v>18682</v>
      </c>
      <c r="I39" s="8">
        <v>23492</v>
      </c>
    </row>
    <row r="40" spans="1:9" x14ac:dyDescent="0.2">
      <c r="A40" t="s">
        <v>6</v>
      </c>
      <c r="B40" t="s">
        <v>27</v>
      </c>
      <c r="C40" t="str">
        <f t="shared" si="2"/>
        <v>01611430000000</v>
      </c>
      <c r="D40" t="s">
        <v>2091</v>
      </c>
      <c r="E40" t="str">
        <f>"01611436090286"</f>
        <v>01611436090286</v>
      </c>
      <c r="F40" s="8">
        <v>2611</v>
      </c>
      <c r="G40" s="8">
        <v>9318</v>
      </c>
      <c r="H40" s="8">
        <v>18682</v>
      </c>
      <c r="I40" s="8">
        <v>23492</v>
      </c>
    </row>
    <row r="41" spans="1:9" x14ac:dyDescent="0.2">
      <c r="A41" t="s">
        <v>6</v>
      </c>
      <c r="B41" t="s">
        <v>27</v>
      </c>
      <c r="C41" t="str">
        <f t="shared" si="2"/>
        <v>01611430000000</v>
      </c>
      <c r="D41" t="s">
        <v>2092</v>
      </c>
      <c r="E41" t="str">
        <f>"01611436090278"</f>
        <v>01611436090278</v>
      </c>
      <c r="F41" s="8">
        <v>2352</v>
      </c>
      <c r="G41" s="8">
        <v>9476</v>
      </c>
      <c r="H41" s="8">
        <v>18682</v>
      </c>
      <c r="I41" s="8">
        <v>23492</v>
      </c>
    </row>
    <row r="42" spans="1:9" x14ac:dyDescent="0.2">
      <c r="A42" t="s">
        <v>6</v>
      </c>
      <c r="B42" t="s">
        <v>27</v>
      </c>
      <c r="C42" t="str">
        <f t="shared" si="2"/>
        <v>01611430000000</v>
      </c>
      <c r="D42" t="s">
        <v>2093</v>
      </c>
      <c r="E42" t="str">
        <f>"01611436105316"</f>
        <v>01611436105316</v>
      </c>
      <c r="F42" s="8">
        <v>2445</v>
      </c>
      <c r="G42" s="8">
        <v>9333</v>
      </c>
      <c r="H42" s="8">
        <v>18682</v>
      </c>
      <c r="I42" s="8">
        <v>23492</v>
      </c>
    </row>
    <row r="43" spans="1:9" x14ac:dyDescent="0.2">
      <c r="A43" t="s">
        <v>6</v>
      </c>
      <c r="B43" t="s">
        <v>27</v>
      </c>
      <c r="C43" t="str">
        <f t="shared" si="2"/>
        <v>01611430000000</v>
      </c>
      <c r="D43" t="s">
        <v>2094</v>
      </c>
      <c r="E43" t="str">
        <f>"01611436090328"</f>
        <v>01611436090328</v>
      </c>
      <c r="F43" s="8">
        <v>2608</v>
      </c>
      <c r="G43" s="8">
        <v>9039</v>
      </c>
      <c r="H43" s="8">
        <v>18682</v>
      </c>
      <c r="I43" s="8">
        <v>23492</v>
      </c>
    </row>
    <row r="44" spans="1:9" x14ac:dyDescent="0.2">
      <c r="A44" t="s">
        <v>6</v>
      </c>
      <c r="B44" t="s">
        <v>27</v>
      </c>
      <c r="C44" t="str">
        <f t="shared" si="2"/>
        <v>01611430000000</v>
      </c>
      <c r="D44" t="s">
        <v>2095</v>
      </c>
      <c r="E44" t="str">
        <f>"01611436056865"</f>
        <v>01611436056865</v>
      </c>
      <c r="F44" s="8">
        <v>2519</v>
      </c>
      <c r="G44" s="8">
        <v>8447</v>
      </c>
      <c r="H44" s="8">
        <v>18682</v>
      </c>
      <c r="I44" s="8">
        <v>23492</v>
      </c>
    </row>
    <row r="45" spans="1:9" x14ac:dyDescent="0.2">
      <c r="A45" t="s">
        <v>6</v>
      </c>
      <c r="B45" t="s">
        <v>27</v>
      </c>
      <c r="C45" t="str">
        <f t="shared" si="2"/>
        <v>01611430000000</v>
      </c>
      <c r="D45" t="s">
        <v>2096</v>
      </c>
      <c r="E45" t="str">
        <f>"01611436090187"</f>
        <v>01611436090187</v>
      </c>
      <c r="F45" s="8">
        <v>1993</v>
      </c>
      <c r="G45" s="8">
        <v>8830</v>
      </c>
      <c r="H45" s="8">
        <v>18682</v>
      </c>
      <c r="I45" s="8">
        <v>23492</v>
      </c>
    </row>
    <row r="46" spans="1:9" x14ac:dyDescent="0.2">
      <c r="A46" t="s">
        <v>6</v>
      </c>
      <c r="B46" t="s">
        <v>27</v>
      </c>
      <c r="C46" t="str">
        <f t="shared" si="2"/>
        <v>01611430000000</v>
      </c>
      <c r="D46" t="s">
        <v>2097</v>
      </c>
      <c r="E46" t="str">
        <f>"01611436097729"</f>
        <v>01611436097729</v>
      </c>
      <c r="F46" s="8">
        <v>1948</v>
      </c>
      <c r="G46" s="8">
        <v>8437</v>
      </c>
      <c r="H46" s="8">
        <v>18682</v>
      </c>
      <c r="I46" s="8">
        <v>23492</v>
      </c>
    </row>
    <row r="47" spans="1:9" x14ac:dyDescent="0.2">
      <c r="A47" t="s">
        <v>6</v>
      </c>
      <c r="B47" t="s">
        <v>27</v>
      </c>
      <c r="C47" t="str">
        <f t="shared" si="2"/>
        <v>01611430000000</v>
      </c>
      <c r="D47" t="s">
        <v>2098</v>
      </c>
      <c r="E47" t="str">
        <f>"01611436056857"</f>
        <v>01611436056857</v>
      </c>
      <c r="F47" s="8">
        <v>1472</v>
      </c>
      <c r="G47" s="8">
        <v>8809</v>
      </c>
      <c r="H47" s="8">
        <v>18682</v>
      </c>
      <c r="I47" s="8">
        <v>23492</v>
      </c>
    </row>
    <row r="48" spans="1:9" x14ac:dyDescent="0.2">
      <c r="A48" t="s">
        <v>6</v>
      </c>
      <c r="B48" t="s">
        <v>27</v>
      </c>
      <c r="C48" t="str">
        <f t="shared" si="2"/>
        <v>01611430000000</v>
      </c>
      <c r="D48" t="s">
        <v>2099</v>
      </c>
      <c r="E48" t="str">
        <f>"01611436090252"</f>
        <v>01611436090252</v>
      </c>
      <c r="F48" s="8">
        <v>1387</v>
      </c>
      <c r="G48" s="8">
        <v>8548</v>
      </c>
      <c r="H48" s="8">
        <v>18682</v>
      </c>
      <c r="I48" s="8">
        <v>23492</v>
      </c>
    </row>
    <row r="49" spans="1:9" x14ac:dyDescent="0.2">
      <c r="A49" t="s">
        <v>6</v>
      </c>
      <c r="B49" t="s">
        <v>27</v>
      </c>
      <c r="C49" t="str">
        <f t="shared" si="2"/>
        <v>01611430000000</v>
      </c>
      <c r="D49" t="s">
        <v>2100</v>
      </c>
      <c r="E49" t="str">
        <f>"01611430131177"</f>
        <v>01611430131177</v>
      </c>
      <c r="F49" s="8">
        <v>1511</v>
      </c>
      <c r="G49" s="8">
        <v>7796</v>
      </c>
      <c r="H49" s="8">
        <v>18682</v>
      </c>
      <c r="I49" s="8">
        <v>23492</v>
      </c>
    </row>
    <row r="50" spans="1:9" x14ac:dyDescent="0.2">
      <c r="A50" t="s">
        <v>6</v>
      </c>
      <c r="B50" t="s">
        <v>28</v>
      </c>
      <c r="C50" t="str">
        <f t="shared" ref="C50:C64" si="3">"01611500000000"</f>
        <v>01611500000000</v>
      </c>
      <c r="D50" t="s">
        <v>2101</v>
      </c>
      <c r="E50" t="str">
        <f>"01611500130047"</f>
        <v>01611500130047</v>
      </c>
      <c r="F50" s="8">
        <v>0</v>
      </c>
      <c r="G50" s="8">
        <v>20879</v>
      </c>
      <c r="H50" s="8">
        <v>535</v>
      </c>
      <c r="I50" s="8">
        <v>3108</v>
      </c>
    </row>
    <row r="51" spans="1:9" x14ac:dyDescent="0.2">
      <c r="A51" t="s">
        <v>6</v>
      </c>
      <c r="B51" t="s">
        <v>28</v>
      </c>
      <c r="C51" t="str">
        <f t="shared" si="3"/>
        <v>01611500000000</v>
      </c>
      <c r="D51" t="s">
        <v>2102</v>
      </c>
      <c r="E51" t="str">
        <f>"01611500135533"</f>
        <v>01611500135533</v>
      </c>
      <c r="F51" s="8">
        <v>113</v>
      </c>
      <c r="G51" s="8">
        <v>15621</v>
      </c>
      <c r="H51" s="8">
        <v>535</v>
      </c>
      <c r="I51" s="8">
        <v>3108</v>
      </c>
    </row>
    <row r="52" spans="1:9" x14ac:dyDescent="0.2">
      <c r="A52" t="s">
        <v>6</v>
      </c>
      <c r="B52" t="s">
        <v>28</v>
      </c>
      <c r="C52" t="str">
        <f t="shared" si="3"/>
        <v>01611500000000</v>
      </c>
      <c r="D52" t="s">
        <v>2103</v>
      </c>
      <c r="E52" t="str">
        <f>"01611506090419"</f>
        <v>01611506090419</v>
      </c>
      <c r="F52" s="8">
        <v>0</v>
      </c>
      <c r="G52" s="8">
        <v>9366</v>
      </c>
      <c r="H52" s="8">
        <v>535</v>
      </c>
      <c r="I52" s="8">
        <v>3108</v>
      </c>
    </row>
    <row r="53" spans="1:9" x14ac:dyDescent="0.2">
      <c r="A53" t="s">
        <v>6</v>
      </c>
      <c r="B53" t="s">
        <v>28</v>
      </c>
      <c r="C53" t="str">
        <f t="shared" si="3"/>
        <v>01611500000000</v>
      </c>
      <c r="D53" t="s">
        <v>2104</v>
      </c>
      <c r="E53" t="str">
        <f>"01611500133876"</f>
        <v>01611500133876</v>
      </c>
      <c r="F53" s="8">
        <v>242</v>
      </c>
      <c r="G53" s="8">
        <v>8198</v>
      </c>
      <c r="H53" s="8">
        <v>535</v>
      </c>
      <c r="I53" s="8">
        <v>3108</v>
      </c>
    </row>
    <row r="54" spans="1:9" x14ac:dyDescent="0.2">
      <c r="A54" t="s">
        <v>6</v>
      </c>
      <c r="B54" t="s">
        <v>28</v>
      </c>
      <c r="C54" t="str">
        <f t="shared" si="3"/>
        <v>01611500000000</v>
      </c>
      <c r="D54" t="s">
        <v>2105</v>
      </c>
      <c r="E54" t="str">
        <f>"01611506097653"</f>
        <v>01611506097653</v>
      </c>
      <c r="F54" s="8">
        <v>34</v>
      </c>
      <c r="G54" s="8">
        <v>7624</v>
      </c>
      <c r="H54" s="8">
        <v>535</v>
      </c>
      <c r="I54" s="8">
        <v>3108</v>
      </c>
    </row>
    <row r="55" spans="1:9" x14ac:dyDescent="0.2">
      <c r="A55" t="s">
        <v>6</v>
      </c>
      <c r="B55" t="s">
        <v>28</v>
      </c>
      <c r="C55" t="str">
        <f t="shared" si="3"/>
        <v>01611500000000</v>
      </c>
      <c r="D55" t="s">
        <v>2106</v>
      </c>
      <c r="E55" t="str">
        <f>"01611506090468"</f>
        <v>01611506090468</v>
      </c>
      <c r="F55" s="8">
        <v>324</v>
      </c>
      <c r="G55" s="8">
        <v>7107</v>
      </c>
      <c r="H55" s="8">
        <v>535</v>
      </c>
      <c r="I55" s="8">
        <v>3108</v>
      </c>
    </row>
    <row r="56" spans="1:9" x14ac:dyDescent="0.2">
      <c r="A56" t="s">
        <v>6</v>
      </c>
      <c r="B56" t="s">
        <v>28</v>
      </c>
      <c r="C56" t="str">
        <f t="shared" si="3"/>
        <v>01611500000000</v>
      </c>
      <c r="D56" t="s">
        <v>2107</v>
      </c>
      <c r="E56" t="str">
        <f>"01611506090351"</f>
        <v>01611506090351</v>
      </c>
      <c r="F56" s="8">
        <v>340</v>
      </c>
      <c r="G56" s="8">
        <v>7069</v>
      </c>
      <c r="H56" s="8">
        <v>535</v>
      </c>
      <c r="I56" s="8">
        <v>3108</v>
      </c>
    </row>
    <row r="57" spans="1:9" x14ac:dyDescent="0.2">
      <c r="A57" t="s">
        <v>6</v>
      </c>
      <c r="B57" t="s">
        <v>28</v>
      </c>
      <c r="C57" t="str">
        <f t="shared" si="3"/>
        <v>01611500000000</v>
      </c>
      <c r="D57" t="s">
        <v>2108</v>
      </c>
      <c r="E57" t="str">
        <f>"01611506090484"</f>
        <v>01611506090484</v>
      </c>
      <c r="F57" s="8">
        <v>20</v>
      </c>
      <c r="G57" s="8">
        <v>7273</v>
      </c>
      <c r="H57" s="8">
        <v>535</v>
      </c>
      <c r="I57" s="8">
        <v>3108</v>
      </c>
    </row>
    <row r="58" spans="1:9" x14ac:dyDescent="0.2">
      <c r="A58" t="s">
        <v>6</v>
      </c>
      <c r="B58" t="s">
        <v>28</v>
      </c>
      <c r="C58" t="str">
        <f t="shared" si="3"/>
        <v>01611500000000</v>
      </c>
      <c r="D58" t="s">
        <v>2109</v>
      </c>
      <c r="E58" t="str">
        <f>"01611506113005"</f>
        <v>01611506113005</v>
      </c>
      <c r="F58" s="8">
        <v>0</v>
      </c>
      <c r="G58" s="8">
        <v>7198</v>
      </c>
      <c r="H58" s="8">
        <v>535</v>
      </c>
      <c r="I58" s="8">
        <v>3108</v>
      </c>
    </row>
    <row r="59" spans="1:9" x14ac:dyDescent="0.2">
      <c r="A59" t="s">
        <v>6</v>
      </c>
      <c r="B59" t="s">
        <v>28</v>
      </c>
      <c r="C59" t="str">
        <f t="shared" si="3"/>
        <v>01611500000000</v>
      </c>
      <c r="D59" t="s">
        <v>2110</v>
      </c>
      <c r="E59" t="str">
        <f>"01611506090401"</f>
        <v>01611506090401</v>
      </c>
      <c r="F59" s="8">
        <v>395</v>
      </c>
      <c r="G59" s="8">
        <v>6788</v>
      </c>
      <c r="H59" s="8">
        <v>535</v>
      </c>
      <c r="I59" s="8">
        <v>3108</v>
      </c>
    </row>
    <row r="60" spans="1:9" x14ac:dyDescent="0.2">
      <c r="A60" t="s">
        <v>6</v>
      </c>
      <c r="B60" t="s">
        <v>28</v>
      </c>
      <c r="C60" t="str">
        <f t="shared" si="3"/>
        <v>01611500000000</v>
      </c>
      <c r="D60" t="s">
        <v>2111</v>
      </c>
      <c r="E60" t="str">
        <f>"01611500132225"</f>
        <v>01611500132225</v>
      </c>
      <c r="F60" s="8">
        <v>132</v>
      </c>
      <c r="G60" s="8">
        <v>7046</v>
      </c>
      <c r="H60" s="8">
        <v>535</v>
      </c>
      <c r="I60" s="8">
        <v>3108</v>
      </c>
    </row>
    <row r="61" spans="1:9" x14ac:dyDescent="0.2">
      <c r="A61" t="s">
        <v>6</v>
      </c>
      <c r="B61" t="s">
        <v>28</v>
      </c>
      <c r="C61" t="str">
        <f t="shared" si="3"/>
        <v>01611500000000</v>
      </c>
      <c r="D61" t="s">
        <v>2112</v>
      </c>
      <c r="E61" t="str">
        <f>"01611506090385"</f>
        <v>01611506090385</v>
      </c>
      <c r="F61" s="8">
        <v>137</v>
      </c>
      <c r="G61" s="8">
        <v>7035</v>
      </c>
      <c r="H61" s="8">
        <v>535</v>
      </c>
      <c r="I61" s="8">
        <v>3108</v>
      </c>
    </row>
    <row r="62" spans="1:9" x14ac:dyDescent="0.2">
      <c r="A62" t="s">
        <v>6</v>
      </c>
      <c r="B62" t="s">
        <v>28</v>
      </c>
      <c r="C62" t="str">
        <f t="shared" si="3"/>
        <v>01611500000000</v>
      </c>
      <c r="D62" t="s">
        <v>2113</v>
      </c>
      <c r="E62" t="str">
        <f>"01611506090435"</f>
        <v>01611506090435</v>
      </c>
      <c r="F62" s="8">
        <v>318</v>
      </c>
      <c r="G62" s="8">
        <v>6781</v>
      </c>
      <c r="H62" s="8">
        <v>535</v>
      </c>
      <c r="I62" s="8">
        <v>3108</v>
      </c>
    </row>
    <row r="63" spans="1:9" x14ac:dyDescent="0.2">
      <c r="A63" t="s">
        <v>6</v>
      </c>
      <c r="B63" t="s">
        <v>28</v>
      </c>
      <c r="C63" t="str">
        <f t="shared" si="3"/>
        <v>01611500000000</v>
      </c>
      <c r="D63" t="s">
        <v>2114</v>
      </c>
      <c r="E63" t="str">
        <f>"01611506090369"</f>
        <v>01611506090369</v>
      </c>
      <c r="F63" s="8">
        <v>193</v>
      </c>
      <c r="G63" s="8">
        <v>6873</v>
      </c>
      <c r="H63" s="8">
        <v>535</v>
      </c>
      <c r="I63" s="8">
        <v>3108</v>
      </c>
    </row>
    <row r="64" spans="1:9" x14ac:dyDescent="0.2">
      <c r="A64" t="s">
        <v>6</v>
      </c>
      <c r="B64" t="s">
        <v>28</v>
      </c>
      <c r="C64" t="str">
        <f t="shared" si="3"/>
        <v>01611500000000</v>
      </c>
      <c r="D64" t="s">
        <v>2115</v>
      </c>
      <c r="E64" t="str">
        <f>"01611506090393"</f>
        <v>01611506090393</v>
      </c>
      <c r="F64" s="8">
        <v>0</v>
      </c>
      <c r="G64" s="8">
        <v>7008</v>
      </c>
      <c r="H64" s="8">
        <v>535</v>
      </c>
      <c r="I64" s="8">
        <v>3108</v>
      </c>
    </row>
    <row r="65" spans="1:9" x14ac:dyDescent="0.2">
      <c r="A65" t="s">
        <v>6</v>
      </c>
      <c r="B65" t="s">
        <v>36</v>
      </c>
      <c r="C65" t="str">
        <f t="shared" ref="C65:C77" si="4">"01750930000000"</f>
        <v>01750930000000</v>
      </c>
      <c r="D65" t="s">
        <v>2116</v>
      </c>
      <c r="E65" t="str">
        <f>"01750930138453"</f>
        <v>01750930138453</v>
      </c>
      <c r="F65" s="8">
        <v>2751</v>
      </c>
      <c r="G65" s="8">
        <v>24946</v>
      </c>
      <c r="H65" s="8">
        <v>296</v>
      </c>
      <c r="I65" s="8">
        <v>3035</v>
      </c>
    </row>
    <row r="66" spans="1:9" x14ac:dyDescent="0.2">
      <c r="A66" t="s">
        <v>6</v>
      </c>
      <c r="B66" t="s">
        <v>36</v>
      </c>
      <c r="C66" t="str">
        <f t="shared" si="4"/>
        <v>01750930000000</v>
      </c>
      <c r="D66" t="s">
        <v>2117</v>
      </c>
      <c r="E66" t="str">
        <f>"01750936066484"</f>
        <v>01750936066484</v>
      </c>
      <c r="F66" s="8">
        <v>8103</v>
      </c>
      <c r="G66" s="8">
        <v>748</v>
      </c>
      <c r="H66" s="8">
        <v>296</v>
      </c>
      <c r="I66" s="8">
        <v>3035</v>
      </c>
    </row>
    <row r="67" spans="1:9" x14ac:dyDescent="0.2">
      <c r="A67" t="s">
        <v>6</v>
      </c>
      <c r="B67" t="s">
        <v>36</v>
      </c>
      <c r="C67" t="str">
        <f t="shared" si="4"/>
        <v>01750930000000</v>
      </c>
      <c r="D67" t="s">
        <v>2118</v>
      </c>
      <c r="E67" t="str">
        <f>"01750936001424"</f>
        <v>01750936001424</v>
      </c>
      <c r="F67" s="8">
        <v>451</v>
      </c>
      <c r="G67" s="8">
        <v>8340</v>
      </c>
      <c r="H67" s="8">
        <v>296</v>
      </c>
      <c r="I67" s="8">
        <v>3035</v>
      </c>
    </row>
    <row r="68" spans="1:9" x14ac:dyDescent="0.2">
      <c r="A68" t="s">
        <v>6</v>
      </c>
      <c r="B68" t="s">
        <v>36</v>
      </c>
      <c r="C68" t="str">
        <f t="shared" si="4"/>
        <v>01750930000000</v>
      </c>
      <c r="D68" t="s">
        <v>2119</v>
      </c>
      <c r="E68" t="str">
        <f>"01750936001374"</f>
        <v>01750936001374</v>
      </c>
      <c r="F68" s="8">
        <v>710</v>
      </c>
      <c r="G68" s="8">
        <v>7265</v>
      </c>
      <c r="H68" s="8">
        <v>296</v>
      </c>
      <c r="I68" s="8">
        <v>3035</v>
      </c>
    </row>
    <row r="69" spans="1:9" x14ac:dyDescent="0.2">
      <c r="A69" t="s">
        <v>6</v>
      </c>
      <c r="B69" t="s">
        <v>36</v>
      </c>
      <c r="C69" t="str">
        <f t="shared" si="4"/>
        <v>01750930000000</v>
      </c>
      <c r="D69" t="s">
        <v>2120</v>
      </c>
      <c r="E69" t="str">
        <f>"01750930132704"</f>
        <v>01750930132704</v>
      </c>
      <c r="F69" s="8">
        <v>450</v>
      </c>
      <c r="G69" s="8">
        <v>7449</v>
      </c>
      <c r="H69" s="8">
        <v>296</v>
      </c>
      <c r="I69" s="8">
        <v>3035</v>
      </c>
    </row>
    <row r="70" spans="1:9" x14ac:dyDescent="0.2">
      <c r="A70" t="s">
        <v>6</v>
      </c>
      <c r="B70" t="s">
        <v>36</v>
      </c>
      <c r="C70" t="str">
        <f t="shared" si="4"/>
        <v>01750930000000</v>
      </c>
      <c r="D70" t="s">
        <v>2121</v>
      </c>
      <c r="E70" t="str">
        <f>"01750936001390"</f>
        <v>01750936001390</v>
      </c>
      <c r="F70" s="8">
        <v>177</v>
      </c>
      <c r="G70" s="8">
        <v>7546</v>
      </c>
      <c r="H70" s="8">
        <v>296</v>
      </c>
      <c r="I70" s="8">
        <v>3035</v>
      </c>
    </row>
    <row r="71" spans="1:9" x14ac:dyDescent="0.2">
      <c r="A71" t="s">
        <v>6</v>
      </c>
      <c r="B71" t="s">
        <v>36</v>
      </c>
      <c r="C71" t="str">
        <f t="shared" si="4"/>
        <v>01750930000000</v>
      </c>
      <c r="D71" t="s">
        <v>2122</v>
      </c>
      <c r="E71" t="str">
        <f>"01750930114579"</f>
        <v>01750930114579</v>
      </c>
      <c r="F71" s="8">
        <v>445</v>
      </c>
      <c r="G71" s="8">
        <v>7112</v>
      </c>
      <c r="H71" s="8">
        <v>296</v>
      </c>
      <c r="I71" s="8">
        <v>3035</v>
      </c>
    </row>
    <row r="72" spans="1:9" x14ac:dyDescent="0.2">
      <c r="A72" t="s">
        <v>6</v>
      </c>
      <c r="B72" t="s">
        <v>36</v>
      </c>
      <c r="C72" t="str">
        <f t="shared" si="4"/>
        <v>01750930000000</v>
      </c>
      <c r="D72" t="s">
        <v>2123</v>
      </c>
      <c r="E72" t="str">
        <f>"01750930123935"</f>
        <v>01750930123935</v>
      </c>
      <c r="F72" s="8">
        <v>105</v>
      </c>
      <c r="G72" s="8">
        <v>7067</v>
      </c>
      <c r="H72" s="8">
        <v>296</v>
      </c>
      <c r="I72" s="8">
        <v>3035</v>
      </c>
    </row>
    <row r="73" spans="1:9" x14ac:dyDescent="0.2">
      <c r="A73" t="s">
        <v>6</v>
      </c>
      <c r="B73" t="s">
        <v>36</v>
      </c>
      <c r="C73" t="str">
        <f t="shared" si="4"/>
        <v>01750930000000</v>
      </c>
      <c r="D73" t="s">
        <v>2124</v>
      </c>
      <c r="E73" t="str">
        <f>"01750936118038"</f>
        <v>01750936118038</v>
      </c>
      <c r="F73" s="8">
        <v>187</v>
      </c>
      <c r="G73" s="8">
        <v>6864</v>
      </c>
      <c r="H73" s="8">
        <v>296</v>
      </c>
      <c r="I73" s="8">
        <v>3035</v>
      </c>
    </row>
    <row r="74" spans="1:9" x14ac:dyDescent="0.2">
      <c r="A74" t="s">
        <v>6</v>
      </c>
      <c r="B74" t="s">
        <v>36</v>
      </c>
      <c r="C74" t="str">
        <f t="shared" si="4"/>
        <v>01750930000000</v>
      </c>
      <c r="D74" t="s">
        <v>2125</v>
      </c>
      <c r="E74" t="str">
        <f>"01750930125930"</f>
        <v>01750930125930</v>
      </c>
      <c r="F74" s="8">
        <v>345</v>
      </c>
      <c r="G74" s="8">
        <v>6628</v>
      </c>
      <c r="H74" s="8">
        <v>296</v>
      </c>
      <c r="I74" s="8">
        <v>3035</v>
      </c>
    </row>
    <row r="75" spans="1:9" x14ac:dyDescent="0.2">
      <c r="A75" t="s">
        <v>6</v>
      </c>
      <c r="B75" t="s">
        <v>36</v>
      </c>
      <c r="C75" t="str">
        <f t="shared" si="4"/>
        <v>01750930000000</v>
      </c>
      <c r="D75" t="s">
        <v>2126</v>
      </c>
      <c r="E75" t="str">
        <f>"01750930136929"</f>
        <v>01750930136929</v>
      </c>
      <c r="F75" s="8">
        <v>665</v>
      </c>
      <c r="G75" s="8">
        <v>5952</v>
      </c>
      <c r="H75" s="8">
        <v>296</v>
      </c>
      <c r="I75" s="8">
        <v>3035</v>
      </c>
    </row>
    <row r="76" spans="1:9" x14ac:dyDescent="0.2">
      <c r="A76" t="s">
        <v>6</v>
      </c>
      <c r="B76" t="s">
        <v>36</v>
      </c>
      <c r="C76" t="str">
        <f t="shared" si="4"/>
        <v>01750930000000</v>
      </c>
      <c r="D76" t="s">
        <v>2127</v>
      </c>
      <c r="E76" t="str">
        <f>"01750930131615"</f>
        <v>01750930131615</v>
      </c>
      <c r="F76" s="8">
        <v>390</v>
      </c>
      <c r="G76" s="8">
        <v>5992</v>
      </c>
      <c r="H76" s="8">
        <v>296</v>
      </c>
      <c r="I76" s="8">
        <v>3035</v>
      </c>
    </row>
    <row r="77" spans="1:9" x14ac:dyDescent="0.2">
      <c r="A77" t="s">
        <v>6</v>
      </c>
      <c r="B77" t="s">
        <v>36</v>
      </c>
      <c r="C77" t="str">
        <f t="shared" si="4"/>
        <v>01750930000000</v>
      </c>
      <c r="D77" t="s">
        <v>2128</v>
      </c>
      <c r="E77" t="str">
        <f>"01750930138164"</f>
        <v>01750930138164</v>
      </c>
      <c r="F77" s="8" t="s">
        <v>30</v>
      </c>
      <c r="G77" s="8" t="s">
        <v>30</v>
      </c>
      <c r="H77" s="8" t="s">
        <v>30</v>
      </c>
      <c r="I77" s="8" t="s">
        <v>30</v>
      </c>
    </row>
    <row r="78" spans="1:9" x14ac:dyDescent="0.2">
      <c r="A78" t="s">
        <v>6</v>
      </c>
      <c r="B78" t="s">
        <v>38</v>
      </c>
      <c r="C78" t="str">
        <f>"01611680000000"</f>
        <v>01611680000000</v>
      </c>
      <c r="D78" t="s">
        <v>2129</v>
      </c>
      <c r="E78" t="str">
        <f>"01611680132746"</f>
        <v>01611680132746</v>
      </c>
      <c r="F78" s="8">
        <v>376</v>
      </c>
      <c r="G78" s="8">
        <v>11000</v>
      </c>
      <c r="H78" s="8">
        <v>1257</v>
      </c>
      <c r="I78" s="8">
        <v>8145</v>
      </c>
    </row>
    <row r="79" spans="1:9" x14ac:dyDescent="0.2">
      <c r="A79" t="s">
        <v>6</v>
      </c>
      <c r="B79" t="s">
        <v>38</v>
      </c>
      <c r="C79" t="str">
        <f>"01611680000000"</f>
        <v>01611680000000</v>
      </c>
      <c r="D79" t="s">
        <v>2130</v>
      </c>
      <c r="E79" t="str">
        <f>"01611686090492"</f>
        <v>01611686090492</v>
      </c>
      <c r="F79" s="8">
        <v>463</v>
      </c>
      <c r="G79" s="8">
        <v>9031</v>
      </c>
      <c r="H79" s="8">
        <v>1257</v>
      </c>
      <c r="I79" s="8">
        <v>8145</v>
      </c>
    </row>
    <row r="80" spans="1:9" x14ac:dyDescent="0.2">
      <c r="A80" t="s">
        <v>6</v>
      </c>
      <c r="B80" t="s">
        <v>41</v>
      </c>
      <c r="C80" t="str">
        <f t="shared" ref="C80:C122" si="5">"01611760000000"</f>
        <v>01611760000000</v>
      </c>
      <c r="D80" t="s">
        <v>2131</v>
      </c>
      <c r="E80" t="str">
        <f>"01611760130138"</f>
        <v>01611760130138</v>
      </c>
      <c r="F80" s="8">
        <v>2279</v>
      </c>
      <c r="G80" s="8">
        <v>22858</v>
      </c>
      <c r="H80" s="8">
        <v>480</v>
      </c>
      <c r="I80" s="8">
        <v>3515</v>
      </c>
    </row>
    <row r="81" spans="1:9" x14ac:dyDescent="0.2">
      <c r="A81" t="s">
        <v>6</v>
      </c>
      <c r="B81" t="s">
        <v>41</v>
      </c>
      <c r="C81" t="str">
        <f t="shared" si="5"/>
        <v>01611760000000</v>
      </c>
      <c r="D81" t="s">
        <v>2132</v>
      </c>
      <c r="E81" t="str">
        <f>"01611760128298"</f>
        <v>01611760128298</v>
      </c>
      <c r="F81" s="8">
        <v>3379</v>
      </c>
      <c r="G81" s="8">
        <v>21661</v>
      </c>
      <c r="H81" s="8">
        <v>480</v>
      </c>
      <c r="I81" s="8">
        <v>3515</v>
      </c>
    </row>
    <row r="82" spans="1:9" x14ac:dyDescent="0.2">
      <c r="A82" t="s">
        <v>6</v>
      </c>
      <c r="B82" t="s">
        <v>41</v>
      </c>
      <c r="C82" t="str">
        <f t="shared" si="5"/>
        <v>01611760000000</v>
      </c>
      <c r="D82" t="s">
        <v>2133</v>
      </c>
      <c r="E82" t="str">
        <f>"01611760130435"</f>
        <v>01611760130435</v>
      </c>
      <c r="F82" s="8">
        <v>128</v>
      </c>
      <c r="G82" s="8">
        <v>17632</v>
      </c>
      <c r="H82" s="8">
        <v>480</v>
      </c>
      <c r="I82" s="8">
        <v>3515</v>
      </c>
    </row>
    <row r="83" spans="1:9" x14ac:dyDescent="0.2">
      <c r="A83" t="s">
        <v>6</v>
      </c>
      <c r="B83" t="s">
        <v>41</v>
      </c>
      <c r="C83" t="str">
        <f t="shared" si="5"/>
        <v>01611760000000</v>
      </c>
      <c r="D83" t="s">
        <v>2134</v>
      </c>
      <c r="E83" t="str">
        <f>"01611760127233"</f>
        <v>01611760127233</v>
      </c>
      <c r="F83" s="8">
        <v>7986</v>
      </c>
      <c r="G83" s="8">
        <v>9205</v>
      </c>
      <c r="H83" s="8">
        <v>480</v>
      </c>
      <c r="I83" s="8">
        <v>3515</v>
      </c>
    </row>
    <row r="84" spans="1:9" x14ac:dyDescent="0.2">
      <c r="A84" t="s">
        <v>6</v>
      </c>
      <c r="B84" t="s">
        <v>41</v>
      </c>
      <c r="C84" t="str">
        <f t="shared" si="5"/>
        <v>01611760000000</v>
      </c>
      <c r="D84" t="s">
        <v>2135</v>
      </c>
      <c r="E84" t="str">
        <f>"01611760130534"</f>
        <v>01611760130534</v>
      </c>
      <c r="F84" s="8">
        <v>65</v>
      </c>
      <c r="G84" s="8">
        <v>10286</v>
      </c>
      <c r="H84" s="8">
        <v>0</v>
      </c>
      <c r="I84" s="8">
        <v>3515</v>
      </c>
    </row>
    <row r="85" spans="1:9" x14ac:dyDescent="0.2">
      <c r="A85" t="s">
        <v>6</v>
      </c>
      <c r="B85" t="s">
        <v>41</v>
      </c>
      <c r="C85" t="str">
        <f t="shared" si="5"/>
        <v>01611760000000</v>
      </c>
      <c r="D85" t="s">
        <v>2136</v>
      </c>
      <c r="E85" t="str">
        <f>"01611766000566"</f>
        <v>01611766000566</v>
      </c>
      <c r="F85" s="8">
        <v>743</v>
      </c>
      <c r="G85" s="8">
        <v>8317</v>
      </c>
      <c r="H85" s="8">
        <v>480</v>
      </c>
      <c r="I85" s="8">
        <v>3515</v>
      </c>
    </row>
    <row r="86" spans="1:9" x14ac:dyDescent="0.2">
      <c r="A86" t="s">
        <v>6</v>
      </c>
      <c r="B86" t="s">
        <v>41</v>
      </c>
      <c r="C86" t="str">
        <f t="shared" si="5"/>
        <v>01611760000000</v>
      </c>
      <c r="D86" t="s">
        <v>2137</v>
      </c>
      <c r="E86" t="str">
        <f>"01611760134452"</f>
        <v>01611760134452</v>
      </c>
      <c r="F86" s="8">
        <v>1163</v>
      </c>
      <c r="G86" s="8">
        <v>7839</v>
      </c>
      <c r="H86" s="8">
        <v>480</v>
      </c>
      <c r="I86" s="8">
        <v>3515</v>
      </c>
    </row>
    <row r="87" spans="1:9" x14ac:dyDescent="0.2">
      <c r="A87" t="s">
        <v>6</v>
      </c>
      <c r="B87" t="s">
        <v>41</v>
      </c>
      <c r="C87" t="str">
        <f t="shared" si="5"/>
        <v>01611760000000</v>
      </c>
      <c r="D87" t="s">
        <v>2138</v>
      </c>
      <c r="E87" t="str">
        <f>"01611766000723"</f>
        <v>01611766000723</v>
      </c>
      <c r="F87" s="8">
        <v>636</v>
      </c>
      <c r="G87" s="8">
        <v>8049</v>
      </c>
      <c r="H87" s="8">
        <v>480</v>
      </c>
      <c r="I87" s="8">
        <v>3515</v>
      </c>
    </row>
    <row r="88" spans="1:9" x14ac:dyDescent="0.2">
      <c r="A88" t="s">
        <v>6</v>
      </c>
      <c r="B88" t="s">
        <v>41</v>
      </c>
      <c r="C88" t="str">
        <f t="shared" si="5"/>
        <v>01611760000000</v>
      </c>
      <c r="D88" t="s">
        <v>2139</v>
      </c>
      <c r="E88" t="str">
        <f>"01611766000541"</f>
        <v>01611766000541</v>
      </c>
      <c r="F88" s="8">
        <v>1416</v>
      </c>
      <c r="G88" s="8">
        <v>6844</v>
      </c>
      <c r="H88" s="8">
        <v>480</v>
      </c>
      <c r="I88" s="8">
        <v>3515</v>
      </c>
    </row>
    <row r="89" spans="1:9" x14ac:dyDescent="0.2">
      <c r="A89" t="s">
        <v>6</v>
      </c>
      <c r="B89" t="s">
        <v>41</v>
      </c>
      <c r="C89" t="str">
        <f t="shared" si="5"/>
        <v>01611760000000</v>
      </c>
      <c r="D89" t="s">
        <v>2140</v>
      </c>
      <c r="E89" t="str">
        <f>"01611766000764"</f>
        <v>01611766000764</v>
      </c>
      <c r="F89" s="8">
        <v>932</v>
      </c>
      <c r="G89" s="8">
        <v>7286</v>
      </c>
      <c r="H89" s="8">
        <v>480</v>
      </c>
      <c r="I89" s="8">
        <v>3515</v>
      </c>
    </row>
    <row r="90" spans="1:9" x14ac:dyDescent="0.2">
      <c r="A90" t="s">
        <v>6</v>
      </c>
      <c r="B90" t="s">
        <v>41</v>
      </c>
      <c r="C90" t="str">
        <f t="shared" si="5"/>
        <v>01611760000000</v>
      </c>
      <c r="D90" t="s">
        <v>2141</v>
      </c>
      <c r="E90" t="str">
        <f>"01611766056881"</f>
        <v>01611766056881</v>
      </c>
      <c r="F90" s="8">
        <v>811</v>
      </c>
      <c r="G90" s="8">
        <v>7332</v>
      </c>
      <c r="H90" s="8">
        <v>480</v>
      </c>
      <c r="I90" s="8">
        <v>3515</v>
      </c>
    </row>
    <row r="91" spans="1:9" x14ac:dyDescent="0.2">
      <c r="A91" t="s">
        <v>6</v>
      </c>
      <c r="B91" t="s">
        <v>41</v>
      </c>
      <c r="C91" t="str">
        <f t="shared" si="5"/>
        <v>01611760000000</v>
      </c>
      <c r="D91" t="s">
        <v>2142</v>
      </c>
      <c r="E91" t="str">
        <f>"01611766000749"</f>
        <v>01611766000749</v>
      </c>
      <c r="F91" s="8">
        <v>572</v>
      </c>
      <c r="G91" s="8">
        <v>7563</v>
      </c>
      <c r="H91" s="8">
        <v>480</v>
      </c>
      <c r="I91" s="8">
        <v>3515</v>
      </c>
    </row>
    <row r="92" spans="1:9" x14ac:dyDescent="0.2">
      <c r="A92" t="s">
        <v>6</v>
      </c>
      <c r="B92" t="s">
        <v>41</v>
      </c>
      <c r="C92" t="str">
        <f t="shared" si="5"/>
        <v>01611760000000</v>
      </c>
      <c r="D92" t="s">
        <v>2143</v>
      </c>
      <c r="E92" t="str">
        <f>"01611766000590"</f>
        <v>01611766000590</v>
      </c>
      <c r="F92" s="8">
        <v>980</v>
      </c>
      <c r="G92" s="8">
        <v>7123</v>
      </c>
      <c r="H92" s="8">
        <v>480</v>
      </c>
      <c r="I92" s="8">
        <v>3515</v>
      </c>
    </row>
    <row r="93" spans="1:9" x14ac:dyDescent="0.2">
      <c r="A93" t="s">
        <v>6</v>
      </c>
      <c r="B93" t="s">
        <v>41</v>
      </c>
      <c r="C93" t="str">
        <f t="shared" si="5"/>
        <v>01611760000000</v>
      </c>
      <c r="D93" t="s">
        <v>2144</v>
      </c>
      <c r="E93" t="str">
        <f>"01611766090559"</f>
        <v>01611766090559</v>
      </c>
      <c r="F93" s="8">
        <v>677</v>
      </c>
      <c r="G93" s="8">
        <v>7235</v>
      </c>
      <c r="H93" s="8">
        <v>480</v>
      </c>
      <c r="I93" s="8">
        <v>3515</v>
      </c>
    </row>
    <row r="94" spans="1:9" x14ac:dyDescent="0.2">
      <c r="A94" t="s">
        <v>6</v>
      </c>
      <c r="B94" t="s">
        <v>41</v>
      </c>
      <c r="C94" t="str">
        <f t="shared" si="5"/>
        <v>01611760000000</v>
      </c>
      <c r="D94" t="s">
        <v>2145</v>
      </c>
      <c r="E94" t="str">
        <f>"01611766090534"</f>
        <v>01611766090534</v>
      </c>
      <c r="F94" s="8">
        <v>627</v>
      </c>
      <c r="G94" s="8">
        <v>7159</v>
      </c>
      <c r="H94" s="8">
        <v>480</v>
      </c>
      <c r="I94" s="8">
        <v>3515</v>
      </c>
    </row>
    <row r="95" spans="1:9" x14ac:dyDescent="0.2">
      <c r="A95" t="s">
        <v>6</v>
      </c>
      <c r="B95" t="s">
        <v>41</v>
      </c>
      <c r="C95" t="str">
        <f t="shared" si="5"/>
        <v>01611760000000</v>
      </c>
      <c r="D95" t="s">
        <v>2146</v>
      </c>
      <c r="E95" t="str">
        <f>"01611760138693"</f>
        <v>01611760138693</v>
      </c>
      <c r="F95" s="8">
        <v>847</v>
      </c>
      <c r="G95" s="8">
        <v>6860</v>
      </c>
      <c r="H95" s="8">
        <v>480</v>
      </c>
      <c r="I95" s="8">
        <v>3515</v>
      </c>
    </row>
    <row r="96" spans="1:9" x14ac:dyDescent="0.2">
      <c r="A96" t="s">
        <v>6</v>
      </c>
      <c r="B96" t="s">
        <v>41</v>
      </c>
      <c r="C96" t="str">
        <f t="shared" si="5"/>
        <v>01611760000000</v>
      </c>
      <c r="D96" t="s">
        <v>2147</v>
      </c>
      <c r="E96" t="str">
        <f>"01611766000673"</f>
        <v>01611766000673</v>
      </c>
      <c r="F96" s="8">
        <v>747</v>
      </c>
      <c r="G96" s="8">
        <v>6941</v>
      </c>
      <c r="H96" s="8">
        <v>480</v>
      </c>
      <c r="I96" s="8">
        <v>3515</v>
      </c>
    </row>
    <row r="97" spans="1:9" x14ac:dyDescent="0.2">
      <c r="A97" t="s">
        <v>6</v>
      </c>
      <c r="B97" t="s">
        <v>41</v>
      </c>
      <c r="C97" t="str">
        <f t="shared" si="5"/>
        <v>01611760000000</v>
      </c>
      <c r="D97" t="s">
        <v>2148</v>
      </c>
      <c r="E97" t="str">
        <f>"01611766090526"</f>
        <v>01611766090526</v>
      </c>
      <c r="F97" s="8">
        <v>385</v>
      </c>
      <c r="G97" s="8">
        <v>7201</v>
      </c>
      <c r="H97" s="8">
        <v>480</v>
      </c>
      <c r="I97" s="8">
        <v>3515</v>
      </c>
    </row>
    <row r="98" spans="1:9" x14ac:dyDescent="0.2">
      <c r="A98" t="s">
        <v>6</v>
      </c>
      <c r="B98" t="s">
        <v>41</v>
      </c>
      <c r="C98" t="str">
        <f t="shared" si="5"/>
        <v>01611760000000</v>
      </c>
      <c r="D98" t="s">
        <v>2149</v>
      </c>
      <c r="E98" t="str">
        <f>"01611760135244"</f>
        <v>01611760135244</v>
      </c>
      <c r="F98" s="8">
        <v>539</v>
      </c>
      <c r="G98" s="8">
        <v>6955</v>
      </c>
      <c r="H98" s="8">
        <v>480</v>
      </c>
      <c r="I98" s="8">
        <v>3515</v>
      </c>
    </row>
    <row r="99" spans="1:9" x14ac:dyDescent="0.2">
      <c r="A99" t="s">
        <v>6</v>
      </c>
      <c r="B99" t="s">
        <v>41</v>
      </c>
      <c r="C99" t="str">
        <f t="shared" si="5"/>
        <v>01611760000000</v>
      </c>
      <c r="D99" t="s">
        <v>2150</v>
      </c>
      <c r="E99" t="str">
        <f>"01611766056923"</f>
        <v>01611766056923</v>
      </c>
      <c r="F99" s="8">
        <v>400</v>
      </c>
      <c r="G99" s="8">
        <v>6962</v>
      </c>
      <c r="H99" s="8">
        <v>480</v>
      </c>
      <c r="I99" s="8">
        <v>3515</v>
      </c>
    </row>
    <row r="100" spans="1:9" x14ac:dyDescent="0.2">
      <c r="A100" t="s">
        <v>6</v>
      </c>
      <c r="B100" t="s">
        <v>41</v>
      </c>
      <c r="C100" t="str">
        <f t="shared" si="5"/>
        <v>01611760000000</v>
      </c>
      <c r="D100" t="s">
        <v>2151</v>
      </c>
      <c r="E100" t="str">
        <f>"01611766000640"</f>
        <v>01611766000640</v>
      </c>
      <c r="F100" s="8">
        <v>147</v>
      </c>
      <c r="G100" s="8">
        <v>7164</v>
      </c>
      <c r="H100" s="8">
        <v>480</v>
      </c>
      <c r="I100" s="8">
        <v>3515</v>
      </c>
    </row>
    <row r="101" spans="1:9" x14ac:dyDescent="0.2">
      <c r="A101" t="s">
        <v>6</v>
      </c>
      <c r="B101" t="s">
        <v>41</v>
      </c>
      <c r="C101" t="str">
        <f t="shared" si="5"/>
        <v>01611760000000</v>
      </c>
      <c r="D101" t="s">
        <v>2152</v>
      </c>
      <c r="E101" t="str">
        <f>"01611766066468"</f>
        <v>01611766066468</v>
      </c>
      <c r="F101" s="8">
        <v>458</v>
      </c>
      <c r="G101" s="8">
        <v>6837</v>
      </c>
      <c r="H101" s="8">
        <v>480</v>
      </c>
      <c r="I101" s="8">
        <v>3515</v>
      </c>
    </row>
    <row r="102" spans="1:9" x14ac:dyDescent="0.2">
      <c r="A102" t="s">
        <v>6</v>
      </c>
      <c r="B102" t="s">
        <v>41</v>
      </c>
      <c r="C102" t="str">
        <f t="shared" si="5"/>
        <v>01611760000000</v>
      </c>
      <c r="D102" t="s">
        <v>2153</v>
      </c>
      <c r="E102" t="str">
        <f>"01611766056873"</f>
        <v>01611766056873</v>
      </c>
      <c r="F102" s="8">
        <v>414</v>
      </c>
      <c r="G102" s="8">
        <v>6757</v>
      </c>
      <c r="H102" s="8">
        <v>480</v>
      </c>
      <c r="I102" s="8">
        <v>3515</v>
      </c>
    </row>
    <row r="103" spans="1:9" x14ac:dyDescent="0.2">
      <c r="A103" t="s">
        <v>6</v>
      </c>
      <c r="B103" t="s">
        <v>41</v>
      </c>
      <c r="C103" t="str">
        <f t="shared" si="5"/>
        <v>01611760000000</v>
      </c>
      <c r="D103" t="s">
        <v>2154</v>
      </c>
      <c r="E103" t="str">
        <f>"01611766089320"</f>
        <v>01611766089320</v>
      </c>
      <c r="F103" s="8">
        <v>380</v>
      </c>
      <c r="G103" s="8">
        <v>6716</v>
      </c>
      <c r="H103" s="8">
        <v>480</v>
      </c>
      <c r="I103" s="8">
        <v>3515</v>
      </c>
    </row>
    <row r="104" spans="1:9" x14ac:dyDescent="0.2">
      <c r="A104" t="s">
        <v>6</v>
      </c>
      <c r="B104" t="s">
        <v>41</v>
      </c>
      <c r="C104" t="str">
        <f t="shared" si="5"/>
        <v>01611760000000</v>
      </c>
      <c r="D104" t="s">
        <v>2155</v>
      </c>
      <c r="E104" t="str">
        <f>"01611766000715"</f>
        <v>01611766000715</v>
      </c>
      <c r="F104" s="8">
        <v>590</v>
      </c>
      <c r="G104" s="8">
        <v>6472</v>
      </c>
      <c r="H104" s="8">
        <v>480</v>
      </c>
      <c r="I104" s="8">
        <v>3515</v>
      </c>
    </row>
    <row r="105" spans="1:9" x14ac:dyDescent="0.2">
      <c r="A105" t="s">
        <v>6</v>
      </c>
      <c r="B105" t="s">
        <v>41</v>
      </c>
      <c r="C105" t="str">
        <f t="shared" si="5"/>
        <v>01611760000000</v>
      </c>
      <c r="D105" t="s">
        <v>2156</v>
      </c>
      <c r="E105" t="str">
        <f>"01611760134270"</f>
        <v>01611760134270</v>
      </c>
      <c r="F105" s="8">
        <v>380</v>
      </c>
      <c r="G105" s="8">
        <v>6680</v>
      </c>
      <c r="H105" s="8">
        <v>480</v>
      </c>
      <c r="I105" s="8">
        <v>3515</v>
      </c>
    </row>
    <row r="106" spans="1:9" x14ac:dyDescent="0.2">
      <c r="A106" t="s">
        <v>6</v>
      </c>
      <c r="B106" t="s">
        <v>41</v>
      </c>
      <c r="C106" t="str">
        <f t="shared" si="5"/>
        <v>01611760000000</v>
      </c>
      <c r="D106" t="s">
        <v>2157</v>
      </c>
      <c r="E106" t="str">
        <f>"01611766000624"</f>
        <v>01611766000624</v>
      </c>
      <c r="F106" s="8">
        <v>444</v>
      </c>
      <c r="G106" s="8">
        <v>6609</v>
      </c>
      <c r="H106" s="8">
        <v>480</v>
      </c>
      <c r="I106" s="8">
        <v>3515</v>
      </c>
    </row>
    <row r="107" spans="1:9" x14ac:dyDescent="0.2">
      <c r="A107" t="s">
        <v>6</v>
      </c>
      <c r="B107" t="s">
        <v>41</v>
      </c>
      <c r="C107" t="str">
        <f t="shared" si="5"/>
        <v>01611760000000</v>
      </c>
      <c r="D107" t="s">
        <v>2158</v>
      </c>
      <c r="E107" t="str">
        <f>"01611766106983"</f>
        <v>01611766106983</v>
      </c>
      <c r="F107" s="8">
        <v>192</v>
      </c>
      <c r="G107" s="8">
        <v>6826</v>
      </c>
      <c r="H107" s="8">
        <v>480</v>
      </c>
      <c r="I107" s="8">
        <v>3515</v>
      </c>
    </row>
    <row r="108" spans="1:9" x14ac:dyDescent="0.2">
      <c r="A108" t="s">
        <v>6</v>
      </c>
      <c r="B108" t="s">
        <v>41</v>
      </c>
      <c r="C108" t="str">
        <f t="shared" si="5"/>
        <v>01611760000000</v>
      </c>
      <c r="D108" t="s">
        <v>2159</v>
      </c>
      <c r="E108" t="str">
        <f>"01611766056907"</f>
        <v>01611766056907</v>
      </c>
      <c r="F108" s="8">
        <v>339</v>
      </c>
      <c r="G108" s="8">
        <v>6469</v>
      </c>
      <c r="H108" s="8">
        <v>480</v>
      </c>
      <c r="I108" s="8">
        <v>3515</v>
      </c>
    </row>
    <row r="109" spans="1:9" x14ac:dyDescent="0.2">
      <c r="A109" t="s">
        <v>6</v>
      </c>
      <c r="B109" t="s">
        <v>41</v>
      </c>
      <c r="C109" t="str">
        <f t="shared" si="5"/>
        <v>01611760000000</v>
      </c>
      <c r="D109" t="s">
        <v>2160</v>
      </c>
      <c r="E109" t="str">
        <f>"01611766090542"</f>
        <v>01611766090542</v>
      </c>
      <c r="F109" s="8">
        <v>277</v>
      </c>
      <c r="G109" s="8">
        <v>6508</v>
      </c>
      <c r="H109" s="8">
        <v>480</v>
      </c>
      <c r="I109" s="8">
        <v>3515</v>
      </c>
    </row>
    <row r="110" spans="1:9" x14ac:dyDescent="0.2">
      <c r="A110" t="s">
        <v>6</v>
      </c>
      <c r="B110" t="s">
        <v>41</v>
      </c>
      <c r="C110" t="str">
        <f t="shared" si="5"/>
        <v>01611760000000</v>
      </c>
      <c r="D110" t="s">
        <v>2161</v>
      </c>
      <c r="E110" t="str">
        <f>"01611766000756"</f>
        <v>01611766000756</v>
      </c>
      <c r="F110" s="8">
        <v>121</v>
      </c>
      <c r="G110" s="8">
        <v>6558</v>
      </c>
      <c r="H110" s="8">
        <v>480</v>
      </c>
      <c r="I110" s="8">
        <v>3515</v>
      </c>
    </row>
    <row r="111" spans="1:9" x14ac:dyDescent="0.2">
      <c r="A111" t="s">
        <v>6</v>
      </c>
      <c r="B111" t="s">
        <v>41</v>
      </c>
      <c r="C111" t="str">
        <f t="shared" si="5"/>
        <v>01611760000000</v>
      </c>
      <c r="D111" t="s">
        <v>2162</v>
      </c>
      <c r="E111" t="str">
        <f>"01611760130062"</f>
        <v>01611760130062</v>
      </c>
      <c r="F111" s="8">
        <v>440</v>
      </c>
      <c r="G111" s="8">
        <v>6226</v>
      </c>
      <c r="H111" s="8">
        <v>480</v>
      </c>
      <c r="I111" s="8">
        <v>3515</v>
      </c>
    </row>
    <row r="112" spans="1:9" x14ac:dyDescent="0.2">
      <c r="A112" t="s">
        <v>6</v>
      </c>
      <c r="B112" t="s">
        <v>41</v>
      </c>
      <c r="C112" t="str">
        <f t="shared" si="5"/>
        <v>01611760000000</v>
      </c>
      <c r="D112" t="s">
        <v>2163</v>
      </c>
      <c r="E112" t="str">
        <f>"01611766000558"</f>
        <v>01611766000558</v>
      </c>
      <c r="F112" s="8">
        <v>62</v>
      </c>
      <c r="G112" s="8">
        <v>6599</v>
      </c>
      <c r="H112" s="8">
        <v>480</v>
      </c>
      <c r="I112" s="8">
        <v>3515</v>
      </c>
    </row>
    <row r="113" spans="1:9" x14ac:dyDescent="0.2">
      <c r="A113" t="s">
        <v>6</v>
      </c>
      <c r="B113" t="s">
        <v>41</v>
      </c>
      <c r="C113" t="str">
        <f t="shared" si="5"/>
        <v>01611760000000</v>
      </c>
      <c r="D113" t="s">
        <v>2164</v>
      </c>
      <c r="E113" t="str">
        <f>"01611766000848"</f>
        <v>01611766000848</v>
      </c>
      <c r="F113" s="8">
        <v>249</v>
      </c>
      <c r="G113" s="8">
        <v>6404</v>
      </c>
      <c r="H113" s="8">
        <v>480</v>
      </c>
      <c r="I113" s="8">
        <v>3515</v>
      </c>
    </row>
    <row r="114" spans="1:9" x14ac:dyDescent="0.2">
      <c r="A114" t="s">
        <v>6</v>
      </c>
      <c r="B114" t="s">
        <v>41</v>
      </c>
      <c r="C114" t="str">
        <f t="shared" si="5"/>
        <v>01611760000000</v>
      </c>
      <c r="D114" t="s">
        <v>2165</v>
      </c>
      <c r="E114" t="str">
        <f>"01611766000806"</f>
        <v>01611766000806</v>
      </c>
      <c r="F114" s="8">
        <v>336</v>
      </c>
      <c r="G114" s="8">
        <v>6196</v>
      </c>
      <c r="H114" s="8">
        <v>480</v>
      </c>
      <c r="I114" s="8">
        <v>3515</v>
      </c>
    </row>
    <row r="115" spans="1:9" x14ac:dyDescent="0.2">
      <c r="A115" t="s">
        <v>6</v>
      </c>
      <c r="B115" t="s">
        <v>41</v>
      </c>
      <c r="C115" t="str">
        <f t="shared" si="5"/>
        <v>01611760000000</v>
      </c>
      <c r="D115" t="s">
        <v>2166</v>
      </c>
      <c r="E115" t="str">
        <f>"01611766089619"</f>
        <v>01611766089619</v>
      </c>
      <c r="F115" s="8">
        <v>191</v>
      </c>
      <c r="G115" s="8">
        <v>6177</v>
      </c>
      <c r="H115" s="8">
        <v>480</v>
      </c>
      <c r="I115" s="8">
        <v>3515</v>
      </c>
    </row>
    <row r="116" spans="1:9" x14ac:dyDescent="0.2">
      <c r="A116" t="s">
        <v>6</v>
      </c>
      <c r="B116" t="s">
        <v>41</v>
      </c>
      <c r="C116" t="str">
        <f t="shared" si="5"/>
        <v>01611760000000</v>
      </c>
      <c r="D116" t="s">
        <v>2167</v>
      </c>
      <c r="E116" t="str">
        <f>"01611766000830"</f>
        <v>01611766000830</v>
      </c>
      <c r="F116" s="8">
        <v>319</v>
      </c>
      <c r="G116" s="8">
        <v>6007</v>
      </c>
      <c r="H116" s="8">
        <v>480</v>
      </c>
      <c r="I116" s="8">
        <v>3515</v>
      </c>
    </row>
    <row r="117" spans="1:9" x14ac:dyDescent="0.2">
      <c r="A117" t="s">
        <v>6</v>
      </c>
      <c r="B117" t="s">
        <v>41</v>
      </c>
      <c r="C117" t="str">
        <f t="shared" si="5"/>
        <v>01611760000000</v>
      </c>
      <c r="D117" t="s">
        <v>2168</v>
      </c>
      <c r="E117" t="str">
        <f>"01611766104723"</f>
        <v>01611766104723</v>
      </c>
      <c r="F117" s="8">
        <v>92</v>
      </c>
      <c r="G117" s="8">
        <v>6226</v>
      </c>
      <c r="H117" s="8">
        <v>480</v>
      </c>
      <c r="I117" s="8">
        <v>3515</v>
      </c>
    </row>
    <row r="118" spans="1:9" x14ac:dyDescent="0.2">
      <c r="A118" t="s">
        <v>6</v>
      </c>
      <c r="B118" t="s">
        <v>41</v>
      </c>
      <c r="C118" t="str">
        <f t="shared" si="5"/>
        <v>01611760000000</v>
      </c>
      <c r="D118" t="s">
        <v>2169</v>
      </c>
      <c r="E118" t="str">
        <f>"01611766000798"</f>
        <v>01611766000798</v>
      </c>
      <c r="F118" s="8">
        <v>34</v>
      </c>
      <c r="G118" s="8">
        <v>6129</v>
      </c>
      <c r="H118" s="8">
        <v>480</v>
      </c>
      <c r="I118" s="8">
        <v>3515</v>
      </c>
    </row>
    <row r="119" spans="1:9" x14ac:dyDescent="0.2">
      <c r="A119" t="s">
        <v>6</v>
      </c>
      <c r="B119" t="s">
        <v>41</v>
      </c>
      <c r="C119" t="str">
        <f t="shared" si="5"/>
        <v>01611760000000</v>
      </c>
      <c r="D119" t="s">
        <v>2170</v>
      </c>
      <c r="E119" t="str">
        <f>"01611766056915"</f>
        <v>01611766056915</v>
      </c>
      <c r="F119" s="8">
        <v>122</v>
      </c>
      <c r="G119" s="8">
        <v>6000</v>
      </c>
      <c r="H119" s="8">
        <v>480</v>
      </c>
      <c r="I119" s="8">
        <v>3515</v>
      </c>
    </row>
    <row r="120" spans="1:9" x14ac:dyDescent="0.2">
      <c r="A120" t="s">
        <v>6</v>
      </c>
      <c r="B120" t="s">
        <v>41</v>
      </c>
      <c r="C120" t="str">
        <f t="shared" si="5"/>
        <v>01611760000000</v>
      </c>
      <c r="D120" t="s">
        <v>2171</v>
      </c>
      <c r="E120" t="str">
        <f>"01611766000665"</f>
        <v>01611766000665</v>
      </c>
      <c r="F120" s="8">
        <v>60</v>
      </c>
      <c r="G120" s="8">
        <v>6055</v>
      </c>
      <c r="H120" s="8">
        <v>480</v>
      </c>
      <c r="I120" s="8">
        <v>3515</v>
      </c>
    </row>
    <row r="121" spans="1:9" x14ac:dyDescent="0.2">
      <c r="A121" t="s">
        <v>6</v>
      </c>
      <c r="B121" t="s">
        <v>41</v>
      </c>
      <c r="C121" t="str">
        <f t="shared" si="5"/>
        <v>01611760000000</v>
      </c>
      <c r="D121" t="s">
        <v>2172</v>
      </c>
      <c r="E121" t="str">
        <f>"01611766111330"</f>
        <v>01611766111330</v>
      </c>
      <c r="F121" s="8">
        <v>25</v>
      </c>
      <c r="G121" s="8">
        <v>5609</v>
      </c>
      <c r="H121" s="8">
        <v>480</v>
      </c>
      <c r="I121" s="8">
        <v>3515</v>
      </c>
    </row>
    <row r="122" spans="1:9" x14ac:dyDescent="0.2">
      <c r="A122" t="s">
        <v>6</v>
      </c>
      <c r="B122" t="s">
        <v>41</v>
      </c>
      <c r="C122" t="str">
        <f t="shared" si="5"/>
        <v>01611760000000</v>
      </c>
      <c r="D122" t="s">
        <v>2173</v>
      </c>
      <c r="E122" t="str">
        <f>"01611766000681"</f>
        <v>01611766000681</v>
      </c>
      <c r="F122" s="8">
        <v>711</v>
      </c>
      <c r="G122" s="8">
        <v>4319</v>
      </c>
      <c r="H122" s="8">
        <v>480</v>
      </c>
      <c r="I122" s="8">
        <v>3515</v>
      </c>
    </row>
    <row r="123" spans="1:9" x14ac:dyDescent="0.2">
      <c r="A123" t="s">
        <v>6</v>
      </c>
      <c r="B123" t="s">
        <v>45</v>
      </c>
      <c r="C123" t="str">
        <f t="shared" ref="C123:C153" si="6">"01611920000000"</f>
        <v>01611920000000</v>
      </c>
      <c r="D123" t="s">
        <v>2174</v>
      </c>
      <c r="E123" t="str">
        <f>"01611920131334"</f>
        <v>01611920131334</v>
      </c>
      <c r="F123" s="8">
        <v>0</v>
      </c>
      <c r="G123" s="8">
        <v>28197</v>
      </c>
      <c r="H123" s="8">
        <v>1968</v>
      </c>
      <c r="I123" s="8">
        <v>4622</v>
      </c>
    </row>
    <row r="124" spans="1:9" x14ac:dyDescent="0.2">
      <c r="A124" t="s">
        <v>6</v>
      </c>
      <c r="B124" t="s">
        <v>45</v>
      </c>
      <c r="C124" t="str">
        <f t="shared" si="6"/>
        <v>01611920000000</v>
      </c>
      <c r="D124" t="s">
        <v>2175</v>
      </c>
      <c r="E124" t="str">
        <f>"01611920133009"</f>
        <v>01611920133009</v>
      </c>
      <c r="F124" s="8">
        <v>1107</v>
      </c>
      <c r="G124" s="8">
        <v>20191</v>
      </c>
      <c r="H124" s="8">
        <v>1968</v>
      </c>
      <c r="I124" s="8">
        <v>4622</v>
      </c>
    </row>
    <row r="125" spans="1:9" x14ac:dyDescent="0.2">
      <c r="A125" t="s">
        <v>6</v>
      </c>
      <c r="B125" t="s">
        <v>45</v>
      </c>
      <c r="C125" t="str">
        <f t="shared" si="6"/>
        <v>01611920000000</v>
      </c>
      <c r="D125" t="s">
        <v>2176</v>
      </c>
      <c r="E125" t="str">
        <f>"01611926000889"</f>
        <v>01611926000889</v>
      </c>
      <c r="F125" s="8">
        <v>825</v>
      </c>
      <c r="G125" s="8">
        <v>11681</v>
      </c>
      <c r="H125" s="8">
        <v>1968</v>
      </c>
      <c r="I125" s="8">
        <v>4622</v>
      </c>
    </row>
    <row r="126" spans="1:9" x14ac:dyDescent="0.2">
      <c r="A126" t="s">
        <v>6</v>
      </c>
      <c r="B126" t="s">
        <v>45</v>
      </c>
      <c r="C126" t="str">
        <f t="shared" si="6"/>
        <v>01611920000000</v>
      </c>
      <c r="D126" t="s">
        <v>2177</v>
      </c>
      <c r="E126" t="str">
        <f>"01611926113815"</f>
        <v>01611926113815</v>
      </c>
      <c r="F126" s="8">
        <v>565</v>
      </c>
      <c r="G126" s="8">
        <v>11250</v>
      </c>
      <c r="H126" s="8">
        <v>1968</v>
      </c>
      <c r="I126" s="8">
        <v>4622</v>
      </c>
    </row>
    <row r="127" spans="1:9" x14ac:dyDescent="0.2">
      <c r="A127" t="s">
        <v>6</v>
      </c>
      <c r="B127" t="s">
        <v>45</v>
      </c>
      <c r="C127" t="str">
        <f t="shared" si="6"/>
        <v>01611920000000</v>
      </c>
      <c r="D127" t="s">
        <v>2178</v>
      </c>
      <c r="E127" t="str">
        <f>"01611926056949"</f>
        <v>01611926056949</v>
      </c>
      <c r="F127" s="8">
        <v>1467</v>
      </c>
      <c r="G127" s="8">
        <v>9616</v>
      </c>
      <c r="H127" s="8">
        <v>1968</v>
      </c>
      <c r="I127" s="8">
        <v>4622</v>
      </c>
    </row>
    <row r="128" spans="1:9" x14ac:dyDescent="0.2">
      <c r="A128" t="s">
        <v>6</v>
      </c>
      <c r="B128" t="s">
        <v>45</v>
      </c>
      <c r="C128" t="str">
        <f t="shared" si="6"/>
        <v>01611920000000</v>
      </c>
      <c r="D128" t="s">
        <v>2179</v>
      </c>
      <c r="E128" t="str">
        <f>"01611926001051"</f>
        <v>01611926001051</v>
      </c>
      <c r="F128" s="8">
        <v>942</v>
      </c>
      <c r="G128" s="8">
        <v>9806</v>
      </c>
      <c r="H128" s="8">
        <v>1968</v>
      </c>
      <c r="I128" s="8">
        <v>4622</v>
      </c>
    </row>
    <row r="129" spans="1:9" x14ac:dyDescent="0.2">
      <c r="A129" t="s">
        <v>6</v>
      </c>
      <c r="B129" t="s">
        <v>45</v>
      </c>
      <c r="C129" t="str">
        <f t="shared" si="6"/>
        <v>01611920000000</v>
      </c>
      <c r="D129" t="s">
        <v>2180</v>
      </c>
      <c r="E129" t="str">
        <f>"01611926000921"</f>
        <v>01611926000921</v>
      </c>
      <c r="F129" s="8">
        <v>700</v>
      </c>
      <c r="G129" s="8">
        <v>10007</v>
      </c>
      <c r="H129" s="8">
        <v>1968</v>
      </c>
      <c r="I129" s="8">
        <v>4622</v>
      </c>
    </row>
    <row r="130" spans="1:9" x14ac:dyDescent="0.2">
      <c r="A130" t="s">
        <v>6</v>
      </c>
      <c r="B130" t="s">
        <v>45</v>
      </c>
      <c r="C130" t="str">
        <f t="shared" si="6"/>
        <v>01611920000000</v>
      </c>
      <c r="D130" t="s">
        <v>2181</v>
      </c>
      <c r="E130" t="str">
        <f>"01611926062160"</f>
        <v>01611926062160</v>
      </c>
      <c r="F130" s="8">
        <v>846</v>
      </c>
      <c r="G130" s="8">
        <v>9836</v>
      </c>
      <c r="H130" s="8">
        <v>1968</v>
      </c>
      <c r="I130" s="8">
        <v>4622</v>
      </c>
    </row>
    <row r="131" spans="1:9" x14ac:dyDescent="0.2">
      <c r="A131" t="s">
        <v>6</v>
      </c>
      <c r="B131" t="s">
        <v>45</v>
      </c>
      <c r="C131" t="str">
        <f t="shared" si="6"/>
        <v>01611920000000</v>
      </c>
      <c r="D131" t="s">
        <v>2182</v>
      </c>
      <c r="E131" t="str">
        <f>"01611920138339"</f>
        <v>01611920138339</v>
      </c>
      <c r="F131" s="8">
        <v>946</v>
      </c>
      <c r="G131" s="8">
        <v>9324</v>
      </c>
      <c r="H131" s="8">
        <v>1968</v>
      </c>
      <c r="I131" s="8">
        <v>4622</v>
      </c>
    </row>
    <row r="132" spans="1:9" x14ac:dyDescent="0.2">
      <c r="A132" t="s">
        <v>6</v>
      </c>
      <c r="B132" t="s">
        <v>45</v>
      </c>
      <c r="C132" t="str">
        <f t="shared" si="6"/>
        <v>01611920000000</v>
      </c>
      <c r="D132" t="s">
        <v>2183</v>
      </c>
      <c r="E132" t="str">
        <f>"01611926001127"</f>
        <v>01611926001127</v>
      </c>
      <c r="F132" s="8">
        <v>1225</v>
      </c>
      <c r="G132" s="8">
        <v>8740</v>
      </c>
      <c r="H132" s="8">
        <v>1968</v>
      </c>
      <c r="I132" s="8">
        <v>4622</v>
      </c>
    </row>
    <row r="133" spans="1:9" x14ac:dyDescent="0.2">
      <c r="A133" t="s">
        <v>6</v>
      </c>
      <c r="B133" t="s">
        <v>45</v>
      </c>
      <c r="C133" t="str">
        <f t="shared" si="6"/>
        <v>01611920000000</v>
      </c>
      <c r="D133" t="s">
        <v>2184</v>
      </c>
      <c r="E133" t="str">
        <f>"01611926000947"</f>
        <v>01611926000947</v>
      </c>
      <c r="F133" s="8">
        <v>1106</v>
      </c>
      <c r="G133" s="8">
        <v>8827</v>
      </c>
      <c r="H133" s="8">
        <v>1968</v>
      </c>
      <c r="I133" s="8">
        <v>4622</v>
      </c>
    </row>
    <row r="134" spans="1:9" x14ac:dyDescent="0.2">
      <c r="A134" t="s">
        <v>6</v>
      </c>
      <c r="B134" t="s">
        <v>45</v>
      </c>
      <c r="C134" t="str">
        <f t="shared" si="6"/>
        <v>01611920000000</v>
      </c>
      <c r="D134" t="s">
        <v>2185</v>
      </c>
      <c r="E134" t="str">
        <f>"01611926000962"</f>
        <v>01611926000962</v>
      </c>
      <c r="F134" s="8">
        <v>700</v>
      </c>
      <c r="G134" s="8">
        <v>9227</v>
      </c>
      <c r="H134" s="8">
        <v>1968</v>
      </c>
      <c r="I134" s="8">
        <v>4622</v>
      </c>
    </row>
    <row r="135" spans="1:9" x14ac:dyDescent="0.2">
      <c r="A135" t="s">
        <v>6</v>
      </c>
      <c r="B135" t="s">
        <v>45</v>
      </c>
      <c r="C135" t="str">
        <f t="shared" si="6"/>
        <v>01611920000000</v>
      </c>
      <c r="D135" t="s">
        <v>2186</v>
      </c>
      <c r="E135" t="str">
        <f>"01611926001101"</f>
        <v>01611926001101</v>
      </c>
      <c r="F135" s="8">
        <v>691</v>
      </c>
      <c r="G135" s="8">
        <v>9182</v>
      </c>
      <c r="H135" s="8">
        <v>1968</v>
      </c>
      <c r="I135" s="8">
        <v>4622</v>
      </c>
    </row>
    <row r="136" spans="1:9" x14ac:dyDescent="0.2">
      <c r="A136" t="s">
        <v>6</v>
      </c>
      <c r="B136" t="s">
        <v>45</v>
      </c>
      <c r="C136" t="str">
        <f t="shared" si="6"/>
        <v>01611920000000</v>
      </c>
      <c r="D136" t="s">
        <v>2187</v>
      </c>
      <c r="E136" t="str">
        <f>"01611926001093"</f>
        <v>01611926001093</v>
      </c>
      <c r="F136" s="8">
        <v>821</v>
      </c>
      <c r="G136" s="8">
        <v>9027</v>
      </c>
      <c r="H136" s="8">
        <v>1968</v>
      </c>
      <c r="I136" s="8">
        <v>4622</v>
      </c>
    </row>
    <row r="137" spans="1:9" x14ac:dyDescent="0.2">
      <c r="A137" t="s">
        <v>6</v>
      </c>
      <c r="B137" t="s">
        <v>45</v>
      </c>
      <c r="C137" t="str">
        <f t="shared" si="6"/>
        <v>01611920000000</v>
      </c>
      <c r="D137" t="s">
        <v>2188</v>
      </c>
      <c r="E137" t="str">
        <f>"01611926056956"</f>
        <v>01611926056956</v>
      </c>
      <c r="F137" s="8">
        <v>365</v>
      </c>
      <c r="G137" s="8">
        <v>9342</v>
      </c>
      <c r="H137" s="8">
        <v>1968</v>
      </c>
      <c r="I137" s="8">
        <v>4622</v>
      </c>
    </row>
    <row r="138" spans="1:9" x14ac:dyDescent="0.2">
      <c r="A138" t="s">
        <v>6</v>
      </c>
      <c r="B138" t="s">
        <v>45</v>
      </c>
      <c r="C138" t="str">
        <f t="shared" si="6"/>
        <v>01611920000000</v>
      </c>
      <c r="D138" t="s">
        <v>2189</v>
      </c>
      <c r="E138" t="str">
        <f>"01611926000988"</f>
        <v>01611926000988</v>
      </c>
      <c r="F138" s="8">
        <v>1255</v>
      </c>
      <c r="G138" s="8">
        <v>8204</v>
      </c>
      <c r="H138" s="8">
        <v>1968</v>
      </c>
      <c r="I138" s="8">
        <v>4622</v>
      </c>
    </row>
    <row r="139" spans="1:9" x14ac:dyDescent="0.2">
      <c r="A139" t="s">
        <v>6</v>
      </c>
      <c r="B139" t="s">
        <v>45</v>
      </c>
      <c r="C139" t="str">
        <f t="shared" si="6"/>
        <v>01611920000000</v>
      </c>
      <c r="D139" t="s">
        <v>2190</v>
      </c>
      <c r="E139" t="str">
        <f>"01611926001176"</f>
        <v>01611926001176</v>
      </c>
      <c r="F139" s="8">
        <v>305</v>
      </c>
      <c r="G139" s="8">
        <v>9099</v>
      </c>
      <c r="H139" s="8">
        <v>1968</v>
      </c>
      <c r="I139" s="8">
        <v>4622</v>
      </c>
    </row>
    <row r="140" spans="1:9" x14ac:dyDescent="0.2">
      <c r="A140" t="s">
        <v>6</v>
      </c>
      <c r="B140" t="s">
        <v>45</v>
      </c>
      <c r="C140" t="str">
        <f t="shared" si="6"/>
        <v>01611920000000</v>
      </c>
      <c r="D140" t="s">
        <v>2191</v>
      </c>
      <c r="E140" t="str">
        <f>"01611926000996"</f>
        <v>01611926000996</v>
      </c>
      <c r="F140" s="8">
        <v>903</v>
      </c>
      <c r="G140" s="8">
        <v>8437</v>
      </c>
      <c r="H140" s="8">
        <v>1968</v>
      </c>
      <c r="I140" s="8">
        <v>4622</v>
      </c>
    </row>
    <row r="141" spans="1:9" x14ac:dyDescent="0.2">
      <c r="A141" t="s">
        <v>6</v>
      </c>
      <c r="B141" t="s">
        <v>45</v>
      </c>
      <c r="C141" t="str">
        <f t="shared" si="6"/>
        <v>01611920000000</v>
      </c>
      <c r="D141" t="s">
        <v>2192</v>
      </c>
      <c r="E141" t="str">
        <f>"01611926056972"</f>
        <v>01611926056972</v>
      </c>
      <c r="F141" s="8">
        <v>675</v>
      </c>
      <c r="G141" s="8">
        <v>8597</v>
      </c>
      <c r="H141" s="8">
        <v>1968</v>
      </c>
      <c r="I141" s="8">
        <v>4622</v>
      </c>
    </row>
    <row r="142" spans="1:9" x14ac:dyDescent="0.2">
      <c r="A142" t="s">
        <v>6</v>
      </c>
      <c r="B142" t="s">
        <v>45</v>
      </c>
      <c r="C142" t="str">
        <f t="shared" si="6"/>
        <v>01611920000000</v>
      </c>
      <c r="D142" t="s">
        <v>2193</v>
      </c>
      <c r="E142" t="str">
        <f>"01611920111815"</f>
        <v>01611920111815</v>
      </c>
      <c r="F142" s="8">
        <v>500</v>
      </c>
      <c r="G142" s="8">
        <v>8603</v>
      </c>
      <c r="H142" s="8">
        <v>1968</v>
      </c>
      <c r="I142" s="8">
        <v>4622</v>
      </c>
    </row>
    <row r="143" spans="1:9" x14ac:dyDescent="0.2">
      <c r="A143" t="s">
        <v>6</v>
      </c>
      <c r="B143" t="s">
        <v>45</v>
      </c>
      <c r="C143" t="str">
        <f t="shared" si="6"/>
        <v>01611920000000</v>
      </c>
      <c r="D143" t="s">
        <v>2194</v>
      </c>
      <c r="E143" t="str">
        <f>"01611926066476"</f>
        <v>01611926066476</v>
      </c>
      <c r="F143" s="8">
        <v>453</v>
      </c>
      <c r="G143" s="8">
        <v>8625</v>
      </c>
      <c r="H143" s="8">
        <v>1968</v>
      </c>
      <c r="I143" s="8">
        <v>4622</v>
      </c>
    </row>
    <row r="144" spans="1:9" x14ac:dyDescent="0.2">
      <c r="A144" t="s">
        <v>6</v>
      </c>
      <c r="B144" t="s">
        <v>45</v>
      </c>
      <c r="C144" t="str">
        <f t="shared" si="6"/>
        <v>01611920000000</v>
      </c>
      <c r="D144" t="s">
        <v>2195</v>
      </c>
      <c r="E144" t="str">
        <f>"01611926090583"</f>
        <v>01611926090583</v>
      </c>
      <c r="F144" s="8">
        <v>544</v>
      </c>
      <c r="G144" s="8">
        <v>8514</v>
      </c>
      <c r="H144" s="8">
        <v>1968</v>
      </c>
      <c r="I144" s="8">
        <v>4622</v>
      </c>
    </row>
    <row r="145" spans="1:9" x14ac:dyDescent="0.2">
      <c r="A145" t="s">
        <v>6</v>
      </c>
      <c r="B145" t="s">
        <v>45</v>
      </c>
      <c r="C145" t="str">
        <f t="shared" si="6"/>
        <v>01611920000000</v>
      </c>
      <c r="D145" t="s">
        <v>2196</v>
      </c>
      <c r="E145" t="str">
        <f>"01611920133629"</f>
        <v>01611920133629</v>
      </c>
      <c r="F145" s="8">
        <v>503</v>
      </c>
      <c r="G145" s="8">
        <v>8532</v>
      </c>
      <c r="H145" s="8">
        <v>1968</v>
      </c>
      <c r="I145" s="8">
        <v>4622</v>
      </c>
    </row>
    <row r="146" spans="1:9" x14ac:dyDescent="0.2">
      <c r="A146" t="s">
        <v>6</v>
      </c>
      <c r="B146" t="s">
        <v>45</v>
      </c>
      <c r="C146" t="str">
        <f t="shared" si="6"/>
        <v>01611920000000</v>
      </c>
      <c r="D146" t="s">
        <v>2197</v>
      </c>
      <c r="E146" t="str">
        <f>"01611926104566"</f>
        <v>01611926104566</v>
      </c>
      <c r="F146" s="8">
        <v>1038</v>
      </c>
      <c r="G146" s="8">
        <v>7957</v>
      </c>
      <c r="H146" s="8">
        <v>1968</v>
      </c>
      <c r="I146" s="8">
        <v>4622</v>
      </c>
    </row>
    <row r="147" spans="1:9" x14ac:dyDescent="0.2">
      <c r="A147" t="s">
        <v>6</v>
      </c>
      <c r="B147" t="s">
        <v>45</v>
      </c>
      <c r="C147" t="str">
        <f t="shared" si="6"/>
        <v>01611920000000</v>
      </c>
      <c r="D147" t="s">
        <v>2198</v>
      </c>
      <c r="E147" t="str">
        <f>"01611926001044"</f>
        <v>01611926001044</v>
      </c>
      <c r="F147" s="8">
        <v>408</v>
      </c>
      <c r="G147" s="8">
        <v>8521</v>
      </c>
      <c r="H147" s="8">
        <v>1968</v>
      </c>
      <c r="I147" s="8">
        <v>4622</v>
      </c>
    </row>
    <row r="148" spans="1:9" x14ac:dyDescent="0.2">
      <c r="A148" t="s">
        <v>6</v>
      </c>
      <c r="B148" t="s">
        <v>45</v>
      </c>
      <c r="C148" t="str">
        <f t="shared" si="6"/>
        <v>01611920000000</v>
      </c>
      <c r="D148" t="s">
        <v>2199</v>
      </c>
      <c r="E148" t="str">
        <f>"01611920135319"</f>
        <v>01611920135319</v>
      </c>
      <c r="F148" s="8">
        <v>355</v>
      </c>
      <c r="G148" s="8">
        <v>8386</v>
      </c>
      <c r="H148" s="8">
        <v>1968</v>
      </c>
      <c r="I148" s="8">
        <v>4622</v>
      </c>
    </row>
    <row r="149" spans="1:9" x14ac:dyDescent="0.2">
      <c r="A149" t="s">
        <v>6</v>
      </c>
      <c r="B149" t="s">
        <v>45</v>
      </c>
      <c r="C149" t="str">
        <f t="shared" si="6"/>
        <v>01611920000000</v>
      </c>
      <c r="D149" t="s">
        <v>2200</v>
      </c>
      <c r="E149" t="str">
        <f>"01611926056931"</f>
        <v>01611926056931</v>
      </c>
      <c r="F149" s="8">
        <v>552</v>
      </c>
      <c r="G149" s="8">
        <v>8120</v>
      </c>
      <c r="H149" s="8">
        <v>1968</v>
      </c>
      <c r="I149" s="8">
        <v>4622</v>
      </c>
    </row>
    <row r="150" spans="1:9" x14ac:dyDescent="0.2">
      <c r="A150" t="s">
        <v>6</v>
      </c>
      <c r="B150" t="s">
        <v>45</v>
      </c>
      <c r="C150" t="str">
        <f t="shared" si="6"/>
        <v>01611920000000</v>
      </c>
      <c r="D150" t="s">
        <v>2201</v>
      </c>
      <c r="E150" t="str">
        <f>"01611926000913"</f>
        <v>01611926000913</v>
      </c>
      <c r="F150" s="8">
        <v>652</v>
      </c>
      <c r="G150" s="8">
        <v>7929</v>
      </c>
      <c r="H150" s="8">
        <v>1968</v>
      </c>
      <c r="I150" s="8">
        <v>4622</v>
      </c>
    </row>
    <row r="151" spans="1:9" x14ac:dyDescent="0.2">
      <c r="A151" t="s">
        <v>6</v>
      </c>
      <c r="B151" t="s">
        <v>45</v>
      </c>
      <c r="C151" t="str">
        <f t="shared" si="6"/>
        <v>01611920000000</v>
      </c>
      <c r="D151" t="s">
        <v>2202</v>
      </c>
      <c r="E151" t="str">
        <f>"01611926001135"</f>
        <v>01611926001135</v>
      </c>
      <c r="F151" s="8">
        <v>640</v>
      </c>
      <c r="G151" s="8">
        <v>7895</v>
      </c>
      <c r="H151" s="8">
        <v>1968</v>
      </c>
      <c r="I151" s="8">
        <v>4622</v>
      </c>
    </row>
    <row r="152" spans="1:9" x14ac:dyDescent="0.2">
      <c r="A152" t="s">
        <v>6</v>
      </c>
      <c r="B152" t="s">
        <v>45</v>
      </c>
      <c r="C152" t="str">
        <f t="shared" si="6"/>
        <v>01611920000000</v>
      </c>
      <c r="D152" t="s">
        <v>2203</v>
      </c>
      <c r="E152" t="str">
        <f>"01611926000905"</f>
        <v>01611926000905</v>
      </c>
      <c r="F152" s="8">
        <v>565</v>
      </c>
      <c r="G152" s="8">
        <v>7766</v>
      </c>
      <c r="H152" s="8">
        <v>1968</v>
      </c>
      <c r="I152" s="8">
        <v>4622</v>
      </c>
    </row>
    <row r="153" spans="1:9" x14ac:dyDescent="0.2">
      <c r="A153" t="s">
        <v>6</v>
      </c>
      <c r="B153" t="s">
        <v>45</v>
      </c>
      <c r="C153" t="str">
        <f t="shared" si="6"/>
        <v>01611920000000</v>
      </c>
      <c r="D153" t="s">
        <v>2204</v>
      </c>
      <c r="E153" t="str">
        <f>"01611926001192"</f>
        <v>01611926001192</v>
      </c>
      <c r="F153" s="8">
        <v>268</v>
      </c>
      <c r="G153" s="8">
        <v>7442</v>
      </c>
      <c r="H153" s="8">
        <v>1968</v>
      </c>
      <c r="I153" s="8">
        <v>4622</v>
      </c>
    </row>
    <row r="154" spans="1:9" x14ac:dyDescent="0.2">
      <c r="A154" t="s">
        <v>6</v>
      </c>
      <c r="B154" t="s">
        <v>57</v>
      </c>
      <c r="C154" t="str">
        <f t="shared" ref="C154:C171" si="7">"01612000000000"</f>
        <v>01612000000000</v>
      </c>
      <c r="D154" t="s">
        <v>2205</v>
      </c>
      <c r="E154" t="str">
        <f>"01612000132670"</f>
        <v>01612000132670</v>
      </c>
      <c r="F154" s="8">
        <v>13</v>
      </c>
      <c r="G154" s="8">
        <v>19092</v>
      </c>
      <c r="H154" s="8">
        <v>703</v>
      </c>
      <c r="I154" s="8">
        <v>3625</v>
      </c>
    </row>
    <row r="155" spans="1:9" x14ac:dyDescent="0.2">
      <c r="A155" t="s">
        <v>6</v>
      </c>
      <c r="B155" t="s">
        <v>57</v>
      </c>
      <c r="C155" t="str">
        <f t="shared" si="7"/>
        <v>01612000000000</v>
      </c>
      <c r="D155" t="s">
        <v>2206</v>
      </c>
      <c r="E155" t="str">
        <f>"01612000130393"</f>
        <v>01612000130393</v>
      </c>
      <c r="F155" s="8">
        <v>56</v>
      </c>
      <c r="G155" s="8">
        <v>18617</v>
      </c>
      <c r="H155" s="8">
        <v>703</v>
      </c>
      <c r="I155" s="8">
        <v>3625</v>
      </c>
    </row>
    <row r="156" spans="1:9" x14ac:dyDescent="0.2">
      <c r="A156" t="s">
        <v>6</v>
      </c>
      <c r="B156" t="s">
        <v>57</v>
      </c>
      <c r="C156" t="str">
        <f t="shared" si="7"/>
        <v>01612000000000</v>
      </c>
      <c r="D156" t="s">
        <v>2207</v>
      </c>
      <c r="E156" t="str">
        <f>"01612006001317"</f>
        <v>01612006001317</v>
      </c>
      <c r="F156" s="8">
        <v>632</v>
      </c>
      <c r="G156" s="8">
        <v>12272</v>
      </c>
      <c r="H156" s="8">
        <v>703</v>
      </c>
      <c r="I156" s="8">
        <v>3625</v>
      </c>
    </row>
    <row r="157" spans="1:9" x14ac:dyDescent="0.2">
      <c r="A157" t="s">
        <v>6</v>
      </c>
      <c r="B157" t="s">
        <v>57</v>
      </c>
      <c r="C157" t="str">
        <f t="shared" si="7"/>
        <v>01612000000000</v>
      </c>
      <c r="D157" t="s">
        <v>2208</v>
      </c>
      <c r="E157" t="str">
        <f>"01612006110332"</f>
        <v>01612006110332</v>
      </c>
      <c r="F157" s="8">
        <v>2400</v>
      </c>
      <c r="G157" s="8">
        <v>7609</v>
      </c>
      <c r="H157" s="8">
        <v>703</v>
      </c>
      <c r="I157" s="8">
        <v>3625</v>
      </c>
    </row>
    <row r="158" spans="1:9" x14ac:dyDescent="0.2">
      <c r="A158" t="s">
        <v>6</v>
      </c>
      <c r="B158" t="s">
        <v>57</v>
      </c>
      <c r="C158" t="str">
        <f t="shared" si="7"/>
        <v>01612000000000</v>
      </c>
      <c r="D158" t="s">
        <v>2209</v>
      </c>
      <c r="E158" t="str">
        <f>"01612006001283"</f>
        <v>01612006001283</v>
      </c>
      <c r="F158" s="8">
        <v>1950</v>
      </c>
      <c r="G158" s="8">
        <v>7404</v>
      </c>
      <c r="H158" s="8">
        <v>703</v>
      </c>
      <c r="I158" s="8">
        <v>3625</v>
      </c>
    </row>
    <row r="159" spans="1:9" x14ac:dyDescent="0.2">
      <c r="A159" t="s">
        <v>6</v>
      </c>
      <c r="B159" t="s">
        <v>57</v>
      </c>
      <c r="C159" t="str">
        <f t="shared" si="7"/>
        <v>01612000000000</v>
      </c>
      <c r="D159" t="s">
        <v>2210</v>
      </c>
      <c r="E159" t="str">
        <f>"01612006001291"</f>
        <v>01612006001291</v>
      </c>
      <c r="F159" s="8">
        <v>7</v>
      </c>
      <c r="G159" s="8">
        <v>8580</v>
      </c>
      <c r="H159" s="8">
        <v>703</v>
      </c>
      <c r="I159" s="8">
        <v>3625</v>
      </c>
    </row>
    <row r="160" spans="1:9" x14ac:dyDescent="0.2">
      <c r="A160" t="s">
        <v>6</v>
      </c>
      <c r="B160" t="s">
        <v>57</v>
      </c>
      <c r="C160" t="str">
        <f t="shared" si="7"/>
        <v>01612000000000</v>
      </c>
      <c r="D160" t="s">
        <v>2211</v>
      </c>
      <c r="E160" t="str">
        <f>"01612006001234"</f>
        <v>01612006001234</v>
      </c>
      <c r="F160" s="8">
        <v>121</v>
      </c>
      <c r="G160" s="8">
        <v>8424</v>
      </c>
      <c r="H160" s="8">
        <v>703</v>
      </c>
      <c r="I160" s="8">
        <v>3625</v>
      </c>
    </row>
    <row r="161" spans="1:9" x14ac:dyDescent="0.2">
      <c r="A161" t="s">
        <v>6</v>
      </c>
      <c r="B161" t="s">
        <v>57</v>
      </c>
      <c r="C161" t="str">
        <f t="shared" si="7"/>
        <v>01612000000000</v>
      </c>
      <c r="D161" t="s">
        <v>2212</v>
      </c>
      <c r="E161" t="str">
        <f>"01612006117543"</f>
        <v>01612006117543</v>
      </c>
      <c r="F161" s="8">
        <v>1573</v>
      </c>
      <c r="G161" s="8">
        <v>6517</v>
      </c>
      <c r="H161" s="8">
        <v>703</v>
      </c>
      <c r="I161" s="8">
        <v>3625</v>
      </c>
    </row>
    <row r="162" spans="1:9" x14ac:dyDescent="0.2">
      <c r="A162" t="s">
        <v>6</v>
      </c>
      <c r="B162" t="s">
        <v>57</v>
      </c>
      <c r="C162" t="str">
        <f t="shared" si="7"/>
        <v>01612000000000</v>
      </c>
      <c r="D162" t="s">
        <v>2213</v>
      </c>
      <c r="E162" t="str">
        <f>"01612006085773"</f>
        <v>01612006085773</v>
      </c>
      <c r="F162" s="8">
        <v>12</v>
      </c>
      <c r="G162" s="8">
        <v>8006</v>
      </c>
      <c r="H162" s="8">
        <v>703</v>
      </c>
      <c r="I162" s="8">
        <v>3625</v>
      </c>
    </row>
    <row r="163" spans="1:9" x14ac:dyDescent="0.2">
      <c r="A163" t="s">
        <v>6</v>
      </c>
      <c r="B163" t="s">
        <v>57</v>
      </c>
      <c r="C163" t="str">
        <f t="shared" si="7"/>
        <v>01612000000000</v>
      </c>
      <c r="D163" t="s">
        <v>2214</v>
      </c>
      <c r="E163" t="str">
        <f>"01612006001242"</f>
        <v>01612006001242</v>
      </c>
      <c r="F163" s="8">
        <v>8</v>
      </c>
      <c r="G163" s="8">
        <v>7919</v>
      </c>
      <c r="H163" s="8">
        <v>703</v>
      </c>
      <c r="I163" s="8">
        <v>3625</v>
      </c>
    </row>
    <row r="164" spans="1:9" x14ac:dyDescent="0.2">
      <c r="A164" t="s">
        <v>6</v>
      </c>
      <c r="B164" t="s">
        <v>57</v>
      </c>
      <c r="C164" t="str">
        <f t="shared" si="7"/>
        <v>01612000000000</v>
      </c>
      <c r="D164" t="s">
        <v>2215</v>
      </c>
      <c r="E164" t="str">
        <f>"01612000135376"</f>
        <v>01612000135376</v>
      </c>
      <c r="F164" s="8">
        <v>18</v>
      </c>
      <c r="G164" s="8">
        <v>7884</v>
      </c>
      <c r="H164" s="8">
        <v>703</v>
      </c>
      <c r="I164" s="8">
        <v>3625</v>
      </c>
    </row>
    <row r="165" spans="1:9" x14ac:dyDescent="0.2">
      <c r="A165" t="s">
        <v>6</v>
      </c>
      <c r="B165" t="s">
        <v>57</v>
      </c>
      <c r="C165" t="str">
        <f t="shared" si="7"/>
        <v>01612000000000</v>
      </c>
      <c r="D165" t="s">
        <v>2216</v>
      </c>
      <c r="E165" t="str">
        <f>"01612000134536"</f>
        <v>01612000134536</v>
      </c>
      <c r="F165" s="8">
        <v>7</v>
      </c>
      <c r="G165" s="8">
        <v>7756</v>
      </c>
      <c r="H165" s="8">
        <v>703</v>
      </c>
      <c r="I165" s="8">
        <v>3625</v>
      </c>
    </row>
    <row r="166" spans="1:9" x14ac:dyDescent="0.2">
      <c r="A166" t="s">
        <v>6</v>
      </c>
      <c r="B166" t="s">
        <v>57</v>
      </c>
      <c r="C166" t="str">
        <f t="shared" si="7"/>
        <v>01612000000000</v>
      </c>
      <c r="D166" t="s">
        <v>2217</v>
      </c>
      <c r="E166" t="str">
        <f>"01612006089338"</f>
        <v>01612006089338</v>
      </c>
      <c r="F166" s="8">
        <v>12</v>
      </c>
      <c r="G166" s="8">
        <v>7685</v>
      </c>
      <c r="H166" s="8">
        <v>703</v>
      </c>
      <c r="I166" s="8">
        <v>3625</v>
      </c>
    </row>
    <row r="167" spans="1:9" x14ac:dyDescent="0.2">
      <c r="A167" t="s">
        <v>6</v>
      </c>
      <c r="B167" t="s">
        <v>57</v>
      </c>
      <c r="C167" t="str">
        <f t="shared" si="7"/>
        <v>01612000000000</v>
      </c>
      <c r="D167" t="s">
        <v>2218</v>
      </c>
      <c r="E167" t="str">
        <f>"01612000133397"</f>
        <v>01612000133397</v>
      </c>
      <c r="F167" s="8">
        <v>0</v>
      </c>
      <c r="G167" s="8">
        <v>7517</v>
      </c>
      <c r="H167" s="8">
        <v>703</v>
      </c>
      <c r="I167" s="8">
        <v>3625</v>
      </c>
    </row>
    <row r="168" spans="1:9" x14ac:dyDescent="0.2">
      <c r="A168" t="s">
        <v>6</v>
      </c>
      <c r="B168" t="s">
        <v>57</v>
      </c>
      <c r="C168" t="str">
        <f t="shared" si="7"/>
        <v>01612000000000</v>
      </c>
      <c r="D168" t="s">
        <v>2219</v>
      </c>
      <c r="E168" t="str">
        <f>"01612006071906"</f>
        <v>01612006071906</v>
      </c>
      <c r="F168" s="8">
        <v>1439</v>
      </c>
      <c r="G168" s="8">
        <v>6004</v>
      </c>
      <c r="H168" s="8">
        <v>703</v>
      </c>
      <c r="I168" s="8">
        <v>3625</v>
      </c>
    </row>
    <row r="169" spans="1:9" x14ac:dyDescent="0.2">
      <c r="A169" t="s">
        <v>6</v>
      </c>
      <c r="B169" t="s">
        <v>57</v>
      </c>
      <c r="C169" t="str">
        <f t="shared" si="7"/>
        <v>01612000000000</v>
      </c>
      <c r="D169" t="s">
        <v>2220</v>
      </c>
      <c r="E169" t="str">
        <f>"01612006097661"</f>
        <v>01612006097661</v>
      </c>
      <c r="F169" s="8">
        <v>14</v>
      </c>
      <c r="G169" s="8">
        <v>7076</v>
      </c>
      <c r="H169" s="8">
        <v>703</v>
      </c>
      <c r="I169" s="8">
        <v>3625</v>
      </c>
    </row>
    <row r="170" spans="1:9" x14ac:dyDescent="0.2">
      <c r="A170" t="s">
        <v>6</v>
      </c>
      <c r="B170" t="s">
        <v>57</v>
      </c>
      <c r="C170" t="str">
        <f t="shared" si="7"/>
        <v>01612000000000</v>
      </c>
      <c r="D170" t="s">
        <v>2221</v>
      </c>
      <c r="E170" t="str">
        <f>"01612006001341"</f>
        <v>01612006001341</v>
      </c>
      <c r="F170" s="8">
        <v>11</v>
      </c>
      <c r="G170" s="8">
        <v>6897</v>
      </c>
      <c r="H170" s="8">
        <v>703</v>
      </c>
      <c r="I170" s="8">
        <v>3625</v>
      </c>
    </row>
    <row r="171" spans="1:9" x14ac:dyDescent="0.2">
      <c r="A171" t="s">
        <v>6</v>
      </c>
      <c r="B171" t="s">
        <v>57</v>
      </c>
      <c r="C171" t="str">
        <f t="shared" si="7"/>
        <v>01612000000000</v>
      </c>
      <c r="D171" t="s">
        <v>2222</v>
      </c>
      <c r="E171" t="str">
        <f>"01612006001259"</f>
        <v>01612006001259</v>
      </c>
      <c r="F171" s="8">
        <v>2</v>
      </c>
      <c r="G171" s="8">
        <v>6762</v>
      </c>
      <c r="H171" s="8">
        <v>703</v>
      </c>
      <c r="I171" s="8">
        <v>3625</v>
      </c>
    </row>
    <row r="172" spans="1:9" x14ac:dyDescent="0.2">
      <c r="A172" t="s">
        <v>6</v>
      </c>
      <c r="B172" t="s">
        <v>60</v>
      </c>
      <c r="C172" t="str">
        <f>"01740210000000"</f>
        <v>01740210000000</v>
      </c>
      <c r="D172" t="s">
        <v>2223</v>
      </c>
      <c r="E172" t="str">
        <f>"01740210195032"</f>
        <v>01740210195032</v>
      </c>
      <c r="F172" s="8" t="s">
        <v>30</v>
      </c>
      <c r="G172" s="8" t="s">
        <v>30</v>
      </c>
      <c r="H172" s="8" t="s">
        <v>30</v>
      </c>
      <c r="I172" s="8" t="s">
        <v>30</v>
      </c>
    </row>
    <row r="173" spans="1:9" x14ac:dyDescent="0.2">
      <c r="A173" t="s">
        <v>6</v>
      </c>
      <c r="B173" t="s">
        <v>61</v>
      </c>
      <c r="C173" t="str">
        <f>"01612180000000"</f>
        <v>01612180000000</v>
      </c>
      <c r="D173" t="s">
        <v>61</v>
      </c>
      <c r="E173" t="str">
        <f>"01612186001358"</f>
        <v>01612186001358</v>
      </c>
      <c r="F173" s="8">
        <v>3539</v>
      </c>
      <c r="G173" s="8">
        <v>29202</v>
      </c>
      <c r="H173" s="8">
        <v>0</v>
      </c>
      <c r="I173" s="8">
        <v>0</v>
      </c>
    </row>
    <row r="174" spans="1:9" x14ac:dyDescent="0.2">
      <c r="A174" t="s">
        <v>6</v>
      </c>
      <c r="B174" t="s">
        <v>63</v>
      </c>
      <c r="C174" t="str">
        <f t="shared" ref="C174:C186" si="8">"01612420000000"</f>
        <v>01612420000000</v>
      </c>
      <c r="D174" t="s">
        <v>2224</v>
      </c>
      <c r="E174" t="str">
        <f>"01612420110478"</f>
        <v>01612420110478</v>
      </c>
      <c r="F174" s="8">
        <v>1827</v>
      </c>
      <c r="G174" s="8">
        <v>49724</v>
      </c>
      <c r="H174" s="8">
        <v>71121</v>
      </c>
      <c r="I174" s="8">
        <v>253218</v>
      </c>
    </row>
    <row r="175" spans="1:9" x14ac:dyDescent="0.2">
      <c r="A175" t="s">
        <v>6</v>
      </c>
      <c r="B175" t="s">
        <v>63</v>
      </c>
      <c r="C175" t="str">
        <f t="shared" si="8"/>
        <v>01612420000000</v>
      </c>
      <c r="D175" t="s">
        <v>2225</v>
      </c>
      <c r="E175" t="str">
        <f>"01612420110460"</f>
        <v>01612420110460</v>
      </c>
      <c r="F175" s="8">
        <v>172</v>
      </c>
      <c r="G175" s="8">
        <v>16268</v>
      </c>
      <c r="H175" s="8">
        <v>5162</v>
      </c>
      <c r="I175" s="8">
        <v>18379</v>
      </c>
    </row>
    <row r="176" spans="1:9" x14ac:dyDescent="0.2">
      <c r="A176" t="s">
        <v>6</v>
      </c>
      <c r="B176" t="s">
        <v>63</v>
      </c>
      <c r="C176" t="str">
        <f t="shared" si="8"/>
        <v>01612420000000</v>
      </c>
      <c r="D176" t="s">
        <v>2226</v>
      </c>
      <c r="E176" t="str">
        <f>"01612426001606"</f>
        <v>01612426001606</v>
      </c>
      <c r="F176" s="8">
        <v>561</v>
      </c>
      <c r="G176" s="8">
        <v>9347</v>
      </c>
      <c r="H176" s="8">
        <v>1345</v>
      </c>
      <c r="I176" s="8">
        <v>4788</v>
      </c>
    </row>
    <row r="177" spans="1:9" x14ac:dyDescent="0.2">
      <c r="A177" t="s">
        <v>6</v>
      </c>
      <c r="B177" t="s">
        <v>63</v>
      </c>
      <c r="C177" t="str">
        <f t="shared" si="8"/>
        <v>01612420000000</v>
      </c>
      <c r="D177" t="s">
        <v>2227</v>
      </c>
      <c r="E177" t="str">
        <f>"01612426115554"</f>
        <v>01612426115554</v>
      </c>
      <c r="F177" s="8">
        <v>933</v>
      </c>
      <c r="G177" s="8">
        <v>9173</v>
      </c>
      <c r="H177" s="8">
        <v>1166</v>
      </c>
      <c r="I177" s="8">
        <v>4151</v>
      </c>
    </row>
    <row r="178" spans="1:9" x14ac:dyDescent="0.2">
      <c r="A178" t="s">
        <v>6</v>
      </c>
      <c r="B178" t="s">
        <v>63</v>
      </c>
      <c r="C178" t="str">
        <f t="shared" si="8"/>
        <v>01612420000000</v>
      </c>
      <c r="D178" t="s">
        <v>2228</v>
      </c>
      <c r="E178" t="str">
        <f>"01612426001572"</f>
        <v>01612426001572</v>
      </c>
      <c r="F178" s="8">
        <v>191</v>
      </c>
      <c r="G178" s="8">
        <v>9584</v>
      </c>
      <c r="H178" s="8">
        <v>979</v>
      </c>
      <c r="I178" s="8">
        <v>3485</v>
      </c>
    </row>
    <row r="179" spans="1:9" x14ac:dyDescent="0.2">
      <c r="A179" t="s">
        <v>6</v>
      </c>
      <c r="B179" t="s">
        <v>63</v>
      </c>
      <c r="C179" t="str">
        <f t="shared" si="8"/>
        <v>01612420000000</v>
      </c>
      <c r="D179" t="s">
        <v>2229</v>
      </c>
      <c r="E179" t="str">
        <f>"01612426101604"</f>
        <v>01612426101604</v>
      </c>
      <c r="F179" s="8">
        <v>187</v>
      </c>
      <c r="G179" s="8">
        <v>8428</v>
      </c>
      <c r="H179" s="8">
        <v>943</v>
      </c>
      <c r="I179" s="8">
        <v>3356</v>
      </c>
    </row>
    <row r="180" spans="1:9" x14ac:dyDescent="0.2">
      <c r="A180" t="s">
        <v>6</v>
      </c>
      <c r="B180" t="s">
        <v>63</v>
      </c>
      <c r="C180" t="str">
        <f t="shared" si="8"/>
        <v>01612420000000</v>
      </c>
      <c r="D180" t="s">
        <v>2230</v>
      </c>
      <c r="E180" t="str">
        <f>"01612426118525"</f>
        <v>01612426118525</v>
      </c>
      <c r="F180" s="8">
        <v>170</v>
      </c>
      <c r="G180" s="8">
        <v>8249</v>
      </c>
      <c r="H180" s="8">
        <v>953</v>
      </c>
      <c r="I180" s="8">
        <v>3391</v>
      </c>
    </row>
    <row r="181" spans="1:9" x14ac:dyDescent="0.2">
      <c r="A181" t="s">
        <v>6</v>
      </c>
      <c r="B181" t="s">
        <v>63</v>
      </c>
      <c r="C181" t="str">
        <f t="shared" si="8"/>
        <v>01612420000000</v>
      </c>
      <c r="D181" t="s">
        <v>2231</v>
      </c>
      <c r="E181" t="str">
        <f>"01612420126763"</f>
        <v>01612420126763</v>
      </c>
      <c r="F181" s="8">
        <v>2761</v>
      </c>
      <c r="G181" s="8">
        <v>3570</v>
      </c>
      <c r="H181" s="8">
        <v>1359</v>
      </c>
      <c r="I181" s="8">
        <v>4839</v>
      </c>
    </row>
    <row r="182" spans="1:9" x14ac:dyDescent="0.2">
      <c r="A182" t="s">
        <v>6</v>
      </c>
      <c r="B182" t="s">
        <v>63</v>
      </c>
      <c r="C182" t="str">
        <f t="shared" si="8"/>
        <v>01612420000000</v>
      </c>
      <c r="D182" t="s">
        <v>2232</v>
      </c>
      <c r="E182" t="str">
        <f>"01612426115505"</f>
        <v>01612426115505</v>
      </c>
      <c r="F182" s="8">
        <v>85</v>
      </c>
      <c r="G182" s="8">
        <v>7931</v>
      </c>
      <c r="H182" s="8">
        <v>922</v>
      </c>
      <c r="I182" s="8">
        <v>3284</v>
      </c>
    </row>
    <row r="183" spans="1:9" x14ac:dyDescent="0.2">
      <c r="A183" t="s">
        <v>6</v>
      </c>
      <c r="B183" t="s">
        <v>63</v>
      </c>
      <c r="C183" t="str">
        <f t="shared" si="8"/>
        <v>01612420000000</v>
      </c>
      <c r="D183" t="s">
        <v>2233</v>
      </c>
      <c r="E183" t="str">
        <f>"01612426001622"</f>
        <v>01612426001622</v>
      </c>
      <c r="F183" s="8">
        <v>606</v>
      </c>
      <c r="G183" s="8">
        <v>7341</v>
      </c>
      <c r="H183" s="8">
        <v>925</v>
      </c>
      <c r="I183" s="8">
        <v>3293</v>
      </c>
    </row>
    <row r="184" spans="1:9" x14ac:dyDescent="0.2">
      <c r="A184" t="s">
        <v>6</v>
      </c>
      <c r="B184" t="s">
        <v>63</v>
      </c>
      <c r="C184" t="str">
        <f t="shared" si="8"/>
        <v>01612420000000</v>
      </c>
      <c r="D184" t="s">
        <v>2178</v>
      </c>
      <c r="E184" t="str">
        <f>"01612426097679"</f>
        <v>01612426097679</v>
      </c>
      <c r="F184" s="8">
        <v>321</v>
      </c>
      <c r="G184" s="8">
        <v>8429</v>
      </c>
      <c r="H184" s="8">
        <v>634</v>
      </c>
      <c r="I184" s="8">
        <v>2256</v>
      </c>
    </row>
    <row r="185" spans="1:9" x14ac:dyDescent="0.2">
      <c r="A185" t="s">
        <v>6</v>
      </c>
      <c r="B185" t="s">
        <v>63</v>
      </c>
      <c r="C185" t="str">
        <f t="shared" si="8"/>
        <v>01612420000000</v>
      </c>
      <c r="D185" t="s">
        <v>2234</v>
      </c>
      <c r="E185" t="str">
        <f>"01612426068266"</f>
        <v>01612426068266</v>
      </c>
      <c r="F185" s="8">
        <v>155</v>
      </c>
      <c r="G185" s="8">
        <v>7237</v>
      </c>
      <c r="H185" s="8">
        <v>513</v>
      </c>
      <c r="I185" s="8">
        <v>1828</v>
      </c>
    </row>
    <row r="186" spans="1:9" x14ac:dyDescent="0.2">
      <c r="A186" t="s">
        <v>6</v>
      </c>
      <c r="B186" t="s">
        <v>63</v>
      </c>
      <c r="C186" t="str">
        <f t="shared" si="8"/>
        <v>01612420000000</v>
      </c>
      <c r="D186" t="s">
        <v>2235</v>
      </c>
      <c r="E186" t="str">
        <f>"01612420134668"</f>
        <v>01612420134668</v>
      </c>
      <c r="F186" s="8">
        <v>741</v>
      </c>
      <c r="G186" s="8">
        <v>7625</v>
      </c>
      <c r="H186" s="8">
        <v>184</v>
      </c>
      <c r="I186" s="8">
        <v>656</v>
      </c>
    </row>
    <row r="187" spans="1:9" x14ac:dyDescent="0.2">
      <c r="A187" t="s">
        <v>6</v>
      </c>
      <c r="B187" t="s">
        <v>64</v>
      </c>
      <c r="C187" t="str">
        <f t="shared" ref="C187:C198" si="9">"01612340000000"</f>
        <v>01612340000000</v>
      </c>
      <c r="D187" t="s">
        <v>2236</v>
      </c>
      <c r="E187" t="str">
        <f>"01612340135426"</f>
        <v>01612340135426</v>
      </c>
      <c r="F187" s="8">
        <v>3111</v>
      </c>
      <c r="G187" s="8">
        <v>19689</v>
      </c>
      <c r="H187" s="8">
        <v>571</v>
      </c>
      <c r="I187" s="8">
        <v>3805</v>
      </c>
    </row>
    <row r="188" spans="1:9" x14ac:dyDescent="0.2">
      <c r="A188" t="s">
        <v>6</v>
      </c>
      <c r="B188" t="s">
        <v>64</v>
      </c>
      <c r="C188" t="str">
        <f t="shared" si="9"/>
        <v>01612340000000</v>
      </c>
      <c r="D188" t="s">
        <v>2237</v>
      </c>
      <c r="E188" t="str">
        <f>"01612340130484"</f>
        <v>01612340130484</v>
      </c>
      <c r="F188" s="8">
        <v>269</v>
      </c>
      <c r="G188" s="8">
        <v>13191</v>
      </c>
      <c r="H188" s="8">
        <v>571</v>
      </c>
      <c r="I188" s="8">
        <v>3805</v>
      </c>
    </row>
    <row r="189" spans="1:9" x14ac:dyDescent="0.2">
      <c r="A189" t="s">
        <v>6</v>
      </c>
      <c r="B189" t="s">
        <v>64</v>
      </c>
      <c r="C189" t="str">
        <f t="shared" si="9"/>
        <v>01612340000000</v>
      </c>
      <c r="D189" t="s">
        <v>2238</v>
      </c>
      <c r="E189" t="str">
        <f>"01612346001457"</f>
        <v>01612346001457</v>
      </c>
      <c r="F189" s="8">
        <v>1495</v>
      </c>
      <c r="G189" s="8">
        <v>10663</v>
      </c>
      <c r="H189" s="8">
        <v>571</v>
      </c>
      <c r="I189" s="8">
        <v>3805</v>
      </c>
    </row>
    <row r="190" spans="1:9" x14ac:dyDescent="0.2">
      <c r="A190" t="s">
        <v>6</v>
      </c>
      <c r="B190" t="s">
        <v>64</v>
      </c>
      <c r="C190" t="str">
        <f t="shared" si="9"/>
        <v>01612340000000</v>
      </c>
      <c r="D190" t="s">
        <v>2239</v>
      </c>
      <c r="E190" t="str">
        <f>"01612346001473"</f>
        <v>01612346001473</v>
      </c>
      <c r="F190" s="8">
        <v>571</v>
      </c>
      <c r="G190" s="8">
        <v>8993</v>
      </c>
      <c r="H190" s="8">
        <v>571</v>
      </c>
      <c r="I190" s="8">
        <v>3805</v>
      </c>
    </row>
    <row r="191" spans="1:9" x14ac:dyDescent="0.2">
      <c r="A191" t="s">
        <v>6</v>
      </c>
      <c r="B191" t="s">
        <v>64</v>
      </c>
      <c r="C191" t="str">
        <f t="shared" si="9"/>
        <v>01612340000000</v>
      </c>
      <c r="D191" t="s">
        <v>2240</v>
      </c>
      <c r="E191" t="str">
        <f>"01612346001481"</f>
        <v>01612346001481</v>
      </c>
      <c r="F191" s="8">
        <v>1003</v>
      </c>
      <c r="G191" s="8">
        <v>8254</v>
      </c>
      <c r="H191" s="8">
        <v>571</v>
      </c>
      <c r="I191" s="8">
        <v>3805</v>
      </c>
    </row>
    <row r="192" spans="1:9" x14ac:dyDescent="0.2">
      <c r="A192" t="s">
        <v>6</v>
      </c>
      <c r="B192" t="s">
        <v>64</v>
      </c>
      <c r="C192" t="str">
        <f t="shared" si="9"/>
        <v>01612340000000</v>
      </c>
      <c r="D192" t="s">
        <v>2241</v>
      </c>
      <c r="E192" t="str">
        <f>"01612346001440"</f>
        <v>01612346001440</v>
      </c>
      <c r="F192" s="8">
        <v>606</v>
      </c>
      <c r="G192" s="8">
        <v>8119</v>
      </c>
      <c r="H192" s="8">
        <v>571</v>
      </c>
      <c r="I192" s="8">
        <v>3805</v>
      </c>
    </row>
    <row r="193" spans="1:9" x14ac:dyDescent="0.2">
      <c r="A193" t="s">
        <v>6</v>
      </c>
      <c r="B193" t="s">
        <v>64</v>
      </c>
      <c r="C193" t="str">
        <f t="shared" si="9"/>
        <v>01612340000000</v>
      </c>
      <c r="D193" t="s">
        <v>2242</v>
      </c>
      <c r="E193" t="str">
        <f>"01612346102917"</f>
        <v>01612346102917</v>
      </c>
      <c r="F193" s="8">
        <v>669</v>
      </c>
      <c r="G193" s="8">
        <v>7626</v>
      </c>
      <c r="H193" s="8">
        <v>571</v>
      </c>
      <c r="I193" s="8">
        <v>3805</v>
      </c>
    </row>
    <row r="194" spans="1:9" x14ac:dyDescent="0.2">
      <c r="A194" t="s">
        <v>6</v>
      </c>
      <c r="B194" t="s">
        <v>64</v>
      </c>
      <c r="C194" t="str">
        <f t="shared" si="9"/>
        <v>01612340000000</v>
      </c>
      <c r="D194" t="s">
        <v>2243</v>
      </c>
      <c r="E194" t="str">
        <f>"01612346001523"</f>
        <v>01612346001523</v>
      </c>
      <c r="F194" s="8">
        <v>523</v>
      </c>
      <c r="G194" s="8">
        <v>7537</v>
      </c>
      <c r="H194" s="8">
        <v>571</v>
      </c>
      <c r="I194" s="8">
        <v>3805</v>
      </c>
    </row>
    <row r="195" spans="1:9" x14ac:dyDescent="0.2">
      <c r="A195" t="s">
        <v>6</v>
      </c>
      <c r="B195" t="s">
        <v>64</v>
      </c>
      <c r="C195" t="str">
        <f t="shared" si="9"/>
        <v>01612340000000</v>
      </c>
      <c r="D195" t="s">
        <v>2244</v>
      </c>
      <c r="E195" t="str">
        <f>"01612346001507"</f>
        <v>01612346001507</v>
      </c>
      <c r="F195" s="8">
        <v>249</v>
      </c>
      <c r="G195" s="8">
        <v>7384</v>
      </c>
      <c r="H195" s="8">
        <v>571</v>
      </c>
      <c r="I195" s="8">
        <v>3805</v>
      </c>
    </row>
    <row r="196" spans="1:9" x14ac:dyDescent="0.2">
      <c r="A196" t="s">
        <v>6</v>
      </c>
      <c r="B196" t="s">
        <v>64</v>
      </c>
      <c r="C196" t="str">
        <f t="shared" si="9"/>
        <v>01612340000000</v>
      </c>
      <c r="D196" t="s">
        <v>2245</v>
      </c>
      <c r="E196" t="str">
        <f>"01612340130054"</f>
        <v>01612340130054</v>
      </c>
      <c r="F196" s="8">
        <v>190</v>
      </c>
      <c r="G196" s="8">
        <v>6950</v>
      </c>
      <c r="H196" s="8">
        <v>571</v>
      </c>
      <c r="I196" s="8">
        <v>3805</v>
      </c>
    </row>
    <row r="197" spans="1:9" x14ac:dyDescent="0.2">
      <c r="A197" t="s">
        <v>6</v>
      </c>
      <c r="B197" t="s">
        <v>64</v>
      </c>
      <c r="C197" t="str">
        <f t="shared" si="9"/>
        <v>01612340000000</v>
      </c>
      <c r="D197" t="s">
        <v>2246</v>
      </c>
      <c r="E197" t="str">
        <f>"01612346001499"</f>
        <v>01612346001499</v>
      </c>
      <c r="F197" s="8">
        <v>265</v>
      </c>
      <c r="G197" s="8">
        <v>6759</v>
      </c>
      <c r="H197" s="8">
        <v>571</v>
      </c>
      <c r="I197" s="8">
        <v>3805</v>
      </c>
    </row>
    <row r="198" spans="1:9" x14ac:dyDescent="0.2">
      <c r="A198" t="s">
        <v>6</v>
      </c>
      <c r="B198" t="s">
        <v>64</v>
      </c>
      <c r="C198" t="str">
        <f t="shared" si="9"/>
        <v>01612340000000</v>
      </c>
      <c r="D198" t="s">
        <v>2247</v>
      </c>
      <c r="E198" t="str">
        <f>"01612346001531"</f>
        <v>01612346001531</v>
      </c>
      <c r="F198" s="8">
        <v>244</v>
      </c>
      <c r="G198" s="8">
        <v>6429</v>
      </c>
      <c r="H198" s="8">
        <v>571</v>
      </c>
      <c r="I198" s="8">
        <v>3805</v>
      </c>
    </row>
    <row r="199" spans="1:9" x14ac:dyDescent="0.2">
      <c r="A199" t="s">
        <v>6</v>
      </c>
      <c r="B199" t="s">
        <v>70</v>
      </c>
      <c r="C199" t="str">
        <f t="shared" ref="C199:C230" si="10">"01612590000000"</f>
        <v>01612590000000</v>
      </c>
      <c r="D199" t="s">
        <v>2248</v>
      </c>
      <c r="E199" t="str">
        <f>"01612590106542"</f>
        <v>01612590106542</v>
      </c>
      <c r="F199" s="8">
        <v>1111</v>
      </c>
      <c r="G199" s="8">
        <v>41040</v>
      </c>
      <c r="H199" s="8">
        <v>2427</v>
      </c>
      <c r="I199" s="8">
        <v>6179</v>
      </c>
    </row>
    <row r="200" spans="1:9" x14ac:dyDescent="0.2">
      <c r="A200" t="s">
        <v>6</v>
      </c>
      <c r="B200" t="s">
        <v>70</v>
      </c>
      <c r="C200" t="str">
        <f t="shared" si="10"/>
        <v>01612590000000</v>
      </c>
      <c r="D200" t="s">
        <v>2249</v>
      </c>
      <c r="E200" t="str">
        <f>"01612596002182"</f>
        <v>01612596002182</v>
      </c>
      <c r="F200" s="8">
        <v>1878</v>
      </c>
      <c r="G200" s="8">
        <v>24556</v>
      </c>
      <c r="H200" s="8">
        <v>2427</v>
      </c>
      <c r="I200" s="8">
        <v>6179</v>
      </c>
    </row>
    <row r="201" spans="1:9" x14ac:dyDescent="0.2">
      <c r="A201" t="s">
        <v>6</v>
      </c>
      <c r="B201" t="s">
        <v>70</v>
      </c>
      <c r="C201" t="str">
        <f t="shared" si="10"/>
        <v>01612590000000</v>
      </c>
      <c r="D201" t="s">
        <v>2250</v>
      </c>
      <c r="E201" t="str">
        <f>"01612590118653"</f>
        <v>01612590118653</v>
      </c>
      <c r="F201" s="8">
        <v>2158</v>
      </c>
      <c r="G201" s="8">
        <v>18614</v>
      </c>
      <c r="H201" s="8">
        <v>2427</v>
      </c>
      <c r="I201" s="8">
        <v>6179</v>
      </c>
    </row>
    <row r="202" spans="1:9" x14ac:dyDescent="0.2">
      <c r="A202" t="s">
        <v>6</v>
      </c>
      <c r="B202" t="s">
        <v>70</v>
      </c>
      <c r="C202" t="str">
        <f t="shared" si="10"/>
        <v>01612590000000</v>
      </c>
      <c r="D202" t="s">
        <v>2251</v>
      </c>
      <c r="E202" t="str">
        <f>"01612590110254"</f>
        <v>01612590110254</v>
      </c>
      <c r="F202" s="8">
        <v>2323</v>
      </c>
      <c r="G202" s="8">
        <v>13754</v>
      </c>
      <c r="H202" s="8">
        <v>2427</v>
      </c>
      <c r="I202" s="8">
        <v>6179</v>
      </c>
    </row>
    <row r="203" spans="1:9" x14ac:dyDescent="0.2">
      <c r="A203" t="s">
        <v>6</v>
      </c>
      <c r="B203" t="s">
        <v>70</v>
      </c>
      <c r="C203" t="str">
        <f t="shared" si="10"/>
        <v>01612590000000</v>
      </c>
      <c r="D203" t="s">
        <v>2252</v>
      </c>
      <c r="E203" t="str">
        <f>"01612590115667"</f>
        <v>01612590115667</v>
      </c>
      <c r="F203" s="8">
        <v>1197</v>
      </c>
      <c r="G203" s="8">
        <v>13839</v>
      </c>
      <c r="H203" s="8">
        <v>2427</v>
      </c>
      <c r="I203" s="8">
        <v>6179</v>
      </c>
    </row>
    <row r="204" spans="1:9" x14ac:dyDescent="0.2">
      <c r="A204" t="s">
        <v>6</v>
      </c>
      <c r="B204" t="s">
        <v>70</v>
      </c>
      <c r="C204" t="str">
        <f t="shared" si="10"/>
        <v>01612590000000</v>
      </c>
      <c r="D204" t="s">
        <v>2253</v>
      </c>
      <c r="E204" t="str">
        <f>"01612596002125"</f>
        <v>01612596002125</v>
      </c>
      <c r="F204" s="8">
        <v>1729</v>
      </c>
      <c r="G204" s="8">
        <v>11888</v>
      </c>
      <c r="H204" s="8">
        <v>2427</v>
      </c>
      <c r="I204" s="8">
        <v>6179</v>
      </c>
    </row>
    <row r="205" spans="1:9" x14ac:dyDescent="0.2">
      <c r="A205" t="s">
        <v>6</v>
      </c>
      <c r="B205" t="s">
        <v>70</v>
      </c>
      <c r="C205" t="str">
        <f t="shared" si="10"/>
        <v>01612590000000</v>
      </c>
      <c r="D205" t="s">
        <v>2254</v>
      </c>
      <c r="E205" t="str">
        <f>"01612596001713"</f>
        <v>01612596001713</v>
      </c>
      <c r="F205" s="8">
        <v>1100</v>
      </c>
      <c r="G205" s="8">
        <v>12510</v>
      </c>
      <c r="H205" s="8">
        <v>2427</v>
      </c>
      <c r="I205" s="8">
        <v>6179</v>
      </c>
    </row>
    <row r="206" spans="1:9" x14ac:dyDescent="0.2">
      <c r="A206" t="s">
        <v>6</v>
      </c>
      <c r="B206" t="s">
        <v>70</v>
      </c>
      <c r="C206" t="str">
        <f t="shared" si="10"/>
        <v>01612590000000</v>
      </c>
      <c r="D206" t="s">
        <v>2255</v>
      </c>
      <c r="E206" t="str">
        <f>"01612596001689"</f>
        <v>01612596001689</v>
      </c>
      <c r="F206" s="8">
        <v>843</v>
      </c>
      <c r="G206" s="8">
        <v>12661</v>
      </c>
      <c r="H206" s="8">
        <v>2427</v>
      </c>
      <c r="I206" s="8">
        <v>6179</v>
      </c>
    </row>
    <row r="207" spans="1:9" x14ac:dyDescent="0.2">
      <c r="A207" t="s">
        <v>6</v>
      </c>
      <c r="B207" t="s">
        <v>70</v>
      </c>
      <c r="C207" t="str">
        <f t="shared" si="10"/>
        <v>01612590000000</v>
      </c>
      <c r="D207" t="s">
        <v>2256</v>
      </c>
      <c r="E207" t="str">
        <f>"01612590115204"</f>
        <v>01612590115204</v>
      </c>
      <c r="F207" s="8">
        <v>5053</v>
      </c>
      <c r="G207" s="8">
        <v>8371</v>
      </c>
      <c r="H207" s="8">
        <v>2427</v>
      </c>
      <c r="I207" s="8">
        <v>6179</v>
      </c>
    </row>
    <row r="208" spans="1:9" x14ac:dyDescent="0.2">
      <c r="A208" t="s">
        <v>6</v>
      </c>
      <c r="B208" t="s">
        <v>70</v>
      </c>
      <c r="C208" t="str">
        <f t="shared" si="10"/>
        <v>01612590000000</v>
      </c>
      <c r="D208" t="s">
        <v>2257</v>
      </c>
      <c r="E208" t="str">
        <f>"01612596114011"</f>
        <v>01612596114011</v>
      </c>
      <c r="F208" s="8">
        <v>139</v>
      </c>
      <c r="G208" s="8">
        <v>13217</v>
      </c>
      <c r="H208" s="8">
        <v>2427</v>
      </c>
      <c r="I208" s="8">
        <v>6179</v>
      </c>
    </row>
    <row r="209" spans="1:9" x14ac:dyDescent="0.2">
      <c r="A209" t="s">
        <v>6</v>
      </c>
      <c r="B209" t="s">
        <v>70</v>
      </c>
      <c r="C209" t="str">
        <f t="shared" si="10"/>
        <v>01612590000000</v>
      </c>
      <c r="D209" t="s">
        <v>2258</v>
      </c>
      <c r="E209" t="str">
        <f>"01612590132688"</f>
        <v>01612590132688</v>
      </c>
      <c r="F209" s="8">
        <v>1678</v>
      </c>
      <c r="G209" s="8">
        <v>11323</v>
      </c>
      <c r="H209" s="8">
        <v>2427</v>
      </c>
      <c r="I209" s="8">
        <v>6179</v>
      </c>
    </row>
    <row r="210" spans="1:9" x14ac:dyDescent="0.2">
      <c r="A210" t="s">
        <v>6</v>
      </c>
      <c r="B210" t="s">
        <v>70</v>
      </c>
      <c r="C210" t="str">
        <f t="shared" si="10"/>
        <v>01612590000000</v>
      </c>
      <c r="D210" t="s">
        <v>2259</v>
      </c>
      <c r="E210" t="str">
        <f>"01612590115626"</f>
        <v>01612590115626</v>
      </c>
      <c r="F210" s="8">
        <v>532</v>
      </c>
      <c r="G210" s="8">
        <v>12350</v>
      </c>
      <c r="H210" s="8">
        <v>2427</v>
      </c>
      <c r="I210" s="8">
        <v>6179</v>
      </c>
    </row>
    <row r="211" spans="1:9" x14ac:dyDescent="0.2">
      <c r="A211" t="s">
        <v>6</v>
      </c>
      <c r="B211" t="s">
        <v>70</v>
      </c>
      <c r="C211" t="str">
        <f t="shared" si="10"/>
        <v>01612590000000</v>
      </c>
      <c r="D211" t="s">
        <v>2260</v>
      </c>
      <c r="E211" t="str">
        <f>"01612590110189"</f>
        <v>01612590110189</v>
      </c>
      <c r="F211" s="8">
        <v>1068</v>
      </c>
      <c r="G211" s="8">
        <v>11763</v>
      </c>
      <c r="H211" s="8">
        <v>2427</v>
      </c>
      <c r="I211" s="8">
        <v>6179</v>
      </c>
    </row>
    <row r="212" spans="1:9" x14ac:dyDescent="0.2">
      <c r="A212" t="s">
        <v>6</v>
      </c>
      <c r="B212" t="s">
        <v>70</v>
      </c>
      <c r="C212" t="str">
        <f t="shared" si="10"/>
        <v>01612590000000</v>
      </c>
      <c r="D212" t="s">
        <v>2261</v>
      </c>
      <c r="E212" t="str">
        <f>"01612596057095"</f>
        <v>01612596057095</v>
      </c>
      <c r="F212" s="8">
        <v>786</v>
      </c>
      <c r="G212" s="8">
        <v>11433</v>
      </c>
      <c r="H212" s="8">
        <v>2427</v>
      </c>
      <c r="I212" s="8">
        <v>6179</v>
      </c>
    </row>
    <row r="213" spans="1:9" x14ac:dyDescent="0.2">
      <c r="A213" t="s">
        <v>6</v>
      </c>
      <c r="B213" t="s">
        <v>70</v>
      </c>
      <c r="C213" t="str">
        <f t="shared" si="10"/>
        <v>01612590000000</v>
      </c>
      <c r="D213" t="s">
        <v>2090</v>
      </c>
      <c r="E213" t="str">
        <f>"01612596001812"</f>
        <v>01612596001812</v>
      </c>
      <c r="F213" s="8">
        <v>1688</v>
      </c>
      <c r="G213" s="8">
        <v>10275</v>
      </c>
      <c r="H213" s="8">
        <v>2427</v>
      </c>
      <c r="I213" s="8">
        <v>6179</v>
      </c>
    </row>
    <row r="214" spans="1:9" x14ac:dyDescent="0.2">
      <c r="A214" t="s">
        <v>6</v>
      </c>
      <c r="B214" t="s">
        <v>70</v>
      </c>
      <c r="C214" t="str">
        <f t="shared" si="10"/>
        <v>01612590000000</v>
      </c>
      <c r="D214" t="s">
        <v>2200</v>
      </c>
      <c r="E214" t="str">
        <f>"01612596056998"</f>
        <v>01612596056998</v>
      </c>
      <c r="F214" s="8">
        <v>1363</v>
      </c>
      <c r="G214" s="8">
        <v>10536</v>
      </c>
      <c r="H214" s="8">
        <v>2427</v>
      </c>
      <c r="I214" s="8">
        <v>6179</v>
      </c>
    </row>
    <row r="215" spans="1:9" x14ac:dyDescent="0.2">
      <c r="A215" t="s">
        <v>6</v>
      </c>
      <c r="B215" t="s">
        <v>70</v>
      </c>
      <c r="C215" t="str">
        <f t="shared" si="10"/>
        <v>01612590000000</v>
      </c>
      <c r="D215" t="s">
        <v>2262</v>
      </c>
      <c r="E215" t="str">
        <f>"01612590112797"</f>
        <v>01612590112797</v>
      </c>
      <c r="F215" s="8">
        <v>1187</v>
      </c>
      <c r="G215" s="8">
        <v>10662</v>
      </c>
      <c r="H215" s="8">
        <v>2427</v>
      </c>
      <c r="I215" s="8">
        <v>6179</v>
      </c>
    </row>
    <row r="216" spans="1:9" x14ac:dyDescent="0.2">
      <c r="A216" t="s">
        <v>6</v>
      </c>
      <c r="B216" t="s">
        <v>70</v>
      </c>
      <c r="C216" t="str">
        <f t="shared" si="10"/>
        <v>01612590000000</v>
      </c>
      <c r="D216" t="s">
        <v>2263</v>
      </c>
      <c r="E216" t="str">
        <f>"01612596001663"</f>
        <v>01612596001663</v>
      </c>
      <c r="F216" s="8">
        <v>485</v>
      </c>
      <c r="G216" s="8">
        <v>11279</v>
      </c>
      <c r="H216" s="8">
        <v>2427</v>
      </c>
      <c r="I216" s="8">
        <v>6179</v>
      </c>
    </row>
    <row r="217" spans="1:9" x14ac:dyDescent="0.2">
      <c r="A217" t="s">
        <v>6</v>
      </c>
      <c r="B217" t="s">
        <v>70</v>
      </c>
      <c r="C217" t="str">
        <f t="shared" si="10"/>
        <v>01612590000000</v>
      </c>
      <c r="D217" t="s">
        <v>2264</v>
      </c>
      <c r="E217" t="str">
        <f>"01612596072235"</f>
        <v>01612596072235</v>
      </c>
      <c r="F217" s="8">
        <v>1280</v>
      </c>
      <c r="G217" s="8">
        <v>10480</v>
      </c>
      <c r="H217" s="8">
        <v>2427</v>
      </c>
      <c r="I217" s="8">
        <v>6179</v>
      </c>
    </row>
    <row r="218" spans="1:9" x14ac:dyDescent="0.2">
      <c r="A218" t="s">
        <v>6</v>
      </c>
      <c r="B218" t="s">
        <v>70</v>
      </c>
      <c r="C218" t="str">
        <f t="shared" si="10"/>
        <v>01612590000000</v>
      </c>
      <c r="D218" t="s">
        <v>2265</v>
      </c>
      <c r="E218" t="str">
        <f>"01612590125161"</f>
        <v>01612590125161</v>
      </c>
      <c r="F218" s="8">
        <v>960</v>
      </c>
      <c r="G218" s="8">
        <v>10612</v>
      </c>
      <c r="H218" s="8">
        <v>2427</v>
      </c>
      <c r="I218" s="8">
        <v>6179</v>
      </c>
    </row>
    <row r="219" spans="1:9" x14ac:dyDescent="0.2">
      <c r="A219" t="s">
        <v>6</v>
      </c>
      <c r="B219" t="s">
        <v>70</v>
      </c>
      <c r="C219" t="str">
        <f t="shared" si="10"/>
        <v>01612590000000</v>
      </c>
      <c r="D219" t="s">
        <v>2266</v>
      </c>
      <c r="E219" t="str">
        <f>"01612590115576"</f>
        <v>01612590115576</v>
      </c>
      <c r="F219" s="8">
        <v>4501</v>
      </c>
      <c r="G219" s="8">
        <v>7003</v>
      </c>
      <c r="H219" s="8">
        <v>2427</v>
      </c>
      <c r="I219" s="8">
        <v>6179</v>
      </c>
    </row>
    <row r="220" spans="1:9" x14ac:dyDescent="0.2">
      <c r="A220" t="s">
        <v>6</v>
      </c>
      <c r="B220" t="s">
        <v>70</v>
      </c>
      <c r="C220" t="str">
        <f t="shared" si="10"/>
        <v>01612590000000</v>
      </c>
      <c r="D220" t="s">
        <v>2267</v>
      </c>
      <c r="E220" t="str">
        <f>"01612590130179"</f>
        <v>01612590130179</v>
      </c>
      <c r="F220" s="8">
        <v>1535</v>
      </c>
      <c r="G220" s="8">
        <v>9951</v>
      </c>
      <c r="H220" s="8">
        <v>2427</v>
      </c>
      <c r="I220" s="8">
        <v>6179</v>
      </c>
    </row>
    <row r="221" spans="1:9" x14ac:dyDescent="0.2">
      <c r="A221" t="s">
        <v>6</v>
      </c>
      <c r="B221" t="s">
        <v>70</v>
      </c>
      <c r="C221" t="str">
        <f t="shared" si="10"/>
        <v>01612590000000</v>
      </c>
      <c r="D221" t="s">
        <v>982</v>
      </c>
      <c r="E221" t="str">
        <f>"01612596001879"</f>
        <v>01612596001879</v>
      </c>
      <c r="F221" s="8">
        <v>1028</v>
      </c>
      <c r="G221" s="8">
        <v>10205</v>
      </c>
      <c r="H221" s="8">
        <v>2427</v>
      </c>
      <c r="I221" s="8">
        <v>6179</v>
      </c>
    </row>
    <row r="222" spans="1:9" x14ac:dyDescent="0.2">
      <c r="A222" t="s">
        <v>6</v>
      </c>
      <c r="B222" t="s">
        <v>70</v>
      </c>
      <c r="C222" t="str">
        <f t="shared" si="10"/>
        <v>01612590000000</v>
      </c>
      <c r="D222" t="s">
        <v>2268</v>
      </c>
      <c r="E222" t="str">
        <f>"01612596057020"</f>
        <v>01612596057020</v>
      </c>
      <c r="F222" s="8">
        <v>860</v>
      </c>
      <c r="G222" s="8">
        <v>10342</v>
      </c>
      <c r="H222" s="8">
        <v>2427</v>
      </c>
      <c r="I222" s="8">
        <v>6179</v>
      </c>
    </row>
    <row r="223" spans="1:9" x14ac:dyDescent="0.2">
      <c r="A223" t="s">
        <v>6</v>
      </c>
      <c r="B223" t="s">
        <v>70</v>
      </c>
      <c r="C223" t="str">
        <f t="shared" si="10"/>
        <v>01612590000000</v>
      </c>
      <c r="D223" t="s">
        <v>2269</v>
      </c>
      <c r="E223" t="str">
        <f>"01612590100701"</f>
        <v>01612590100701</v>
      </c>
      <c r="F223" s="8">
        <v>1320</v>
      </c>
      <c r="G223" s="8">
        <v>9734</v>
      </c>
      <c r="H223" s="8">
        <v>2427</v>
      </c>
      <c r="I223" s="8">
        <v>6179</v>
      </c>
    </row>
    <row r="224" spans="1:9" x14ac:dyDescent="0.2">
      <c r="A224" t="s">
        <v>6</v>
      </c>
      <c r="B224" t="s">
        <v>70</v>
      </c>
      <c r="C224" t="str">
        <f t="shared" si="10"/>
        <v>01612590000000</v>
      </c>
      <c r="D224" t="s">
        <v>352</v>
      </c>
      <c r="E224" t="str">
        <f>"01612596001838"</f>
        <v>01612596001838</v>
      </c>
      <c r="F224" s="8">
        <v>1019</v>
      </c>
      <c r="G224" s="8">
        <v>10002</v>
      </c>
      <c r="H224" s="8">
        <v>2427</v>
      </c>
      <c r="I224" s="8">
        <v>6179</v>
      </c>
    </row>
    <row r="225" spans="1:9" x14ac:dyDescent="0.2">
      <c r="A225" t="s">
        <v>6</v>
      </c>
      <c r="B225" t="s">
        <v>70</v>
      </c>
      <c r="C225" t="str">
        <f t="shared" si="10"/>
        <v>01612590000000</v>
      </c>
      <c r="D225" t="s">
        <v>2270</v>
      </c>
      <c r="E225" t="str">
        <f>"01612590130575"</f>
        <v>01612590130575</v>
      </c>
      <c r="F225" s="8">
        <v>1572</v>
      </c>
      <c r="G225" s="8">
        <v>9416</v>
      </c>
      <c r="H225" s="8">
        <v>2427</v>
      </c>
      <c r="I225" s="8">
        <v>6179</v>
      </c>
    </row>
    <row r="226" spans="1:9" x14ac:dyDescent="0.2">
      <c r="A226" t="s">
        <v>6</v>
      </c>
      <c r="B226" t="s">
        <v>70</v>
      </c>
      <c r="C226" t="str">
        <f t="shared" si="10"/>
        <v>01612590000000</v>
      </c>
      <c r="D226" t="s">
        <v>2271</v>
      </c>
      <c r="E226" t="str">
        <f>"01612596002059"</f>
        <v>01612596002059</v>
      </c>
      <c r="F226" s="8">
        <v>1622</v>
      </c>
      <c r="G226" s="8">
        <v>9305</v>
      </c>
      <c r="H226" s="8">
        <v>2427</v>
      </c>
      <c r="I226" s="8">
        <v>6179</v>
      </c>
    </row>
    <row r="227" spans="1:9" x14ac:dyDescent="0.2">
      <c r="A227" t="s">
        <v>6</v>
      </c>
      <c r="B227" t="s">
        <v>70</v>
      </c>
      <c r="C227" t="str">
        <f t="shared" si="10"/>
        <v>01612590000000</v>
      </c>
      <c r="D227" t="s">
        <v>2272</v>
      </c>
      <c r="E227" t="str">
        <f>"01612590125716"</f>
        <v>01612590125716</v>
      </c>
      <c r="F227" s="8">
        <v>1074</v>
      </c>
      <c r="G227" s="8">
        <v>9767</v>
      </c>
      <c r="H227" s="8">
        <v>2427</v>
      </c>
      <c r="I227" s="8">
        <v>6179</v>
      </c>
    </row>
    <row r="228" spans="1:9" x14ac:dyDescent="0.2">
      <c r="A228" t="s">
        <v>6</v>
      </c>
      <c r="B228" t="s">
        <v>70</v>
      </c>
      <c r="C228" t="str">
        <f t="shared" si="10"/>
        <v>01612590000000</v>
      </c>
      <c r="D228" t="s">
        <v>2273</v>
      </c>
      <c r="E228" t="str">
        <f>"01612596001630"</f>
        <v>01612596001630</v>
      </c>
      <c r="F228" s="8">
        <v>746</v>
      </c>
      <c r="G228" s="8">
        <v>10073</v>
      </c>
      <c r="H228" s="8">
        <v>2427</v>
      </c>
      <c r="I228" s="8">
        <v>6179</v>
      </c>
    </row>
    <row r="229" spans="1:9" x14ac:dyDescent="0.2">
      <c r="A229" t="s">
        <v>6</v>
      </c>
      <c r="B229" t="s">
        <v>70</v>
      </c>
      <c r="C229" t="str">
        <f t="shared" si="10"/>
        <v>01612590000000</v>
      </c>
      <c r="D229" t="s">
        <v>2274</v>
      </c>
      <c r="E229" t="str">
        <f>"01612590112763"</f>
        <v>01612590112763</v>
      </c>
      <c r="F229" s="8">
        <v>800</v>
      </c>
      <c r="G229" s="8">
        <v>9723</v>
      </c>
      <c r="H229" s="8">
        <v>2427</v>
      </c>
      <c r="I229" s="8">
        <v>6179</v>
      </c>
    </row>
    <row r="230" spans="1:9" x14ac:dyDescent="0.2">
      <c r="A230" t="s">
        <v>6</v>
      </c>
      <c r="B230" t="s">
        <v>70</v>
      </c>
      <c r="C230" t="str">
        <f t="shared" si="10"/>
        <v>01612590000000</v>
      </c>
      <c r="D230" t="s">
        <v>2275</v>
      </c>
      <c r="E230" t="str">
        <f>"01612596118657"</f>
        <v>01612596118657</v>
      </c>
      <c r="F230" s="8">
        <v>458</v>
      </c>
      <c r="G230" s="8">
        <v>10056</v>
      </c>
      <c r="H230" s="8">
        <v>2427</v>
      </c>
      <c r="I230" s="8">
        <v>6179</v>
      </c>
    </row>
    <row r="231" spans="1:9" x14ac:dyDescent="0.2">
      <c r="A231" t="s">
        <v>6</v>
      </c>
      <c r="B231" t="s">
        <v>70</v>
      </c>
      <c r="C231" t="str">
        <f t="shared" ref="C231:C262" si="11">"01612590000000"</f>
        <v>01612590000000</v>
      </c>
      <c r="D231" t="s">
        <v>2276</v>
      </c>
      <c r="E231" t="str">
        <f>"01612596002091"</f>
        <v>01612596002091</v>
      </c>
      <c r="F231" s="8">
        <v>541</v>
      </c>
      <c r="G231" s="8">
        <v>9566</v>
      </c>
      <c r="H231" s="8">
        <v>2427</v>
      </c>
      <c r="I231" s="8">
        <v>6179</v>
      </c>
    </row>
    <row r="232" spans="1:9" x14ac:dyDescent="0.2">
      <c r="A232" t="s">
        <v>6</v>
      </c>
      <c r="B232" t="s">
        <v>70</v>
      </c>
      <c r="C232" t="str">
        <f t="shared" si="11"/>
        <v>01612590000000</v>
      </c>
      <c r="D232" t="s">
        <v>2277</v>
      </c>
      <c r="E232" t="str">
        <f>"01612590130146"</f>
        <v>01612590130146</v>
      </c>
      <c r="F232" s="8">
        <v>625</v>
      </c>
      <c r="G232" s="8">
        <v>9447</v>
      </c>
      <c r="H232" s="8">
        <v>2427</v>
      </c>
      <c r="I232" s="8">
        <v>6179</v>
      </c>
    </row>
    <row r="233" spans="1:9" x14ac:dyDescent="0.2">
      <c r="A233" t="s">
        <v>6</v>
      </c>
      <c r="B233" t="s">
        <v>70</v>
      </c>
      <c r="C233" t="str">
        <f t="shared" si="11"/>
        <v>01612590000000</v>
      </c>
      <c r="D233" t="s">
        <v>2278</v>
      </c>
      <c r="E233" t="str">
        <f>"01612596001697"</f>
        <v>01612596001697</v>
      </c>
      <c r="F233" s="8">
        <v>625</v>
      </c>
      <c r="G233" s="8">
        <v>9394</v>
      </c>
      <c r="H233" s="8">
        <v>2427</v>
      </c>
      <c r="I233" s="8">
        <v>6179</v>
      </c>
    </row>
    <row r="234" spans="1:9" x14ac:dyDescent="0.2">
      <c r="A234" t="s">
        <v>6</v>
      </c>
      <c r="B234" t="s">
        <v>70</v>
      </c>
      <c r="C234" t="str">
        <f t="shared" si="11"/>
        <v>01612590000000</v>
      </c>
      <c r="D234" t="s">
        <v>1703</v>
      </c>
      <c r="E234" t="str">
        <f>"01612596001655"</f>
        <v>01612596001655</v>
      </c>
      <c r="F234" s="8">
        <v>566</v>
      </c>
      <c r="G234" s="8">
        <v>9388</v>
      </c>
      <c r="H234" s="8">
        <v>2427</v>
      </c>
      <c r="I234" s="8">
        <v>6179</v>
      </c>
    </row>
    <row r="235" spans="1:9" x14ac:dyDescent="0.2">
      <c r="A235" t="s">
        <v>6</v>
      </c>
      <c r="B235" t="s">
        <v>70</v>
      </c>
      <c r="C235" t="str">
        <f t="shared" si="11"/>
        <v>01612590000000</v>
      </c>
      <c r="D235" t="s">
        <v>2279</v>
      </c>
      <c r="E235" t="str">
        <f>"01612590112789"</f>
        <v>01612590112789</v>
      </c>
      <c r="F235" s="8">
        <v>903</v>
      </c>
      <c r="G235" s="8">
        <v>8872</v>
      </c>
      <c r="H235" s="8">
        <v>2427</v>
      </c>
      <c r="I235" s="8">
        <v>6179</v>
      </c>
    </row>
    <row r="236" spans="1:9" x14ac:dyDescent="0.2">
      <c r="A236" t="s">
        <v>6</v>
      </c>
      <c r="B236" t="s">
        <v>70</v>
      </c>
      <c r="C236" t="str">
        <f t="shared" si="11"/>
        <v>01612590000000</v>
      </c>
      <c r="D236" t="s">
        <v>2280</v>
      </c>
      <c r="E236" t="str">
        <f>"01612596002273"</f>
        <v>01612596002273</v>
      </c>
      <c r="F236" s="8">
        <v>419</v>
      </c>
      <c r="G236" s="8">
        <v>9139</v>
      </c>
      <c r="H236" s="8">
        <v>2427</v>
      </c>
      <c r="I236" s="8">
        <v>6179</v>
      </c>
    </row>
    <row r="237" spans="1:9" x14ac:dyDescent="0.2">
      <c r="A237" t="s">
        <v>6</v>
      </c>
      <c r="B237" t="s">
        <v>70</v>
      </c>
      <c r="C237" t="str">
        <f t="shared" si="11"/>
        <v>01612590000000</v>
      </c>
      <c r="D237" t="s">
        <v>2281</v>
      </c>
      <c r="E237" t="str">
        <f>"01612596057079"</f>
        <v>01612596057079</v>
      </c>
      <c r="F237" s="8">
        <v>1027</v>
      </c>
      <c r="G237" s="8">
        <v>8520</v>
      </c>
      <c r="H237" s="8">
        <v>2427</v>
      </c>
      <c r="I237" s="8">
        <v>6179</v>
      </c>
    </row>
    <row r="238" spans="1:9" x14ac:dyDescent="0.2">
      <c r="A238" t="s">
        <v>6</v>
      </c>
      <c r="B238" t="s">
        <v>70</v>
      </c>
      <c r="C238" t="str">
        <f t="shared" si="11"/>
        <v>01612590000000</v>
      </c>
      <c r="D238" t="s">
        <v>2282</v>
      </c>
      <c r="E238" t="str">
        <f>"01612590112813"</f>
        <v>01612590112813</v>
      </c>
      <c r="F238" s="8">
        <v>437</v>
      </c>
      <c r="G238" s="8">
        <v>9069</v>
      </c>
      <c r="H238" s="8">
        <v>2427</v>
      </c>
      <c r="I238" s="8">
        <v>6179</v>
      </c>
    </row>
    <row r="239" spans="1:9" x14ac:dyDescent="0.2">
      <c r="A239" t="s">
        <v>6</v>
      </c>
      <c r="B239" t="s">
        <v>70</v>
      </c>
      <c r="C239" t="str">
        <f t="shared" si="11"/>
        <v>01612590000000</v>
      </c>
      <c r="D239" t="s">
        <v>2283</v>
      </c>
      <c r="E239" t="str">
        <f>"01612590137943"</f>
        <v>01612590137943</v>
      </c>
      <c r="F239" s="8">
        <v>625</v>
      </c>
      <c r="G239" s="8">
        <v>8865</v>
      </c>
      <c r="H239" s="8">
        <v>2427</v>
      </c>
      <c r="I239" s="8">
        <v>6179</v>
      </c>
    </row>
    <row r="240" spans="1:9" x14ac:dyDescent="0.2">
      <c r="A240" t="s">
        <v>6</v>
      </c>
      <c r="B240" t="s">
        <v>70</v>
      </c>
      <c r="C240" t="str">
        <f t="shared" si="11"/>
        <v>01612590000000</v>
      </c>
      <c r="D240" t="s">
        <v>2284</v>
      </c>
      <c r="E240" t="str">
        <f>"01612590102988"</f>
        <v>01612590102988</v>
      </c>
      <c r="F240" s="8">
        <v>1236</v>
      </c>
      <c r="G240" s="8">
        <v>8249</v>
      </c>
      <c r="H240" s="8">
        <v>2427</v>
      </c>
      <c r="I240" s="8">
        <v>6179</v>
      </c>
    </row>
    <row r="241" spans="1:9" x14ac:dyDescent="0.2">
      <c r="A241" t="s">
        <v>6</v>
      </c>
      <c r="B241" t="s">
        <v>70</v>
      </c>
      <c r="C241" t="str">
        <f t="shared" si="11"/>
        <v>01612590000000</v>
      </c>
      <c r="D241" t="s">
        <v>2285</v>
      </c>
      <c r="E241" t="str">
        <f>"01612596096523"</f>
        <v>01612596096523</v>
      </c>
      <c r="F241" s="8">
        <v>437</v>
      </c>
      <c r="G241" s="8">
        <v>8807</v>
      </c>
      <c r="H241" s="8">
        <v>2427</v>
      </c>
      <c r="I241" s="8">
        <v>6179</v>
      </c>
    </row>
    <row r="242" spans="1:9" x14ac:dyDescent="0.2">
      <c r="A242" t="s">
        <v>6</v>
      </c>
      <c r="B242" t="s">
        <v>70</v>
      </c>
      <c r="C242" t="str">
        <f t="shared" si="11"/>
        <v>01612590000000</v>
      </c>
      <c r="D242" t="s">
        <v>2286</v>
      </c>
      <c r="E242" t="str">
        <f>"01612596057046"</f>
        <v>01612596057046</v>
      </c>
      <c r="F242" s="8">
        <v>569</v>
      </c>
      <c r="G242" s="8">
        <v>8627</v>
      </c>
      <c r="H242" s="8">
        <v>2427</v>
      </c>
      <c r="I242" s="8">
        <v>6179</v>
      </c>
    </row>
    <row r="243" spans="1:9" x14ac:dyDescent="0.2">
      <c r="A243" t="s">
        <v>6</v>
      </c>
      <c r="B243" t="s">
        <v>70</v>
      </c>
      <c r="C243" t="str">
        <f t="shared" si="11"/>
        <v>01612590000000</v>
      </c>
      <c r="D243" t="s">
        <v>2287</v>
      </c>
      <c r="E243" t="str">
        <f>"01612596118616"</f>
        <v>01612596118616</v>
      </c>
      <c r="F243" s="8">
        <v>406</v>
      </c>
      <c r="G243" s="8">
        <v>8737</v>
      </c>
      <c r="H243" s="8">
        <v>2427</v>
      </c>
      <c r="I243" s="8">
        <v>6179</v>
      </c>
    </row>
    <row r="244" spans="1:9" x14ac:dyDescent="0.2">
      <c r="A244" t="s">
        <v>6</v>
      </c>
      <c r="B244" t="s">
        <v>70</v>
      </c>
      <c r="C244" t="str">
        <f t="shared" si="11"/>
        <v>01612590000000</v>
      </c>
      <c r="D244" t="s">
        <v>2288</v>
      </c>
      <c r="E244" t="str">
        <f>"01612596001929"</f>
        <v>01612596001929</v>
      </c>
      <c r="F244" s="8">
        <v>785</v>
      </c>
      <c r="G244" s="8">
        <v>8354</v>
      </c>
      <c r="H244" s="8">
        <v>2427</v>
      </c>
      <c r="I244" s="8">
        <v>6179</v>
      </c>
    </row>
    <row r="245" spans="1:9" x14ac:dyDescent="0.2">
      <c r="A245" t="s">
        <v>6</v>
      </c>
      <c r="B245" t="s">
        <v>70</v>
      </c>
      <c r="C245" t="str">
        <f t="shared" si="11"/>
        <v>01612590000000</v>
      </c>
      <c r="D245" t="s">
        <v>1894</v>
      </c>
      <c r="E245" t="str">
        <f>"01612596001820"</f>
        <v>01612596001820</v>
      </c>
      <c r="F245" s="8">
        <v>691</v>
      </c>
      <c r="G245" s="8">
        <v>8292</v>
      </c>
      <c r="H245" s="8">
        <v>2427</v>
      </c>
      <c r="I245" s="8">
        <v>6179</v>
      </c>
    </row>
    <row r="246" spans="1:9" x14ac:dyDescent="0.2">
      <c r="A246" t="s">
        <v>6</v>
      </c>
      <c r="B246" t="s">
        <v>70</v>
      </c>
      <c r="C246" t="str">
        <f t="shared" si="11"/>
        <v>01612590000000</v>
      </c>
      <c r="D246" t="s">
        <v>280</v>
      </c>
      <c r="E246" t="str">
        <f>"01612596001846"</f>
        <v>01612596001846</v>
      </c>
      <c r="F246" s="8">
        <v>981</v>
      </c>
      <c r="G246" s="8">
        <v>7948</v>
      </c>
      <c r="H246" s="8">
        <v>2427</v>
      </c>
      <c r="I246" s="8">
        <v>6179</v>
      </c>
    </row>
    <row r="247" spans="1:9" x14ac:dyDescent="0.2">
      <c r="A247" t="s">
        <v>6</v>
      </c>
      <c r="B247" t="s">
        <v>70</v>
      </c>
      <c r="C247" t="str">
        <f t="shared" si="11"/>
        <v>01612590000000</v>
      </c>
      <c r="D247" t="s">
        <v>2289</v>
      </c>
      <c r="E247" t="str">
        <f>"01612590115600"</f>
        <v>01612590115600</v>
      </c>
      <c r="F247" s="8">
        <v>1064</v>
      </c>
      <c r="G247" s="8">
        <v>7823</v>
      </c>
      <c r="H247" s="8">
        <v>2427</v>
      </c>
      <c r="I247" s="8">
        <v>6179</v>
      </c>
    </row>
    <row r="248" spans="1:9" x14ac:dyDescent="0.2">
      <c r="A248" t="s">
        <v>6</v>
      </c>
      <c r="B248" t="s">
        <v>70</v>
      </c>
      <c r="C248" t="str">
        <f t="shared" si="11"/>
        <v>01612590000000</v>
      </c>
      <c r="D248" t="s">
        <v>2290</v>
      </c>
      <c r="E248" t="str">
        <f>"01612596057087"</f>
        <v>01612596057087</v>
      </c>
      <c r="F248" s="8">
        <v>668</v>
      </c>
      <c r="G248" s="8">
        <v>8149</v>
      </c>
      <c r="H248" s="8">
        <v>2427</v>
      </c>
      <c r="I248" s="8">
        <v>6179</v>
      </c>
    </row>
    <row r="249" spans="1:9" x14ac:dyDescent="0.2">
      <c r="A249" t="s">
        <v>6</v>
      </c>
      <c r="B249" t="s">
        <v>70</v>
      </c>
      <c r="C249" t="str">
        <f t="shared" si="11"/>
        <v>01612590000000</v>
      </c>
      <c r="D249" t="s">
        <v>2291</v>
      </c>
      <c r="E249" t="str">
        <f>"01612590115584"</f>
        <v>01612590115584</v>
      </c>
      <c r="F249" s="8">
        <v>971</v>
      </c>
      <c r="G249" s="8">
        <v>7792</v>
      </c>
      <c r="H249" s="8">
        <v>2427</v>
      </c>
      <c r="I249" s="8">
        <v>6179</v>
      </c>
    </row>
    <row r="250" spans="1:9" x14ac:dyDescent="0.2">
      <c r="A250" t="s">
        <v>6</v>
      </c>
      <c r="B250" t="s">
        <v>70</v>
      </c>
      <c r="C250" t="str">
        <f t="shared" si="11"/>
        <v>01612590000000</v>
      </c>
      <c r="D250" t="s">
        <v>2292</v>
      </c>
      <c r="E250" t="str">
        <f>"01612590135905"</f>
        <v>01612590135905</v>
      </c>
      <c r="F250" s="8">
        <v>593</v>
      </c>
      <c r="G250" s="8">
        <v>8163</v>
      </c>
      <c r="H250" s="8">
        <v>2427</v>
      </c>
      <c r="I250" s="8">
        <v>6179</v>
      </c>
    </row>
    <row r="251" spans="1:9" x14ac:dyDescent="0.2">
      <c r="A251" t="s">
        <v>6</v>
      </c>
      <c r="B251" t="s">
        <v>70</v>
      </c>
      <c r="C251" t="str">
        <f t="shared" si="11"/>
        <v>01612590000000</v>
      </c>
      <c r="D251" t="s">
        <v>2293</v>
      </c>
      <c r="E251" t="str">
        <f>"01612596057004"</f>
        <v>01612596057004</v>
      </c>
      <c r="F251" s="8">
        <v>835</v>
      </c>
      <c r="G251" s="8">
        <v>7861</v>
      </c>
      <c r="H251" s="8">
        <v>2427</v>
      </c>
      <c r="I251" s="8">
        <v>6179</v>
      </c>
    </row>
    <row r="252" spans="1:9" x14ac:dyDescent="0.2">
      <c r="A252" t="s">
        <v>6</v>
      </c>
      <c r="B252" t="s">
        <v>70</v>
      </c>
      <c r="C252" t="str">
        <f t="shared" si="11"/>
        <v>01612590000000</v>
      </c>
      <c r="D252" t="s">
        <v>2294</v>
      </c>
      <c r="E252" t="str">
        <f>"01612596002117"</f>
        <v>01612596002117</v>
      </c>
      <c r="F252" s="8">
        <v>543</v>
      </c>
      <c r="G252" s="8">
        <v>7967</v>
      </c>
      <c r="H252" s="8">
        <v>2427</v>
      </c>
      <c r="I252" s="8">
        <v>6179</v>
      </c>
    </row>
    <row r="253" spans="1:9" x14ac:dyDescent="0.2">
      <c r="A253" t="s">
        <v>6</v>
      </c>
      <c r="B253" t="s">
        <v>70</v>
      </c>
      <c r="C253" t="str">
        <f t="shared" si="11"/>
        <v>01612590000000</v>
      </c>
      <c r="D253" t="s">
        <v>2295</v>
      </c>
      <c r="E253" t="str">
        <f>"01612590136051"</f>
        <v>01612590136051</v>
      </c>
      <c r="F253" s="8">
        <v>708</v>
      </c>
      <c r="G253" s="8">
        <v>7688</v>
      </c>
      <c r="H253" s="8">
        <v>2427</v>
      </c>
      <c r="I253" s="8">
        <v>6179</v>
      </c>
    </row>
    <row r="254" spans="1:9" x14ac:dyDescent="0.2">
      <c r="A254" t="s">
        <v>6</v>
      </c>
      <c r="B254" t="s">
        <v>70</v>
      </c>
      <c r="C254" t="str">
        <f t="shared" si="11"/>
        <v>01612590000000</v>
      </c>
      <c r="D254" t="s">
        <v>2296</v>
      </c>
      <c r="E254" t="str">
        <f>"01612590110262"</f>
        <v>01612590110262</v>
      </c>
      <c r="F254" s="8">
        <v>460</v>
      </c>
      <c r="G254" s="8">
        <v>7922</v>
      </c>
      <c r="H254" s="8">
        <v>2427</v>
      </c>
      <c r="I254" s="8">
        <v>6179</v>
      </c>
    </row>
    <row r="255" spans="1:9" x14ac:dyDescent="0.2">
      <c r="A255" t="s">
        <v>6</v>
      </c>
      <c r="B255" t="s">
        <v>70</v>
      </c>
      <c r="C255" t="str">
        <f t="shared" si="11"/>
        <v>01612590000000</v>
      </c>
      <c r="D255" t="s">
        <v>2297</v>
      </c>
      <c r="E255" t="str">
        <f>"01612596001994"</f>
        <v>01612596001994</v>
      </c>
      <c r="F255" s="8">
        <v>378</v>
      </c>
      <c r="G255" s="8">
        <v>7925</v>
      </c>
      <c r="H255" s="8">
        <v>2427</v>
      </c>
      <c r="I255" s="8">
        <v>6179</v>
      </c>
    </row>
    <row r="256" spans="1:9" x14ac:dyDescent="0.2">
      <c r="A256" t="s">
        <v>6</v>
      </c>
      <c r="B256" t="s">
        <v>70</v>
      </c>
      <c r="C256" t="str">
        <f t="shared" si="11"/>
        <v>01612590000000</v>
      </c>
      <c r="D256" t="s">
        <v>2298</v>
      </c>
      <c r="E256" t="str">
        <f>"01612596002075"</f>
        <v>01612596002075</v>
      </c>
      <c r="F256" s="8">
        <v>539</v>
      </c>
      <c r="G256" s="8">
        <v>7717</v>
      </c>
      <c r="H256" s="8">
        <v>2427</v>
      </c>
      <c r="I256" s="8">
        <v>6179</v>
      </c>
    </row>
    <row r="257" spans="1:9" x14ac:dyDescent="0.2">
      <c r="A257" t="s">
        <v>6</v>
      </c>
      <c r="B257" t="s">
        <v>70</v>
      </c>
      <c r="C257" t="str">
        <f t="shared" si="11"/>
        <v>01612590000000</v>
      </c>
      <c r="D257" t="s">
        <v>2299</v>
      </c>
      <c r="E257" t="str">
        <f>"01612596002190"</f>
        <v>01612596002190</v>
      </c>
      <c r="F257" s="8">
        <v>461</v>
      </c>
      <c r="G257" s="8">
        <v>7758</v>
      </c>
      <c r="H257" s="8">
        <v>2427</v>
      </c>
      <c r="I257" s="8">
        <v>6179</v>
      </c>
    </row>
    <row r="258" spans="1:9" x14ac:dyDescent="0.2">
      <c r="A258" t="s">
        <v>6</v>
      </c>
      <c r="B258" t="s">
        <v>70</v>
      </c>
      <c r="C258" t="str">
        <f t="shared" si="11"/>
        <v>01612590000000</v>
      </c>
      <c r="D258" t="s">
        <v>2300</v>
      </c>
      <c r="E258" t="str">
        <f>"01612596002174"</f>
        <v>01612596002174</v>
      </c>
      <c r="F258" s="8">
        <v>23</v>
      </c>
      <c r="G258" s="8">
        <v>8176</v>
      </c>
      <c r="H258" s="8">
        <v>2427</v>
      </c>
      <c r="I258" s="8">
        <v>6179</v>
      </c>
    </row>
    <row r="259" spans="1:9" x14ac:dyDescent="0.2">
      <c r="A259" t="s">
        <v>6</v>
      </c>
      <c r="B259" t="s">
        <v>70</v>
      </c>
      <c r="C259" t="str">
        <f t="shared" si="11"/>
        <v>01612590000000</v>
      </c>
      <c r="D259" t="s">
        <v>2114</v>
      </c>
      <c r="E259" t="str">
        <f>"01612596001648"</f>
        <v>01612596001648</v>
      </c>
      <c r="F259" s="8">
        <v>492</v>
      </c>
      <c r="G259" s="8">
        <v>7648</v>
      </c>
      <c r="H259" s="8">
        <v>2427</v>
      </c>
      <c r="I259" s="8">
        <v>6179</v>
      </c>
    </row>
    <row r="260" spans="1:9" x14ac:dyDescent="0.2">
      <c r="A260" t="s">
        <v>6</v>
      </c>
      <c r="B260" t="s">
        <v>70</v>
      </c>
      <c r="C260" t="str">
        <f t="shared" si="11"/>
        <v>01612590000000</v>
      </c>
      <c r="D260" t="s">
        <v>2301</v>
      </c>
      <c r="E260" t="str">
        <f>"01612596057061"</f>
        <v>01612596057061</v>
      </c>
      <c r="F260" s="8">
        <v>777</v>
      </c>
      <c r="G260" s="8">
        <v>7346</v>
      </c>
      <c r="H260" s="8">
        <v>2427</v>
      </c>
      <c r="I260" s="8">
        <v>6179</v>
      </c>
    </row>
    <row r="261" spans="1:9" x14ac:dyDescent="0.2">
      <c r="A261" t="s">
        <v>6</v>
      </c>
      <c r="B261" t="s">
        <v>70</v>
      </c>
      <c r="C261" t="str">
        <f t="shared" si="11"/>
        <v>01612590000000</v>
      </c>
      <c r="D261" t="s">
        <v>2302</v>
      </c>
      <c r="E261" t="str">
        <f>"01612596002042"</f>
        <v>01612596002042</v>
      </c>
      <c r="F261" s="8">
        <v>757</v>
      </c>
      <c r="G261" s="8">
        <v>7305</v>
      </c>
      <c r="H261" s="8">
        <v>2427</v>
      </c>
      <c r="I261" s="8">
        <v>6179</v>
      </c>
    </row>
    <row r="262" spans="1:9" x14ac:dyDescent="0.2">
      <c r="A262" t="s">
        <v>6</v>
      </c>
      <c r="B262" t="s">
        <v>70</v>
      </c>
      <c r="C262" t="str">
        <f t="shared" si="11"/>
        <v>01612590000000</v>
      </c>
      <c r="D262" t="s">
        <v>2303</v>
      </c>
      <c r="E262" t="str">
        <f>"01612590100792"</f>
        <v>01612590100792</v>
      </c>
      <c r="F262" s="8">
        <v>802</v>
      </c>
      <c r="G262" s="8">
        <v>7178</v>
      </c>
      <c r="H262" s="8">
        <v>2427</v>
      </c>
      <c r="I262" s="8">
        <v>6179</v>
      </c>
    </row>
    <row r="263" spans="1:9" x14ac:dyDescent="0.2">
      <c r="A263" t="s">
        <v>6</v>
      </c>
      <c r="B263" t="s">
        <v>70</v>
      </c>
      <c r="C263" t="str">
        <f t="shared" ref="C263:C281" si="12">"01612590000000"</f>
        <v>01612590000000</v>
      </c>
      <c r="D263" t="s">
        <v>2304</v>
      </c>
      <c r="E263" t="str">
        <f>"01612590110239"</f>
        <v>01612590110239</v>
      </c>
      <c r="F263" s="8">
        <v>576</v>
      </c>
      <c r="G263" s="8">
        <v>7384</v>
      </c>
      <c r="H263" s="8">
        <v>2427</v>
      </c>
      <c r="I263" s="8">
        <v>6179</v>
      </c>
    </row>
    <row r="264" spans="1:9" x14ac:dyDescent="0.2">
      <c r="A264" t="s">
        <v>6</v>
      </c>
      <c r="B264" t="s">
        <v>70</v>
      </c>
      <c r="C264" t="str">
        <f t="shared" si="12"/>
        <v>01612590000000</v>
      </c>
      <c r="D264" t="s">
        <v>2305</v>
      </c>
      <c r="E264" t="str">
        <f>"01612596001903"</f>
        <v>01612596001903</v>
      </c>
      <c r="F264" s="8">
        <v>413</v>
      </c>
      <c r="G264" s="8">
        <v>7467</v>
      </c>
      <c r="H264" s="8">
        <v>2427</v>
      </c>
      <c r="I264" s="8">
        <v>6179</v>
      </c>
    </row>
    <row r="265" spans="1:9" x14ac:dyDescent="0.2">
      <c r="A265" t="s">
        <v>6</v>
      </c>
      <c r="B265" t="s">
        <v>70</v>
      </c>
      <c r="C265" t="str">
        <f t="shared" si="12"/>
        <v>01612590000000</v>
      </c>
      <c r="D265" t="s">
        <v>2306</v>
      </c>
      <c r="E265" t="str">
        <f>"01612596001739"</f>
        <v>01612596001739</v>
      </c>
      <c r="F265" s="8">
        <v>330</v>
      </c>
      <c r="G265" s="8">
        <v>7540</v>
      </c>
      <c r="H265" s="8">
        <v>2427</v>
      </c>
      <c r="I265" s="8">
        <v>6179</v>
      </c>
    </row>
    <row r="266" spans="1:9" x14ac:dyDescent="0.2">
      <c r="A266" t="s">
        <v>6</v>
      </c>
      <c r="B266" t="s">
        <v>70</v>
      </c>
      <c r="C266" t="str">
        <f t="shared" si="12"/>
        <v>01612590000000</v>
      </c>
      <c r="D266" t="s">
        <v>2307</v>
      </c>
      <c r="E266" t="str">
        <f>"01612590115618"</f>
        <v>01612590115618</v>
      </c>
      <c r="F266" s="8">
        <v>750</v>
      </c>
      <c r="G266" s="8">
        <v>6976</v>
      </c>
      <c r="H266" s="8">
        <v>2427</v>
      </c>
      <c r="I266" s="8">
        <v>6179</v>
      </c>
    </row>
    <row r="267" spans="1:9" x14ac:dyDescent="0.2">
      <c r="A267" t="s">
        <v>6</v>
      </c>
      <c r="B267" t="s">
        <v>70</v>
      </c>
      <c r="C267" t="str">
        <f t="shared" si="12"/>
        <v>01612590000000</v>
      </c>
      <c r="D267" t="s">
        <v>2308</v>
      </c>
      <c r="E267" t="str">
        <f>"01612590110247"</f>
        <v>01612590110247</v>
      </c>
      <c r="F267" s="8">
        <v>315</v>
      </c>
      <c r="G267" s="8">
        <v>7230</v>
      </c>
      <c r="H267" s="8">
        <v>2427</v>
      </c>
      <c r="I267" s="8">
        <v>6179</v>
      </c>
    </row>
    <row r="268" spans="1:9" x14ac:dyDescent="0.2">
      <c r="A268" t="s">
        <v>6</v>
      </c>
      <c r="B268" t="s">
        <v>70</v>
      </c>
      <c r="C268" t="str">
        <f t="shared" si="12"/>
        <v>01612590000000</v>
      </c>
      <c r="D268" t="s">
        <v>2309</v>
      </c>
      <c r="E268" t="str">
        <f>"01612596002141"</f>
        <v>01612596002141</v>
      </c>
      <c r="F268" s="8">
        <v>453</v>
      </c>
      <c r="G268" s="8">
        <v>7005</v>
      </c>
      <c r="H268" s="8">
        <v>2427</v>
      </c>
      <c r="I268" s="8">
        <v>6179</v>
      </c>
    </row>
    <row r="269" spans="1:9" x14ac:dyDescent="0.2">
      <c r="A269" t="s">
        <v>6</v>
      </c>
      <c r="B269" t="s">
        <v>70</v>
      </c>
      <c r="C269" t="str">
        <f t="shared" si="12"/>
        <v>01612590000000</v>
      </c>
      <c r="D269" t="s">
        <v>2310</v>
      </c>
      <c r="E269" t="str">
        <f>"01612596118640"</f>
        <v>01612596118640</v>
      </c>
      <c r="F269" s="8">
        <v>204</v>
      </c>
      <c r="G269" s="8">
        <v>7152</v>
      </c>
      <c r="H269" s="8">
        <v>2427</v>
      </c>
      <c r="I269" s="8">
        <v>6179</v>
      </c>
    </row>
    <row r="270" spans="1:9" x14ac:dyDescent="0.2">
      <c r="A270" t="s">
        <v>6</v>
      </c>
      <c r="B270" t="s">
        <v>70</v>
      </c>
      <c r="C270" t="str">
        <f t="shared" si="12"/>
        <v>01612590000000</v>
      </c>
      <c r="D270" t="s">
        <v>2311</v>
      </c>
      <c r="E270" t="str">
        <f>"01612596001945"</f>
        <v>01612596001945</v>
      </c>
      <c r="F270" s="8">
        <v>833</v>
      </c>
      <c r="G270" s="8">
        <v>6479</v>
      </c>
      <c r="H270" s="8">
        <v>2427</v>
      </c>
      <c r="I270" s="8">
        <v>6179</v>
      </c>
    </row>
    <row r="271" spans="1:9" x14ac:dyDescent="0.2">
      <c r="A271" t="s">
        <v>6</v>
      </c>
      <c r="B271" t="s">
        <v>70</v>
      </c>
      <c r="C271" t="str">
        <f t="shared" si="12"/>
        <v>01612590000000</v>
      </c>
      <c r="D271" t="s">
        <v>2312</v>
      </c>
      <c r="E271" t="str">
        <f>"01612596002083"</f>
        <v>01612596002083</v>
      </c>
      <c r="F271" s="8">
        <v>22</v>
      </c>
      <c r="G271" s="8">
        <v>7194</v>
      </c>
      <c r="H271" s="8">
        <v>2427</v>
      </c>
      <c r="I271" s="8">
        <v>6179</v>
      </c>
    </row>
    <row r="272" spans="1:9" x14ac:dyDescent="0.2">
      <c r="A272" t="s">
        <v>6</v>
      </c>
      <c r="B272" t="s">
        <v>70</v>
      </c>
      <c r="C272" t="str">
        <f t="shared" si="12"/>
        <v>01612590000000</v>
      </c>
      <c r="D272" t="s">
        <v>2313</v>
      </c>
      <c r="E272" t="str">
        <f>"01612596001853"</f>
        <v>01612596001853</v>
      </c>
      <c r="F272" s="8">
        <v>31</v>
      </c>
      <c r="G272" s="8">
        <v>6935</v>
      </c>
      <c r="H272" s="8">
        <v>2427</v>
      </c>
      <c r="I272" s="8">
        <v>6179</v>
      </c>
    </row>
    <row r="273" spans="1:9" x14ac:dyDescent="0.2">
      <c r="A273" t="s">
        <v>6</v>
      </c>
      <c r="B273" t="s">
        <v>70</v>
      </c>
      <c r="C273" t="str">
        <f t="shared" si="12"/>
        <v>01612590000000</v>
      </c>
      <c r="D273" t="s">
        <v>2243</v>
      </c>
      <c r="E273" t="str">
        <f>"01612596002018"</f>
        <v>01612596002018</v>
      </c>
      <c r="F273" s="8">
        <v>313</v>
      </c>
      <c r="G273" s="8">
        <v>6591</v>
      </c>
      <c r="H273" s="8">
        <v>2427</v>
      </c>
      <c r="I273" s="8">
        <v>6179</v>
      </c>
    </row>
    <row r="274" spans="1:9" x14ac:dyDescent="0.2">
      <c r="A274" t="s">
        <v>6</v>
      </c>
      <c r="B274" t="s">
        <v>70</v>
      </c>
      <c r="C274" t="str">
        <f t="shared" si="12"/>
        <v>01612590000000</v>
      </c>
      <c r="D274" t="s">
        <v>2314</v>
      </c>
      <c r="E274" t="str">
        <f>"01612596002109"</f>
        <v>01612596002109</v>
      </c>
      <c r="F274" s="8">
        <v>161</v>
      </c>
      <c r="G274" s="8">
        <v>6699</v>
      </c>
      <c r="H274" s="8">
        <v>2427</v>
      </c>
      <c r="I274" s="8">
        <v>6179</v>
      </c>
    </row>
    <row r="275" spans="1:9" x14ac:dyDescent="0.2">
      <c r="A275" t="s">
        <v>6</v>
      </c>
      <c r="B275" t="s">
        <v>70</v>
      </c>
      <c r="C275" t="str">
        <f t="shared" si="12"/>
        <v>01612590000000</v>
      </c>
      <c r="D275" t="s">
        <v>2315</v>
      </c>
      <c r="E275" t="str">
        <f>"01612596001911"</f>
        <v>01612596001911</v>
      </c>
      <c r="F275" s="8">
        <v>298</v>
      </c>
      <c r="G275" s="8">
        <v>6145</v>
      </c>
      <c r="H275" s="8">
        <v>2427</v>
      </c>
      <c r="I275" s="8">
        <v>6179</v>
      </c>
    </row>
    <row r="276" spans="1:9" x14ac:dyDescent="0.2">
      <c r="A276" t="s">
        <v>6</v>
      </c>
      <c r="B276" t="s">
        <v>70</v>
      </c>
      <c r="C276" t="str">
        <f t="shared" si="12"/>
        <v>01612590000000</v>
      </c>
      <c r="D276" t="s">
        <v>2316</v>
      </c>
      <c r="E276" t="str">
        <f>"01612596001754"</f>
        <v>01612596001754</v>
      </c>
      <c r="F276" s="8">
        <v>426</v>
      </c>
      <c r="G276" s="8">
        <v>5976</v>
      </c>
      <c r="H276" s="8">
        <v>2427</v>
      </c>
      <c r="I276" s="8">
        <v>6179</v>
      </c>
    </row>
    <row r="277" spans="1:9" x14ac:dyDescent="0.2">
      <c r="A277" t="s">
        <v>6</v>
      </c>
      <c r="B277" t="s">
        <v>70</v>
      </c>
      <c r="C277" t="str">
        <f t="shared" si="12"/>
        <v>01612590000000</v>
      </c>
      <c r="D277" t="s">
        <v>2317</v>
      </c>
      <c r="E277" t="str">
        <f>"01612596002216"</f>
        <v>01612596002216</v>
      </c>
      <c r="F277" s="8">
        <v>195</v>
      </c>
      <c r="G277" s="8">
        <v>6131</v>
      </c>
      <c r="H277" s="8">
        <v>2427</v>
      </c>
      <c r="I277" s="8">
        <v>6179</v>
      </c>
    </row>
    <row r="278" spans="1:9" x14ac:dyDescent="0.2">
      <c r="A278" t="s">
        <v>6</v>
      </c>
      <c r="B278" t="s">
        <v>70</v>
      </c>
      <c r="C278" t="str">
        <f t="shared" si="12"/>
        <v>01612590000000</v>
      </c>
      <c r="D278" t="s">
        <v>2318</v>
      </c>
      <c r="E278" t="str">
        <f>"01612590119859"</f>
        <v>01612590119859</v>
      </c>
      <c r="F278" s="8">
        <v>81</v>
      </c>
      <c r="G278" s="8">
        <v>5007</v>
      </c>
      <c r="H278" s="8">
        <v>2427</v>
      </c>
      <c r="I278" s="8">
        <v>6179</v>
      </c>
    </row>
    <row r="279" spans="1:9" x14ac:dyDescent="0.2">
      <c r="A279" t="s">
        <v>6</v>
      </c>
      <c r="B279" t="s">
        <v>70</v>
      </c>
      <c r="C279" t="str">
        <f t="shared" si="12"/>
        <v>01612590000000</v>
      </c>
      <c r="D279" t="s">
        <v>2319</v>
      </c>
      <c r="E279" t="str">
        <f>"01612596066450"</f>
        <v>01612596066450</v>
      </c>
      <c r="F279" s="8">
        <v>192</v>
      </c>
      <c r="G279" s="8">
        <v>2784</v>
      </c>
      <c r="H279" s="8">
        <v>2427</v>
      </c>
      <c r="I279" s="8">
        <v>6179</v>
      </c>
    </row>
    <row r="280" spans="1:9" x14ac:dyDescent="0.2">
      <c r="A280" t="s">
        <v>6</v>
      </c>
      <c r="B280" t="s">
        <v>70</v>
      </c>
      <c r="C280" t="str">
        <f t="shared" si="12"/>
        <v>01612590000000</v>
      </c>
      <c r="D280" t="s">
        <v>2320</v>
      </c>
      <c r="E280" t="str">
        <f>"01612590121376"</f>
        <v>01612590121376</v>
      </c>
      <c r="F280" s="8">
        <v>0</v>
      </c>
      <c r="G280" s="8">
        <v>0</v>
      </c>
      <c r="H280" s="8">
        <v>2427</v>
      </c>
      <c r="I280" s="8">
        <v>6179</v>
      </c>
    </row>
    <row r="281" spans="1:9" x14ac:dyDescent="0.2">
      <c r="A281" t="s">
        <v>6</v>
      </c>
      <c r="B281" t="s">
        <v>70</v>
      </c>
      <c r="C281" t="str">
        <f t="shared" si="12"/>
        <v>01612590000000</v>
      </c>
      <c r="D281" t="s">
        <v>2134</v>
      </c>
      <c r="E281" t="str">
        <f>"01612590121228"</f>
        <v>01612590121228</v>
      </c>
      <c r="F281" s="8">
        <v>0</v>
      </c>
      <c r="G281" s="8">
        <v>0</v>
      </c>
      <c r="H281" s="8">
        <v>2427</v>
      </c>
      <c r="I281" s="8">
        <v>6179</v>
      </c>
    </row>
    <row r="282" spans="1:9" x14ac:dyDescent="0.2">
      <c r="A282" t="s">
        <v>6</v>
      </c>
      <c r="B282" t="s">
        <v>73</v>
      </c>
      <c r="C282" t="str">
        <f t="shared" ref="C282:C287" si="13">"01612750000000"</f>
        <v>01612750000000</v>
      </c>
      <c r="D282" t="s">
        <v>2321</v>
      </c>
      <c r="E282" t="str">
        <f>"01612750130286"</f>
        <v>01612750130286</v>
      </c>
      <c r="F282" s="8">
        <v>1627</v>
      </c>
      <c r="G282" s="8">
        <v>17977</v>
      </c>
      <c r="H282" s="8">
        <v>336</v>
      </c>
      <c r="I282" s="8">
        <v>3842</v>
      </c>
    </row>
    <row r="283" spans="1:9" x14ac:dyDescent="0.2">
      <c r="A283" t="s">
        <v>6</v>
      </c>
      <c r="B283" t="s">
        <v>73</v>
      </c>
      <c r="C283" t="str">
        <f t="shared" si="13"/>
        <v>01612750000000</v>
      </c>
      <c r="D283" t="s">
        <v>2322</v>
      </c>
      <c r="E283" t="str">
        <f>"01612756002281"</f>
        <v>01612756002281</v>
      </c>
      <c r="F283" s="8">
        <v>428</v>
      </c>
      <c r="G283" s="8">
        <v>15597</v>
      </c>
      <c r="H283" s="8">
        <v>336</v>
      </c>
      <c r="I283" s="8">
        <v>3842</v>
      </c>
    </row>
    <row r="284" spans="1:9" x14ac:dyDescent="0.2">
      <c r="A284" t="s">
        <v>6</v>
      </c>
      <c r="B284" t="s">
        <v>73</v>
      </c>
      <c r="C284" t="str">
        <f t="shared" si="13"/>
        <v>01612750000000</v>
      </c>
      <c r="D284" t="s">
        <v>2323</v>
      </c>
      <c r="E284" t="str">
        <f>"01612756002307"</f>
        <v>01612756002307</v>
      </c>
      <c r="F284" s="8">
        <v>820</v>
      </c>
      <c r="G284" s="8">
        <v>15107</v>
      </c>
      <c r="H284" s="8">
        <v>336</v>
      </c>
      <c r="I284" s="8">
        <v>3842</v>
      </c>
    </row>
    <row r="285" spans="1:9" x14ac:dyDescent="0.2">
      <c r="A285" t="s">
        <v>6</v>
      </c>
      <c r="B285" t="s">
        <v>73</v>
      </c>
      <c r="C285" t="str">
        <f t="shared" si="13"/>
        <v>01612750000000</v>
      </c>
      <c r="D285" t="s">
        <v>2324</v>
      </c>
      <c r="E285" t="str">
        <f>"01612756002299"</f>
        <v>01612756002299</v>
      </c>
      <c r="F285" s="8">
        <v>1073</v>
      </c>
      <c r="G285" s="8">
        <v>12915</v>
      </c>
      <c r="H285" s="8">
        <v>336</v>
      </c>
      <c r="I285" s="8">
        <v>3842</v>
      </c>
    </row>
    <row r="286" spans="1:9" x14ac:dyDescent="0.2">
      <c r="A286" t="s">
        <v>6</v>
      </c>
      <c r="B286" t="s">
        <v>73</v>
      </c>
      <c r="C286" t="str">
        <f t="shared" si="13"/>
        <v>01612750000000</v>
      </c>
      <c r="D286" t="s">
        <v>2325</v>
      </c>
      <c r="E286" t="str">
        <f>"01612756066492"</f>
        <v>01612756066492</v>
      </c>
      <c r="F286" s="8">
        <v>369</v>
      </c>
      <c r="G286" s="8">
        <v>12857</v>
      </c>
      <c r="H286" s="8">
        <v>336</v>
      </c>
      <c r="I286" s="8">
        <v>3842</v>
      </c>
    </row>
    <row r="287" spans="1:9" x14ac:dyDescent="0.2">
      <c r="A287" t="s">
        <v>6</v>
      </c>
      <c r="B287" t="s">
        <v>73</v>
      </c>
      <c r="C287" t="str">
        <f t="shared" si="13"/>
        <v>01612750000000</v>
      </c>
      <c r="D287" t="s">
        <v>2326</v>
      </c>
      <c r="E287" t="str">
        <f>"01612750136515"</f>
        <v>01612750136515</v>
      </c>
      <c r="F287" s="8">
        <v>125</v>
      </c>
      <c r="G287" s="8">
        <v>12373</v>
      </c>
      <c r="H287" s="8">
        <v>336</v>
      </c>
      <c r="I287" s="8">
        <v>3842</v>
      </c>
    </row>
    <row r="288" spans="1:9" x14ac:dyDescent="0.2">
      <c r="A288" t="s">
        <v>6</v>
      </c>
      <c r="B288" t="s">
        <v>74</v>
      </c>
      <c r="C288" t="str">
        <f t="shared" ref="C288:C302" si="14">"01751010000000"</f>
        <v>01751010000000</v>
      </c>
      <c r="D288" t="s">
        <v>2327</v>
      </c>
      <c r="E288" t="str">
        <f>"01751010130252"</f>
        <v>01751010130252</v>
      </c>
      <c r="F288" s="8">
        <v>119</v>
      </c>
      <c r="G288" s="8">
        <v>13552</v>
      </c>
      <c r="H288" s="8">
        <v>794</v>
      </c>
      <c r="I288" s="8">
        <v>5050</v>
      </c>
    </row>
    <row r="289" spans="1:9" x14ac:dyDescent="0.2">
      <c r="A289" t="s">
        <v>6</v>
      </c>
      <c r="B289" t="s">
        <v>74</v>
      </c>
      <c r="C289" t="str">
        <f t="shared" si="14"/>
        <v>01751010000000</v>
      </c>
      <c r="D289" t="s">
        <v>2328</v>
      </c>
      <c r="E289" t="str">
        <f>"01751016002349"</f>
        <v>01751016002349</v>
      </c>
      <c r="F289" s="8">
        <v>102</v>
      </c>
      <c r="G289" s="8">
        <v>6707</v>
      </c>
      <c r="H289" s="8">
        <v>794</v>
      </c>
      <c r="I289" s="8">
        <v>5050</v>
      </c>
    </row>
    <row r="290" spans="1:9" x14ac:dyDescent="0.2">
      <c r="A290" t="s">
        <v>6</v>
      </c>
      <c r="B290" t="s">
        <v>74</v>
      </c>
      <c r="C290" t="str">
        <f t="shared" si="14"/>
        <v>01751010000000</v>
      </c>
      <c r="D290" t="s">
        <v>2329</v>
      </c>
      <c r="E290" t="str">
        <f>"01751010130583"</f>
        <v>01751010130583</v>
      </c>
      <c r="F290" s="8">
        <v>24</v>
      </c>
      <c r="G290" s="8">
        <v>6454</v>
      </c>
      <c r="H290" s="8">
        <v>794</v>
      </c>
      <c r="I290" s="8">
        <v>5050</v>
      </c>
    </row>
    <row r="291" spans="1:9" x14ac:dyDescent="0.2">
      <c r="A291" t="s">
        <v>6</v>
      </c>
      <c r="B291" t="s">
        <v>74</v>
      </c>
      <c r="C291" t="str">
        <f t="shared" si="14"/>
        <v>01751010000000</v>
      </c>
      <c r="D291" t="s">
        <v>2330</v>
      </c>
      <c r="E291" t="str">
        <f>"01751016001416"</f>
        <v>01751016001416</v>
      </c>
      <c r="F291" s="8">
        <v>0</v>
      </c>
      <c r="G291" s="8">
        <v>6428</v>
      </c>
      <c r="H291" s="8">
        <v>794</v>
      </c>
      <c r="I291" s="8">
        <v>5050</v>
      </c>
    </row>
    <row r="292" spans="1:9" x14ac:dyDescent="0.2">
      <c r="A292" t="s">
        <v>6</v>
      </c>
      <c r="B292" t="s">
        <v>74</v>
      </c>
      <c r="C292" t="str">
        <f t="shared" si="14"/>
        <v>01751010000000</v>
      </c>
      <c r="D292" t="s">
        <v>2331</v>
      </c>
      <c r="E292" t="str">
        <f>"01751010130096"</f>
        <v>01751010130096</v>
      </c>
      <c r="F292" s="8">
        <v>1</v>
      </c>
      <c r="G292" s="8">
        <v>6397</v>
      </c>
      <c r="H292" s="8">
        <v>794</v>
      </c>
      <c r="I292" s="8">
        <v>5050</v>
      </c>
    </row>
    <row r="293" spans="1:9" x14ac:dyDescent="0.2">
      <c r="A293" t="s">
        <v>6</v>
      </c>
      <c r="B293" t="s">
        <v>74</v>
      </c>
      <c r="C293" t="str">
        <f t="shared" si="14"/>
        <v>01751010000000</v>
      </c>
      <c r="D293" t="s">
        <v>2332</v>
      </c>
      <c r="E293" t="str">
        <f>"01751016117592"</f>
        <v>01751016117592</v>
      </c>
      <c r="F293" s="8">
        <v>0</v>
      </c>
      <c r="G293" s="8">
        <v>6259</v>
      </c>
      <c r="H293" s="8">
        <v>794</v>
      </c>
      <c r="I293" s="8">
        <v>5050</v>
      </c>
    </row>
    <row r="294" spans="1:9" x14ac:dyDescent="0.2">
      <c r="A294" t="s">
        <v>6</v>
      </c>
      <c r="B294" t="s">
        <v>74</v>
      </c>
      <c r="C294" t="str">
        <f t="shared" si="14"/>
        <v>01751010000000</v>
      </c>
      <c r="D294" t="s">
        <v>2333</v>
      </c>
      <c r="E294" t="str">
        <f>"01751016002356"</f>
        <v>01751016002356</v>
      </c>
      <c r="F294" s="8">
        <v>0</v>
      </c>
      <c r="G294" s="8">
        <v>6200</v>
      </c>
      <c r="H294" s="8">
        <v>794</v>
      </c>
      <c r="I294" s="8">
        <v>5050</v>
      </c>
    </row>
    <row r="295" spans="1:9" x14ac:dyDescent="0.2">
      <c r="A295" t="s">
        <v>6</v>
      </c>
      <c r="B295" t="s">
        <v>74</v>
      </c>
      <c r="C295" t="str">
        <f t="shared" si="14"/>
        <v>01751010000000</v>
      </c>
      <c r="D295" t="s">
        <v>2334</v>
      </c>
      <c r="E295" t="str">
        <f>"01751016114318"</f>
        <v>01751016114318</v>
      </c>
      <c r="F295" s="8">
        <v>0</v>
      </c>
      <c r="G295" s="8">
        <v>6173</v>
      </c>
      <c r="H295" s="8">
        <v>794</v>
      </c>
      <c r="I295" s="8">
        <v>5050</v>
      </c>
    </row>
    <row r="296" spans="1:9" x14ac:dyDescent="0.2">
      <c r="A296" t="s">
        <v>6</v>
      </c>
      <c r="B296" t="s">
        <v>74</v>
      </c>
      <c r="C296" t="str">
        <f t="shared" si="14"/>
        <v>01751010000000</v>
      </c>
      <c r="D296" t="s">
        <v>2335</v>
      </c>
      <c r="E296" t="str">
        <f>"01751016066500"</f>
        <v>01751016066500</v>
      </c>
      <c r="F296" s="8">
        <v>0</v>
      </c>
      <c r="G296" s="8">
        <v>6165</v>
      </c>
      <c r="H296" s="8">
        <v>794</v>
      </c>
      <c r="I296" s="8">
        <v>5050</v>
      </c>
    </row>
    <row r="297" spans="1:9" x14ac:dyDescent="0.2">
      <c r="A297" t="s">
        <v>6</v>
      </c>
      <c r="B297" t="s">
        <v>74</v>
      </c>
      <c r="C297" t="str">
        <f t="shared" si="14"/>
        <v>01751010000000</v>
      </c>
      <c r="D297" t="s">
        <v>2336</v>
      </c>
      <c r="E297" t="str">
        <f>"01751016002323"</f>
        <v>01751016002323</v>
      </c>
      <c r="F297" s="8">
        <v>1</v>
      </c>
      <c r="G297" s="8">
        <v>6103</v>
      </c>
      <c r="H297" s="8">
        <v>794</v>
      </c>
      <c r="I297" s="8">
        <v>5050</v>
      </c>
    </row>
    <row r="298" spans="1:9" x14ac:dyDescent="0.2">
      <c r="A298" t="s">
        <v>6</v>
      </c>
      <c r="B298" t="s">
        <v>74</v>
      </c>
      <c r="C298" t="str">
        <f t="shared" si="14"/>
        <v>01751010000000</v>
      </c>
      <c r="D298" t="s">
        <v>2337</v>
      </c>
      <c r="E298" t="str">
        <f>"01751016117600"</f>
        <v>01751016117600</v>
      </c>
      <c r="F298" s="8">
        <v>0</v>
      </c>
      <c r="G298" s="8">
        <v>6097</v>
      </c>
      <c r="H298" s="8">
        <v>794</v>
      </c>
      <c r="I298" s="8">
        <v>5050</v>
      </c>
    </row>
    <row r="299" spans="1:9" x14ac:dyDescent="0.2">
      <c r="A299" t="s">
        <v>6</v>
      </c>
      <c r="B299" t="s">
        <v>74</v>
      </c>
      <c r="C299" t="str">
        <f t="shared" si="14"/>
        <v>01751010000000</v>
      </c>
      <c r="D299" t="s">
        <v>2338</v>
      </c>
      <c r="E299" t="str">
        <f>"01751016001366"</f>
        <v>01751016001366</v>
      </c>
      <c r="F299" s="8">
        <v>0</v>
      </c>
      <c r="G299" s="8">
        <v>6072</v>
      </c>
      <c r="H299" s="8">
        <v>794</v>
      </c>
      <c r="I299" s="8">
        <v>5050</v>
      </c>
    </row>
    <row r="300" spans="1:9" x14ac:dyDescent="0.2">
      <c r="A300" t="s">
        <v>6</v>
      </c>
      <c r="B300" t="s">
        <v>74</v>
      </c>
      <c r="C300" t="str">
        <f t="shared" si="14"/>
        <v>01751010000000</v>
      </c>
      <c r="D300" t="s">
        <v>2339</v>
      </c>
      <c r="E300" t="str">
        <f>"01751016108971"</f>
        <v>01751016108971</v>
      </c>
      <c r="F300" s="8">
        <v>37</v>
      </c>
      <c r="G300" s="8">
        <v>5997</v>
      </c>
      <c r="H300" s="8">
        <v>794</v>
      </c>
      <c r="I300" s="8">
        <v>5050</v>
      </c>
    </row>
    <row r="301" spans="1:9" x14ac:dyDescent="0.2">
      <c r="A301" t="s">
        <v>6</v>
      </c>
      <c r="B301" t="s">
        <v>74</v>
      </c>
      <c r="C301" t="str">
        <f t="shared" si="14"/>
        <v>01751010000000</v>
      </c>
      <c r="D301" t="s">
        <v>2340</v>
      </c>
      <c r="E301" t="str">
        <f>"01751016089361"</f>
        <v>01751016089361</v>
      </c>
      <c r="F301" s="8">
        <v>0</v>
      </c>
      <c r="G301" s="8">
        <v>5965</v>
      </c>
      <c r="H301" s="8">
        <v>794</v>
      </c>
      <c r="I301" s="8">
        <v>5050</v>
      </c>
    </row>
    <row r="302" spans="1:9" x14ac:dyDescent="0.2">
      <c r="A302" t="s">
        <v>6</v>
      </c>
      <c r="B302" t="s">
        <v>74</v>
      </c>
      <c r="C302" t="str">
        <f t="shared" si="14"/>
        <v>01751010000000</v>
      </c>
      <c r="D302" t="s">
        <v>2341</v>
      </c>
      <c r="E302" t="str">
        <f>"01751016002315"</f>
        <v>01751016002315</v>
      </c>
      <c r="F302" s="8">
        <v>0</v>
      </c>
      <c r="G302" s="8">
        <v>5739</v>
      </c>
      <c r="H302" s="8">
        <v>794</v>
      </c>
      <c r="I302" s="8">
        <v>5050</v>
      </c>
    </row>
    <row r="303" spans="1:9" x14ac:dyDescent="0.2">
      <c r="A303" t="s">
        <v>6</v>
      </c>
      <c r="B303" t="s">
        <v>75</v>
      </c>
      <c r="C303" t="str">
        <f t="shared" ref="C303:C314" si="15">"01612910000000"</f>
        <v>01612910000000</v>
      </c>
      <c r="D303" t="s">
        <v>280</v>
      </c>
      <c r="E303" t="str">
        <f>"01612916002372"</f>
        <v>01612916002372</v>
      </c>
      <c r="F303" s="8">
        <v>1050</v>
      </c>
      <c r="G303" s="8">
        <v>9502</v>
      </c>
      <c r="H303" s="8">
        <v>1403</v>
      </c>
      <c r="I303" s="8">
        <v>4275</v>
      </c>
    </row>
    <row r="304" spans="1:9" x14ac:dyDescent="0.2">
      <c r="A304" t="s">
        <v>6</v>
      </c>
      <c r="B304" t="s">
        <v>75</v>
      </c>
      <c r="C304" t="str">
        <f t="shared" si="15"/>
        <v>01612910000000</v>
      </c>
      <c r="D304" t="s">
        <v>2342</v>
      </c>
      <c r="E304" t="str">
        <f>"01612910134528"</f>
        <v>01612910134528</v>
      </c>
      <c r="F304" s="8">
        <v>435</v>
      </c>
      <c r="G304" s="8">
        <v>9222</v>
      </c>
      <c r="H304" s="8">
        <v>1403</v>
      </c>
      <c r="I304" s="8">
        <v>4275</v>
      </c>
    </row>
    <row r="305" spans="1:9" x14ac:dyDescent="0.2">
      <c r="A305" t="s">
        <v>6</v>
      </c>
      <c r="B305" t="s">
        <v>75</v>
      </c>
      <c r="C305" t="str">
        <f t="shared" si="15"/>
        <v>01612910000000</v>
      </c>
      <c r="D305" t="s">
        <v>2343</v>
      </c>
      <c r="E305" t="str">
        <f>"01612916066518"</f>
        <v>01612916066518</v>
      </c>
      <c r="F305" s="8">
        <v>930</v>
      </c>
      <c r="G305" s="8">
        <v>8026</v>
      </c>
      <c r="H305" s="8">
        <v>1403</v>
      </c>
      <c r="I305" s="8">
        <v>4275</v>
      </c>
    </row>
    <row r="306" spans="1:9" x14ac:dyDescent="0.2">
      <c r="A306" t="s">
        <v>6</v>
      </c>
      <c r="B306" t="s">
        <v>75</v>
      </c>
      <c r="C306" t="str">
        <f t="shared" si="15"/>
        <v>01612910000000</v>
      </c>
      <c r="D306" t="s">
        <v>232</v>
      </c>
      <c r="E306" t="str">
        <f>"01612916002430"</f>
        <v>01612916002430</v>
      </c>
      <c r="F306" s="8">
        <v>497</v>
      </c>
      <c r="G306" s="8">
        <v>8119</v>
      </c>
      <c r="H306" s="8">
        <v>1403</v>
      </c>
      <c r="I306" s="8">
        <v>4275</v>
      </c>
    </row>
    <row r="307" spans="1:9" x14ac:dyDescent="0.2">
      <c r="A307" t="s">
        <v>6</v>
      </c>
      <c r="B307" t="s">
        <v>75</v>
      </c>
      <c r="C307" t="str">
        <f t="shared" si="15"/>
        <v>01612910000000</v>
      </c>
      <c r="D307" t="s">
        <v>1194</v>
      </c>
      <c r="E307" t="str">
        <f>"01612916002398"</f>
        <v>01612916002398</v>
      </c>
      <c r="F307" s="8">
        <v>1446</v>
      </c>
      <c r="G307" s="8">
        <v>7072</v>
      </c>
      <c r="H307" s="8">
        <v>1403</v>
      </c>
      <c r="I307" s="8">
        <v>4275</v>
      </c>
    </row>
    <row r="308" spans="1:9" x14ac:dyDescent="0.2">
      <c r="A308" t="s">
        <v>6</v>
      </c>
      <c r="B308" t="s">
        <v>75</v>
      </c>
      <c r="C308" t="str">
        <f t="shared" si="15"/>
        <v>01612910000000</v>
      </c>
      <c r="D308" t="s">
        <v>2344</v>
      </c>
      <c r="E308" t="str">
        <f>"01612916002414"</f>
        <v>01612916002414</v>
      </c>
      <c r="F308" s="8">
        <v>2419</v>
      </c>
      <c r="G308" s="8">
        <v>5945</v>
      </c>
      <c r="H308" s="8">
        <v>1403</v>
      </c>
      <c r="I308" s="8">
        <v>4275</v>
      </c>
    </row>
    <row r="309" spans="1:9" x14ac:dyDescent="0.2">
      <c r="A309" t="s">
        <v>6</v>
      </c>
      <c r="B309" t="s">
        <v>75</v>
      </c>
      <c r="C309" t="str">
        <f t="shared" si="15"/>
        <v>01612910000000</v>
      </c>
      <c r="D309" t="s">
        <v>2345</v>
      </c>
      <c r="E309" t="str">
        <f>"01612910137588"</f>
        <v>01612910137588</v>
      </c>
      <c r="F309" s="8">
        <v>843</v>
      </c>
      <c r="G309" s="8">
        <v>7245</v>
      </c>
      <c r="H309" s="8">
        <v>1403</v>
      </c>
      <c r="I309" s="8">
        <v>4275</v>
      </c>
    </row>
    <row r="310" spans="1:9" x14ac:dyDescent="0.2">
      <c r="A310" t="s">
        <v>6</v>
      </c>
      <c r="B310" t="s">
        <v>75</v>
      </c>
      <c r="C310" t="str">
        <f t="shared" si="15"/>
        <v>01612910000000</v>
      </c>
      <c r="D310" t="s">
        <v>2094</v>
      </c>
      <c r="E310" t="str">
        <f>"01612916002455"</f>
        <v>01612916002455</v>
      </c>
      <c r="F310" s="8">
        <v>436</v>
      </c>
      <c r="G310" s="8">
        <v>7175</v>
      </c>
      <c r="H310" s="8">
        <v>1403</v>
      </c>
      <c r="I310" s="8">
        <v>4275</v>
      </c>
    </row>
    <row r="311" spans="1:9" x14ac:dyDescent="0.2">
      <c r="A311" t="s">
        <v>6</v>
      </c>
      <c r="B311" t="s">
        <v>75</v>
      </c>
      <c r="C311" t="str">
        <f t="shared" si="15"/>
        <v>01612910000000</v>
      </c>
      <c r="D311" t="s">
        <v>2346</v>
      </c>
      <c r="E311" t="str">
        <f>"01612916057111"</f>
        <v>01612916057111</v>
      </c>
      <c r="F311" s="8">
        <v>310</v>
      </c>
      <c r="G311" s="8">
        <v>7250</v>
      </c>
      <c r="H311" s="8">
        <v>1403</v>
      </c>
      <c r="I311" s="8">
        <v>4275</v>
      </c>
    </row>
    <row r="312" spans="1:9" x14ac:dyDescent="0.2">
      <c r="A312" t="s">
        <v>6</v>
      </c>
      <c r="B312" t="s">
        <v>75</v>
      </c>
      <c r="C312" t="str">
        <f t="shared" si="15"/>
        <v>01612910000000</v>
      </c>
      <c r="D312" t="s">
        <v>2347</v>
      </c>
      <c r="E312" t="str">
        <f>"01612916002448"</f>
        <v>01612916002448</v>
      </c>
      <c r="F312" s="8">
        <v>65</v>
      </c>
      <c r="G312" s="8">
        <v>7299</v>
      </c>
      <c r="H312" s="8">
        <v>1403</v>
      </c>
      <c r="I312" s="8">
        <v>4275</v>
      </c>
    </row>
    <row r="313" spans="1:9" x14ac:dyDescent="0.2">
      <c r="A313" t="s">
        <v>6</v>
      </c>
      <c r="B313" t="s">
        <v>75</v>
      </c>
      <c r="C313" t="str">
        <f t="shared" si="15"/>
        <v>01612910000000</v>
      </c>
      <c r="D313" t="s">
        <v>2348</v>
      </c>
      <c r="E313" t="str">
        <f>"01612916002463"</f>
        <v>01612916002463</v>
      </c>
      <c r="F313" s="8">
        <v>834</v>
      </c>
      <c r="G313" s="8">
        <v>6424</v>
      </c>
      <c r="H313" s="8">
        <v>1403</v>
      </c>
      <c r="I313" s="8">
        <v>4275</v>
      </c>
    </row>
    <row r="314" spans="1:9" x14ac:dyDescent="0.2">
      <c r="A314" t="s">
        <v>6</v>
      </c>
      <c r="B314" t="s">
        <v>75</v>
      </c>
      <c r="C314" t="str">
        <f t="shared" si="15"/>
        <v>01612910000000</v>
      </c>
      <c r="D314" t="s">
        <v>2349</v>
      </c>
      <c r="E314" t="str">
        <f>"01612916002422"</f>
        <v>01612916002422</v>
      </c>
      <c r="F314" s="8">
        <v>409</v>
      </c>
      <c r="G314" s="8">
        <v>6715</v>
      </c>
      <c r="H314" s="8">
        <v>1403</v>
      </c>
      <c r="I314" s="8">
        <v>4275</v>
      </c>
    </row>
    <row r="315" spans="1:9" x14ac:dyDescent="0.2">
      <c r="A315" t="s">
        <v>6</v>
      </c>
      <c r="B315" t="s">
        <v>76</v>
      </c>
      <c r="C315" t="str">
        <f t="shared" ref="C315:C330" si="16">"01613090000000"</f>
        <v>01613090000000</v>
      </c>
      <c r="D315" t="s">
        <v>2350</v>
      </c>
      <c r="E315" t="str">
        <f>"01613090137745"</f>
        <v>01613090137745</v>
      </c>
      <c r="F315" s="8">
        <v>312</v>
      </c>
      <c r="G315" s="8">
        <v>12685</v>
      </c>
      <c r="H315" s="8">
        <v>1516</v>
      </c>
      <c r="I315" s="8">
        <v>6199</v>
      </c>
    </row>
    <row r="316" spans="1:9" x14ac:dyDescent="0.2">
      <c r="A316" t="s">
        <v>6</v>
      </c>
      <c r="B316" t="s">
        <v>76</v>
      </c>
      <c r="C316" t="str">
        <f t="shared" si="16"/>
        <v>01613090000000</v>
      </c>
      <c r="D316" t="s">
        <v>1715</v>
      </c>
      <c r="E316" t="str">
        <f>"01613096002604"</f>
        <v>01613096002604</v>
      </c>
      <c r="F316" s="8">
        <v>235</v>
      </c>
      <c r="G316" s="8">
        <v>7731</v>
      </c>
      <c r="H316" s="8">
        <v>1516</v>
      </c>
      <c r="I316" s="8">
        <v>6199</v>
      </c>
    </row>
    <row r="317" spans="1:9" x14ac:dyDescent="0.2">
      <c r="A317" t="s">
        <v>6</v>
      </c>
      <c r="B317" t="s">
        <v>76</v>
      </c>
      <c r="C317" t="str">
        <f t="shared" si="16"/>
        <v>01613090000000</v>
      </c>
      <c r="D317" t="s">
        <v>2351</v>
      </c>
      <c r="E317" t="str">
        <f>"01613090111799"</f>
        <v>01613090111799</v>
      </c>
      <c r="F317" s="8">
        <v>26</v>
      </c>
      <c r="G317" s="8">
        <v>7583</v>
      </c>
      <c r="H317" s="8">
        <v>1516</v>
      </c>
      <c r="I317" s="8">
        <v>6199</v>
      </c>
    </row>
    <row r="318" spans="1:9" x14ac:dyDescent="0.2">
      <c r="A318" t="s">
        <v>6</v>
      </c>
      <c r="B318" t="s">
        <v>76</v>
      </c>
      <c r="C318" t="str">
        <f t="shared" si="16"/>
        <v>01613090000000</v>
      </c>
      <c r="D318" t="s">
        <v>2352</v>
      </c>
      <c r="E318" t="str">
        <f>"01613096002612"</f>
        <v>01613096002612</v>
      </c>
      <c r="F318" s="8">
        <v>272</v>
      </c>
      <c r="G318" s="8">
        <v>7218</v>
      </c>
      <c r="H318" s="8">
        <v>1516</v>
      </c>
      <c r="I318" s="8">
        <v>6199</v>
      </c>
    </row>
    <row r="319" spans="1:9" x14ac:dyDescent="0.2">
      <c r="A319" t="s">
        <v>6</v>
      </c>
      <c r="B319" t="s">
        <v>76</v>
      </c>
      <c r="C319" t="str">
        <f t="shared" si="16"/>
        <v>01613090000000</v>
      </c>
      <c r="D319" t="s">
        <v>2353</v>
      </c>
      <c r="E319" t="str">
        <f>"01613096002521"</f>
        <v>01613096002521</v>
      </c>
      <c r="F319" s="8">
        <v>375</v>
      </c>
      <c r="G319" s="8">
        <v>7057</v>
      </c>
      <c r="H319" s="8">
        <v>1516</v>
      </c>
      <c r="I319" s="8">
        <v>6199</v>
      </c>
    </row>
    <row r="320" spans="1:9" x14ac:dyDescent="0.2">
      <c r="A320" t="s">
        <v>6</v>
      </c>
      <c r="B320" t="s">
        <v>76</v>
      </c>
      <c r="C320" t="str">
        <f t="shared" si="16"/>
        <v>01613090000000</v>
      </c>
      <c r="D320" t="s">
        <v>2354</v>
      </c>
      <c r="E320" t="str">
        <f>"01613096002547"</f>
        <v>01613096002547</v>
      </c>
      <c r="F320" s="8">
        <v>210</v>
      </c>
      <c r="G320" s="8">
        <v>7068</v>
      </c>
      <c r="H320" s="8">
        <v>1516</v>
      </c>
      <c r="I320" s="8">
        <v>6199</v>
      </c>
    </row>
    <row r="321" spans="1:9" x14ac:dyDescent="0.2">
      <c r="A321" t="s">
        <v>6</v>
      </c>
      <c r="B321" t="s">
        <v>76</v>
      </c>
      <c r="C321" t="str">
        <f t="shared" si="16"/>
        <v>01613090000000</v>
      </c>
      <c r="D321" t="s">
        <v>2355</v>
      </c>
      <c r="E321" t="str">
        <f>"01613096002562"</f>
        <v>01613096002562</v>
      </c>
      <c r="F321" s="8">
        <v>791</v>
      </c>
      <c r="G321" s="8">
        <v>6391</v>
      </c>
      <c r="H321" s="8">
        <v>1516</v>
      </c>
      <c r="I321" s="8">
        <v>6199</v>
      </c>
    </row>
    <row r="322" spans="1:9" x14ac:dyDescent="0.2">
      <c r="A322" t="s">
        <v>6</v>
      </c>
      <c r="B322" t="s">
        <v>76</v>
      </c>
      <c r="C322" t="str">
        <f t="shared" si="16"/>
        <v>01613090000000</v>
      </c>
      <c r="D322" t="s">
        <v>2356</v>
      </c>
      <c r="E322" t="str">
        <f>"01613090137810"</f>
        <v>01613090137810</v>
      </c>
      <c r="F322" s="8">
        <v>214</v>
      </c>
      <c r="G322" s="8">
        <v>6950</v>
      </c>
      <c r="H322" s="8">
        <v>1516</v>
      </c>
      <c r="I322" s="8">
        <v>6199</v>
      </c>
    </row>
    <row r="323" spans="1:9" x14ac:dyDescent="0.2">
      <c r="A323" t="s">
        <v>6</v>
      </c>
      <c r="B323" t="s">
        <v>76</v>
      </c>
      <c r="C323" t="str">
        <f t="shared" si="16"/>
        <v>01613090000000</v>
      </c>
      <c r="D323" t="s">
        <v>2357</v>
      </c>
      <c r="E323" t="str">
        <f>"01613096002653"</f>
        <v>01613096002653</v>
      </c>
      <c r="F323" s="8">
        <v>339</v>
      </c>
      <c r="G323" s="8">
        <v>6622</v>
      </c>
      <c r="H323" s="8">
        <v>1516</v>
      </c>
      <c r="I323" s="8">
        <v>6199</v>
      </c>
    </row>
    <row r="324" spans="1:9" x14ac:dyDescent="0.2">
      <c r="A324" t="s">
        <v>6</v>
      </c>
      <c r="B324" t="s">
        <v>76</v>
      </c>
      <c r="C324" t="str">
        <f t="shared" si="16"/>
        <v>01613090000000</v>
      </c>
      <c r="D324" t="s">
        <v>2358</v>
      </c>
      <c r="E324" t="str">
        <f>"01613096002539"</f>
        <v>01613096002539</v>
      </c>
      <c r="F324" s="8">
        <v>248</v>
      </c>
      <c r="G324" s="8">
        <v>6677</v>
      </c>
      <c r="H324" s="8">
        <v>1516</v>
      </c>
      <c r="I324" s="8">
        <v>6199</v>
      </c>
    </row>
    <row r="325" spans="1:9" x14ac:dyDescent="0.2">
      <c r="A325" t="s">
        <v>6</v>
      </c>
      <c r="B325" t="s">
        <v>76</v>
      </c>
      <c r="C325" t="str">
        <f t="shared" si="16"/>
        <v>01613090000000</v>
      </c>
      <c r="D325" t="s">
        <v>2359</v>
      </c>
      <c r="E325" t="str">
        <f>"01613096002620"</f>
        <v>01613096002620</v>
      </c>
      <c r="F325" s="8">
        <v>229</v>
      </c>
      <c r="G325" s="8">
        <v>6643</v>
      </c>
      <c r="H325" s="8">
        <v>1516</v>
      </c>
      <c r="I325" s="8">
        <v>6199</v>
      </c>
    </row>
    <row r="326" spans="1:9" x14ac:dyDescent="0.2">
      <c r="A326" t="s">
        <v>6</v>
      </c>
      <c r="B326" t="s">
        <v>76</v>
      </c>
      <c r="C326" t="str">
        <f t="shared" si="16"/>
        <v>01613090000000</v>
      </c>
      <c r="D326" t="s">
        <v>2360</v>
      </c>
      <c r="E326" t="str">
        <f>"01613096002703"</f>
        <v>01613096002703</v>
      </c>
      <c r="F326" s="8">
        <v>126</v>
      </c>
      <c r="G326" s="8">
        <v>6721</v>
      </c>
      <c r="H326" s="8">
        <v>1516</v>
      </c>
      <c r="I326" s="8">
        <v>6199</v>
      </c>
    </row>
    <row r="327" spans="1:9" x14ac:dyDescent="0.2">
      <c r="A327" t="s">
        <v>6</v>
      </c>
      <c r="B327" t="s">
        <v>76</v>
      </c>
      <c r="C327" t="str">
        <f t="shared" si="16"/>
        <v>01613090000000</v>
      </c>
      <c r="D327" t="s">
        <v>2361</v>
      </c>
      <c r="E327" t="str">
        <f>"01613096002554"</f>
        <v>01613096002554</v>
      </c>
      <c r="F327" s="8">
        <v>256</v>
      </c>
      <c r="G327" s="8">
        <v>6436</v>
      </c>
      <c r="H327" s="8">
        <v>1516</v>
      </c>
      <c r="I327" s="8">
        <v>6199</v>
      </c>
    </row>
    <row r="328" spans="1:9" x14ac:dyDescent="0.2">
      <c r="A328" t="s">
        <v>6</v>
      </c>
      <c r="B328" t="s">
        <v>76</v>
      </c>
      <c r="C328" t="str">
        <f t="shared" si="16"/>
        <v>01613090000000</v>
      </c>
      <c r="D328" t="s">
        <v>2362</v>
      </c>
      <c r="E328" t="str">
        <f>"01613096002505"</f>
        <v>01613096002505</v>
      </c>
      <c r="F328" s="8">
        <v>214</v>
      </c>
      <c r="G328" s="8">
        <v>6457</v>
      </c>
      <c r="H328" s="8">
        <v>1516</v>
      </c>
      <c r="I328" s="8">
        <v>6199</v>
      </c>
    </row>
    <row r="329" spans="1:9" x14ac:dyDescent="0.2">
      <c r="A329" t="s">
        <v>6</v>
      </c>
      <c r="B329" t="s">
        <v>76</v>
      </c>
      <c r="C329" t="str">
        <f t="shared" si="16"/>
        <v>01613090000000</v>
      </c>
      <c r="D329" t="s">
        <v>2363</v>
      </c>
      <c r="E329" t="str">
        <f>"01613096002513"</f>
        <v>01613096002513</v>
      </c>
      <c r="F329" s="8">
        <v>408</v>
      </c>
      <c r="G329" s="8">
        <v>6133</v>
      </c>
      <c r="H329" s="8">
        <v>1516</v>
      </c>
      <c r="I329" s="8">
        <v>6199</v>
      </c>
    </row>
    <row r="330" spans="1:9" x14ac:dyDescent="0.2">
      <c r="A330" t="s">
        <v>6</v>
      </c>
      <c r="B330" t="s">
        <v>76</v>
      </c>
      <c r="C330" t="str">
        <f t="shared" si="16"/>
        <v>01613090000000</v>
      </c>
      <c r="D330" t="s">
        <v>2364</v>
      </c>
      <c r="E330" t="str">
        <f>"01613090130849"</f>
        <v>01613090130849</v>
      </c>
      <c r="F330" s="8">
        <v>172</v>
      </c>
      <c r="G330" s="8">
        <v>6245</v>
      </c>
      <c r="H330" s="8">
        <v>1516</v>
      </c>
      <c r="I330" s="8">
        <v>6199</v>
      </c>
    </row>
    <row r="331" spans="1:9" x14ac:dyDescent="0.2">
      <c r="A331" t="s">
        <v>6</v>
      </c>
      <c r="B331" t="s">
        <v>77</v>
      </c>
      <c r="C331" t="str">
        <f>"01751190000000"</f>
        <v>01751190000000</v>
      </c>
      <c r="D331" t="s">
        <v>2365</v>
      </c>
      <c r="E331" t="str">
        <f>"01751196002711"</f>
        <v>01751196002711</v>
      </c>
      <c r="F331" s="8">
        <v>729</v>
      </c>
      <c r="G331" s="8">
        <v>12178</v>
      </c>
      <c r="H331" s="8">
        <v>0</v>
      </c>
      <c r="I331" s="8">
        <v>0</v>
      </c>
    </row>
    <row r="332" spans="1:9" x14ac:dyDescent="0.2">
      <c r="A332" t="s">
        <v>83</v>
      </c>
      <c r="B332" t="s">
        <v>84</v>
      </c>
      <c r="C332" t="str">
        <f>"02100250000000"</f>
        <v>02100250000000</v>
      </c>
      <c r="D332" t="s">
        <v>2366</v>
      </c>
      <c r="E332" t="str">
        <f>"02100250230011"</f>
        <v>02100250230011</v>
      </c>
      <c r="F332" s="8" t="s">
        <v>30</v>
      </c>
      <c r="G332" s="8" t="s">
        <v>30</v>
      </c>
      <c r="H332" s="8" t="s">
        <v>30</v>
      </c>
      <c r="I332" s="8" t="s">
        <v>30</v>
      </c>
    </row>
    <row r="333" spans="1:9" x14ac:dyDescent="0.2">
      <c r="A333" t="s">
        <v>83</v>
      </c>
      <c r="B333" t="s">
        <v>85</v>
      </c>
      <c r="C333" t="str">
        <f>"02613330000000"</f>
        <v>02613330000000</v>
      </c>
      <c r="D333" t="s">
        <v>2367</v>
      </c>
      <c r="E333" t="str">
        <f>"02613336002794"</f>
        <v>02613336002794</v>
      </c>
      <c r="F333" s="8">
        <v>4755</v>
      </c>
      <c r="G333" s="8">
        <v>28930</v>
      </c>
      <c r="H333" s="8">
        <v>2517</v>
      </c>
      <c r="I333" s="8">
        <v>17594</v>
      </c>
    </row>
    <row r="334" spans="1:9" x14ac:dyDescent="0.2">
      <c r="A334" t="s">
        <v>83</v>
      </c>
      <c r="B334" t="s">
        <v>85</v>
      </c>
      <c r="C334" t="str">
        <f>"02613330000000"</f>
        <v>02613330000000</v>
      </c>
      <c r="D334" t="s">
        <v>2368</v>
      </c>
      <c r="E334" t="str">
        <f>"02613330137125"</f>
        <v>02613330137125</v>
      </c>
      <c r="F334" s="8">
        <v>839</v>
      </c>
      <c r="G334" s="8">
        <v>18732</v>
      </c>
      <c r="H334" s="8">
        <v>2517</v>
      </c>
      <c r="I334" s="8">
        <v>17594</v>
      </c>
    </row>
    <row r="335" spans="1:9" x14ac:dyDescent="0.2">
      <c r="A335" t="s">
        <v>83</v>
      </c>
      <c r="B335" t="s">
        <v>85</v>
      </c>
      <c r="C335" t="str">
        <f>"02613330000000"</f>
        <v>02613330000000</v>
      </c>
      <c r="D335" t="s">
        <v>2369</v>
      </c>
      <c r="E335" t="str">
        <f>"02613330230029"</f>
        <v>02613330230029</v>
      </c>
      <c r="F335" s="8" t="s">
        <v>30</v>
      </c>
      <c r="G335" s="8" t="s">
        <v>30</v>
      </c>
      <c r="H335" s="8" t="s">
        <v>30</v>
      </c>
      <c r="I335" s="8" t="s">
        <v>30</v>
      </c>
    </row>
    <row r="336" spans="1:9" x14ac:dyDescent="0.2">
      <c r="A336" t="s">
        <v>86</v>
      </c>
      <c r="B336" t="s">
        <v>87</v>
      </c>
      <c r="C336" t="str">
        <f>"03100330000000"</f>
        <v>03100330000000</v>
      </c>
      <c r="D336" t="s">
        <v>2370</v>
      </c>
      <c r="E336" t="str">
        <f>"03100330330068"</f>
        <v>03100330330068</v>
      </c>
      <c r="F336" s="8">
        <v>41008</v>
      </c>
      <c r="G336" s="8">
        <v>155811</v>
      </c>
      <c r="H336" s="8">
        <v>12744</v>
      </c>
      <c r="I336" s="8">
        <v>145323</v>
      </c>
    </row>
    <row r="337" spans="1:9" x14ac:dyDescent="0.2">
      <c r="A337" t="s">
        <v>86</v>
      </c>
      <c r="B337" t="s">
        <v>87</v>
      </c>
      <c r="C337" t="str">
        <f>"03100330000000"</f>
        <v>03100330000000</v>
      </c>
      <c r="D337" t="s">
        <v>2371</v>
      </c>
      <c r="E337" t="str">
        <f>"03100330330035"</f>
        <v>03100330330035</v>
      </c>
      <c r="F337" s="8">
        <v>0</v>
      </c>
      <c r="G337" s="8">
        <v>13117</v>
      </c>
      <c r="H337" s="8">
        <v>12744</v>
      </c>
      <c r="I337" s="8">
        <v>145323</v>
      </c>
    </row>
    <row r="338" spans="1:9" x14ac:dyDescent="0.2">
      <c r="A338" t="s">
        <v>86</v>
      </c>
      <c r="B338" t="s">
        <v>88</v>
      </c>
      <c r="C338" t="str">
        <f t="shared" ref="C338:C349" si="17">"03739810000000"</f>
        <v>03739810000000</v>
      </c>
      <c r="D338" t="s">
        <v>2372</v>
      </c>
      <c r="E338" t="str">
        <f>"03739810330019"</f>
        <v>03739810330019</v>
      </c>
      <c r="F338" s="8">
        <v>2159</v>
      </c>
      <c r="G338" s="8">
        <v>11496</v>
      </c>
      <c r="H338" s="8">
        <v>764</v>
      </c>
      <c r="I338" s="8">
        <v>3505</v>
      </c>
    </row>
    <row r="339" spans="1:9" x14ac:dyDescent="0.2">
      <c r="A339" t="s">
        <v>86</v>
      </c>
      <c r="B339" t="s">
        <v>88</v>
      </c>
      <c r="C339" t="str">
        <f t="shared" si="17"/>
        <v>03739810000000</v>
      </c>
      <c r="D339" t="s">
        <v>2373</v>
      </c>
      <c r="E339" t="str">
        <f>"03739816002869"</f>
        <v>03739816002869</v>
      </c>
      <c r="F339" s="8">
        <v>974</v>
      </c>
      <c r="G339" s="8">
        <v>7228</v>
      </c>
      <c r="H339" s="8">
        <v>764</v>
      </c>
      <c r="I339" s="8">
        <v>3505</v>
      </c>
    </row>
    <row r="340" spans="1:9" x14ac:dyDescent="0.2">
      <c r="A340" t="s">
        <v>86</v>
      </c>
      <c r="B340" t="s">
        <v>88</v>
      </c>
      <c r="C340" t="str">
        <f t="shared" si="17"/>
        <v>03739810000000</v>
      </c>
      <c r="D340" t="s">
        <v>2374</v>
      </c>
      <c r="E340" t="str">
        <f>"03739810330753"</f>
        <v>03739810330753</v>
      </c>
      <c r="F340" s="8">
        <v>394</v>
      </c>
      <c r="G340" s="8">
        <v>7317</v>
      </c>
      <c r="H340" s="8">
        <v>764</v>
      </c>
      <c r="I340" s="8">
        <v>3505</v>
      </c>
    </row>
    <row r="341" spans="1:9" x14ac:dyDescent="0.2">
      <c r="A341" t="s">
        <v>86</v>
      </c>
      <c r="B341" t="s">
        <v>88</v>
      </c>
      <c r="C341" t="str">
        <f t="shared" si="17"/>
        <v>03739810000000</v>
      </c>
      <c r="D341" t="s">
        <v>2375</v>
      </c>
      <c r="E341" t="str">
        <f>"03739810334755"</f>
        <v>03739810334755</v>
      </c>
      <c r="F341" s="8">
        <v>314</v>
      </c>
      <c r="G341" s="8">
        <v>7369</v>
      </c>
      <c r="H341" s="8">
        <v>764</v>
      </c>
      <c r="I341" s="8">
        <v>3505</v>
      </c>
    </row>
    <row r="342" spans="1:9" x14ac:dyDescent="0.2">
      <c r="A342" t="s">
        <v>86</v>
      </c>
      <c r="B342" t="s">
        <v>88</v>
      </c>
      <c r="C342" t="str">
        <f t="shared" si="17"/>
        <v>03739810000000</v>
      </c>
      <c r="D342" t="s">
        <v>2376</v>
      </c>
      <c r="E342" t="str">
        <f>"03739816002851"</f>
        <v>03739816002851</v>
      </c>
      <c r="F342" s="8">
        <v>997</v>
      </c>
      <c r="G342" s="8">
        <v>5965</v>
      </c>
      <c r="H342" s="8">
        <v>764</v>
      </c>
      <c r="I342" s="8">
        <v>3505</v>
      </c>
    </row>
    <row r="343" spans="1:9" x14ac:dyDescent="0.2">
      <c r="A343" t="s">
        <v>86</v>
      </c>
      <c r="B343" t="s">
        <v>88</v>
      </c>
      <c r="C343" t="str">
        <f t="shared" si="17"/>
        <v>03739810000000</v>
      </c>
      <c r="D343" t="s">
        <v>2377</v>
      </c>
      <c r="E343" t="str">
        <f>"03739816002844"</f>
        <v>03739816002844</v>
      </c>
      <c r="F343" s="8">
        <v>286</v>
      </c>
      <c r="G343" s="8">
        <v>6654</v>
      </c>
      <c r="H343" s="8">
        <v>764</v>
      </c>
      <c r="I343" s="8">
        <v>3505</v>
      </c>
    </row>
    <row r="344" spans="1:9" x14ac:dyDescent="0.2">
      <c r="A344" t="s">
        <v>86</v>
      </c>
      <c r="B344" t="s">
        <v>88</v>
      </c>
      <c r="C344" t="str">
        <f t="shared" si="17"/>
        <v>03739810000000</v>
      </c>
      <c r="D344" t="s">
        <v>2378</v>
      </c>
      <c r="E344" t="str">
        <f>"03739816002877"</f>
        <v>03739816002877</v>
      </c>
      <c r="F344" s="8">
        <v>644</v>
      </c>
      <c r="G344" s="8">
        <v>6030</v>
      </c>
      <c r="H344" s="8">
        <v>764</v>
      </c>
      <c r="I344" s="8">
        <v>3505</v>
      </c>
    </row>
    <row r="345" spans="1:9" x14ac:dyDescent="0.2">
      <c r="A345" t="s">
        <v>86</v>
      </c>
      <c r="B345" t="s">
        <v>88</v>
      </c>
      <c r="C345" t="str">
        <f t="shared" si="17"/>
        <v>03739810000000</v>
      </c>
      <c r="D345" t="s">
        <v>2379</v>
      </c>
      <c r="E345" t="str">
        <f>"03739816107387"</f>
        <v>03739816107387</v>
      </c>
      <c r="F345" s="8">
        <v>323</v>
      </c>
      <c r="G345" s="8">
        <v>6343</v>
      </c>
      <c r="H345" s="8">
        <v>764</v>
      </c>
      <c r="I345" s="8">
        <v>3505</v>
      </c>
    </row>
    <row r="346" spans="1:9" x14ac:dyDescent="0.2">
      <c r="A346" t="s">
        <v>86</v>
      </c>
      <c r="B346" t="s">
        <v>88</v>
      </c>
      <c r="C346" t="str">
        <f t="shared" si="17"/>
        <v>03739810000000</v>
      </c>
      <c r="D346" t="s">
        <v>2380</v>
      </c>
      <c r="E346" t="str">
        <f>"03739810330050"</f>
        <v>03739810330050</v>
      </c>
      <c r="F346" s="8">
        <v>163</v>
      </c>
      <c r="G346" s="8">
        <v>6430</v>
      </c>
      <c r="H346" s="8">
        <v>764</v>
      </c>
      <c r="I346" s="8">
        <v>3505</v>
      </c>
    </row>
    <row r="347" spans="1:9" x14ac:dyDescent="0.2">
      <c r="A347" t="s">
        <v>86</v>
      </c>
      <c r="B347" t="s">
        <v>88</v>
      </c>
      <c r="C347" t="str">
        <f t="shared" si="17"/>
        <v>03739810000000</v>
      </c>
      <c r="D347" t="s">
        <v>2381</v>
      </c>
      <c r="E347" t="str">
        <f>"03739816107395"</f>
        <v>03739816107395</v>
      </c>
      <c r="F347" s="8">
        <v>299</v>
      </c>
      <c r="G347" s="8">
        <v>6163</v>
      </c>
      <c r="H347" s="8">
        <v>764</v>
      </c>
      <c r="I347" s="8">
        <v>3505</v>
      </c>
    </row>
    <row r="348" spans="1:9" x14ac:dyDescent="0.2">
      <c r="A348" t="s">
        <v>86</v>
      </c>
      <c r="B348" t="s">
        <v>88</v>
      </c>
      <c r="C348" t="str">
        <f t="shared" si="17"/>
        <v>03739810000000</v>
      </c>
      <c r="D348" t="s">
        <v>2382</v>
      </c>
      <c r="E348" t="str">
        <f>"03739816002810"</f>
        <v>03739816002810</v>
      </c>
      <c r="F348" s="8">
        <v>661</v>
      </c>
      <c r="G348" s="8">
        <v>5685</v>
      </c>
      <c r="H348" s="8">
        <v>764</v>
      </c>
      <c r="I348" s="8">
        <v>3505</v>
      </c>
    </row>
    <row r="349" spans="1:9" x14ac:dyDescent="0.2">
      <c r="A349" t="s">
        <v>86</v>
      </c>
      <c r="B349" t="s">
        <v>88</v>
      </c>
      <c r="C349" t="str">
        <f t="shared" si="17"/>
        <v>03739810000000</v>
      </c>
      <c r="D349" t="s">
        <v>2383</v>
      </c>
      <c r="E349" t="str">
        <f>"03739816002828"</f>
        <v>03739816002828</v>
      </c>
      <c r="F349" s="8">
        <v>238</v>
      </c>
      <c r="G349" s="8">
        <v>5343</v>
      </c>
      <c r="H349" s="8">
        <v>764</v>
      </c>
      <c r="I349" s="8">
        <v>3505</v>
      </c>
    </row>
    <row r="350" spans="1:9" x14ac:dyDescent="0.2">
      <c r="A350" t="s">
        <v>89</v>
      </c>
      <c r="B350" t="s">
        <v>91</v>
      </c>
      <c r="C350" t="str">
        <f>"04613820000000"</f>
        <v>04613820000000</v>
      </c>
      <c r="D350" t="s">
        <v>91</v>
      </c>
      <c r="E350" t="str">
        <f>"04613826002919"</f>
        <v>04613826002919</v>
      </c>
      <c r="F350" s="8">
        <v>2273</v>
      </c>
      <c r="G350" s="8">
        <v>10676</v>
      </c>
      <c r="H350" s="8">
        <v>0</v>
      </c>
      <c r="I350" s="8">
        <v>0</v>
      </c>
    </row>
    <row r="351" spans="1:9" x14ac:dyDescent="0.2">
      <c r="A351" t="s">
        <v>89</v>
      </c>
      <c r="B351" t="s">
        <v>92</v>
      </c>
      <c r="C351" t="str">
        <f>"04614080000000"</f>
        <v>04614080000000</v>
      </c>
      <c r="D351" t="s">
        <v>2384</v>
      </c>
      <c r="E351" t="str">
        <f>"04614086002950"</f>
        <v>04614086002950</v>
      </c>
      <c r="F351" s="8">
        <v>430</v>
      </c>
      <c r="G351" s="8">
        <v>4987</v>
      </c>
      <c r="H351" s="8">
        <v>716</v>
      </c>
      <c r="I351" s="8">
        <v>21092</v>
      </c>
    </row>
    <row r="352" spans="1:9" x14ac:dyDescent="0.2">
      <c r="A352" t="s">
        <v>89</v>
      </c>
      <c r="B352" t="s">
        <v>92</v>
      </c>
      <c r="C352" t="str">
        <f>"04614080000000"</f>
        <v>04614080000000</v>
      </c>
      <c r="D352" t="s">
        <v>2385</v>
      </c>
      <c r="E352" t="str">
        <f>"04614080430827"</f>
        <v>04614080430827</v>
      </c>
      <c r="F352" s="8">
        <v>477</v>
      </c>
      <c r="G352" s="8">
        <v>9372</v>
      </c>
      <c r="H352" s="8">
        <v>286</v>
      </c>
      <c r="I352" s="8">
        <v>16106</v>
      </c>
    </row>
    <row r="353" spans="1:9" x14ac:dyDescent="0.2">
      <c r="A353" t="s">
        <v>89</v>
      </c>
      <c r="B353" t="s">
        <v>92</v>
      </c>
      <c r="C353" t="str">
        <f>"04614080000000"</f>
        <v>04614080000000</v>
      </c>
      <c r="D353" t="s">
        <v>2386</v>
      </c>
      <c r="E353" t="str">
        <f>"04614086002943"</f>
        <v>04614086002943</v>
      </c>
      <c r="F353" s="8">
        <v>1788</v>
      </c>
      <c r="G353" s="8">
        <v>3232</v>
      </c>
      <c r="H353" s="8">
        <v>286</v>
      </c>
      <c r="I353" s="8">
        <v>16106</v>
      </c>
    </row>
    <row r="354" spans="1:9" x14ac:dyDescent="0.2">
      <c r="A354" t="s">
        <v>89</v>
      </c>
      <c r="B354" t="s">
        <v>94</v>
      </c>
      <c r="C354" t="str">
        <f t="shared" ref="C354:C360" si="18">"04100410000000"</f>
        <v>04100410000000</v>
      </c>
      <c r="D354" t="s">
        <v>2387</v>
      </c>
      <c r="E354" t="str">
        <f>"04100410430066"</f>
        <v>04100410430066</v>
      </c>
      <c r="F354" s="8">
        <v>8938</v>
      </c>
      <c r="G354" s="8">
        <v>63595</v>
      </c>
      <c r="H354" s="8">
        <v>0</v>
      </c>
      <c r="I354" s="8">
        <v>0</v>
      </c>
    </row>
    <row r="355" spans="1:9" x14ac:dyDescent="0.2">
      <c r="A355" t="s">
        <v>89</v>
      </c>
      <c r="B355" t="s">
        <v>94</v>
      </c>
      <c r="C355" t="str">
        <f t="shared" si="18"/>
        <v>04100410000000</v>
      </c>
      <c r="D355" t="s">
        <v>2388</v>
      </c>
      <c r="E355" t="str">
        <f>"04100410139493"</f>
        <v>04100410139493</v>
      </c>
      <c r="F355" s="8">
        <v>0</v>
      </c>
      <c r="G355" s="8">
        <v>58936</v>
      </c>
      <c r="H355" s="8">
        <v>0</v>
      </c>
      <c r="I355" s="8">
        <v>0</v>
      </c>
    </row>
    <row r="356" spans="1:9" x14ac:dyDescent="0.2">
      <c r="A356" t="s">
        <v>89</v>
      </c>
      <c r="B356" t="s">
        <v>94</v>
      </c>
      <c r="C356" t="str">
        <f t="shared" si="18"/>
        <v>04100410000000</v>
      </c>
      <c r="D356" t="s">
        <v>2389</v>
      </c>
      <c r="E356" t="str">
        <f>"04100416069256"</f>
        <v>04100416069256</v>
      </c>
      <c r="F356" s="8">
        <v>12156</v>
      </c>
      <c r="G356" s="8">
        <v>42712</v>
      </c>
      <c r="H356" s="8">
        <v>0</v>
      </c>
      <c r="I356" s="8">
        <v>1094</v>
      </c>
    </row>
    <row r="357" spans="1:9" x14ac:dyDescent="0.2">
      <c r="A357" t="s">
        <v>89</v>
      </c>
      <c r="B357" t="s">
        <v>94</v>
      </c>
      <c r="C357" t="str">
        <f t="shared" si="18"/>
        <v>04100410000000</v>
      </c>
      <c r="D357" t="s">
        <v>2390</v>
      </c>
      <c r="E357" t="str">
        <f>"04100410129817"</f>
        <v>04100410129817</v>
      </c>
      <c r="F357" s="8">
        <v>2664</v>
      </c>
      <c r="G357" s="8">
        <v>16272</v>
      </c>
      <c r="H357" s="8">
        <v>0</v>
      </c>
      <c r="I357" s="8">
        <v>0</v>
      </c>
    </row>
    <row r="358" spans="1:9" x14ac:dyDescent="0.2">
      <c r="A358" t="s">
        <v>89</v>
      </c>
      <c r="B358" t="s">
        <v>94</v>
      </c>
      <c r="C358" t="str">
        <f t="shared" si="18"/>
        <v>04100410000000</v>
      </c>
      <c r="D358" t="s">
        <v>2391</v>
      </c>
      <c r="E358" t="str">
        <f>"04100410134213"</f>
        <v>04100410134213</v>
      </c>
      <c r="F358" s="8">
        <v>1256</v>
      </c>
      <c r="G358" s="8">
        <v>15232</v>
      </c>
      <c r="H358" s="8">
        <v>0</v>
      </c>
      <c r="I358" s="8">
        <v>17</v>
      </c>
    </row>
    <row r="359" spans="1:9" x14ac:dyDescent="0.2">
      <c r="A359" t="s">
        <v>89</v>
      </c>
      <c r="B359" t="s">
        <v>94</v>
      </c>
      <c r="C359" t="str">
        <f t="shared" si="18"/>
        <v>04100410000000</v>
      </c>
      <c r="D359" t="s">
        <v>2392</v>
      </c>
      <c r="E359" t="str">
        <f>"04100410430090"</f>
        <v>04100410430090</v>
      </c>
      <c r="F359" s="8">
        <v>1438</v>
      </c>
      <c r="G359" s="8">
        <v>10933</v>
      </c>
      <c r="H359" s="8">
        <v>0</v>
      </c>
      <c r="I359" s="8">
        <v>292</v>
      </c>
    </row>
    <row r="360" spans="1:9" x14ac:dyDescent="0.2">
      <c r="A360" t="s">
        <v>89</v>
      </c>
      <c r="B360" t="s">
        <v>94</v>
      </c>
      <c r="C360" t="str">
        <f t="shared" si="18"/>
        <v>04100410000000</v>
      </c>
      <c r="D360" t="s">
        <v>2393</v>
      </c>
      <c r="E360" t="str">
        <f>"04100410136820"</f>
        <v>04100410136820</v>
      </c>
      <c r="F360" s="8" t="s">
        <v>30</v>
      </c>
      <c r="G360" s="8" t="s">
        <v>30</v>
      </c>
      <c r="H360" s="8" t="s">
        <v>30</v>
      </c>
      <c r="I360" s="8" t="s">
        <v>30</v>
      </c>
    </row>
    <row r="361" spans="1:9" x14ac:dyDescent="0.2">
      <c r="A361" t="s">
        <v>89</v>
      </c>
      <c r="B361" t="s">
        <v>96</v>
      </c>
      <c r="C361" t="str">
        <f t="shared" ref="C361:C382" si="19">"04614240000000"</f>
        <v>04614240000000</v>
      </c>
      <c r="D361" t="s">
        <v>2394</v>
      </c>
      <c r="E361" t="str">
        <f>"04614240111039"</f>
        <v>04614240111039</v>
      </c>
      <c r="F361" s="8">
        <v>30</v>
      </c>
      <c r="G361" s="8">
        <v>34822</v>
      </c>
      <c r="H361" s="8">
        <v>975</v>
      </c>
      <c r="I361" s="8">
        <v>4219</v>
      </c>
    </row>
    <row r="362" spans="1:9" x14ac:dyDescent="0.2">
      <c r="A362" t="s">
        <v>89</v>
      </c>
      <c r="B362" t="s">
        <v>96</v>
      </c>
      <c r="C362" t="str">
        <f t="shared" si="19"/>
        <v>04614240000000</v>
      </c>
      <c r="D362" t="s">
        <v>2395</v>
      </c>
      <c r="E362" t="str">
        <f>"04614240431502"</f>
        <v>04614240431502</v>
      </c>
      <c r="F362" s="8">
        <v>1484</v>
      </c>
      <c r="G362" s="8">
        <v>11634</v>
      </c>
      <c r="H362" s="8">
        <v>975</v>
      </c>
      <c r="I362" s="8">
        <v>4219</v>
      </c>
    </row>
    <row r="363" spans="1:9" x14ac:dyDescent="0.2">
      <c r="A363" t="s">
        <v>89</v>
      </c>
      <c r="B363" t="s">
        <v>96</v>
      </c>
      <c r="C363" t="str">
        <f t="shared" si="19"/>
        <v>04614240000000</v>
      </c>
      <c r="D363" t="s">
        <v>2396</v>
      </c>
      <c r="E363" t="str">
        <f>"04614246002968"</f>
        <v>04614246002968</v>
      </c>
      <c r="F363" s="8">
        <v>1555</v>
      </c>
      <c r="G363" s="8">
        <v>9343</v>
      </c>
      <c r="H363" s="8">
        <v>975</v>
      </c>
      <c r="I363" s="8">
        <v>4219</v>
      </c>
    </row>
    <row r="364" spans="1:9" x14ac:dyDescent="0.2">
      <c r="A364" t="s">
        <v>89</v>
      </c>
      <c r="B364" t="s">
        <v>96</v>
      </c>
      <c r="C364" t="str">
        <f t="shared" si="19"/>
        <v>04614240000000</v>
      </c>
      <c r="D364" t="s">
        <v>2397</v>
      </c>
      <c r="E364" t="str">
        <f>"04614246003040"</f>
        <v>04614246003040</v>
      </c>
      <c r="F364" s="8">
        <v>469</v>
      </c>
      <c r="G364" s="8">
        <v>9960</v>
      </c>
      <c r="H364" s="8">
        <v>975</v>
      </c>
      <c r="I364" s="8">
        <v>4219</v>
      </c>
    </row>
    <row r="365" spans="1:9" x14ac:dyDescent="0.2">
      <c r="A365" t="s">
        <v>89</v>
      </c>
      <c r="B365" t="s">
        <v>96</v>
      </c>
      <c r="C365" t="str">
        <f t="shared" si="19"/>
        <v>04614240000000</v>
      </c>
      <c r="D365" t="s">
        <v>2398</v>
      </c>
      <c r="E365" t="str">
        <f>"04614246003024"</f>
        <v>04614246003024</v>
      </c>
      <c r="F365" s="8">
        <v>1316</v>
      </c>
      <c r="G365" s="8">
        <v>8604</v>
      </c>
      <c r="H365" s="8">
        <v>975</v>
      </c>
      <c r="I365" s="8">
        <v>4219</v>
      </c>
    </row>
    <row r="366" spans="1:9" x14ac:dyDescent="0.2">
      <c r="A366" t="s">
        <v>89</v>
      </c>
      <c r="B366" t="s">
        <v>96</v>
      </c>
      <c r="C366" t="str">
        <f t="shared" si="19"/>
        <v>04614240000000</v>
      </c>
      <c r="D366" t="s">
        <v>2399</v>
      </c>
      <c r="E366" t="str">
        <f>"04614246109722"</f>
        <v>04614246109722</v>
      </c>
      <c r="F366" s="8">
        <v>1113</v>
      </c>
      <c r="G366" s="8">
        <v>8717</v>
      </c>
      <c r="H366" s="8">
        <v>975</v>
      </c>
      <c r="I366" s="8">
        <v>4219</v>
      </c>
    </row>
    <row r="367" spans="1:9" x14ac:dyDescent="0.2">
      <c r="A367" t="s">
        <v>89</v>
      </c>
      <c r="B367" t="s">
        <v>96</v>
      </c>
      <c r="C367" t="str">
        <f t="shared" si="19"/>
        <v>04614240000000</v>
      </c>
      <c r="D367" t="s">
        <v>2400</v>
      </c>
      <c r="E367" t="str">
        <f>"04614246003008"</f>
        <v>04614246003008</v>
      </c>
      <c r="F367" s="8">
        <v>404</v>
      </c>
      <c r="G367" s="8">
        <v>9419</v>
      </c>
      <c r="H367" s="8">
        <v>975</v>
      </c>
      <c r="I367" s="8">
        <v>4219</v>
      </c>
    </row>
    <row r="368" spans="1:9" x14ac:dyDescent="0.2">
      <c r="A368" t="s">
        <v>89</v>
      </c>
      <c r="B368" t="s">
        <v>96</v>
      </c>
      <c r="C368" t="str">
        <f t="shared" si="19"/>
        <v>04614240000000</v>
      </c>
      <c r="D368" t="s">
        <v>2401</v>
      </c>
      <c r="E368" t="str">
        <f>"04614246003032"</f>
        <v>04614246003032</v>
      </c>
      <c r="F368" s="8">
        <v>1562</v>
      </c>
      <c r="G368" s="8">
        <v>7588</v>
      </c>
      <c r="H368" s="8">
        <v>975</v>
      </c>
      <c r="I368" s="8">
        <v>4219</v>
      </c>
    </row>
    <row r="369" spans="1:9" x14ac:dyDescent="0.2">
      <c r="A369" t="s">
        <v>89</v>
      </c>
      <c r="B369" t="s">
        <v>96</v>
      </c>
      <c r="C369" t="str">
        <f t="shared" si="19"/>
        <v>04614240000000</v>
      </c>
      <c r="D369" t="s">
        <v>2402</v>
      </c>
      <c r="E369" t="str">
        <f>"04614246003073"</f>
        <v>04614246003073</v>
      </c>
      <c r="F369" s="8">
        <v>166</v>
      </c>
      <c r="G369" s="8">
        <v>8887</v>
      </c>
      <c r="H369" s="8">
        <v>975</v>
      </c>
      <c r="I369" s="8">
        <v>4219</v>
      </c>
    </row>
    <row r="370" spans="1:9" x14ac:dyDescent="0.2">
      <c r="A370" t="s">
        <v>89</v>
      </c>
      <c r="B370" t="s">
        <v>96</v>
      </c>
      <c r="C370" t="str">
        <f t="shared" si="19"/>
        <v>04614240000000</v>
      </c>
      <c r="D370" t="s">
        <v>2403</v>
      </c>
      <c r="E370" t="str">
        <f>"04614246002976"</f>
        <v>04614246002976</v>
      </c>
      <c r="F370" s="8">
        <v>722</v>
      </c>
      <c r="G370" s="8">
        <v>8017</v>
      </c>
      <c r="H370" s="8">
        <v>975</v>
      </c>
      <c r="I370" s="8">
        <v>4219</v>
      </c>
    </row>
    <row r="371" spans="1:9" x14ac:dyDescent="0.2">
      <c r="A371" t="s">
        <v>89</v>
      </c>
      <c r="B371" t="s">
        <v>96</v>
      </c>
      <c r="C371" t="str">
        <f t="shared" si="19"/>
        <v>04614240000000</v>
      </c>
      <c r="D371" t="s">
        <v>2404</v>
      </c>
      <c r="E371" t="str">
        <f>"04614240437558"</f>
        <v>04614240437558</v>
      </c>
      <c r="F371" s="8">
        <v>445</v>
      </c>
      <c r="G371" s="8">
        <v>7735</v>
      </c>
      <c r="H371" s="8">
        <v>975</v>
      </c>
      <c r="I371" s="8">
        <v>4219</v>
      </c>
    </row>
    <row r="372" spans="1:9" x14ac:dyDescent="0.2">
      <c r="A372" t="s">
        <v>89</v>
      </c>
      <c r="B372" t="s">
        <v>96</v>
      </c>
      <c r="C372" t="str">
        <f t="shared" si="19"/>
        <v>04614240000000</v>
      </c>
      <c r="D372" t="s">
        <v>2405</v>
      </c>
      <c r="E372" t="str">
        <f>"04614240123976"</f>
        <v>04614240123976</v>
      </c>
      <c r="F372" s="8">
        <v>3152</v>
      </c>
      <c r="G372" s="8">
        <v>4978</v>
      </c>
      <c r="H372" s="8">
        <v>975</v>
      </c>
      <c r="I372" s="8">
        <v>4219</v>
      </c>
    </row>
    <row r="373" spans="1:9" x14ac:dyDescent="0.2">
      <c r="A373" t="s">
        <v>89</v>
      </c>
      <c r="B373" t="s">
        <v>96</v>
      </c>
      <c r="C373" t="str">
        <f t="shared" si="19"/>
        <v>04614240000000</v>
      </c>
      <c r="D373" t="s">
        <v>2406</v>
      </c>
      <c r="E373" t="str">
        <f>"04614246057137"</f>
        <v>04614246057137</v>
      </c>
      <c r="F373" s="8">
        <v>704</v>
      </c>
      <c r="G373" s="8">
        <v>7382</v>
      </c>
      <c r="H373" s="8">
        <v>975</v>
      </c>
      <c r="I373" s="8">
        <v>4219</v>
      </c>
    </row>
    <row r="374" spans="1:9" x14ac:dyDescent="0.2">
      <c r="A374" t="s">
        <v>89</v>
      </c>
      <c r="B374" t="s">
        <v>96</v>
      </c>
      <c r="C374" t="str">
        <f t="shared" si="19"/>
        <v>04614240000000</v>
      </c>
      <c r="D374" t="s">
        <v>2407</v>
      </c>
      <c r="E374" t="str">
        <f>"04614246111116"</f>
        <v>04614246111116</v>
      </c>
      <c r="F374" s="8">
        <v>860</v>
      </c>
      <c r="G374" s="8">
        <v>7180</v>
      </c>
      <c r="H374" s="8">
        <v>975</v>
      </c>
      <c r="I374" s="8">
        <v>4219</v>
      </c>
    </row>
    <row r="375" spans="1:9" x14ac:dyDescent="0.2">
      <c r="A375" t="s">
        <v>89</v>
      </c>
      <c r="B375" t="s">
        <v>96</v>
      </c>
      <c r="C375" t="str">
        <f t="shared" si="19"/>
        <v>04614240000000</v>
      </c>
      <c r="D375" t="s">
        <v>2408</v>
      </c>
      <c r="E375" t="str">
        <f>"04614246116610"</f>
        <v>04614246116610</v>
      </c>
      <c r="F375" s="8">
        <v>100</v>
      </c>
      <c r="G375" s="8">
        <v>7862</v>
      </c>
      <c r="H375" s="8">
        <v>975</v>
      </c>
      <c r="I375" s="8">
        <v>4219</v>
      </c>
    </row>
    <row r="376" spans="1:9" x14ac:dyDescent="0.2">
      <c r="A376" t="s">
        <v>89</v>
      </c>
      <c r="B376" t="s">
        <v>96</v>
      </c>
      <c r="C376" t="str">
        <f t="shared" si="19"/>
        <v>04614240000000</v>
      </c>
      <c r="D376" t="s">
        <v>2409</v>
      </c>
      <c r="E376" t="str">
        <f>"04614246003099"</f>
        <v>04614246003099</v>
      </c>
      <c r="F376" s="8">
        <v>153</v>
      </c>
      <c r="G376" s="8">
        <v>7669</v>
      </c>
      <c r="H376" s="8">
        <v>975</v>
      </c>
      <c r="I376" s="8">
        <v>4219</v>
      </c>
    </row>
    <row r="377" spans="1:9" x14ac:dyDescent="0.2">
      <c r="A377" t="s">
        <v>89</v>
      </c>
      <c r="B377" t="s">
        <v>96</v>
      </c>
      <c r="C377" t="str">
        <f t="shared" si="19"/>
        <v>04614240000000</v>
      </c>
      <c r="D377" t="s">
        <v>2410</v>
      </c>
      <c r="E377" t="str">
        <f>"04614246003107"</f>
        <v>04614246003107</v>
      </c>
      <c r="F377" s="8">
        <v>60</v>
      </c>
      <c r="G377" s="8">
        <v>7733</v>
      </c>
      <c r="H377" s="8">
        <v>975</v>
      </c>
      <c r="I377" s="8">
        <v>4219</v>
      </c>
    </row>
    <row r="378" spans="1:9" x14ac:dyDescent="0.2">
      <c r="A378" t="s">
        <v>89</v>
      </c>
      <c r="B378" t="s">
        <v>96</v>
      </c>
      <c r="C378" t="str">
        <f t="shared" si="19"/>
        <v>04614240000000</v>
      </c>
      <c r="D378" t="s">
        <v>2411</v>
      </c>
      <c r="E378" t="str">
        <f>"04614246057129"</f>
        <v>04614246057129</v>
      </c>
      <c r="F378" s="8">
        <v>621</v>
      </c>
      <c r="G378" s="8">
        <v>7049</v>
      </c>
      <c r="H378" s="8">
        <v>975</v>
      </c>
      <c r="I378" s="8">
        <v>4219</v>
      </c>
    </row>
    <row r="379" spans="1:9" x14ac:dyDescent="0.2">
      <c r="A379" t="s">
        <v>89</v>
      </c>
      <c r="B379" t="s">
        <v>96</v>
      </c>
      <c r="C379" t="str">
        <f t="shared" si="19"/>
        <v>04614240000000</v>
      </c>
      <c r="D379" t="s">
        <v>2412</v>
      </c>
      <c r="E379" t="str">
        <f>"04614240431676"</f>
        <v>04614240431676</v>
      </c>
      <c r="F379" s="8">
        <v>473</v>
      </c>
      <c r="G379" s="8">
        <v>7181</v>
      </c>
      <c r="H379" s="8">
        <v>975</v>
      </c>
      <c r="I379" s="8">
        <v>4219</v>
      </c>
    </row>
    <row r="380" spans="1:9" x14ac:dyDescent="0.2">
      <c r="A380" t="s">
        <v>89</v>
      </c>
      <c r="B380" t="s">
        <v>96</v>
      </c>
      <c r="C380" t="str">
        <f t="shared" si="19"/>
        <v>04614240000000</v>
      </c>
      <c r="D380" t="s">
        <v>2413</v>
      </c>
      <c r="E380" t="str">
        <f>"04614246003081"</f>
        <v>04614246003081</v>
      </c>
      <c r="F380" s="8">
        <v>315</v>
      </c>
      <c r="G380" s="8">
        <v>6716</v>
      </c>
      <c r="H380" s="8">
        <v>975</v>
      </c>
      <c r="I380" s="8">
        <v>4219</v>
      </c>
    </row>
    <row r="381" spans="1:9" x14ac:dyDescent="0.2">
      <c r="A381" t="s">
        <v>89</v>
      </c>
      <c r="B381" t="s">
        <v>96</v>
      </c>
      <c r="C381" t="str">
        <f t="shared" si="19"/>
        <v>04614240000000</v>
      </c>
      <c r="D381" t="s">
        <v>2414</v>
      </c>
      <c r="E381" t="str">
        <f>"04614240430199"</f>
        <v>04614240430199</v>
      </c>
      <c r="F381" s="8">
        <v>2775</v>
      </c>
      <c r="G381" s="8">
        <v>2500</v>
      </c>
      <c r="H381" s="8">
        <v>975</v>
      </c>
      <c r="I381" s="8">
        <v>4219</v>
      </c>
    </row>
    <row r="382" spans="1:9" x14ac:dyDescent="0.2">
      <c r="A382" t="s">
        <v>89</v>
      </c>
      <c r="B382" t="s">
        <v>96</v>
      </c>
      <c r="C382" t="str">
        <f t="shared" si="19"/>
        <v>04614240000000</v>
      </c>
      <c r="D382" t="s">
        <v>2415</v>
      </c>
      <c r="E382" t="str">
        <f>"04614240430215"</f>
        <v>04614240430215</v>
      </c>
      <c r="F382" s="8">
        <v>0</v>
      </c>
      <c r="G382" s="8">
        <v>0</v>
      </c>
      <c r="H382" s="8">
        <v>975</v>
      </c>
      <c r="I382" s="8">
        <v>4219</v>
      </c>
    </row>
    <row r="383" spans="1:9" x14ac:dyDescent="0.2">
      <c r="A383" t="s">
        <v>89</v>
      </c>
      <c r="B383" t="s">
        <v>99</v>
      </c>
      <c r="C383" t="str">
        <f>"04614320000000"</f>
        <v>04614320000000</v>
      </c>
      <c r="D383" t="s">
        <v>2416</v>
      </c>
      <c r="E383" t="str">
        <f>"04614320433201"</f>
        <v>04614320433201</v>
      </c>
      <c r="F383" s="8">
        <v>302</v>
      </c>
      <c r="G383" s="8">
        <v>9597</v>
      </c>
      <c r="H383" s="8">
        <v>898</v>
      </c>
      <c r="I383" s="8">
        <v>3523</v>
      </c>
    </row>
    <row r="384" spans="1:9" x14ac:dyDescent="0.2">
      <c r="A384" t="s">
        <v>89</v>
      </c>
      <c r="B384" t="s">
        <v>99</v>
      </c>
      <c r="C384" t="str">
        <f>"04614320000000"</f>
        <v>04614320000000</v>
      </c>
      <c r="D384" t="s">
        <v>2417</v>
      </c>
      <c r="E384" t="str">
        <f>"04614326003115"</f>
        <v>04614326003115</v>
      </c>
      <c r="F384" s="8">
        <v>503</v>
      </c>
      <c r="G384" s="8">
        <v>6146</v>
      </c>
      <c r="H384" s="8">
        <v>898</v>
      </c>
      <c r="I384" s="8">
        <v>3523</v>
      </c>
    </row>
    <row r="385" spans="1:9" x14ac:dyDescent="0.2">
      <c r="A385" t="s">
        <v>89</v>
      </c>
      <c r="B385" t="s">
        <v>99</v>
      </c>
      <c r="C385" t="str">
        <f>"04614320000000"</f>
        <v>04614320000000</v>
      </c>
      <c r="D385" t="s">
        <v>2418</v>
      </c>
      <c r="E385" t="str">
        <f>"04614326105761"</f>
        <v>04614326105761</v>
      </c>
      <c r="F385" s="8">
        <v>149</v>
      </c>
      <c r="G385" s="8">
        <v>5597</v>
      </c>
      <c r="H385" s="8">
        <v>898</v>
      </c>
      <c r="I385" s="8">
        <v>3523</v>
      </c>
    </row>
    <row r="386" spans="1:9" x14ac:dyDescent="0.2">
      <c r="A386" t="s">
        <v>89</v>
      </c>
      <c r="B386" t="s">
        <v>101</v>
      </c>
      <c r="C386" t="str">
        <f>"04614570000000"</f>
        <v>04614570000000</v>
      </c>
      <c r="D386" t="s">
        <v>2419</v>
      </c>
      <c r="E386" t="str">
        <f>"04614576003131"</f>
        <v>04614576003131</v>
      </c>
      <c r="F386" s="8">
        <v>12208</v>
      </c>
      <c r="G386" s="8">
        <v>19157</v>
      </c>
      <c r="H386" s="8">
        <v>0</v>
      </c>
      <c r="I386" s="8">
        <v>0</v>
      </c>
    </row>
    <row r="387" spans="1:9" x14ac:dyDescent="0.2">
      <c r="A387" t="s">
        <v>89</v>
      </c>
      <c r="B387" t="s">
        <v>102</v>
      </c>
      <c r="C387" t="str">
        <f>"04755070000000"</f>
        <v>04755070000000</v>
      </c>
      <c r="D387" t="s">
        <v>2420</v>
      </c>
      <c r="E387" t="str">
        <f>"04755070433946"</f>
        <v>04755070433946</v>
      </c>
      <c r="F387" s="8">
        <v>267</v>
      </c>
      <c r="G387" s="8">
        <v>12929</v>
      </c>
      <c r="H387" s="8">
        <v>736</v>
      </c>
      <c r="I387" s="8">
        <v>3454</v>
      </c>
    </row>
    <row r="388" spans="1:9" x14ac:dyDescent="0.2">
      <c r="A388" t="s">
        <v>89</v>
      </c>
      <c r="B388" t="s">
        <v>102</v>
      </c>
      <c r="C388" t="str">
        <f>"04755070000000"</f>
        <v>04755070000000</v>
      </c>
      <c r="D388" t="s">
        <v>2349</v>
      </c>
      <c r="E388" t="str">
        <f>"04755076003156"</f>
        <v>04755076003156</v>
      </c>
      <c r="F388" s="8">
        <v>1257</v>
      </c>
      <c r="G388" s="8">
        <v>8650</v>
      </c>
      <c r="H388" s="8">
        <v>736</v>
      </c>
      <c r="I388" s="8">
        <v>3454</v>
      </c>
    </row>
    <row r="389" spans="1:9" x14ac:dyDescent="0.2">
      <c r="A389" t="s">
        <v>89</v>
      </c>
      <c r="B389" t="s">
        <v>102</v>
      </c>
      <c r="C389" t="str">
        <f>"04755070000000"</f>
        <v>04755070000000</v>
      </c>
      <c r="D389" t="s">
        <v>2421</v>
      </c>
      <c r="E389" t="str">
        <f>"04755070433953"</f>
        <v>04755070433953</v>
      </c>
      <c r="F389" s="8">
        <v>772</v>
      </c>
      <c r="G389" s="8">
        <v>8655</v>
      </c>
      <c r="H389" s="8">
        <v>736</v>
      </c>
      <c r="I389" s="8">
        <v>3454</v>
      </c>
    </row>
    <row r="390" spans="1:9" x14ac:dyDescent="0.2">
      <c r="A390" t="s">
        <v>89</v>
      </c>
      <c r="B390" t="s">
        <v>102</v>
      </c>
      <c r="C390" t="str">
        <f>"04755070000000"</f>
        <v>04755070000000</v>
      </c>
      <c r="D390" t="s">
        <v>2422</v>
      </c>
      <c r="E390" t="str">
        <f>"04755076003164"</f>
        <v>04755076003164</v>
      </c>
      <c r="F390" s="8">
        <v>891</v>
      </c>
      <c r="G390" s="8">
        <v>7600</v>
      </c>
      <c r="H390" s="8">
        <v>736</v>
      </c>
      <c r="I390" s="8">
        <v>3454</v>
      </c>
    </row>
    <row r="391" spans="1:9" x14ac:dyDescent="0.2">
      <c r="A391" t="s">
        <v>89</v>
      </c>
      <c r="B391" t="s">
        <v>102</v>
      </c>
      <c r="C391" t="str">
        <f>"04755070000000"</f>
        <v>04755070000000</v>
      </c>
      <c r="D391" t="s">
        <v>2348</v>
      </c>
      <c r="E391" t="str">
        <f>"04755076003172"</f>
        <v>04755076003172</v>
      </c>
      <c r="F391" s="8">
        <v>725</v>
      </c>
      <c r="G391" s="8">
        <v>7736</v>
      </c>
      <c r="H391" s="8">
        <v>736</v>
      </c>
      <c r="I391" s="8">
        <v>3454</v>
      </c>
    </row>
    <row r="392" spans="1:9" x14ac:dyDescent="0.2">
      <c r="A392" t="s">
        <v>89</v>
      </c>
      <c r="B392" t="s">
        <v>106</v>
      </c>
      <c r="C392" t="str">
        <f>"04614990000000"</f>
        <v>04614990000000</v>
      </c>
      <c r="D392" t="s">
        <v>106</v>
      </c>
      <c r="E392" t="str">
        <f>"04614996003198"</f>
        <v>04614996003198</v>
      </c>
      <c r="F392" s="8">
        <v>1491</v>
      </c>
      <c r="G392" s="8">
        <v>9357</v>
      </c>
      <c r="H392" s="8">
        <v>0</v>
      </c>
      <c r="I392" s="8">
        <v>0</v>
      </c>
    </row>
    <row r="393" spans="1:9" x14ac:dyDescent="0.2">
      <c r="A393" t="s">
        <v>89</v>
      </c>
      <c r="B393" t="s">
        <v>108</v>
      </c>
      <c r="C393" t="str">
        <f t="shared" ref="C393:C398" si="20">"04615070000000"</f>
        <v>04615070000000</v>
      </c>
      <c r="D393" t="s">
        <v>2423</v>
      </c>
      <c r="E393" t="str">
        <f>"04615076003255"</f>
        <v>04615076003255</v>
      </c>
      <c r="F393" s="8">
        <v>470</v>
      </c>
      <c r="G393" s="8">
        <v>8113</v>
      </c>
      <c r="H393" s="8">
        <v>2007</v>
      </c>
      <c r="I393" s="8">
        <v>3965</v>
      </c>
    </row>
    <row r="394" spans="1:9" x14ac:dyDescent="0.2">
      <c r="A394" t="s">
        <v>89</v>
      </c>
      <c r="B394" t="s">
        <v>108</v>
      </c>
      <c r="C394" t="str">
        <f t="shared" si="20"/>
        <v>04615070000000</v>
      </c>
      <c r="D394" t="s">
        <v>2424</v>
      </c>
      <c r="E394" t="str">
        <f>"04615076094957"</f>
        <v>04615076094957</v>
      </c>
      <c r="F394" s="8">
        <v>1055</v>
      </c>
      <c r="G394" s="8">
        <v>6830</v>
      </c>
      <c r="H394" s="8">
        <v>2007</v>
      </c>
      <c r="I394" s="8">
        <v>3965</v>
      </c>
    </row>
    <row r="395" spans="1:9" x14ac:dyDescent="0.2">
      <c r="A395" t="s">
        <v>89</v>
      </c>
      <c r="B395" t="s">
        <v>108</v>
      </c>
      <c r="C395" t="str">
        <f t="shared" si="20"/>
        <v>04615070000000</v>
      </c>
      <c r="D395" t="s">
        <v>2425</v>
      </c>
      <c r="E395" t="str">
        <f>"04615070110072"</f>
        <v>04615070110072</v>
      </c>
      <c r="F395" s="8">
        <v>546</v>
      </c>
      <c r="G395" s="8">
        <v>7256</v>
      </c>
      <c r="H395" s="8">
        <v>2007</v>
      </c>
      <c r="I395" s="8">
        <v>3965</v>
      </c>
    </row>
    <row r="396" spans="1:9" x14ac:dyDescent="0.2">
      <c r="A396" t="s">
        <v>89</v>
      </c>
      <c r="B396" t="s">
        <v>108</v>
      </c>
      <c r="C396" t="str">
        <f t="shared" si="20"/>
        <v>04615070000000</v>
      </c>
      <c r="D396" t="s">
        <v>2426</v>
      </c>
      <c r="E396" t="str">
        <f>"04615076003263"</f>
        <v>04615076003263</v>
      </c>
      <c r="F396" s="8">
        <v>302</v>
      </c>
      <c r="G396" s="8">
        <v>7415</v>
      </c>
      <c r="H396" s="8">
        <v>2007</v>
      </c>
      <c r="I396" s="8">
        <v>3965</v>
      </c>
    </row>
    <row r="397" spans="1:9" x14ac:dyDescent="0.2">
      <c r="A397" t="s">
        <v>89</v>
      </c>
      <c r="B397" t="s">
        <v>108</v>
      </c>
      <c r="C397" t="str">
        <f t="shared" si="20"/>
        <v>04615070000000</v>
      </c>
      <c r="D397" t="s">
        <v>2427</v>
      </c>
      <c r="E397" t="str">
        <f>"04615076003271"</f>
        <v>04615076003271</v>
      </c>
      <c r="F397" s="8">
        <v>532</v>
      </c>
      <c r="G397" s="8">
        <v>7107</v>
      </c>
      <c r="H397" s="8">
        <v>2007</v>
      </c>
      <c r="I397" s="8">
        <v>3965</v>
      </c>
    </row>
    <row r="398" spans="1:9" x14ac:dyDescent="0.2">
      <c r="A398" t="s">
        <v>89</v>
      </c>
      <c r="B398" t="s">
        <v>108</v>
      </c>
      <c r="C398" t="str">
        <f t="shared" si="20"/>
        <v>04615070000000</v>
      </c>
      <c r="D398" t="s">
        <v>2428</v>
      </c>
      <c r="E398" t="str">
        <f>"04615076003230"</f>
        <v>04615076003230</v>
      </c>
      <c r="F398" s="8">
        <v>230</v>
      </c>
      <c r="G398" s="8">
        <v>7238</v>
      </c>
      <c r="H398" s="8">
        <v>2007</v>
      </c>
      <c r="I398" s="8">
        <v>3965</v>
      </c>
    </row>
    <row r="399" spans="1:9" x14ac:dyDescent="0.2">
      <c r="A399" t="s">
        <v>89</v>
      </c>
      <c r="B399" t="s">
        <v>109</v>
      </c>
      <c r="C399" t="str">
        <f>"04615150000000"</f>
        <v>04615150000000</v>
      </c>
      <c r="D399" t="s">
        <v>2429</v>
      </c>
      <c r="E399" t="str">
        <f>"04615150430140"</f>
        <v>04615150430140</v>
      </c>
      <c r="F399" s="8">
        <v>3538</v>
      </c>
      <c r="G399" s="8">
        <v>14918</v>
      </c>
      <c r="H399" s="8">
        <v>970</v>
      </c>
      <c r="I399" s="8">
        <v>3586</v>
      </c>
    </row>
    <row r="400" spans="1:9" x14ac:dyDescent="0.2">
      <c r="A400" t="s">
        <v>89</v>
      </c>
      <c r="B400" t="s">
        <v>109</v>
      </c>
      <c r="C400" t="str">
        <f>"04615150000000"</f>
        <v>04615150000000</v>
      </c>
      <c r="D400" t="s">
        <v>2430</v>
      </c>
      <c r="E400" t="str">
        <f>"04615150437566"</f>
        <v>04615150437566</v>
      </c>
      <c r="F400" s="8">
        <v>5249</v>
      </c>
      <c r="G400" s="8">
        <v>3515</v>
      </c>
      <c r="H400" s="8">
        <v>970</v>
      </c>
      <c r="I400" s="8">
        <v>3586</v>
      </c>
    </row>
    <row r="401" spans="1:9" x14ac:dyDescent="0.2">
      <c r="A401" t="s">
        <v>89</v>
      </c>
      <c r="B401" t="s">
        <v>109</v>
      </c>
      <c r="C401" t="str">
        <f>"04615150000000"</f>
        <v>04615150000000</v>
      </c>
      <c r="D401" t="s">
        <v>2431</v>
      </c>
      <c r="E401" t="str">
        <f>"04615150435602"</f>
        <v>04615150435602</v>
      </c>
      <c r="F401" s="8">
        <v>797</v>
      </c>
      <c r="G401" s="8">
        <v>7621</v>
      </c>
      <c r="H401" s="8">
        <v>970</v>
      </c>
      <c r="I401" s="8">
        <v>3669</v>
      </c>
    </row>
    <row r="402" spans="1:9" x14ac:dyDescent="0.2">
      <c r="A402" t="s">
        <v>89</v>
      </c>
      <c r="B402" t="s">
        <v>109</v>
      </c>
      <c r="C402" t="str">
        <f>"04615150000000"</f>
        <v>04615150000000</v>
      </c>
      <c r="D402" t="s">
        <v>2432</v>
      </c>
      <c r="E402" t="str">
        <f>"04615150434803"</f>
        <v>04615150434803</v>
      </c>
      <c r="F402" s="8">
        <v>710</v>
      </c>
      <c r="G402" s="8">
        <v>7140</v>
      </c>
      <c r="H402" s="8">
        <v>970</v>
      </c>
      <c r="I402" s="8">
        <v>3669</v>
      </c>
    </row>
    <row r="403" spans="1:9" x14ac:dyDescent="0.2">
      <c r="A403" t="s">
        <v>89</v>
      </c>
      <c r="B403" t="s">
        <v>110</v>
      </c>
      <c r="C403" t="str">
        <f>"04615230000000"</f>
        <v>04615230000000</v>
      </c>
      <c r="D403" t="s">
        <v>2433</v>
      </c>
      <c r="E403" t="str">
        <f>"04615236115034"</f>
        <v>04615236115034</v>
      </c>
      <c r="F403" s="8">
        <v>0</v>
      </c>
      <c r="G403" s="8">
        <v>24244</v>
      </c>
      <c r="H403" s="8">
        <v>984</v>
      </c>
      <c r="I403" s="8">
        <v>3461</v>
      </c>
    </row>
    <row r="404" spans="1:9" x14ac:dyDescent="0.2">
      <c r="A404" t="s">
        <v>89</v>
      </c>
      <c r="B404" t="s">
        <v>110</v>
      </c>
      <c r="C404" t="str">
        <f>"04615230000000"</f>
        <v>04615230000000</v>
      </c>
      <c r="D404" t="s">
        <v>2434</v>
      </c>
      <c r="E404" t="str">
        <f>"04615236089080"</f>
        <v>04615236089080</v>
      </c>
      <c r="F404" s="8">
        <v>603</v>
      </c>
      <c r="G404" s="8">
        <v>10672</v>
      </c>
      <c r="H404" s="8">
        <v>984</v>
      </c>
      <c r="I404" s="8">
        <v>3461</v>
      </c>
    </row>
    <row r="405" spans="1:9" x14ac:dyDescent="0.2">
      <c r="A405" t="s">
        <v>89</v>
      </c>
      <c r="B405" t="s">
        <v>110</v>
      </c>
      <c r="C405" t="str">
        <f>"04615230000000"</f>
        <v>04615230000000</v>
      </c>
      <c r="D405" t="s">
        <v>2435</v>
      </c>
      <c r="E405" t="str">
        <f>"04615230110510"</f>
        <v>04615230110510</v>
      </c>
      <c r="F405" s="8">
        <v>1494</v>
      </c>
      <c r="G405" s="8">
        <v>8275</v>
      </c>
      <c r="H405" s="8">
        <v>984</v>
      </c>
      <c r="I405" s="8">
        <v>3461</v>
      </c>
    </row>
    <row r="406" spans="1:9" x14ac:dyDescent="0.2">
      <c r="A406" t="s">
        <v>89</v>
      </c>
      <c r="B406" t="s">
        <v>110</v>
      </c>
      <c r="C406" t="str">
        <f>"04615230000000"</f>
        <v>04615230000000</v>
      </c>
      <c r="D406" t="s">
        <v>2436</v>
      </c>
      <c r="E406" t="str">
        <f>"04615236003289"</f>
        <v>04615236003289</v>
      </c>
      <c r="F406" s="8">
        <v>467</v>
      </c>
      <c r="G406" s="8">
        <v>8786</v>
      </c>
      <c r="H406" s="8">
        <v>984</v>
      </c>
      <c r="I406" s="8">
        <v>3461</v>
      </c>
    </row>
    <row r="407" spans="1:9" x14ac:dyDescent="0.2">
      <c r="A407" t="s">
        <v>89</v>
      </c>
      <c r="B407" t="s">
        <v>110</v>
      </c>
      <c r="C407" t="str">
        <f>"04615230000000"</f>
        <v>04615230000000</v>
      </c>
      <c r="D407" t="s">
        <v>2437</v>
      </c>
      <c r="E407" t="str">
        <f>"04615236003297"</f>
        <v>04615236003297</v>
      </c>
      <c r="F407" s="8">
        <v>679</v>
      </c>
      <c r="G407" s="8">
        <v>6994</v>
      </c>
      <c r="H407" s="8">
        <v>984</v>
      </c>
      <c r="I407" s="8">
        <v>3461</v>
      </c>
    </row>
    <row r="408" spans="1:9" x14ac:dyDescent="0.2">
      <c r="A408" t="s">
        <v>89</v>
      </c>
      <c r="B408" t="s">
        <v>112</v>
      </c>
      <c r="C408" t="str">
        <f t="shared" ref="C408:C414" si="21">"04615310000000"</f>
        <v>04615310000000</v>
      </c>
      <c r="D408" t="s">
        <v>2438</v>
      </c>
      <c r="E408" t="str">
        <f>"04615310432856"</f>
        <v>04615310432856</v>
      </c>
      <c r="F408" s="8">
        <v>882</v>
      </c>
      <c r="G408" s="8">
        <v>12931</v>
      </c>
      <c r="H408" s="8">
        <v>2532</v>
      </c>
      <c r="I408" s="8">
        <v>7840</v>
      </c>
    </row>
    <row r="409" spans="1:9" x14ac:dyDescent="0.2">
      <c r="A409" t="s">
        <v>89</v>
      </c>
      <c r="B409" t="s">
        <v>112</v>
      </c>
      <c r="C409" t="str">
        <f t="shared" si="21"/>
        <v>04615310000000</v>
      </c>
      <c r="D409" t="s">
        <v>2439</v>
      </c>
      <c r="E409" t="str">
        <f>"04615310437350"</f>
        <v>04615310437350</v>
      </c>
      <c r="F409" s="8">
        <v>2356</v>
      </c>
      <c r="G409" s="8">
        <v>8175</v>
      </c>
      <c r="H409" s="8">
        <v>2532</v>
      </c>
      <c r="I409" s="8">
        <v>7840</v>
      </c>
    </row>
    <row r="410" spans="1:9" x14ac:dyDescent="0.2">
      <c r="A410" t="s">
        <v>89</v>
      </c>
      <c r="B410" t="s">
        <v>112</v>
      </c>
      <c r="C410" t="str">
        <f t="shared" si="21"/>
        <v>04615310000000</v>
      </c>
      <c r="D410" t="s">
        <v>2440</v>
      </c>
      <c r="E410" t="str">
        <f>"04615316003321"</f>
        <v>04615316003321</v>
      </c>
      <c r="F410" s="8">
        <v>3165</v>
      </c>
      <c r="G410" s="8">
        <v>6598</v>
      </c>
      <c r="H410" s="8">
        <v>2532</v>
      </c>
      <c r="I410" s="8">
        <v>7840</v>
      </c>
    </row>
    <row r="411" spans="1:9" x14ac:dyDescent="0.2">
      <c r="A411" t="s">
        <v>89</v>
      </c>
      <c r="B411" t="s">
        <v>112</v>
      </c>
      <c r="C411" t="str">
        <f t="shared" si="21"/>
        <v>04615310000000</v>
      </c>
      <c r="D411" t="s">
        <v>2441</v>
      </c>
      <c r="E411" t="str">
        <f>"04615316105522"</f>
        <v>04615316105522</v>
      </c>
      <c r="F411" s="8">
        <v>2909</v>
      </c>
      <c r="G411" s="8">
        <v>6400</v>
      </c>
      <c r="H411" s="8">
        <v>2532</v>
      </c>
      <c r="I411" s="8">
        <v>7840</v>
      </c>
    </row>
    <row r="412" spans="1:9" x14ac:dyDescent="0.2">
      <c r="A412" t="s">
        <v>89</v>
      </c>
      <c r="B412" t="s">
        <v>112</v>
      </c>
      <c r="C412" t="str">
        <f t="shared" si="21"/>
        <v>04615310000000</v>
      </c>
      <c r="D412" t="s">
        <v>2442</v>
      </c>
      <c r="E412" t="str">
        <f>"04615316113526"</f>
        <v>04615316113526</v>
      </c>
      <c r="F412" s="8">
        <v>2486</v>
      </c>
      <c r="G412" s="8">
        <v>6229</v>
      </c>
      <c r="H412" s="8">
        <v>2532</v>
      </c>
      <c r="I412" s="8">
        <v>7840</v>
      </c>
    </row>
    <row r="413" spans="1:9" x14ac:dyDescent="0.2">
      <c r="A413" t="s">
        <v>89</v>
      </c>
      <c r="B413" t="s">
        <v>112</v>
      </c>
      <c r="C413" t="str">
        <f t="shared" si="21"/>
        <v>04615310000000</v>
      </c>
      <c r="D413" t="s">
        <v>2443</v>
      </c>
      <c r="E413" t="str">
        <f>"04615310139329"</f>
        <v>04615310139329</v>
      </c>
      <c r="F413" s="8">
        <v>2834</v>
      </c>
      <c r="G413" s="8">
        <v>5043</v>
      </c>
      <c r="H413" s="8">
        <v>2532</v>
      </c>
      <c r="I413" s="8">
        <v>7840</v>
      </c>
    </row>
    <row r="414" spans="1:9" x14ac:dyDescent="0.2">
      <c r="A414" t="s">
        <v>89</v>
      </c>
      <c r="B414" t="s">
        <v>112</v>
      </c>
      <c r="C414" t="str">
        <f t="shared" si="21"/>
        <v>04615310000000</v>
      </c>
      <c r="D414" t="s">
        <v>2444</v>
      </c>
      <c r="E414" t="str">
        <f>"04615310121715"</f>
        <v>04615310121715</v>
      </c>
      <c r="F414" s="8">
        <v>1327</v>
      </c>
      <c r="G414" s="8">
        <v>5342</v>
      </c>
      <c r="H414" s="8">
        <v>2532</v>
      </c>
      <c r="I414" s="8">
        <v>7840</v>
      </c>
    </row>
    <row r="415" spans="1:9" x14ac:dyDescent="0.2">
      <c r="A415" t="s">
        <v>89</v>
      </c>
      <c r="B415" t="s">
        <v>113</v>
      </c>
      <c r="C415" t="str">
        <f>"04733790000000"</f>
        <v>04733790000000</v>
      </c>
      <c r="D415" t="s">
        <v>2445</v>
      </c>
      <c r="E415" t="str">
        <f>"04733796002927"</f>
        <v>04733796002927</v>
      </c>
      <c r="F415" s="8">
        <v>4753</v>
      </c>
      <c r="G415" s="8">
        <v>15808</v>
      </c>
      <c r="H415" s="8">
        <v>0</v>
      </c>
      <c r="I415" s="8">
        <v>0</v>
      </c>
    </row>
    <row r="416" spans="1:9" x14ac:dyDescent="0.2">
      <c r="A416" t="s">
        <v>89</v>
      </c>
      <c r="B416" t="s">
        <v>117</v>
      </c>
      <c r="C416" t="str">
        <f>"04615490000000"</f>
        <v>04615490000000</v>
      </c>
      <c r="D416" t="s">
        <v>2446</v>
      </c>
      <c r="E416" t="str">
        <f>"04615496121016"</f>
        <v>04615496121016</v>
      </c>
      <c r="F416" s="8">
        <v>599</v>
      </c>
      <c r="G416" s="8">
        <v>27138</v>
      </c>
      <c r="H416" s="8">
        <v>1036</v>
      </c>
      <c r="I416" s="8">
        <v>7878</v>
      </c>
    </row>
    <row r="417" spans="1:9" x14ac:dyDescent="0.2">
      <c r="A417" t="s">
        <v>89</v>
      </c>
      <c r="B417" t="s">
        <v>117</v>
      </c>
      <c r="C417" t="str">
        <f>"04615490000000"</f>
        <v>04615490000000</v>
      </c>
      <c r="D417" t="s">
        <v>2447</v>
      </c>
      <c r="E417" t="str">
        <f>"04615496003362"</f>
        <v>04615496003362</v>
      </c>
      <c r="F417" s="8">
        <v>3766</v>
      </c>
      <c r="G417" s="8">
        <v>5050</v>
      </c>
      <c r="H417" s="8">
        <v>1036</v>
      </c>
      <c r="I417" s="8">
        <v>7878</v>
      </c>
    </row>
    <row r="418" spans="1:9" x14ac:dyDescent="0.2">
      <c r="A418" t="s">
        <v>89</v>
      </c>
      <c r="B418" t="s">
        <v>117</v>
      </c>
      <c r="C418" t="str">
        <f>"04615490000000"</f>
        <v>04615490000000</v>
      </c>
      <c r="D418" t="s">
        <v>2448</v>
      </c>
      <c r="E418" t="str">
        <f>"04615490102327"</f>
        <v>04615490102327</v>
      </c>
      <c r="F418" s="8">
        <v>1141</v>
      </c>
      <c r="G418" s="8">
        <v>7635</v>
      </c>
      <c r="H418" s="8">
        <v>1036</v>
      </c>
      <c r="I418" s="8">
        <v>7878</v>
      </c>
    </row>
    <row r="419" spans="1:9" x14ac:dyDescent="0.2">
      <c r="A419" t="s">
        <v>89</v>
      </c>
      <c r="B419" t="s">
        <v>117</v>
      </c>
      <c r="C419" t="str">
        <f>"04615490000000"</f>
        <v>04615490000000</v>
      </c>
      <c r="D419" t="s">
        <v>2449</v>
      </c>
      <c r="E419" t="str">
        <f>"04615496003354"</f>
        <v>04615496003354</v>
      </c>
      <c r="F419" s="8">
        <v>819</v>
      </c>
      <c r="G419" s="8">
        <v>7887</v>
      </c>
      <c r="H419" s="8">
        <v>1036</v>
      </c>
      <c r="I419" s="8">
        <v>7878</v>
      </c>
    </row>
    <row r="420" spans="1:9" x14ac:dyDescent="0.2">
      <c r="A420" t="s">
        <v>89</v>
      </c>
      <c r="B420" t="s">
        <v>117</v>
      </c>
      <c r="C420" t="str">
        <f>"04615490000000"</f>
        <v>04615490000000</v>
      </c>
      <c r="D420" t="s">
        <v>2450</v>
      </c>
      <c r="E420" t="str">
        <f>"04615496003370"</f>
        <v>04615496003370</v>
      </c>
      <c r="F420" s="8">
        <v>3381</v>
      </c>
      <c r="G420" s="8">
        <v>4645</v>
      </c>
      <c r="H420" s="8">
        <v>1036</v>
      </c>
      <c r="I420" s="8">
        <v>7878</v>
      </c>
    </row>
    <row r="421" spans="1:9" x14ac:dyDescent="0.2">
      <c r="A421" t="s">
        <v>119</v>
      </c>
      <c r="B421" t="s">
        <v>120</v>
      </c>
      <c r="C421" t="str">
        <f>"05615560000000"</f>
        <v>05615560000000</v>
      </c>
      <c r="D421" t="s">
        <v>120</v>
      </c>
      <c r="E421" t="str">
        <f>"05615560532507"</f>
        <v>05615560532507</v>
      </c>
      <c r="F421" s="8">
        <v>316</v>
      </c>
      <c r="G421" s="8">
        <v>13502</v>
      </c>
      <c r="H421" s="8">
        <v>664</v>
      </c>
      <c r="I421" s="8">
        <v>1556</v>
      </c>
    </row>
    <row r="422" spans="1:9" x14ac:dyDescent="0.2">
      <c r="A422" t="s">
        <v>119</v>
      </c>
      <c r="B422" t="s">
        <v>120</v>
      </c>
      <c r="C422" t="str">
        <f>"05615560000000"</f>
        <v>05615560000000</v>
      </c>
      <c r="D422" t="s">
        <v>2451</v>
      </c>
      <c r="E422" t="str">
        <f>"05615560530014"</f>
        <v>05615560530014</v>
      </c>
      <c r="F422" s="8">
        <v>430</v>
      </c>
      <c r="G422" s="8">
        <v>6235</v>
      </c>
      <c r="H422" s="8">
        <v>35</v>
      </c>
      <c r="I422" s="8">
        <v>84</v>
      </c>
    </row>
    <row r="423" spans="1:9" x14ac:dyDescent="0.2">
      <c r="A423" t="s">
        <v>119</v>
      </c>
      <c r="B423" t="s">
        <v>121</v>
      </c>
      <c r="C423" t="str">
        <f>"05100580000000"</f>
        <v>05100580000000</v>
      </c>
      <c r="D423" t="s">
        <v>2452</v>
      </c>
      <c r="E423" t="str">
        <f>"05100580530048"</f>
        <v>05100580530048</v>
      </c>
      <c r="F423" s="8">
        <v>5856</v>
      </c>
      <c r="G423" s="8">
        <v>54125</v>
      </c>
      <c r="H423" s="8">
        <v>15</v>
      </c>
      <c r="I423" s="8">
        <v>8861</v>
      </c>
    </row>
    <row r="424" spans="1:9" x14ac:dyDescent="0.2">
      <c r="A424" t="s">
        <v>119</v>
      </c>
      <c r="B424" t="s">
        <v>121</v>
      </c>
      <c r="C424" t="str">
        <f>"05100580000000"</f>
        <v>05100580000000</v>
      </c>
      <c r="D424" t="s">
        <v>2453</v>
      </c>
      <c r="E424" t="str">
        <f>"05100586077150"</f>
        <v>05100586077150</v>
      </c>
      <c r="F424" s="8">
        <v>8315</v>
      </c>
      <c r="G424" s="8">
        <v>22381</v>
      </c>
      <c r="H424" s="8">
        <v>0</v>
      </c>
      <c r="I424" s="8">
        <v>12315</v>
      </c>
    </row>
    <row r="425" spans="1:9" x14ac:dyDescent="0.2">
      <c r="A425" t="s">
        <v>119</v>
      </c>
      <c r="B425" t="s">
        <v>121</v>
      </c>
      <c r="C425" t="str">
        <f>"05100580000000"</f>
        <v>05100580000000</v>
      </c>
      <c r="D425" t="s">
        <v>2454</v>
      </c>
      <c r="E425" t="str">
        <f>"05100589010745"</f>
        <v>05100589010745</v>
      </c>
      <c r="F425" s="8">
        <v>3310</v>
      </c>
      <c r="G425" s="8">
        <v>7234</v>
      </c>
      <c r="H425" s="8">
        <v>2</v>
      </c>
      <c r="I425" s="8">
        <v>1993</v>
      </c>
    </row>
    <row r="426" spans="1:9" x14ac:dyDescent="0.2">
      <c r="A426" t="s">
        <v>119</v>
      </c>
      <c r="B426" t="s">
        <v>121</v>
      </c>
      <c r="C426" t="str">
        <f>"05100580000000"</f>
        <v>05100580000000</v>
      </c>
      <c r="D426" t="s">
        <v>2455</v>
      </c>
      <c r="E426" t="str">
        <f>"05100580530154"</f>
        <v>05100580530154</v>
      </c>
      <c r="F426" s="8">
        <v>74</v>
      </c>
      <c r="G426" s="8">
        <v>10164</v>
      </c>
      <c r="H426" s="8">
        <v>3</v>
      </c>
      <c r="I426" s="8">
        <v>1850</v>
      </c>
    </row>
    <row r="427" spans="1:9" x14ac:dyDescent="0.2">
      <c r="A427" t="s">
        <v>119</v>
      </c>
      <c r="B427" t="s">
        <v>122</v>
      </c>
      <c r="C427" t="str">
        <f t="shared" ref="C427:C435" si="22">"05615640000000"</f>
        <v>05615640000000</v>
      </c>
      <c r="D427" t="s">
        <v>2456</v>
      </c>
      <c r="E427" t="str">
        <f>"05615646003453"</f>
        <v>05615646003453</v>
      </c>
      <c r="F427" s="8">
        <v>2106</v>
      </c>
      <c r="G427" s="8">
        <v>6822</v>
      </c>
      <c r="H427" s="8">
        <v>1472</v>
      </c>
      <c r="I427" s="8">
        <v>4476</v>
      </c>
    </row>
    <row r="428" spans="1:9" x14ac:dyDescent="0.2">
      <c r="A428" t="s">
        <v>119</v>
      </c>
      <c r="B428" t="s">
        <v>122</v>
      </c>
      <c r="C428" t="str">
        <f t="shared" si="22"/>
        <v>05615640000000</v>
      </c>
      <c r="D428" t="s">
        <v>2457</v>
      </c>
      <c r="E428" t="str">
        <f>"05615646003404"</f>
        <v>05615646003404</v>
      </c>
      <c r="F428" s="8">
        <v>527</v>
      </c>
      <c r="G428" s="8">
        <v>6833</v>
      </c>
      <c r="H428" s="8">
        <v>1472</v>
      </c>
      <c r="I428" s="8">
        <v>4476</v>
      </c>
    </row>
    <row r="429" spans="1:9" x14ac:dyDescent="0.2">
      <c r="A429" t="s">
        <v>119</v>
      </c>
      <c r="B429" t="s">
        <v>122</v>
      </c>
      <c r="C429" t="str">
        <f t="shared" si="22"/>
        <v>05615640000000</v>
      </c>
      <c r="D429" t="s">
        <v>2458</v>
      </c>
      <c r="E429" t="str">
        <f>"05615646003438"</f>
        <v>05615646003438</v>
      </c>
      <c r="F429" s="8">
        <v>818</v>
      </c>
      <c r="G429" s="8">
        <v>5462</v>
      </c>
      <c r="H429" s="8">
        <v>1472</v>
      </c>
      <c r="I429" s="8">
        <v>4476</v>
      </c>
    </row>
    <row r="430" spans="1:9" x14ac:dyDescent="0.2">
      <c r="A430" t="s">
        <v>119</v>
      </c>
      <c r="B430" t="s">
        <v>122</v>
      </c>
      <c r="C430" t="str">
        <f t="shared" si="22"/>
        <v>05615640000000</v>
      </c>
      <c r="D430" t="s">
        <v>2459</v>
      </c>
      <c r="E430" t="str">
        <f>"05615646003446"</f>
        <v>05615646003446</v>
      </c>
      <c r="F430" s="8">
        <v>494</v>
      </c>
      <c r="G430" s="8">
        <v>5780</v>
      </c>
      <c r="H430" s="8">
        <v>1472</v>
      </c>
      <c r="I430" s="8">
        <v>4476</v>
      </c>
    </row>
    <row r="431" spans="1:9" x14ac:dyDescent="0.2">
      <c r="A431" t="s">
        <v>119</v>
      </c>
      <c r="B431" t="s">
        <v>122</v>
      </c>
      <c r="C431" t="str">
        <f t="shared" si="22"/>
        <v>05615640000000</v>
      </c>
      <c r="D431" t="s">
        <v>2460</v>
      </c>
      <c r="E431" t="str">
        <f>"05615640530022"</f>
        <v>05615640530022</v>
      </c>
      <c r="F431" s="8">
        <v>28</v>
      </c>
      <c r="G431" s="8">
        <v>5744</v>
      </c>
      <c r="H431" s="8">
        <v>1472</v>
      </c>
      <c r="I431" s="8">
        <v>4476</v>
      </c>
    </row>
    <row r="432" spans="1:9" x14ac:dyDescent="0.2">
      <c r="A432" t="s">
        <v>119</v>
      </c>
      <c r="B432" t="s">
        <v>122</v>
      </c>
      <c r="C432" t="str">
        <f t="shared" si="22"/>
        <v>05615640000000</v>
      </c>
      <c r="D432" t="s">
        <v>2461</v>
      </c>
      <c r="E432" t="str">
        <f>"05615640531509"</f>
        <v>05615640531509</v>
      </c>
      <c r="F432" s="8">
        <v>99</v>
      </c>
      <c r="G432" s="8">
        <v>5546</v>
      </c>
      <c r="H432" s="8">
        <v>1472</v>
      </c>
      <c r="I432" s="8">
        <v>4476</v>
      </c>
    </row>
    <row r="433" spans="1:9" x14ac:dyDescent="0.2">
      <c r="A433" t="s">
        <v>119</v>
      </c>
      <c r="B433" t="s">
        <v>122</v>
      </c>
      <c r="C433" t="str">
        <f t="shared" si="22"/>
        <v>05615640000000</v>
      </c>
      <c r="D433" t="s">
        <v>2462</v>
      </c>
      <c r="E433" t="str">
        <f>"05615646108518"</f>
        <v>05615646108518</v>
      </c>
      <c r="F433" s="8">
        <v>693</v>
      </c>
      <c r="G433" s="8">
        <v>4879</v>
      </c>
      <c r="H433" s="8">
        <v>1472</v>
      </c>
      <c r="I433" s="8">
        <v>4476</v>
      </c>
    </row>
    <row r="434" spans="1:9" x14ac:dyDescent="0.2">
      <c r="A434" t="s">
        <v>119</v>
      </c>
      <c r="B434" t="s">
        <v>122</v>
      </c>
      <c r="C434" t="str">
        <f t="shared" si="22"/>
        <v>05615640000000</v>
      </c>
      <c r="D434" t="s">
        <v>2463</v>
      </c>
      <c r="E434" t="str">
        <f>"05615646105431"</f>
        <v>05615646105431</v>
      </c>
      <c r="F434" s="8">
        <v>454</v>
      </c>
      <c r="G434" s="8">
        <v>5055</v>
      </c>
      <c r="H434" s="8">
        <v>1472</v>
      </c>
      <c r="I434" s="8">
        <v>4476</v>
      </c>
    </row>
    <row r="435" spans="1:9" x14ac:dyDescent="0.2">
      <c r="A435" t="s">
        <v>119</v>
      </c>
      <c r="B435" t="s">
        <v>122</v>
      </c>
      <c r="C435" t="str">
        <f t="shared" si="22"/>
        <v>05615640000000</v>
      </c>
      <c r="D435" t="s">
        <v>2464</v>
      </c>
      <c r="E435" t="str">
        <f>"05615640530055"</f>
        <v>05615640530055</v>
      </c>
      <c r="F435" s="8">
        <v>139</v>
      </c>
      <c r="G435" s="8">
        <v>4234</v>
      </c>
      <c r="H435" s="8">
        <v>1472</v>
      </c>
      <c r="I435" s="8">
        <v>4476</v>
      </c>
    </row>
    <row r="436" spans="1:9" x14ac:dyDescent="0.2">
      <c r="A436" t="s">
        <v>119</v>
      </c>
      <c r="B436" t="s">
        <v>123</v>
      </c>
      <c r="C436" t="str">
        <f>"05615720000000"</f>
        <v>05615720000000</v>
      </c>
      <c r="D436" t="s">
        <v>2465</v>
      </c>
      <c r="E436" t="str">
        <f>"05615726003461"</f>
        <v>05615726003461</v>
      </c>
      <c r="F436" s="8">
        <v>842</v>
      </c>
      <c r="G436" s="8">
        <v>7693</v>
      </c>
      <c r="H436" s="8">
        <v>170</v>
      </c>
      <c r="I436" s="8">
        <v>2678</v>
      </c>
    </row>
    <row r="437" spans="1:9" x14ac:dyDescent="0.2">
      <c r="A437" t="s">
        <v>119</v>
      </c>
      <c r="B437" t="s">
        <v>124</v>
      </c>
      <c r="C437" t="str">
        <f>"05615800000000"</f>
        <v>05615800000000</v>
      </c>
      <c r="D437" t="s">
        <v>2466</v>
      </c>
      <c r="E437" t="str">
        <f>"05615806111884"</f>
        <v>05615806111884</v>
      </c>
      <c r="F437" s="8">
        <v>657</v>
      </c>
      <c r="G437" s="8">
        <v>10794</v>
      </c>
      <c r="H437" s="8">
        <v>0</v>
      </c>
      <c r="I437" s="8">
        <v>543</v>
      </c>
    </row>
    <row r="438" spans="1:9" x14ac:dyDescent="0.2">
      <c r="A438" t="s">
        <v>119</v>
      </c>
      <c r="B438" t="s">
        <v>124</v>
      </c>
      <c r="C438" t="str">
        <f>"05615800000000"</f>
        <v>05615800000000</v>
      </c>
      <c r="D438" t="s">
        <v>2467</v>
      </c>
      <c r="E438" t="str">
        <f>"05615806088975"</f>
        <v>05615806088975</v>
      </c>
      <c r="F438" s="8">
        <v>68</v>
      </c>
      <c r="G438" s="8">
        <v>10414</v>
      </c>
      <c r="H438" s="8">
        <v>0</v>
      </c>
      <c r="I438" s="8">
        <v>568</v>
      </c>
    </row>
    <row r="439" spans="1:9" x14ac:dyDescent="0.2">
      <c r="A439" t="s">
        <v>119</v>
      </c>
      <c r="B439" t="s">
        <v>124</v>
      </c>
      <c r="C439" t="str">
        <f>"05615800000000"</f>
        <v>05615800000000</v>
      </c>
      <c r="D439" t="s">
        <v>2468</v>
      </c>
      <c r="E439" t="str">
        <f>"05615806003396"</f>
        <v>05615806003396</v>
      </c>
      <c r="F439" s="8">
        <v>94</v>
      </c>
      <c r="G439" s="8">
        <v>10064</v>
      </c>
      <c r="H439" s="8">
        <v>0</v>
      </c>
      <c r="I439" s="8">
        <v>455</v>
      </c>
    </row>
    <row r="440" spans="1:9" x14ac:dyDescent="0.2">
      <c r="A440" t="s">
        <v>119</v>
      </c>
      <c r="B440" t="s">
        <v>124</v>
      </c>
      <c r="C440" t="str">
        <f>"05615800000000"</f>
        <v>05615800000000</v>
      </c>
      <c r="D440" t="s">
        <v>2469</v>
      </c>
      <c r="E440" t="str">
        <f>"05615806115000"</f>
        <v>05615806115000</v>
      </c>
      <c r="F440" s="8">
        <v>2760</v>
      </c>
      <c r="G440" s="8">
        <v>4397</v>
      </c>
      <c r="H440" s="8">
        <v>0</v>
      </c>
      <c r="I440" s="8">
        <v>85</v>
      </c>
    </row>
    <row r="441" spans="1:9" x14ac:dyDescent="0.2">
      <c r="A441" t="s">
        <v>125</v>
      </c>
      <c r="B441" t="s">
        <v>126</v>
      </c>
      <c r="C441" t="str">
        <f>"06100660000000"</f>
        <v>06100660000000</v>
      </c>
      <c r="D441" t="s">
        <v>2470</v>
      </c>
      <c r="E441" t="str">
        <f>"06100660136580"</f>
        <v>06100660136580</v>
      </c>
      <c r="F441" s="8">
        <v>16868</v>
      </c>
      <c r="G441" s="8">
        <v>13867</v>
      </c>
      <c r="H441" s="8">
        <v>0</v>
      </c>
      <c r="I441" s="8">
        <v>12320</v>
      </c>
    </row>
    <row r="442" spans="1:9" x14ac:dyDescent="0.2">
      <c r="A442" t="s">
        <v>125</v>
      </c>
      <c r="B442" t="s">
        <v>126</v>
      </c>
      <c r="C442" t="str">
        <f>"06100660000000"</f>
        <v>06100660000000</v>
      </c>
      <c r="D442" t="s">
        <v>2471</v>
      </c>
      <c r="E442" t="str">
        <f>"06100660630111"</f>
        <v>06100660630111</v>
      </c>
      <c r="F442" s="8">
        <v>0</v>
      </c>
      <c r="G442" s="8">
        <v>14490</v>
      </c>
      <c r="H442" s="8">
        <v>0</v>
      </c>
      <c r="I442" s="8">
        <v>3418</v>
      </c>
    </row>
    <row r="443" spans="1:9" x14ac:dyDescent="0.2">
      <c r="A443" t="s">
        <v>125</v>
      </c>
      <c r="B443" t="s">
        <v>127</v>
      </c>
      <c r="C443" t="str">
        <f>"06615980000000"</f>
        <v>06615980000000</v>
      </c>
      <c r="D443" t="s">
        <v>2472</v>
      </c>
      <c r="E443" t="str">
        <f>"06615980630046"</f>
        <v>06615980630046</v>
      </c>
      <c r="F443" s="8">
        <v>0</v>
      </c>
      <c r="G443" s="8">
        <v>14798</v>
      </c>
      <c r="H443" s="8">
        <v>1171</v>
      </c>
      <c r="I443" s="8">
        <v>3229</v>
      </c>
    </row>
    <row r="444" spans="1:9" x14ac:dyDescent="0.2">
      <c r="A444" t="s">
        <v>125</v>
      </c>
      <c r="B444" t="s">
        <v>127</v>
      </c>
      <c r="C444" t="str">
        <f>"06615980000000"</f>
        <v>06615980000000</v>
      </c>
      <c r="D444" t="s">
        <v>2473</v>
      </c>
      <c r="E444" t="str">
        <f>"06615980631259"</f>
        <v>06615980631259</v>
      </c>
      <c r="F444" s="8">
        <v>12</v>
      </c>
      <c r="G444" s="8">
        <v>7916</v>
      </c>
      <c r="H444" s="8">
        <v>1171</v>
      </c>
      <c r="I444" s="8">
        <v>3229</v>
      </c>
    </row>
    <row r="445" spans="1:9" x14ac:dyDescent="0.2">
      <c r="A445" t="s">
        <v>125</v>
      </c>
      <c r="B445" t="s">
        <v>127</v>
      </c>
      <c r="C445" t="str">
        <f>"06615980000000"</f>
        <v>06615980000000</v>
      </c>
      <c r="D445" t="s">
        <v>2474</v>
      </c>
      <c r="E445" t="str">
        <f>"06615986003495"</f>
        <v>06615986003495</v>
      </c>
      <c r="F445" s="8">
        <v>360</v>
      </c>
      <c r="G445" s="8">
        <v>7412</v>
      </c>
      <c r="H445" s="8">
        <v>1171</v>
      </c>
      <c r="I445" s="8">
        <v>3229</v>
      </c>
    </row>
    <row r="446" spans="1:9" x14ac:dyDescent="0.2">
      <c r="A446" t="s">
        <v>125</v>
      </c>
      <c r="B446" t="s">
        <v>127</v>
      </c>
      <c r="C446" t="str">
        <f>"06615980000000"</f>
        <v>06615980000000</v>
      </c>
      <c r="D446" t="s">
        <v>2475</v>
      </c>
      <c r="E446" t="str">
        <f>"06615986057152"</f>
        <v>06615986057152</v>
      </c>
      <c r="F446" s="8">
        <v>286</v>
      </c>
      <c r="G446" s="8">
        <v>6122</v>
      </c>
      <c r="H446" s="8">
        <v>1171</v>
      </c>
      <c r="I446" s="8">
        <v>3229</v>
      </c>
    </row>
    <row r="447" spans="1:9" x14ac:dyDescent="0.2">
      <c r="A447" t="s">
        <v>125</v>
      </c>
      <c r="B447" t="s">
        <v>127</v>
      </c>
      <c r="C447" t="str">
        <f>"06615980000000"</f>
        <v>06615980000000</v>
      </c>
      <c r="D447" t="s">
        <v>2476</v>
      </c>
      <c r="E447" t="str">
        <f>"06615980630012"</f>
        <v>06615980630012</v>
      </c>
      <c r="F447" s="8">
        <v>0</v>
      </c>
      <c r="G447" s="8">
        <v>666</v>
      </c>
      <c r="H447" s="8">
        <v>1171</v>
      </c>
      <c r="I447" s="8">
        <v>3229</v>
      </c>
    </row>
    <row r="448" spans="1:9" x14ac:dyDescent="0.2">
      <c r="A448" t="s">
        <v>125</v>
      </c>
      <c r="B448" t="s">
        <v>128</v>
      </c>
      <c r="C448" t="str">
        <f>"06616060000000"</f>
        <v>06616060000000</v>
      </c>
      <c r="D448" t="s">
        <v>2477</v>
      </c>
      <c r="E448" t="str">
        <f>"06616060634758"</f>
        <v>06616060634758</v>
      </c>
      <c r="F448" s="8">
        <v>1535</v>
      </c>
      <c r="G448" s="8">
        <v>12725</v>
      </c>
      <c r="H448" s="8">
        <v>620</v>
      </c>
      <c r="I448" s="8">
        <v>2856</v>
      </c>
    </row>
    <row r="449" spans="1:9" x14ac:dyDescent="0.2">
      <c r="A449" t="s">
        <v>125</v>
      </c>
      <c r="B449" t="s">
        <v>128</v>
      </c>
      <c r="C449" t="str">
        <f>"06616060000000"</f>
        <v>06616060000000</v>
      </c>
      <c r="D449" t="s">
        <v>2478</v>
      </c>
      <c r="E449" t="str">
        <f>"06616066003503"</f>
        <v>06616066003503</v>
      </c>
      <c r="F449" s="8">
        <v>1111</v>
      </c>
      <c r="G449" s="8">
        <v>6162</v>
      </c>
      <c r="H449" s="8">
        <v>620</v>
      </c>
      <c r="I449" s="8">
        <v>2856</v>
      </c>
    </row>
    <row r="450" spans="1:9" x14ac:dyDescent="0.2">
      <c r="A450" t="s">
        <v>125</v>
      </c>
      <c r="B450" t="s">
        <v>128</v>
      </c>
      <c r="C450" t="str">
        <f>"06616060000000"</f>
        <v>06616060000000</v>
      </c>
      <c r="D450" t="s">
        <v>2479</v>
      </c>
      <c r="E450" t="str">
        <f>"06616060133223"</f>
        <v>06616060133223</v>
      </c>
      <c r="F450" s="8">
        <v>1111</v>
      </c>
      <c r="G450" s="8">
        <v>6162</v>
      </c>
      <c r="H450" s="8">
        <v>620</v>
      </c>
      <c r="I450" s="8">
        <v>2856</v>
      </c>
    </row>
    <row r="451" spans="1:9" x14ac:dyDescent="0.2">
      <c r="A451" t="s">
        <v>125</v>
      </c>
      <c r="B451" t="s">
        <v>129</v>
      </c>
      <c r="C451" t="str">
        <f>"06616140000000"</f>
        <v>06616140000000</v>
      </c>
      <c r="D451" t="s">
        <v>2480</v>
      </c>
      <c r="E451" t="str">
        <f>"06616140630087"</f>
        <v>06616140630087</v>
      </c>
      <c r="F451" s="8">
        <v>1170</v>
      </c>
      <c r="G451" s="8">
        <v>30233</v>
      </c>
      <c r="H451" s="8">
        <v>520</v>
      </c>
      <c r="I451" s="8">
        <v>1376</v>
      </c>
    </row>
    <row r="452" spans="1:9" x14ac:dyDescent="0.2">
      <c r="A452" t="s">
        <v>125</v>
      </c>
      <c r="B452" t="s">
        <v>129</v>
      </c>
      <c r="C452" t="str">
        <f>"06616140000000"</f>
        <v>06616140000000</v>
      </c>
      <c r="D452" t="s">
        <v>2481</v>
      </c>
      <c r="E452" t="str">
        <f>"06616146003537"</f>
        <v>06616146003537</v>
      </c>
      <c r="F452" s="8">
        <v>2179</v>
      </c>
      <c r="G452" s="8">
        <v>10688</v>
      </c>
      <c r="H452" s="8">
        <v>520</v>
      </c>
      <c r="I452" s="8">
        <v>1376</v>
      </c>
    </row>
    <row r="453" spans="1:9" x14ac:dyDescent="0.2">
      <c r="A453" t="s">
        <v>125</v>
      </c>
      <c r="B453" t="s">
        <v>129</v>
      </c>
      <c r="C453" t="str">
        <f>"06616140000000"</f>
        <v>06616140000000</v>
      </c>
      <c r="D453" t="s">
        <v>2482</v>
      </c>
      <c r="E453" t="str">
        <f>"06616140635250"</f>
        <v>06616140635250</v>
      </c>
      <c r="F453" s="8">
        <v>1192</v>
      </c>
      <c r="G453" s="8">
        <v>8022</v>
      </c>
      <c r="H453" s="8">
        <v>520</v>
      </c>
      <c r="I453" s="8">
        <v>1376</v>
      </c>
    </row>
    <row r="454" spans="1:9" x14ac:dyDescent="0.2">
      <c r="A454" t="s">
        <v>125</v>
      </c>
      <c r="B454" t="s">
        <v>129</v>
      </c>
      <c r="C454" t="str">
        <f>"06616140000000"</f>
        <v>06616140000000</v>
      </c>
      <c r="D454" t="s">
        <v>2483</v>
      </c>
      <c r="E454" t="str">
        <f>"06616146003511"</f>
        <v>06616146003511</v>
      </c>
      <c r="F454" s="8">
        <v>1822</v>
      </c>
      <c r="G454" s="8">
        <v>7108</v>
      </c>
      <c r="H454" s="8">
        <v>520</v>
      </c>
      <c r="I454" s="8">
        <v>1376</v>
      </c>
    </row>
    <row r="455" spans="1:9" x14ac:dyDescent="0.2">
      <c r="A455" t="s">
        <v>125</v>
      </c>
      <c r="B455" t="s">
        <v>129</v>
      </c>
      <c r="C455" t="str">
        <f>"06616140000000"</f>
        <v>06616140000000</v>
      </c>
      <c r="D455" t="s">
        <v>2484</v>
      </c>
      <c r="E455" t="str">
        <f>"06616146103576"</f>
        <v>06616146103576</v>
      </c>
      <c r="F455" s="8">
        <v>1323</v>
      </c>
      <c r="G455" s="8">
        <v>6621</v>
      </c>
      <c r="H455" s="8">
        <v>520</v>
      </c>
      <c r="I455" s="8">
        <v>1376</v>
      </c>
    </row>
    <row r="456" spans="1:9" x14ac:dyDescent="0.2">
      <c r="A456" t="s">
        <v>125</v>
      </c>
      <c r="B456" t="s">
        <v>130</v>
      </c>
      <c r="C456" t="str">
        <f>"06616220000000"</f>
        <v>06616220000000</v>
      </c>
      <c r="D456" t="s">
        <v>2485</v>
      </c>
      <c r="E456" t="str">
        <f>"06616220630038"</f>
        <v>06616220630038</v>
      </c>
      <c r="F456" s="8">
        <v>0</v>
      </c>
      <c r="G456" s="8">
        <v>7388</v>
      </c>
      <c r="H456" s="8">
        <v>1920</v>
      </c>
      <c r="I456" s="8">
        <v>4006</v>
      </c>
    </row>
    <row r="457" spans="1:9" x14ac:dyDescent="0.2">
      <c r="A457" t="s">
        <v>125</v>
      </c>
      <c r="B457" t="s">
        <v>130</v>
      </c>
      <c r="C457" t="str">
        <f>"06616220000000"</f>
        <v>06616220000000</v>
      </c>
      <c r="D457" t="s">
        <v>2486</v>
      </c>
      <c r="E457" t="str">
        <f>"06616220637504"</f>
        <v>06616220637504</v>
      </c>
      <c r="F457" s="8">
        <v>393</v>
      </c>
      <c r="G457" s="8">
        <v>6792</v>
      </c>
      <c r="H457" s="8">
        <v>1920</v>
      </c>
      <c r="I457" s="8">
        <v>4006</v>
      </c>
    </row>
    <row r="458" spans="1:9" x14ac:dyDescent="0.2">
      <c r="A458" t="s">
        <v>125</v>
      </c>
      <c r="B458" t="s">
        <v>130</v>
      </c>
      <c r="C458" t="str">
        <f>"06616220000000"</f>
        <v>06616220000000</v>
      </c>
      <c r="D458" t="s">
        <v>2487</v>
      </c>
      <c r="E458" t="str">
        <f>"06616226003552"</f>
        <v>06616226003552</v>
      </c>
      <c r="F458" s="8">
        <v>1144</v>
      </c>
      <c r="G458" s="8">
        <v>6022</v>
      </c>
      <c r="H458" s="8">
        <v>1920</v>
      </c>
      <c r="I458" s="8">
        <v>4006</v>
      </c>
    </row>
    <row r="459" spans="1:9" x14ac:dyDescent="0.2">
      <c r="A459" t="s">
        <v>125</v>
      </c>
      <c r="B459" t="s">
        <v>130</v>
      </c>
      <c r="C459" t="str">
        <f>"06616220000000"</f>
        <v>06616220000000</v>
      </c>
      <c r="D459" t="s">
        <v>2488</v>
      </c>
      <c r="E459" t="str">
        <f>"06616220118729"</f>
        <v>06616220118729</v>
      </c>
      <c r="F459" s="8">
        <v>748</v>
      </c>
      <c r="G459" s="8">
        <v>5404</v>
      </c>
      <c r="H459" s="8">
        <v>1920</v>
      </c>
      <c r="I459" s="8">
        <v>4006</v>
      </c>
    </row>
    <row r="460" spans="1:9" x14ac:dyDescent="0.2">
      <c r="A460" t="s">
        <v>131</v>
      </c>
      <c r="B460" t="s">
        <v>132</v>
      </c>
      <c r="C460" t="str">
        <f>"07616300000000"</f>
        <v>07616300000000</v>
      </c>
      <c r="D460" t="s">
        <v>2489</v>
      </c>
      <c r="E460" t="str">
        <f>"07616300107524"</f>
        <v>07616300107524</v>
      </c>
      <c r="F460" s="8">
        <v>0</v>
      </c>
      <c r="G460" s="8">
        <v>23067</v>
      </c>
      <c r="H460" s="8">
        <v>321</v>
      </c>
      <c r="I460" s="8">
        <v>4736</v>
      </c>
    </row>
    <row r="461" spans="1:9" x14ac:dyDescent="0.2">
      <c r="A461" t="s">
        <v>131</v>
      </c>
      <c r="B461" t="s">
        <v>132</v>
      </c>
      <c r="C461" t="str">
        <f>"07616300000000"</f>
        <v>07616300000000</v>
      </c>
      <c r="D461" t="s">
        <v>2490</v>
      </c>
      <c r="E461" t="str">
        <f>"07616300733725"</f>
        <v>07616300733725</v>
      </c>
      <c r="F461" s="8">
        <v>382</v>
      </c>
      <c r="G461" s="8">
        <v>11894</v>
      </c>
      <c r="H461" s="8">
        <v>321</v>
      </c>
      <c r="I461" s="8">
        <v>4736</v>
      </c>
    </row>
    <row r="462" spans="1:9" x14ac:dyDescent="0.2">
      <c r="A462" t="s">
        <v>131</v>
      </c>
      <c r="B462" t="s">
        <v>132</v>
      </c>
      <c r="C462" t="str">
        <f>"07616300000000"</f>
        <v>07616300000000</v>
      </c>
      <c r="D462" t="s">
        <v>2491</v>
      </c>
      <c r="E462" t="str">
        <f>"07616300730283"</f>
        <v>07616300730283</v>
      </c>
      <c r="F462" s="8">
        <v>551</v>
      </c>
      <c r="G462" s="8">
        <v>11374</v>
      </c>
      <c r="H462" s="8">
        <v>321</v>
      </c>
      <c r="I462" s="8">
        <v>4736</v>
      </c>
    </row>
    <row r="463" spans="1:9" x14ac:dyDescent="0.2">
      <c r="A463" t="s">
        <v>131</v>
      </c>
      <c r="B463" t="s">
        <v>132</v>
      </c>
      <c r="C463" t="str">
        <f>"07616300000000"</f>
        <v>07616300000000</v>
      </c>
      <c r="D463" t="s">
        <v>2492</v>
      </c>
      <c r="E463" t="str">
        <f>"07616300734244"</f>
        <v>07616300734244</v>
      </c>
      <c r="F463" s="8">
        <v>505</v>
      </c>
      <c r="G463" s="8">
        <v>11182</v>
      </c>
      <c r="H463" s="8">
        <v>321</v>
      </c>
      <c r="I463" s="8">
        <v>4736</v>
      </c>
    </row>
    <row r="464" spans="1:9" x14ac:dyDescent="0.2">
      <c r="A464" t="s">
        <v>131</v>
      </c>
      <c r="B464" t="s">
        <v>132</v>
      </c>
      <c r="C464" t="str">
        <f>"07616300000000"</f>
        <v>07616300000000</v>
      </c>
      <c r="D464" t="s">
        <v>2493</v>
      </c>
      <c r="E464" t="str">
        <f>"07616300731125"</f>
        <v>07616300731125</v>
      </c>
      <c r="F464" s="8">
        <v>247</v>
      </c>
      <c r="G464" s="8">
        <v>11301</v>
      </c>
      <c r="H464" s="8">
        <v>321</v>
      </c>
      <c r="I464" s="8">
        <v>4736</v>
      </c>
    </row>
    <row r="465" spans="1:9" x14ac:dyDescent="0.2">
      <c r="A465" t="s">
        <v>131</v>
      </c>
      <c r="B465" t="s">
        <v>135</v>
      </c>
      <c r="C465" t="str">
        <f t="shared" ref="C465:C488" si="23">"07616480000000"</f>
        <v>07616480000000</v>
      </c>
      <c r="D465" t="s">
        <v>2494</v>
      </c>
      <c r="E465" t="str">
        <f>"07616480730101"</f>
        <v>07616480730101</v>
      </c>
      <c r="F465" s="8">
        <v>711</v>
      </c>
      <c r="G465" s="8">
        <v>12205</v>
      </c>
      <c r="H465" s="8">
        <v>1370</v>
      </c>
      <c r="I465" s="8">
        <v>4687</v>
      </c>
    </row>
    <row r="466" spans="1:9" x14ac:dyDescent="0.2">
      <c r="A466" t="s">
        <v>131</v>
      </c>
      <c r="B466" t="s">
        <v>135</v>
      </c>
      <c r="C466" t="str">
        <f t="shared" si="23"/>
        <v>07616480000000</v>
      </c>
      <c r="D466" t="s">
        <v>2495</v>
      </c>
      <c r="E466" t="str">
        <f>"07616480110494"</f>
        <v>07616480110494</v>
      </c>
      <c r="F466" s="8">
        <v>484</v>
      </c>
      <c r="G466" s="8">
        <v>11155</v>
      </c>
      <c r="H466" s="8">
        <v>1370</v>
      </c>
      <c r="I466" s="8">
        <v>4687</v>
      </c>
    </row>
    <row r="467" spans="1:9" x14ac:dyDescent="0.2">
      <c r="A467" t="s">
        <v>131</v>
      </c>
      <c r="B467" t="s">
        <v>135</v>
      </c>
      <c r="C467" t="str">
        <f t="shared" si="23"/>
        <v>07616480000000</v>
      </c>
      <c r="D467" t="s">
        <v>1715</v>
      </c>
      <c r="E467" t="str">
        <f>"07616486115380"</f>
        <v>07616486115380</v>
      </c>
      <c r="F467" s="8">
        <v>957</v>
      </c>
      <c r="G467" s="8">
        <v>7257</v>
      </c>
      <c r="H467" s="8">
        <v>1370</v>
      </c>
      <c r="I467" s="8">
        <v>4687</v>
      </c>
    </row>
    <row r="468" spans="1:9" x14ac:dyDescent="0.2">
      <c r="A468" t="s">
        <v>131</v>
      </c>
      <c r="B468" t="s">
        <v>135</v>
      </c>
      <c r="C468" t="str">
        <f t="shared" si="23"/>
        <v>07616480000000</v>
      </c>
      <c r="D468" t="s">
        <v>2496</v>
      </c>
      <c r="E468" t="str">
        <f>"07616486003636"</f>
        <v>07616486003636</v>
      </c>
      <c r="F468" s="8">
        <v>728</v>
      </c>
      <c r="G468" s="8">
        <v>7437</v>
      </c>
      <c r="H468" s="8">
        <v>1370</v>
      </c>
      <c r="I468" s="8">
        <v>4687</v>
      </c>
    </row>
    <row r="469" spans="1:9" x14ac:dyDescent="0.2">
      <c r="A469" t="s">
        <v>131</v>
      </c>
      <c r="B469" t="s">
        <v>135</v>
      </c>
      <c r="C469" t="str">
        <f t="shared" si="23"/>
        <v>07616480000000</v>
      </c>
      <c r="D469" t="s">
        <v>2497</v>
      </c>
      <c r="E469" t="str">
        <f>"07616486117501"</f>
        <v>07616486117501</v>
      </c>
      <c r="F469" s="8">
        <v>648</v>
      </c>
      <c r="G469" s="8">
        <v>7262</v>
      </c>
      <c r="H469" s="8">
        <v>1370</v>
      </c>
      <c r="I469" s="8">
        <v>4687</v>
      </c>
    </row>
    <row r="470" spans="1:9" x14ac:dyDescent="0.2">
      <c r="A470" t="s">
        <v>131</v>
      </c>
      <c r="B470" t="s">
        <v>135</v>
      </c>
      <c r="C470" t="str">
        <f t="shared" si="23"/>
        <v>07616480000000</v>
      </c>
      <c r="D470" t="s">
        <v>2498</v>
      </c>
      <c r="E470" t="str">
        <f>"07616486003578"</f>
        <v>07616486003578</v>
      </c>
      <c r="F470" s="8">
        <v>517</v>
      </c>
      <c r="G470" s="8">
        <v>7383</v>
      </c>
      <c r="H470" s="8">
        <v>1370</v>
      </c>
      <c r="I470" s="8">
        <v>4687</v>
      </c>
    </row>
    <row r="471" spans="1:9" x14ac:dyDescent="0.2">
      <c r="A471" t="s">
        <v>131</v>
      </c>
      <c r="B471" t="s">
        <v>135</v>
      </c>
      <c r="C471" t="str">
        <f t="shared" si="23"/>
        <v>07616480000000</v>
      </c>
      <c r="D471" t="s">
        <v>2499</v>
      </c>
      <c r="E471" t="str">
        <f>"07616486110514"</f>
        <v>07616486110514</v>
      </c>
      <c r="F471" s="8">
        <v>1073</v>
      </c>
      <c r="G471" s="8">
        <v>6745</v>
      </c>
      <c r="H471" s="8">
        <v>1370</v>
      </c>
      <c r="I471" s="8">
        <v>4687</v>
      </c>
    </row>
    <row r="472" spans="1:9" x14ac:dyDescent="0.2">
      <c r="A472" t="s">
        <v>131</v>
      </c>
      <c r="B472" t="s">
        <v>135</v>
      </c>
      <c r="C472" t="str">
        <f t="shared" si="23"/>
        <v>07616480000000</v>
      </c>
      <c r="D472" t="s">
        <v>2500</v>
      </c>
      <c r="E472" t="str">
        <f>"07616486003594"</f>
        <v>07616486003594</v>
      </c>
      <c r="F472" s="8">
        <v>1098</v>
      </c>
      <c r="G472" s="8">
        <v>6584</v>
      </c>
      <c r="H472" s="8">
        <v>1370</v>
      </c>
      <c r="I472" s="8">
        <v>4687</v>
      </c>
    </row>
    <row r="473" spans="1:9" x14ac:dyDescent="0.2">
      <c r="A473" t="s">
        <v>131</v>
      </c>
      <c r="B473" t="s">
        <v>135</v>
      </c>
      <c r="C473" t="str">
        <f t="shared" si="23"/>
        <v>07616480000000</v>
      </c>
      <c r="D473" t="s">
        <v>2501</v>
      </c>
      <c r="E473" t="str">
        <f>"07616486003602"</f>
        <v>07616486003602</v>
      </c>
      <c r="F473" s="8">
        <v>1160</v>
      </c>
      <c r="G473" s="8">
        <v>6521</v>
      </c>
      <c r="H473" s="8">
        <v>1370</v>
      </c>
      <c r="I473" s="8">
        <v>4687</v>
      </c>
    </row>
    <row r="474" spans="1:9" x14ac:dyDescent="0.2">
      <c r="A474" t="s">
        <v>131</v>
      </c>
      <c r="B474" t="s">
        <v>135</v>
      </c>
      <c r="C474" t="str">
        <f t="shared" si="23"/>
        <v>07616480000000</v>
      </c>
      <c r="D474" t="s">
        <v>2502</v>
      </c>
      <c r="E474" t="str">
        <f>"07616480106583"</f>
        <v>07616480106583</v>
      </c>
      <c r="F474" s="8">
        <v>1145</v>
      </c>
      <c r="G474" s="8">
        <v>6483</v>
      </c>
      <c r="H474" s="8">
        <v>1370</v>
      </c>
      <c r="I474" s="8">
        <v>4687</v>
      </c>
    </row>
    <row r="475" spans="1:9" x14ac:dyDescent="0.2">
      <c r="A475" t="s">
        <v>131</v>
      </c>
      <c r="B475" t="s">
        <v>135</v>
      </c>
      <c r="C475" t="str">
        <f t="shared" si="23"/>
        <v>07616480000000</v>
      </c>
      <c r="D475" t="s">
        <v>2503</v>
      </c>
      <c r="E475" t="str">
        <f>"07616486108989"</f>
        <v>07616486108989</v>
      </c>
      <c r="F475" s="8">
        <v>704</v>
      </c>
      <c r="G475" s="8">
        <v>6664</v>
      </c>
      <c r="H475" s="8">
        <v>1370</v>
      </c>
      <c r="I475" s="8">
        <v>4687</v>
      </c>
    </row>
    <row r="476" spans="1:9" x14ac:dyDescent="0.2">
      <c r="A476" t="s">
        <v>131</v>
      </c>
      <c r="B476" t="s">
        <v>135</v>
      </c>
      <c r="C476" t="str">
        <f t="shared" si="23"/>
        <v>07616480000000</v>
      </c>
      <c r="D476" t="s">
        <v>2504</v>
      </c>
      <c r="E476" t="str">
        <f>"07616480730465"</f>
        <v>07616480730465</v>
      </c>
      <c r="F476" s="8">
        <v>184</v>
      </c>
      <c r="G476" s="8">
        <v>6989</v>
      </c>
      <c r="H476" s="8">
        <v>1370</v>
      </c>
      <c r="I476" s="8">
        <v>4687</v>
      </c>
    </row>
    <row r="477" spans="1:9" x14ac:dyDescent="0.2">
      <c r="A477" t="s">
        <v>131</v>
      </c>
      <c r="B477" t="s">
        <v>135</v>
      </c>
      <c r="C477" t="str">
        <f t="shared" si="23"/>
        <v>07616480000000</v>
      </c>
      <c r="D477" t="s">
        <v>2505</v>
      </c>
      <c r="E477" t="str">
        <f>"07616480113761"</f>
        <v>07616480113761</v>
      </c>
      <c r="F477" s="8">
        <v>711</v>
      </c>
      <c r="G477" s="8">
        <v>6408</v>
      </c>
      <c r="H477" s="8">
        <v>1370</v>
      </c>
      <c r="I477" s="8">
        <v>4687</v>
      </c>
    </row>
    <row r="478" spans="1:9" x14ac:dyDescent="0.2">
      <c r="A478" t="s">
        <v>131</v>
      </c>
      <c r="B478" t="s">
        <v>135</v>
      </c>
      <c r="C478" t="str">
        <f t="shared" si="23"/>
        <v>07616480000000</v>
      </c>
      <c r="D478" t="s">
        <v>2506</v>
      </c>
      <c r="E478" t="str">
        <f>"07616480100461"</f>
        <v>07616480100461</v>
      </c>
      <c r="F478" s="8">
        <v>806</v>
      </c>
      <c r="G478" s="8">
        <v>6301</v>
      </c>
      <c r="H478" s="8">
        <v>1370</v>
      </c>
      <c r="I478" s="8">
        <v>4687</v>
      </c>
    </row>
    <row r="479" spans="1:9" x14ac:dyDescent="0.2">
      <c r="A479" t="s">
        <v>131</v>
      </c>
      <c r="B479" t="s">
        <v>135</v>
      </c>
      <c r="C479" t="str">
        <f t="shared" si="23"/>
        <v>07616480000000</v>
      </c>
      <c r="D479" t="s">
        <v>2507</v>
      </c>
      <c r="E479" t="str">
        <f>"07616480100479"</f>
        <v>07616480100479</v>
      </c>
      <c r="F479" s="8">
        <v>297</v>
      </c>
      <c r="G479" s="8">
        <v>6798</v>
      </c>
      <c r="H479" s="8">
        <v>1370</v>
      </c>
      <c r="I479" s="8">
        <v>4687</v>
      </c>
    </row>
    <row r="480" spans="1:9" x14ac:dyDescent="0.2">
      <c r="A480" t="s">
        <v>131</v>
      </c>
      <c r="B480" t="s">
        <v>135</v>
      </c>
      <c r="C480" t="str">
        <f t="shared" si="23"/>
        <v>07616480000000</v>
      </c>
      <c r="D480" t="s">
        <v>2508</v>
      </c>
      <c r="E480" t="str">
        <f>"07616486003628"</f>
        <v>07616486003628</v>
      </c>
      <c r="F480" s="8">
        <v>1099</v>
      </c>
      <c r="G480" s="8">
        <v>5938</v>
      </c>
      <c r="H480" s="8">
        <v>1370</v>
      </c>
      <c r="I480" s="8">
        <v>4687</v>
      </c>
    </row>
    <row r="481" spans="1:9" x14ac:dyDescent="0.2">
      <c r="A481" t="s">
        <v>131</v>
      </c>
      <c r="B481" t="s">
        <v>135</v>
      </c>
      <c r="C481" t="str">
        <f t="shared" si="23"/>
        <v>07616480000000</v>
      </c>
      <c r="D481" t="s">
        <v>2509</v>
      </c>
      <c r="E481" t="str">
        <f>"07616486061154"</f>
        <v>07616486061154</v>
      </c>
      <c r="F481" s="8">
        <v>488</v>
      </c>
      <c r="G481" s="8">
        <v>6536</v>
      </c>
      <c r="H481" s="8">
        <v>1370</v>
      </c>
      <c r="I481" s="8">
        <v>4687</v>
      </c>
    </row>
    <row r="482" spans="1:9" x14ac:dyDescent="0.2">
      <c r="A482" t="s">
        <v>131</v>
      </c>
      <c r="B482" t="s">
        <v>135</v>
      </c>
      <c r="C482" t="str">
        <f t="shared" si="23"/>
        <v>07616480000000</v>
      </c>
      <c r="D482" t="s">
        <v>2510</v>
      </c>
      <c r="E482" t="str">
        <f>"07616480730861"</f>
        <v>07616480730861</v>
      </c>
      <c r="F482" s="8">
        <v>258</v>
      </c>
      <c r="G482" s="8">
        <v>6697</v>
      </c>
      <c r="H482" s="8">
        <v>1370</v>
      </c>
      <c r="I482" s="8">
        <v>4687</v>
      </c>
    </row>
    <row r="483" spans="1:9" x14ac:dyDescent="0.2">
      <c r="A483" t="s">
        <v>131</v>
      </c>
      <c r="B483" t="s">
        <v>135</v>
      </c>
      <c r="C483" t="str">
        <f t="shared" si="23"/>
        <v>07616480000000</v>
      </c>
      <c r="D483" t="s">
        <v>2511</v>
      </c>
      <c r="E483" t="str">
        <f>"07616486084941"</f>
        <v>07616486084941</v>
      </c>
      <c r="F483" s="8">
        <v>736</v>
      </c>
      <c r="G483" s="8">
        <v>6171</v>
      </c>
      <c r="H483" s="8">
        <v>1370</v>
      </c>
      <c r="I483" s="8">
        <v>4687</v>
      </c>
    </row>
    <row r="484" spans="1:9" x14ac:dyDescent="0.2">
      <c r="A484" t="s">
        <v>131</v>
      </c>
      <c r="B484" t="s">
        <v>135</v>
      </c>
      <c r="C484" t="str">
        <f t="shared" si="23"/>
        <v>07616480000000</v>
      </c>
      <c r="D484" t="s">
        <v>2512</v>
      </c>
      <c r="E484" t="str">
        <f>"07616486113104"</f>
        <v>07616486113104</v>
      </c>
      <c r="F484" s="8">
        <v>401</v>
      </c>
      <c r="G484" s="8">
        <v>6498</v>
      </c>
      <c r="H484" s="8">
        <v>1370</v>
      </c>
      <c r="I484" s="8">
        <v>4687</v>
      </c>
    </row>
    <row r="485" spans="1:9" x14ac:dyDescent="0.2">
      <c r="A485" t="s">
        <v>131</v>
      </c>
      <c r="B485" t="s">
        <v>135</v>
      </c>
      <c r="C485" t="str">
        <f t="shared" si="23"/>
        <v>07616480000000</v>
      </c>
      <c r="D485" t="s">
        <v>2513</v>
      </c>
      <c r="E485" t="str">
        <f>"07616486057178"</f>
        <v>07616486057178</v>
      </c>
      <c r="F485" s="8">
        <v>365</v>
      </c>
      <c r="G485" s="8">
        <v>5997</v>
      </c>
      <c r="H485" s="8">
        <v>1370</v>
      </c>
      <c r="I485" s="8">
        <v>4687</v>
      </c>
    </row>
    <row r="486" spans="1:9" x14ac:dyDescent="0.2">
      <c r="A486" t="s">
        <v>131</v>
      </c>
      <c r="B486" t="s">
        <v>135</v>
      </c>
      <c r="C486" t="str">
        <f t="shared" si="23"/>
        <v>07616480000000</v>
      </c>
      <c r="D486" t="s">
        <v>2514</v>
      </c>
      <c r="E486" t="str">
        <f>"07616480730259"</f>
        <v>07616480730259</v>
      </c>
      <c r="F486" s="8">
        <v>700</v>
      </c>
      <c r="G486" s="8">
        <v>5589</v>
      </c>
      <c r="H486" s="8">
        <v>1370</v>
      </c>
      <c r="I486" s="8">
        <v>4687</v>
      </c>
    </row>
    <row r="487" spans="1:9" x14ac:dyDescent="0.2">
      <c r="A487" t="s">
        <v>131</v>
      </c>
      <c r="B487" t="s">
        <v>135</v>
      </c>
      <c r="C487" t="str">
        <f t="shared" si="23"/>
        <v>07616480000000</v>
      </c>
      <c r="D487" t="s">
        <v>2515</v>
      </c>
      <c r="E487" t="str">
        <f>"07616480117218"</f>
        <v>07616480117218</v>
      </c>
      <c r="F487" s="8">
        <v>174</v>
      </c>
      <c r="G487" s="8">
        <v>6104</v>
      </c>
      <c r="H487" s="8">
        <v>1370</v>
      </c>
      <c r="I487" s="8">
        <v>4687</v>
      </c>
    </row>
    <row r="488" spans="1:9" x14ac:dyDescent="0.2">
      <c r="A488" t="s">
        <v>131</v>
      </c>
      <c r="B488" t="s">
        <v>135</v>
      </c>
      <c r="C488" t="str">
        <f t="shared" si="23"/>
        <v>07616480000000</v>
      </c>
      <c r="D488" t="s">
        <v>2516</v>
      </c>
      <c r="E488" t="str">
        <f>"07616486003610"</f>
        <v>07616486003610</v>
      </c>
      <c r="F488" s="8">
        <v>930</v>
      </c>
      <c r="G488" s="8">
        <v>5290</v>
      </c>
      <c r="H488" s="8">
        <v>1370</v>
      </c>
      <c r="I488" s="8">
        <v>4687</v>
      </c>
    </row>
    <row r="489" spans="1:9" x14ac:dyDescent="0.2">
      <c r="A489" t="s">
        <v>131</v>
      </c>
      <c r="B489" t="s">
        <v>138</v>
      </c>
      <c r="C489" t="str">
        <f t="shared" ref="C489:C499" si="24">"07616550000000"</f>
        <v>07616550000000</v>
      </c>
      <c r="D489" t="s">
        <v>2517</v>
      </c>
      <c r="E489" t="str">
        <f>"07616556117410"</f>
        <v>07616556117410</v>
      </c>
      <c r="F489" s="8">
        <v>347</v>
      </c>
      <c r="G489" s="8">
        <v>5601</v>
      </c>
      <c r="H489" s="8">
        <v>1193</v>
      </c>
      <c r="I489" s="8">
        <v>6495</v>
      </c>
    </row>
    <row r="490" spans="1:9" x14ac:dyDescent="0.2">
      <c r="A490" t="s">
        <v>131</v>
      </c>
      <c r="B490" t="s">
        <v>138</v>
      </c>
      <c r="C490" t="str">
        <f t="shared" si="24"/>
        <v>07616550000000</v>
      </c>
      <c r="D490" t="s">
        <v>2518</v>
      </c>
      <c r="E490" t="str">
        <f>"07616556070981"</f>
        <v>07616556070981</v>
      </c>
      <c r="F490" s="8">
        <v>389</v>
      </c>
      <c r="G490" s="8">
        <v>5246</v>
      </c>
      <c r="H490" s="8">
        <v>960</v>
      </c>
      <c r="I490" s="8">
        <v>6262</v>
      </c>
    </row>
    <row r="491" spans="1:9" x14ac:dyDescent="0.2">
      <c r="A491" t="s">
        <v>131</v>
      </c>
      <c r="B491" t="s">
        <v>138</v>
      </c>
      <c r="C491" t="str">
        <f t="shared" si="24"/>
        <v>07616550000000</v>
      </c>
      <c r="D491" t="s">
        <v>2519</v>
      </c>
      <c r="E491" t="str">
        <f>"07616556109730"</f>
        <v>07616556109730</v>
      </c>
      <c r="F491" s="8">
        <v>330</v>
      </c>
      <c r="G491" s="8">
        <v>5465</v>
      </c>
      <c r="H491" s="8">
        <v>1082</v>
      </c>
      <c r="I491" s="8">
        <v>5891</v>
      </c>
    </row>
    <row r="492" spans="1:9" x14ac:dyDescent="0.2">
      <c r="A492" t="s">
        <v>131</v>
      </c>
      <c r="B492" t="s">
        <v>138</v>
      </c>
      <c r="C492" t="str">
        <f t="shared" si="24"/>
        <v>07616550000000</v>
      </c>
      <c r="D492" t="s">
        <v>2520</v>
      </c>
      <c r="E492" t="str">
        <f>"07616556003644"</f>
        <v>07616556003644</v>
      </c>
      <c r="F492" s="8">
        <v>437</v>
      </c>
      <c r="G492" s="8">
        <v>5765</v>
      </c>
      <c r="H492" s="8">
        <v>935</v>
      </c>
      <c r="I492" s="8">
        <v>5094</v>
      </c>
    </row>
    <row r="493" spans="1:9" x14ac:dyDescent="0.2">
      <c r="A493" t="s">
        <v>131</v>
      </c>
      <c r="B493" t="s">
        <v>138</v>
      </c>
      <c r="C493" t="str">
        <f t="shared" si="24"/>
        <v>07616550000000</v>
      </c>
      <c r="D493" t="s">
        <v>2521</v>
      </c>
      <c r="E493" t="str">
        <f>"07616550127464"</f>
        <v>07616550127464</v>
      </c>
      <c r="F493" s="8">
        <v>439</v>
      </c>
      <c r="G493" s="8">
        <v>5082</v>
      </c>
      <c r="H493" s="8">
        <v>1031</v>
      </c>
      <c r="I493" s="8">
        <v>5613</v>
      </c>
    </row>
    <row r="494" spans="1:9" x14ac:dyDescent="0.2">
      <c r="A494" t="s">
        <v>131</v>
      </c>
      <c r="B494" t="s">
        <v>138</v>
      </c>
      <c r="C494" t="str">
        <f t="shared" si="24"/>
        <v>07616550000000</v>
      </c>
      <c r="D494" t="s">
        <v>2522</v>
      </c>
      <c r="E494" t="str">
        <f>"07616550108019"</f>
        <v>07616550108019</v>
      </c>
      <c r="F494" s="8">
        <v>347</v>
      </c>
      <c r="G494" s="8">
        <v>4986</v>
      </c>
      <c r="H494" s="8">
        <v>929</v>
      </c>
      <c r="I494" s="8">
        <v>5060</v>
      </c>
    </row>
    <row r="495" spans="1:9" x14ac:dyDescent="0.2">
      <c r="A495" t="s">
        <v>131</v>
      </c>
      <c r="B495" t="s">
        <v>138</v>
      </c>
      <c r="C495" t="str">
        <f t="shared" si="24"/>
        <v>07616550000000</v>
      </c>
      <c r="D495" t="s">
        <v>2523</v>
      </c>
      <c r="E495" t="str">
        <f>"07616556003651"</f>
        <v>07616556003651</v>
      </c>
      <c r="F495" s="8">
        <v>419</v>
      </c>
      <c r="G495" s="8">
        <v>5150</v>
      </c>
      <c r="H495" s="8">
        <v>750</v>
      </c>
      <c r="I495" s="8">
        <v>4890</v>
      </c>
    </row>
    <row r="496" spans="1:9" x14ac:dyDescent="0.2">
      <c r="A496" t="s">
        <v>131</v>
      </c>
      <c r="B496" t="s">
        <v>138</v>
      </c>
      <c r="C496" t="str">
        <f t="shared" si="24"/>
        <v>07616550000000</v>
      </c>
      <c r="D496" t="s">
        <v>2524</v>
      </c>
      <c r="E496" t="str">
        <f>"07616556119754"</f>
        <v>07616556119754</v>
      </c>
      <c r="F496" s="8">
        <v>292</v>
      </c>
      <c r="G496" s="8">
        <v>5227</v>
      </c>
      <c r="H496" s="8">
        <v>871</v>
      </c>
      <c r="I496" s="8">
        <v>4744</v>
      </c>
    </row>
    <row r="497" spans="1:9" x14ac:dyDescent="0.2">
      <c r="A497" t="s">
        <v>131</v>
      </c>
      <c r="B497" t="s">
        <v>138</v>
      </c>
      <c r="C497" t="str">
        <f t="shared" si="24"/>
        <v>07616550000000</v>
      </c>
      <c r="D497" t="s">
        <v>2229</v>
      </c>
      <c r="E497" t="str">
        <f>"07616550102376"</f>
        <v>07616550102376</v>
      </c>
      <c r="F497" s="8">
        <v>299</v>
      </c>
      <c r="G497" s="8">
        <v>5042</v>
      </c>
      <c r="H497" s="8">
        <v>798</v>
      </c>
      <c r="I497" s="8">
        <v>4348</v>
      </c>
    </row>
    <row r="498" spans="1:9" x14ac:dyDescent="0.2">
      <c r="A498" t="s">
        <v>131</v>
      </c>
      <c r="B498" t="s">
        <v>138</v>
      </c>
      <c r="C498" t="str">
        <f t="shared" si="24"/>
        <v>07616550000000</v>
      </c>
      <c r="D498" t="s">
        <v>2525</v>
      </c>
      <c r="E498" t="str">
        <f>"07616556112718"</f>
        <v>07616556112718</v>
      </c>
      <c r="F498" s="8">
        <v>309</v>
      </c>
      <c r="G498" s="8">
        <v>5185</v>
      </c>
      <c r="H498" s="8">
        <v>611</v>
      </c>
      <c r="I498" s="8">
        <v>3327</v>
      </c>
    </row>
    <row r="499" spans="1:9" x14ac:dyDescent="0.2">
      <c r="A499" t="s">
        <v>131</v>
      </c>
      <c r="B499" t="s">
        <v>138</v>
      </c>
      <c r="C499" t="str">
        <f t="shared" si="24"/>
        <v>07616550000000</v>
      </c>
      <c r="D499" t="s">
        <v>2526</v>
      </c>
      <c r="E499" t="str">
        <f>"07616550110528"</f>
        <v>07616550110528</v>
      </c>
      <c r="F499" s="8">
        <v>280</v>
      </c>
      <c r="G499" s="8">
        <v>4967</v>
      </c>
      <c r="H499" s="8">
        <v>644</v>
      </c>
      <c r="I499" s="8">
        <v>3505</v>
      </c>
    </row>
    <row r="500" spans="1:9" x14ac:dyDescent="0.2">
      <c r="A500" t="s">
        <v>131</v>
      </c>
      <c r="B500" t="s">
        <v>139</v>
      </c>
      <c r="C500" t="str">
        <f>"07616630000000"</f>
        <v>07616630000000</v>
      </c>
      <c r="D500" t="s">
        <v>2527</v>
      </c>
      <c r="E500" t="str">
        <f>"07616636003669"</f>
        <v>07616636003669</v>
      </c>
      <c r="F500" s="8">
        <v>1037</v>
      </c>
      <c r="G500" s="8">
        <v>7890</v>
      </c>
      <c r="H500" s="8">
        <v>795</v>
      </c>
      <c r="I500" s="8">
        <v>2840</v>
      </c>
    </row>
    <row r="501" spans="1:9" x14ac:dyDescent="0.2">
      <c r="A501" t="s">
        <v>131</v>
      </c>
      <c r="B501" t="s">
        <v>139</v>
      </c>
      <c r="C501" t="str">
        <f>"07616630000000"</f>
        <v>07616630000000</v>
      </c>
      <c r="D501" t="s">
        <v>2528</v>
      </c>
      <c r="E501" t="str">
        <f>"07616636101943"</f>
        <v>07616636101943</v>
      </c>
      <c r="F501" s="8">
        <v>864</v>
      </c>
      <c r="G501" s="8">
        <v>7957</v>
      </c>
      <c r="H501" s="8">
        <v>795</v>
      </c>
      <c r="I501" s="8">
        <v>2840</v>
      </c>
    </row>
    <row r="502" spans="1:9" x14ac:dyDescent="0.2">
      <c r="A502" t="s">
        <v>131</v>
      </c>
      <c r="B502" t="s">
        <v>139</v>
      </c>
      <c r="C502" t="str">
        <f>"07616630000000"</f>
        <v>07616630000000</v>
      </c>
      <c r="D502" t="s">
        <v>2529</v>
      </c>
      <c r="E502" t="str">
        <f>"07616636119838"</f>
        <v>07616636119838</v>
      </c>
      <c r="F502" s="8">
        <v>479</v>
      </c>
      <c r="G502" s="8">
        <v>7404</v>
      </c>
      <c r="H502" s="8">
        <v>795</v>
      </c>
      <c r="I502" s="8">
        <v>2840</v>
      </c>
    </row>
    <row r="503" spans="1:9" x14ac:dyDescent="0.2">
      <c r="A503" t="s">
        <v>131</v>
      </c>
      <c r="B503" t="s">
        <v>139</v>
      </c>
      <c r="C503" t="str">
        <f>"07616630000000"</f>
        <v>07616630000000</v>
      </c>
      <c r="D503" t="s">
        <v>2530</v>
      </c>
      <c r="E503" t="str">
        <f>"07616630139667"</f>
        <v>07616630139667</v>
      </c>
      <c r="F503" s="8">
        <v>2160</v>
      </c>
      <c r="G503" s="8">
        <v>5702</v>
      </c>
      <c r="H503" s="8">
        <v>795</v>
      </c>
      <c r="I503" s="8">
        <v>2840</v>
      </c>
    </row>
    <row r="504" spans="1:9" x14ac:dyDescent="0.2">
      <c r="A504" t="s">
        <v>131</v>
      </c>
      <c r="B504" t="s">
        <v>141</v>
      </c>
      <c r="C504" t="str">
        <f>"07616710000000"</f>
        <v>07616710000000</v>
      </c>
      <c r="D504" t="s">
        <v>141</v>
      </c>
      <c r="E504" t="str">
        <f>"07616716003677"</f>
        <v>07616716003677</v>
      </c>
      <c r="F504" s="8">
        <v>453</v>
      </c>
      <c r="G504" s="8">
        <v>6970</v>
      </c>
      <c r="H504" s="8">
        <v>4</v>
      </c>
      <c r="I504" s="8">
        <v>2352</v>
      </c>
    </row>
    <row r="505" spans="1:9" x14ac:dyDescent="0.2">
      <c r="A505" t="s">
        <v>131</v>
      </c>
      <c r="B505" t="s">
        <v>143</v>
      </c>
      <c r="C505" t="str">
        <f>"07100740000000"</f>
        <v>07100740000000</v>
      </c>
      <c r="D505" t="s">
        <v>2531</v>
      </c>
      <c r="E505" t="str">
        <f>"07100740107342"</f>
        <v>07100740107342</v>
      </c>
      <c r="F505" s="8">
        <v>0</v>
      </c>
      <c r="G505" s="8">
        <v>245645</v>
      </c>
      <c r="H505" s="8">
        <v>196</v>
      </c>
      <c r="I505" s="8">
        <v>35814</v>
      </c>
    </row>
    <row r="506" spans="1:9" x14ac:dyDescent="0.2">
      <c r="A506" t="s">
        <v>131</v>
      </c>
      <c r="B506" t="s">
        <v>143</v>
      </c>
      <c r="C506" t="str">
        <f>"07100740000000"</f>
        <v>07100740000000</v>
      </c>
      <c r="D506" t="s">
        <v>2532</v>
      </c>
      <c r="E506" t="str">
        <f>"07100740107334"</f>
        <v>07100740107334</v>
      </c>
      <c r="F506" s="8">
        <v>3997</v>
      </c>
      <c r="G506" s="8">
        <v>98297</v>
      </c>
      <c r="H506" s="8">
        <v>65</v>
      </c>
      <c r="I506" s="8">
        <v>11938</v>
      </c>
    </row>
    <row r="507" spans="1:9" x14ac:dyDescent="0.2">
      <c r="A507" t="s">
        <v>131</v>
      </c>
      <c r="B507" t="s">
        <v>143</v>
      </c>
      <c r="C507" t="str">
        <f>"07100740000000"</f>
        <v>07100740000000</v>
      </c>
      <c r="D507" t="s">
        <v>2533</v>
      </c>
      <c r="E507" t="str">
        <f>"07100746077168"</f>
        <v>07100746077168</v>
      </c>
      <c r="F507" s="8">
        <v>11</v>
      </c>
      <c r="G507" s="8">
        <v>80078</v>
      </c>
      <c r="H507" s="8">
        <v>65</v>
      </c>
      <c r="I507" s="8">
        <v>11938</v>
      </c>
    </row>
    <row r="508" spans="1:9" x14ac:dyDescent="0.2">
      <c r="A508" t="s">
        <v>131</v>
      </c>
      <c r="B508" t="s">
        <v>143</v>
      </c>
      <c r="C508" t="str">
        <f>"07100740000000"</f>
        <v>07100740000000</v>
      </c>
      <c r="D508" t="s">
        <v>2534</v>
      </c>
      <c r="E508" t="str">
        <f>"07100740730614"</f>
        <v>07100740730614</v>
      </c>
      <c r="F508" s="8">
        <v>10688</v>
      </c>
      <c r="G508" s="8">
        <v>20623</v>
      </c>
      <c r="H508" s="8">
        <v>840</v>
      </c>
      <c r="I508" s="8">
        <v>1733</v>
      </c>
    </row>
    <row r="509" spans="1:9" x14ac:dyDescent="0.2">
      <c r="A509" t="s">
        <v>131</v>
      </c>
      <c r="B509" t="s">
        <v>143</v>
      </c>
      <c r="C509" t="str">
        <f>"07100740000000"</f>
        <v>07100740000000</v>
      </c>
      <c r="D509" t="s">
        <v>2535</v>
      </c>
      <c r="E509" t="str">
        <f>"07100740120444"</f>
        <v>07100740120444</v>
      </c>
      <c r="F509" s="8">
        <v>5779</v>
      </c>
      <c r="G509" s="8">
        <v>17947</v>
      </c>
      <c r="H509" s="8">
        <v>456</v>
      </c>
      <c r="I509" s="8">
        <v>1744</v>
      </c>
    </row>
    <row r="510" spans="1:9" x14ac:dyDescent="0.2">
      <c r="A510" t="s">
        <v>131</v>
      </c>
      <c r="B510" t="s">
        <v>147</v>
      </c>
      <c r="C510" t="str">
        <f>"07616970000000"</f>
        <v>07616970000000</v>
      </c>
      <c r="D510" t="s">
        <v>2536</v>
      </c>
      <c r="E510" t="str">
        <f>"07616976003685"</f>
        <v>07616976003685</v>
      </c>
      <c r="F510" s="8">
        <v>2709</v>
      </c>
      <c r="G510" s="8">
        <v>7993</v>
      </c>
      <c r="H510" s="8">
        <v>1336</v>
      </c>
      <c r="I510" s="8">
        <v>4119</v>
      </c>
    </row>
    <row r="511" spans="1:9" x14ac:dyDescent="0.2">
      <c r="A511" t="s">
        <v>131</v>
      </c>
      <c r="B511" t="s">
        <v>147</v>
      </c>
      <c r="C511" t="str">
        <f>"07616970000000"</f>
        <v>07616970000000</v>
      </c>
      <c r="D511" t="s">
        <v>2537</v>
      </c>
      <c r="E511" t="str">
        <f>"07616970737023"</f>
        <v>07616970737023</v>
      </c>
      <c r="F511" s="8">
        <v>1428</v>
      </c>
      <c r="G511" s="8">
        <v>7314</v>
      </c>
      <c r="H511" s="8">
        <v>1336</v>
      </c>
      <c r="I511" s="8">
        <v>4119</v>
      </c>
    </row>
    <row r="512" spans="1:9" x14ac:dyDescent="0.2">
      <c r="A512" t="s">
        <v>131</v>
      </c>
      <c r="B512" t="s">
        <v>147</v>
      </c>
      <c r="C512" t="str">
        <f>"07616970000000"</f>
        <v>07616970000000</v>
      </c>
      <c r="D512" t="s">
        <v>2538</v>
      </c>
      <c r="E512" t="str">
        <f>"07616970737619"</f>
        <v>07616970737619</v>
      </c>
      <c r="F512" s="8">
        <v>801</v>
      </c>
      <c r="G512" s="8">
        <v>7517</v>
      </c>
      <c r="H512" s="8">
        <v>1336</v>
      </c>
      <c r="I512" s="8">
        <v>4119</v>
      </c>
    </row>
    <row r="513" spans="1:9" x14ac:dyDescent="0.2">
      <c r="A513" t="s">
        <v>131</v>
      </c>
      <c r="B513" t="s">
        <v>147</v>
      </c>
      <c r="C513" t="str">
        <f>"07616970000000"</f>
        <v>07616970000000</v>
      </c>
      <c r="D513" t="s">
        <v>2539</v>
      </c>
      <c r="E513" t="str">
        <f>"07616976003701"</f>
        <v>07616976003701</v>
      </c>
      <c r="F513" s="8">
        <v>569</v>
      </c>
      <c r="G513" s="8">
        <v>1643</v>
      </c>
      <c r="H513" s="8">
        <v>6315</v>
      </c>
      <c r="I513" s="8">
        <v>1336</v>
      </c>
    </row>
    <row r="514" spans="1:9" x14ac:dyDescent="0.2">
      <c r="A514" t="s">
        <v>131</v>
      </c>
      <c r="B514" t="s">
        <v>148</v>
      </c>
      <c r="C514" t="str">
        <f>"07617050000000"</f>
        <v>07617050000000</v>
      </c>
      <c r="D514" t="s">
        <v>148</v>
      </c>
      <c r="E514" t="str">
        <f>"07617056003719"</f>
        <v>07617056003719</v>
      </c>
      <c r="F514" s="8">
        <v>1179.4215686274511</v>
      </c>
      <c r="G514" s="8">
        <v>10546.392156862745</v>
      </c>
      <c r="H514" s="8">
        <v>40.937908496732028</v>
      </c>
      <c r="I514" s="8">
        <v>1028.1535947712418</v>
      </c>
    </row>
    <row r="515" spans="1:9" x14ac:dyDescent="0.2">
      <c r="A515" t="s">
        <v>131</v>
      </c>
      <c r="B515" t="s">
        <v>148</v>
      </c>
      <c r="C515" t="str">
        <f>"07617050000000"</f>
        <v>07617050000000</v>
      </c>
      <c r="D515" t="s">
        <v>2540</v>
      </c>
      <c r="E515" t="str">
        <f>"07617050133769"</f>
        <v>07617050133769</v>
      </c>
      <c r="F515" s="8">
        <v>383.82119205298011</v>
      </c>
      <c r="G515" s="8">
        <v>6597.7516556291393</v>
      </c>
      <c r="H515" s="8">
        <v>41.480132450331126</v>
      </c>
      <c r="I515" s="8">
        <v>1041.7715231788079</v>
      </c>
    </row>
    <row r="516" spans="1:9" x14ac:dyDescent="0.2">
      <c r="A516" t="s">
        <v>131</v>
      </c>
      <c r="B516" t="s">
        <v>149</v>
      </c>
      <c r="C516" t="str">
        <f>"07617130000000"</f>
        <v>07617130000000</v>
      </c>
      <c r="D516" t="s">
        <v>2541</v>
      </c>
      <c r="E516" t="str">
        <f>"07617136003792"</f>
        <v>07617136003792</v>
      </c>
      <c r="F516" s="8">
        <v>1439</v>
      </c>
      <c r="G516" s="8">
        <v>5705</v>
      </c>
      <c r="H516" s="8">
        <v>0</v>
      </c>
      <c r="I516" s="8">
        <v>5641</v>
      </c>
    </row>
    <row r="517" spans="1:9" x14ac:dyDescent="0.2">
      <c r="A517" t="s">
        <v>131</v>
      </c>
      <c r="B517" t="s">
        <v>149</v>
      </c>
      <c r="C517" t="str">
        <f>"07617130000000"</f>
        <v>07617130000000</v>
      </c>
      <c r="D517" t="s">
        <v>2542</v>
      </c>
      <c r="E517" t="str">
        <f>"07617136003727"</f>
        <v>07617136003727</v>
      </c>
      <c r="F517" s="8">
        <v>768</v>
      </c>
      <c r="G517" s="8">
        <v>6010</v>
      </c>
      <c r="H517" s="8">
        <v>0</v>
      </c>
      <c r="I517" s="8">
        <v>5641</v>
      </c>
    </row>
    <row r="518" spans="1:9" x14ac:dyDescent="0.2">
      <c r="A518" t="s">
        <v>131</v>
      </c>
      <c r="B518" t="s">
        <v>149</v>
      </c>
      <c r="C518" t="str">
        <f>"07617130000000"</f>
        <v>07617130000000</v>
      </c>
      <c r="D518" t="s">
        <v>2543</v>
      </c>
      <c r="E518" t="str">
        <f>"07617136003768"</f>
        <v>07617136003768</v>
      </c>
      <c r="F518" s="8">
        <v>638</v>
      </c>
      <c r="G518" s="8">
        <v>5665</v>
      </c>
      <c r="H518" s="8">
        <v>0</v>
      </c>
      <c r="I518" s="8">
        <v>5641</v>
      </c>
    </row>
    <row r="519" spans="1:9" x14ac:dyDescent="0.2">
      <c r="A519" t="s">
        <v>131</v>
      </c>
      <c r="B519" t="s">
        <v>149</v>
      </c>
      <c r="C519" t="str">
        <f>"07617130000000"</f>
        <v>07617130000000</v>
      </c>
      <c r="D519" t="s">
        <v>1687</v>
      </c>
      <c r="E519" t="str">
        <f>"07617136003743"</f>
        <v>07617136003743</v>
      </c>
      <c r="F519" s="8">
        <v>253</v>
      </c>
      <c r="G519" s="8">
        <v>5788</v>
      </c>
      <c r="H519" s="8">
        <v>0</v>
      </c>
      <c r="I519" s="8">
        <v>5641</v>
      </c>
    </row>
    <row r="520" spans="1:9" x14ac:dyDescent="0.2">
      <c r="A520" t="s">
        <v>131</v>
      </c>
      <c r="B520" t="s">
        <v>149</v>
      </c>
      <c r="C520" t="str">
        <f>"07617130000000"</f>
        <v>07617130000000</v>
      </c>
      <c r="D520" t="s">
        <v>149</v>
      </c>
      <c r="E520" t="str">
        <f>"07617136003750"</f>
        <v>07617136003750</v>
      </c>
      <c r="F520" s="8">
        <v>296</v>
      </c>
      <c r="G520" s="8">
        <v>5695</v>
      </c>
      <c r="H520" s="8">
        <v>0</v>
      </c>
      <c r="I520" s="8">
        <v>5641</v>
      </c>
    </row>
    <row r="521" spans="1:9" x14ac:dyDescent="0.2">
      <c r="A521" t="s">
        <v>131</v>
      </c>
      <c r="B521" t="s">
        <v>151</v>
      </c>
      <c r="C521" t="str">
        <f>"07617210000000"</f>
        <v>07617210000000</v>
      </c>
      <c r="D521" t="s">
        <v>2544</v>
      </c>
      <c r="E521" t="str">
        <f>"07617210733998"</f>
        <v>07617210733998</v>
      </c>
      <c r="F521" s="8">
        <v>851</v>
      </c>
      <c r="G521" s="8">
        <v>14820</v>
      </c>
      <c r="H521" s="8">
        <v>12</v>
      </c>
      <c r="I521" s="8">
        <v>32</v>
      </c>
    </row>
    <row r="522" spans="1:9" x14ac:dyDescent="0.2">
      <c r="A522" t="s">
        <v>131</v>
      </c>
      <c r="B522" t="s">
        <v>151</v>
      </c>
      <c r="C522" t="str">
        <f>"07617210000000"</f>
        <v>07617210000000</v>
      </c>
      <c r="D522" t="s">
        <v>2545</v>
      </c>
      <c r="E522" t="str">
        <f>"07617210730572"</f>
        <v>07617210730572</v>
      </c>
      <c r="F522" s="8">
        <v>0</v>
      </c>
      <c r="G522" s="8">
        <v>12116</v>
      </c>
      <c r="H522" s="8">
        <v>16</v>
      </c>
      <c r="I522" s="8">
        <v>44</v>
      </c>
    </row>
    <row r="523" spans="1:9" x14ac:dyDescent="0.2">
      <c r="A523" t="s">
        <v>131</v>
      </c>
      <c r="B523" t="s">
        <v>151</v>
      </c>
      <c r="C523" t="str">
        <f>"07617210000000"</f>
        <v>07617210000000</v>
      </c>
      <c r="D523" t="s">
        <v>2546</v>
      </c>
      <c r="E523" t="str">
        <f>"07617210733980"</f>
        <v>07617210733980</v>
      </c>
      <c r="F523" s="8">
        <v>93</v>
      </c>
      <c r="G523" s="8">
        <v>7953</v>
      </c>
      <c r="H523" s="8">
        <v>251</v>
      </c>
      <c r="I523" s="8">
        <v>673</v>
      </c>
    </row>
    <row r="524" spans="1:9" x14ac:dyDescent="0.2">
      <c r="A524" t="s">
        <v>131</v>
      </c>
      <c r="B524" t="s">
        <v>151</v>
      </c>
      <c r="C524" t="str">
        <f>"07617210000000"</f>
        <v>07617210000000</v>
      </c>
      <c r="D524" t="s">
        <v>2547</v>
      </c>
      <c r="E524" t="str">
        <f>"07617210730457"</f>
        <v>07617210730457</v>
      </c>
      <c r="F524" s="8">
        <v>130</v>
      </c>
      <c r="G524" s="8">
        <v>7959</v>
      </c>
      <c r="H524" s="8">
        <v>229</v>
      </c>
      <c r="I524" s="8">
        <v>612</v>
      </c>
    </row>
    <row r="525" spans="1:9" x14ac:dyDescent="0.2">
      <c r="A525" t="s">
        <v>131</v>
      </c>
      <c r="B525" t="s">
        <v>151</v>
      </c>
      <c r="C525" t="str">
        <f>"07617210000000"</f>
        <v>07617210000000</v>
      </c>
      <c r="D525" t="s">
        <v>2548</v>
      </c>
      <c r="E525" t="str">
        <f>"07617210107797"</f>
        <v>07617210107797</v>
      </c>
      <c r="F525" s="8">
        <v>14</v>
      </c>
      <c r="G525" s="8">
        <v>7429</v>
      </c>
      <c r="H525" s="8">
        <v>243</v>
      </c>
      <c r="I525" s="8">
        <v>651</v>
      </c>
    </row>
    <row r="526" spans="1:9" x14ac:dyDescent="0.2">
      <c r="A526" t="s">
        <v>131</v>
      </c>
      <c r="B526" t="s">
        <v>154</v>
      </c>
      <c r="C526" t="str">
        <f t="shared" ref="C526:C533" si="25">"07617390000000"</f>
        <v>07617390000000</v>
      </c>
      <c r="D526" t="s">
        <v>2549</v>
      </c>
      <c r="E526" t="str">
        <f>"07617390730440"</f>
        <v>07617390730440</v>
      </c>
      <c r="F526" s="8">
        <v>1896</v>
      </c>
      <c r="G526" s="8">
        <v>14064</v>
      </c>
      <c r="H526" s="8">
        <v>607</v>
      </c>
      <c r="I526" s="8">
        <v>4756</v>
      </c>
    </row>
    <row r="527" spans="1:9" x14ac:dyDescent="0.2">
      <c r="A527" t="s">
        <v>131</v>
      </c>
      <c r="B527" t="s">
        <v>154</v>
      </c>
      <c r="C527" t="str">
        <f t="shared" si="25"/>
        <v>07617390000000</v>
      </c>
      <c r="D527" t="s">
        <v>2093</v>
      </c>
      <c r="E527" t="str">
        <f>"07617396003826"</f>
        <v>07617396003826</v>
      </c>
      <c r="F527" s="8">
        <v>791</v>
      </c>
      <c r="G527" s="8">
        <v>11459</v>
      </c>
      <c r="H527" s="8">
        <v>607</v>
      </c>
      <c r="I527" s="8">
        <v>4756</v>
      </c>
    </row>
    <row r="528" spans="1:9" x14ac:dyDescent="0.2">
      <c r="A528" t="s">
        <v>131</v>
      </c>
      <c r="B528" t="s">
        <v>154</v>
      </c>
      <c r="C528" t="str">
        <f t="shared" si="25"/>
        <v>07617390000000</v>
      </c>
      <c r="D528" t="s">
        <v>2550</v>
      </c>
      <c r="E528" t="str">
        <f>"07617396003842"</f>
        <v>07617396003842</v>
      </c>
      <c r="F528" s="8">
        <v>730</v>
      </c>
      <c r="G528" s="8">
        <v>10490</v>
      </c>
      <c r="H528" s="8">
        <v>607</v>
      </c>
      <c r="I528" s="8">
        <v>4756</v>
      </c>
    </row>
    <row r="529" spans="1:9" x14ac:dyDescent="0.2">
      <c r="A529" t="s">
        <v>131</v>
      </c>
      <c r="B529" t="s">
        <v>154</v>
      </c>
      <c r="C529" t="str">
        <f t="shared" si="25"/>
        <v>07617390000000</v>
      </c>
      <c r="D529" t="s">
        <v>2551</v>
      </c>
      <c r="E529" t="str">
        <f>"07617396003834"</f>
        <v>07617396003834</v>
      </c>
      <c r="F529" s="8">
        <v>272</v>
      </c>
      <c r="G529" s="8">
        <v>8355</v>
      </c>
      <c r="H529" s="8">
        <v>607</v>
      </c>
      <c r="I529" s="8">
        <v>4756</v>
      </c>
    </row>
    <row r="530" spans="1:9" x14ac:dyDescent="0.2">
      <c r="A530" t="s">
        <v>131</v>
      </c>
      <c r="B530" t="s">
        <v>154</v>
      </c>
      <c r="C530" t="str">
        <f t="shared" si="25"/>
        <v>07617390000000</v>
      </c>
      <c r="D530" t="s">
        <v>2552</v>
      </c>
      <c r="E530" t="str">
        <f>"07617390730549"</f>
        <v>07617390730549</v>
      </c>
      <c r="F530" s="8">
        <v>69</v>
      </c>
      <c r="G530" s="8">
        <v>7417</v>
      </c>
      <c r="H530" s="8">
        <v>607</v>
      </c>
      <c r="I530" s="8">
        <v>4756</v>
      </c>
    </row>
    <row r="531" spans="1:9" x14ac:dyDescent="0.2">
      <c r="A531" t="s">
        <v>131</v>
      </c>
      <c r="B531" t="s">
        <v>154</v>
      </c>
      <c r="C531" t="str">
        <f t="shared" si="25"/>
        <v>07617390000000</v>
      </c>
      <c r="D531" t="s">
        <v>2553</v>
      </c>
      <c r="E531" t="str">
        <f>"07617396003875"</f>
        <v>07617396003875</v>
      </c>
      <c r="F531" s="8">
        <v>172</v>
      </c>
      <c r="G531" s="8">
        <v>7271</v>
      </c>
      <c r="H531" s="8">
        <v>607</v>
      </c>
      <c r="I531" s="8">
        <v>4756</v>
      </c>
    </row>
    <row r="532" spans="1:9" x14ac:dyDescent="0.2">
      <c r="A532" t="s">
        <v>131</v>
      </c>
      <c r="B532" t="s">
        <v>154</v>
      </c>
      <c r="C532" t="str">
        <f t="shared" si="25"/>
        <v>07617390000000</v>
      </c>
      <c r="D532" t="s">
        <v>2554</v>
      </c>
      <c r="E532" t="str">
        <f>"07617396057186"</f>
        <v>07617396057186</v>
      </c>
      <c r="F532" s="8">
        <v>432</v>
      </c>
      <c r="G532" s="8">
        <v>6905</v>
      </c>
      <c r="H532" s="8">
        <v>607</v>
      </c>
      <c r="I532" s="8">
        <v>4756</v>
      </c>
    </row>
    <row r="533" spans="1:9" x14ac:dyDescent="0.2">
      <c r="A533" t="s">
        <v>131</v>
      </c>
      <c r="B533" t="s">
        <v>154</v>
      </c>
      <c r="C533" t="str">
        <f t="shared" si="25"/>
        <v>07617390000000</v>
      </c>
      <c r="D533" t="s">
        <v>2555</v>
      </c>
      <c r="E533" t="str">
        <f>"07617390730473"</f>
        <v>07617390730473</v>
      </c>
      <c r="F533" s="8">
        <v>0</v>
      </c>
      <c r="G533" s="8">
        <v>5567</v>
      </c>
      <c r="H533" s="8">
        <v>607</v>
      </c>
      <c r="I533" s="8">
        <v>4756</v>
      </c>
    </row>
    <row r="534" spans="1:9" x14ac:dyDescent="0.2">
      <c r="A534" t="s">
        <v>131</v>
      </c>
      <c r="B534" t="s">
        <v>155</v>
      </c>
      <c r="C534" t="str">
        <f>"07617470000000"</f>
        <v>07617470000000</v>
      </c>
      <c r="D534" t="s">
        <v>2556</v>
      </c>
      <c r="E534" t="str">
        <f>"07617476003909"</f>
        <v>07617476003909</v>
      </c>
      <c r="F534" s="8">
        <v>0</v>
      </c>
      <c r="G534" s="8">
        <v>8641</v>
      </c>
      <c r="H534" s="8">
        <v>564</v>
      </c>
      <c r="I534" s="8">
        <v>5830</v>
      </c>
    </row>
    <row r="535" spans="1:9" x14ac:dyDescent="0.2">
      <c r="A535" t="s">
        <v>131</v>
      </c>
      <c r="B535" t="s">
        <v>155</v>
      </c>
      <c r="C535" t="str">
        <f>"07617470000000"</f>
        <v>07617470000000</v>
      </c>
      <c r="D535" t="s">
        <v>2557</v>
      </c>
      <c r="E535" t="str">
        <f>"07617476003933"</f>
        <v>07617476003933</v>
      </c>
      <c r="F535" s="8">
        <v>0</v>
      </c>
      <c r="G535" s="8">
        <v>7990</v>
      </c>
      <c r="H535" s="8">
        <v>565</v>
      </c>
      <c r="I535" s="8">
        <v>5841</v>
      </c>
    </row>
    <row r="536" spans="1:9" x14ac:dyDescent="0.2">
      <c r="A536" t="s">
        <v>131</v>
      </c>
      <c r="B536" t="s">
        <v>155</v>
      </c>
      <c r="C536" t="str">
        <f>"07617470000000"</f>
        <v>07617470000000</v>
      </c>
      <c r="D536" t="s">
        <v>2558</v>
      </c>
      <c r="E536" t="str">
        <f>"07617476003917"</f>
        <v>07617476003917</v>
      </c>
      <c r="F536" s="8">
        <v>54</v>
      </c>
      <c r="G536" s="8">
        <v>6926</v>
      </c>
      <c r="H536" s="8">
        <v>571</v>
      </c>
      <c r="I536" s="8">
        <v>5905</v>
      </c>
    </row>
    <row r="537" spans="1:9" x14ac:dyDescent="0.2">
      <c r="A537" t="s">
        <v>131</v>
      </c>
      <c r="B537" t="s">
        <v>155</v>
      </c>
      <c r="C537" t="str">
        <f>"07617470000000"</f>
        <v>07617470000000</v>
      </c>
      <c r="D537" t="s">
        <v>2559</v>
      </c>
      <c r="E537" t="str">
        <f>"07617476003925"</f>
        <v>07617476003925</v>
      </c>
      <c r="F537" s="8">
        <v>16</v>
      </c>
      <c r="G537" s="8">
        <v>6956</v>
      </c>
      <c r="H537" s="8">
        <v>571</v>
      </c>
      <c r="I537" s="8">
        <v>5905</v>
      </c>
    </row>
    <row r="538" spans="1:9" x14ac:dyDescent="0.2">
      <c r="A538" t="s">
        <v>131</v>
      </c>
      <c r="B538" t="s">
        <v>156</v>
      </c>
      <c r="C538" t="str">
        <f t="shared" ref="C538:C569" si="26">"07617540000000"</f>
        <v>07617540000000</v>
      </c>
      <c r="D538" t="s">
        <v>2560</v>
      </c>
      <c r="E538" t="str">
        <f>"07617546004238"</f>
        <v>07617546004238</v>
      </c>
      <c r="F538" s="8">
        <v>4708</v>
      </c>
      <c r="G538" s="8">
        <v>45399</v>
      </c>
      <c r="H538" s="8">
        <v>921</v>
      </c>
      <c r="I538" s="8">
        <v>3159</v>
      </c>
    </row>
    <row r="539" spans="1:9" x14ac:dyDescent="0.2">
      <c r="A539" t="s">
        <v>131</v>
      </c>
      <c r="B539" t="s">
        <v>156</v>
      </c>
      <c r="C539" t="str">
        <f t="shared" si="26"/>
        <v>07617540000000</v>
      </c>
      <c r="D539" t="s">
        <v>2561</v>
      </c>
      <c r="E539" t="str">
        <f>"07617540138115"</f>
        <v>07617540138115</v>
      </c>
      <c r="F539" s="8">
        <v>14169</v>
      </c>
      <c r="G539" s="8">
        <v>30390</v>
      </c>
      <c r="H539" s="8">
        <v>921</v>
      </c>
      <c r="I539" s="8">
        <v>3159</v>
      </c>
    </row>
    <row r="540" spans="1:9" x14ac:dyDescent="0.2">
      <c r="A540" t="s">
        <v>131</v>
      </c>
      <c r="B540" t="s">
        <v>156</v>
      </c>
      <c r="C540" t="str">
        <f t="shared" si="26"/>
        <v>07617540000000</v>
      </c>
      <c r="D540" t="s">
        <v>2562</v>
      </c>
      <c r="E540" t="str">
        <f>"07617540730655"</f>
        <v>07617540730655</v>
      </c>
      <c r="F540" s="8">
        <v>5607</v>
      </c>
      <c r="G540" s="8">
        <v>31480</v>
      </c>
      <c r="H540" s="8">
        <v>921</v>
      </c>
      <c r="I540" s="8">
        <v>3159</v>
      </c>
    </row>
    <row r="541" spans="1:9" x14ac:dyDescent="0.2">
      <c r="A541" t="s">
        <v>131</v>
      </c>
      <c r="B541" t="s">
        <v>156</v>
      </c>
      <c r="C541" t="str">
        <f t="shared" si="26"/>
        <v>07617540000000</v>
      </c>
      <c r="D541" t="s">
        <v>2563</v>
      </c>
      <c r="E541" t="str">
        <f>"07617540730424"</f>
        <v>07617540730424</v>
      </c>
      <c r="F541" s="8">
        <v>252</v>
      </c>
      <c r="G541" s="8">
        <v>14007</v>
      </c>
      <c r="H541" s="8">
        <v>921</v>
      </c>
      <c r="I541" s="8">
        <v>3159</v>
      </c>
    </row>
    <row r="542" spans="1:9" x14ac:dyDescent="0.2">
      <c r="A542" t="s">
        <v>131</v>
      </c>
      <c r="B542" t="s">
        <v>156</v>
      </c>
      <c r="C542" t="str">
        <f t="shared" si="26"/>
        <v>07617540000000</v>
      </c>
      <c r="D542" t="s">
        <v>2564</v>
      </c>
      <c r="E542" t="str">
        <f>"07617540734764"</f>
        <v>07617540734764</v>
      </c>
      <c r="F542" s="8">
        <v>1806</v>
      </c>
      <c r="G542" s="8">
        <v>11577</v>
      </c>
      <c r="H542" s="8">
        <v>921</v>
      </c>
      <c r="I542" s="8">
        <v>3159</v>
      </c>
    </row>
    <row r="543" spans="1:9" x14ac:dyDescent="0.2">
      <c r="A543" t="s">
        <v>131</v>
      </c>
      <c r="B543" t="s">
        <v>156</v>
      </c>
      <c r="C543" t="str">
        <f t="shared" si="26"/>
        <v>07617540000000</v>
      </c>
      <c r="D543" t="s">
        <v>2565</v>
      </c>
      <c r="E543" t="str">
        <f>"07617546004378"</f>
        <v>07617546004378</v>
      </c>
      <c r="F543" s="8">
        <v>359</v>
      </c>
      <c r="G543" s="8">
        <v>12119</v>
      </c>
      <c r="H543" s="8">
        <v>921</v>
      </c>
      <c r="I543" s="8">
        <v>3159</v>
      </c>
    </row>
    <row r="544" spans="1:9" x14ac:dyDescent="0.2">
      <c r="A544" t="s">
        <v>131</v>
      </c>
      <c r="B544" t="s">
        <v>156</v>
      </c>
      <c r="C544" t="str">
        <f t="shared" si="26"/>
        <v>07617540000000</v>
      </c>
      <c r="D544" t="s">
        <v>2430</v>
      </c>
      <c r="E544" t="str">
        <f>"07617540730358"</f>
        <v>07617540730358</v>
      </c>
      <c r="F544" s="8">
        <v>306</v>
      </c>
      <c r="G544" s="8">
        <v>11450</v>
      </c>
      <c r="H544" s="8">
        <v>921</v>
      </c>
      <c r="I544" s="8">
        <v>3159</v>
      </c>
    </row>
    <row r="545" spans="1:9" x14ac:dyDescent="0.2">
      <c r="A545" t="s">
        <v>131</v>
      </c>
      <c r="B545" t="s">
        <v>156</v>
      </c>
      <c r="C545" t="str">
        <f t="shared" si="26"/>
        <v>07617540000000</v>
      </c>
      <c r="D545" t="s">
        <v>2566</v>
      </c>
      <c r="E545" t="str">
        <f>"07617540730317"</f>
        <v>07617540730317</v>
      </c>
      <c r="F545" s="8">
        <v>319</v>
      </c>
      <c r="G545" s="8">
        <v>11271</v>
      </c>
      <c r="H545" s="8">
        <v>921</v>
      </c>
      <c r="I545" s="8">
        <v>3159</v>
      </c>
    </row>
    <row r="546" spans="1:9" x14ac:dyDescent="0.2">
      <c r="A546" t="s">
        <v>131</v>
      </c>
      <c r="B546" t="s">
        <v>156</v>
      </c>
      <c r="C546" t="str">
        <f t="shared" si="26"/>
        <v>07617540000000</v>
      </c>
      <c r="D546" t="s">
        <v>710</v>
      </c>
      <c r="E546" t="str">
        <f>"07617546004170"</f>
        <v>07617546004170</v>
      </c>
      <c r="F546" s="8">
        <v>328</v>
      </c>
      <c r="G546" s="8">
        <v>9806</v>
      </c>
      <c r="H546" s="8">
        <v>921</v>
      </c>
      <c r="I546" s="8">
        <v>3159</v>
      </c>
    </row>
    <row r="547" spans="1:9" x14ac:dyDescent="0.2">
      <c r="A547" t="s">
        <v>131</v>
      </c>
      <c r="B547" t="s">
        <v>156</v>
      </c>
      <c r="C547" t="str">
        <f t="shared" si="26"/>
        <v>07617540000000</v>
      </c>
      <c r="D547" t="s">
        <v>1568</v>
      </c>
      <c r="E547" t="str">
        <f>"07617546004394"</f>
        <v>07617546004394</v>
      </c>
      <c r="F547" s="8">
        <v>380</v>
      </c>
      <c r="G547" s="8">
        <v>9736</v>
      </c>
      <c r="H547" s="8">
        <v>921</v>
      </c>
      <c r="I547" s="8">
        <v>3159</v>
      </c>
    </row>
    <row r="548" spans="1:9" x14ac:dyDescent="0.2">
      <c r="A548" t="s">
        <v>131</v>
      </c>
      <c r="B548" t="s">
        <v>156</v>
      </c>
      <c r="C548" t="str">
        <f t="shared" si="26"/>
        <v>07617540000000</v>
      </c>
      <c r="D548" t="s">
        <v>2567</v>
      </c>
      <c r="E548" t="str">
        <f>"07617546004055"</f>
        <v>07617546004055</v>
      </c>
      <c r="F548" s="8">
        <v>669</v>
      </c>
      <c r="G548" s="8">
        <v>8118</v>
      </c>
      <c r="H548" s="8">
        <v>921</v>
      </c>
      <c r="I548" s="8">
        <v>3159</v>
      </c>
    </row>
    <row r="549" spans="1:9" x14ac:dyDescent="0.2">
      <c r="A549" t="s">
        <v>131</v>
      </c>
      <c r="B549" t="s">
        <v>156</v>
      </c>
      <c r="C549" t="str">
        <f t="shared" si="26"/>
        <v>07617540000000</v>
      </c>
      <c r="D549" t="s">
        <v>2568</v>
      </c>
      <c r="E549" t="str">
        <f>"07617546004048"</f>
        <v>07617546004048</v>
      </c>
      <c r="F549" s="8">
        <v>654</v>
      </c>
      <c r="G549" s="8">
        <v>7924</v>
      </c>
      <c r="H549" s="8">
        <v>921</v>
      </c>
      <c r="I549" s="8">
        <v>3159</v>
      </c>
    </row>
    <row r="550" spans="1:9" x14ac:dyDescent="0.2">
      <c r="A550" t="s">
        <v>131</v>
      </c>
      <c r="B550" t="s">
        <v>156</v>
      </c>
      <c r="C550" t="str">
        <f t="shared" si="26"/>
        <v>07617540000000</v>
      </c>
      <c r="D550" t="s">
        <v>2569</v>
      </c>
      <c r="E550" t="str">
        <f>"07617540737809"</f>
        <v>07617540737809</v>
      </c>
      <c r="F550" s="8">
        <v>814</v>
      </c>
      <c r="G550" s="8">
        <v>7708</v>
      </c>
      <c r="H550" s="8">
        <v>921</v>
      </c>
      <c r="I550" s="8">
        <v>3159</v>
      </c>
    </row>
    <row r="551" spans="1:9" x14ac:dyDescent="0.2">
      <c r="A551" t="s">
        <v>131</v>
      </c>
      <c r="B551" t="s">
        <v>156</v>
      </c>
      <c r="C551" t="str">
        <f t="shared" si="26"/>
        <v>07617540000000</v>
      </c>
      <c r="D551" t="s">
        <v>2570</v>
      </c>
      <c r="E551" t="str">
        <f>"07617540731836"</f>
        <v>07617540731836</v>
      </c>
      <c r="F551" s="8">
        <v>516</v>
      </c>
      <c r="G551" s="8">
        <v>7934</v>
      </c>
      <c r="H551" s="8">
        <v>921</v>
      </c>
      <c r="I551" s="8">
        <v>3159</v>
      </c>
    </row>
    <row r="552" spans="1:9" x14ac:dyDescent="0.2">
      <c r="A552" t="s">
        <v>131</v>
      </c>
      <c r="B552" t="s">
        <v>156</v>
      </c>
      <c r="C552" t="str">
        <f t="shared" si="26"/>
        <v>07617540000000</v>
      </c>
      <c r="D552" t="s">
        <v>2571</v>
      </c>
      <c r="E552" t="str">
        <f>"07617546004402"</f>
        <v>07617546004402</v>
      </c>
      <c r="F552" s="8">
        <v>476</v>
      </c>
      <c r="G552" s="8">
        <v>7970</v>
      </c>
      <c r="H552" s="8">
        <v>921</v>
      </c>
      <c r="I552" s="8">
        <v>3159</v>
      </c>
    </row>
    <row r="553" spans="1:9" x14ac:dyDescent="0.2">
      <c r="A553" t="s">
        <v>131</v>
      </c>
      <c r="B553" t="s">
        <v>156</v>
      </c>
      <c r="C553" t="str">
        <f t="shared" si="26"/>
        <v>07617540000000</v>
      </c>
      <c r="D553" t="s">
        <v>2572</v>
      </c>
      <c r="E553" t="str">
        <f>"07617546004295"</f>
        <v>07617546004295</v>
      </c>
      <c r="F553" s="8">
        <v>674</v>
      </c>
      <c r="G553" s="8">
        <v>7768</v>
      </c>
      <c r="H553" s="8">
        <v>921</v>
      </c>
      <c r="I553" s="8">
        <v>3159</v>
      </c>
    </row>
    <row r="554" spans="1:9" x14ac:dyDescent="0.2">
      <c r="A554" t="s">
        <v>131</v>
      </c>
      <c r="B554" t="s">
        <v>156</v>
      </c>
      <c r="C554" t="str">
        <f t="shared" si="26"/>
        <v>07617540000000</v>
      </c>
      <c r="D554" t="s">
        <v>2573</v>
      </c>
      <c r="E554" t="str">
        <f>"07617546004410"</f>
        <v>07617546004410</v>
      </c>
      <c r="F554" s="8">
        <v>428</v>
      </c>
      <c r="G554" s="8">
        <v>7690</v>
      </c>
      <c r="H554" s="8">
        <v>921</v>
      </c>
      <c r="I554" s="8">
        <v>3159</v>
      </c>
    </row>
    <row r="555" spans="1:9" x14ac:dyDescent="0.2">
      <c r="A555" t="s">
        <v>131</v>
      </c>
      <c r="B555" t="s">
        <v>156</v>
      </c>
      <c r="C555" t="str">
        <f t="shared" si="26"/>
        <v>07617540000000</v>
      </c>
      <c r="D555" t="s">
        <v>2574</v>
      </c>
      <c r="E555" t="str">
        <f>"07617546004162"</f>
        <v>07617546004162</v>
      </c>
      <c r="F555" s="8">
        <v>617</v>
      </c>
      <c r="G555" s="8">
        <v>7447</v>
      </c>
      <c r="H555" s="8">
        <v>921</v>
      </c>
      <c r="I555" s="8">
        <v>3159</v>
      </c>
    </row>
    <row r="556" spans="1:9" x14ac:dyDescent="0.2">
      <c r="A556" t="s">
        <v>131</v>
      </c>
      <c r="B556" t="s">
        <v>156</v>
      </c>
      <c r="C556" t="str">
        <f t="shared" si="26"/>
        <v>07617540000000</v>
      </c>
      <c r="D556" t="s">
        <v>2575</v>
      </c>
      <c r="E556" t="str">
        <f>"07617546096226"</f>
        <v>07617546096226</v>
      </c>
      <c r="F556" s="8">
        <v>286</v>
      </c>
      <c r="G556" s="8">
        <v>7583</v>
      </c>
      <c r="H556" s="8">
        <v>921</v>
      </c>
      <c r="I556" s="8">
        <v>3159</v>
      </c>
    </row>
    <row r="557" spans="1:9" x14ac:dyDescent="0.2">
      <c r="A557" t="s">
        <v>131</v>
      </c>
      <c r="B557" t="s">
        <v>156</v>
      </c>
      <c r="C557" t="str">
        <f t="shared" si="26"/>
        <v>07617540000000</v>
      </c>
      <c r="D557" t="s">
        <v>2576</v>
      </c>
      <c r="E557" t="str">
        <f>"07617546004303"</f>
        <v>07617546004303</v>
      </c>
      <c r="F557" s="8">
        <v>448</v>
      </c>
      <c r="G557" s="8">
        <v>7399</v>
      </c>
      <c r="H557" s="8">
        <v>921</v>
      </c>
      <c r="I557" s="8">
        <v>3159</v>
      </c>
    </row>
    <row r="558" spans="1:9" x14ac:dyDescent="0.2">
      <c r="A558" t="s">
        <v>131</v>
      </c>
      <c r="B558" t="s">
        <v>156</v>
      </c>
      <c r="C558" t="str">
        <f t="shared" si="26"/>
        <v>07617540000000</v>
      </c>
      <c r="D558" t="s">
        <v>2577</v>
      </c>
      <c r="E558" t="str">
        <f>"07617546004261"</f>
        <v>07617546004261</v>
      </c>
      <c r="F558" s="8">
        <v>649</v>
      </c>
      <c r="G558" s="8">
        <v>7100</v>
      </c>
      <c r="H558" s="8">
        <v>921</v>
      </c>
      <c r="I558" s="8">
        <v>3159</v>
      </c>
    </row>
    <row r="559" spans="1:9" x14ac:dyDescent="0.2">
      <c r="A559" t="s">
        <v>131</v>
      </c>
      <c r="B559" t="s">
        <v>156</v>
      </c>
      <c r="C559" t="str">
        <f t="shared" si="26"/>
        <v>07617540000000</v>
      </c>
      <c r="D559" t="s">
        <v>2578</v>
      </c>
      <c r="E559" t="str">
        <f>"07617546004329"</f>
        <v>07617546004329</v>
      </c>
      <c r="F559" s="8">
        <v>533</v>
      </c>
      <c r="G559" s="8">
        <v>7146</v>
      </c>
      <c r="H559" s="8">
        <v>921</v>
      </c>
      <c r="I559" s="8">
        <v>3159</v>
      </c>
    </row>
    <row r="560" spans="1:9" x14ac:dyDescent="0.2">
      <c r="A560" t="s">
        <v>131</v>
      </c>
      <c r="B560" t="s">
        <v>156</v>
      </c>
      <c r="C560" t="str">
        <f t="shared" si="26"/>
        <v>07617540000000</v>
      </c>
      <c r="D560" t="s">
        <v>2579</v>
      </c>
      <c r="E560" t="str">
        <f>"07617546118087"</f>
        <v>07617546118087</v>
      </c>
      <c r="F560" s="8">
        <v>253</v>
      </c>
      <c r="G560" s="8">
        <v>7423</v>
      </c>
      <c r="H560" s="8">
        <v>921</v>
      </c>
      <c r="I560" s="8">
        <v>3159</v>
      </c>
    </row>
    <row r="561" spans="1:9" x14ac:dyDescent="0.2">
      <c r="A561" t="s">
        <v>131</v>
      </c>
      <c r="B561" t="s">
        <v>156</v>
      </c>
      <c r="C561" t="str">
        <f t="shared" si="26"/>
        <v>07617540000000</v>
      </c>
      <c r="D561" t="s">
        <v>2580</v>
      </c>
      <c r="E561" t="str">
        <f>"07617546004220"</f>
        <v>07617546004220</v>
      </c>
      <c r="F561" s="8">
        <v>487</v>
      </c>
      <c r="G561" s="8">
        <v>7152</v>
      </c>
      <c r="H561" s="8">
        <v>921</v>
      </c>
      <c r="I561" s="8">
        <v>3159</v>
      </c>
    </row>
    <row r="562" spans="1:9" x14ac:dyDescent="0.2">
      <c r="A562" t="s">
        <v>131</v>
      </c>
      <c r="B562" t="s">
        <v>156</v>
      </c>
      <c r="C562" t="str">
        <f t="shared" si="26"/>
        <v>07617540000000</v>
      </c>
      <c r="D562" t="s">
        <v>2581</v>
      </c>
      <c r="E562" t="str">
        <f>"07617546004196"</f>
        <v>07617546004196</v>
      </c>
      <c r="F562" s="8">
        <v>772</v>
      </c>
      <c r="G562" s="8">
        <v>6866</v>
      </c>
      <c r="H562" s="8">
        <v>921</v>
      </c>
      <c r="I562" s="8">
        <v>3159</v>
      </c>
    </row>
    <row r="563" spans="1:9" x14ac:dyDescent="0.2">
      <c r="A563" t="s">
        <v>131</v>
      </c>
      <c r="B563" t="s">
        <v>156</v>
      </c>
      <c r="C563" t="str">
        <f t="shared" si="26"/>
        <v>07617540000000</v>
      </c>
      <c r="D563" t="s">
        <v>2582</v>
      </c>
      <c r="E563" t="str">
        <f>"07617546003958"</f>
        <v>07617546003958</v>
      </c>
      <c r="F563" s="8">
        <v>364</v>
      </c>
      <c r="G563" s="8">
        <v>7160</v>
      </c>
      <c r="H563" s="8">
        <v>921</v>
      </c>
      <c r="I563" s="8">
        <v>3159</v>
      </c>
    </row>
    <row r="564" spans="1:9" x14ac:dyDescent="0.2">
      <c r="A564" t="s">
        <v>131</v>
      </c>
      <c r="B564" t="s">
        <v>156</v>
      </c>
      <c r="C564" t="str">
        <f t="shared" si="26"/>
        <v>07617540000000</v>
      </c>
      <c r="D564" t="s">
        <v>2583</v>
      </c>
      <c r="E564" t="str">
        <f>"07617546004246"</f>
        <v>07617546004246</v>
      </c>
      <c r="F564" s="8">
        <v>379</v>
      </c>
      <c r="G564" s="8">
        <v>7137</v>
      </c>
      <c r="H564" s="8">
        <v>921</v>
      </c>
      <c r="I564" s="8">
        <v>3159</v>
      </c>
    </row>
    <row r="565" spans="1:9" x14ac:dyDescent="0.2">
      <c r="A565" t="s">
        <v>131</v>
      </c>
      <c r="B565" t="s">
        <v>156</v>
      </c>
      <c r="C565" t="str">
        <f t="shared" si="26"/>
        <v>07617540000000</v>
      </c>
      <c r="D565" t="s">
        <v>2584</v>
      </c>
      <c r="E565" t="str">
        <f>"07617540734566"</f>
        <v>07617540734566</v>
      </c>
      <c r="F565" s="8">
        <v>955</v>
      </c>
      <c r="G565" s="8">
        <v>6421</v>
      </c>
      <c r="H565" s="8">
        <v>921</v>
      </c>
      <c r="I565" s="8">
        <v>3159</v>
      </c>
    </row>
    <row r="566" spans="1:9" x14ac:dyDescent="0.2">
      <c r="A566" t="s">
        <v>131</v>
      </c>
      <c r="B566" t="s">
        <v>156</v>
      </c>
      <c r="C566" t="str">
        <f t="shared" si="26"/>
        <v>07617540000000</v>
      </c>
      <c r="D566" t="s">
        <v>2585</v>
      </c>
      <c r="E566" t="str">
        <f>"07617546111504"</f>
        <v>07617546111504</v>
      </c>
      <c r="F566" s="8">
        <v>151</v>
      </c>
      <c r="G566" s="8">
        <v>7191</v>
      </c>
      <c r="H566" s="8">
        <v>921</v>
      </c>
      <c r="I566" s="8">
        <v>3159</v>
      </c>
    </row>
    <row r="567" spans="1:9" x14ac:dyDescent="0.2">
      <c r="A567" t="s">
        <v>131</v>
      </c>
      <c r="B567" t="s">
        <v>156</v>
      </c>
      <c r="C567" t="str">
        <f t="shared" si="26"/>
        <v>07617540000000</v>
      </c>
      <c r="D567" t="s">
        <v>2586</v>
      </c>
      <c r="E567" t="str">
        <f>"07617546004154"</f>
        <v>07617546004154</v>
      </c>
      <c r="F567" s="8">
        <v>315</v>
      </c>
      <c r="G567" s="8">
        <v>7020</v>
      </c>
      <c r="H567" s="8">
        <v>921</v>
      </c>
      <c r="I567" s="8">
        <v>3159</v>
      </c>
    </row>
    <row r="568" spans="1:9" x14ac:dyDescent="0.2">
      <c r="A568" t="s">
        <v>131</v>
      </c>
      <c r="B568" t="s">
        <v>156</v>
      </c>
      <c r="C568" t="str">
        <f t="shared" si="26"/>
        <v>07617540000000</v>
      </c>
      <c r="D568" t="s">
        <v>2587</v>
      </c>
      <c r="E568" t="str">
        <f>"07617546004030"</f>
        <v>07617546004030</v>
      </c>
      <c r="F568" s="8">
        <v>624</v>
      </c>
      <c r="G568" s="8">
        <v>6657</v>
      </c>
      <c r="H568" s="8">
        <v>921</v>
      </c>
      <c r="I568" s="8">
        <v>3159</v>
      </c>
    </row>
    <row r="569" spans="1:9" x14ac:dyDescent="0.2">
      <c r="A569" t="s">
        <v>131</v>
      </c>
      <c r="B569" t="s">
        <v>156</v>
      </c>
      <c r="C569" t="str">
        <f t="shared" si="26"/>
        <v>07617540000000</v>
      </c>
      <c r="D569" t="s">
        <v>2588</v>
      </c>
      <c r="E569" t="str">
        <f>"07617546112395"</f>
        <v>07617546112395</v>
      </c>
      <c r="F569" s="8">
        <v>53</v>
      </c>
      <c r="G569" s="8">
        <v>7125</v>
      </c>
      <c r="H569" s="8">
        <v>921</v>
      </c>
      <c r="I569" s="8">
        <v>3159</v>
      </c>
    </row>
    <row r="570" spans="1:9" x14ac:dyDescent="0.2">
      <c r="A570" t="s">
        <v>131</v>
      </c>
      <c r="B570" t="s">
        <v>156</v>
      </c>
      <c r="C570" t="str">
        <f t="shared" ref="C570:C589" si="27">"07617540000000"</f>
        <v>07617540000000</v>
      </c>
      <c r="D570" t="s">
        <v>2589</v>
      </c>
      <c r="E570" t="str">
        <f>"07617546004105"</f>
        <v>07617546004105</v>
      </c>
      <c r="F570" s="8">
        <v>166</v>
      </c>
      <c r="G570" s="8">
        <v>6993</v>
      </c>
      <c r="H570" s="8">
        <v>921</v>
      </c>
      <c r="I570" s="8">
        <v>3159</v>
      </c>
    </row>
    <row r="571" spans="1:9" x14ac:dyDescent="0.2">
      <c r="A571" t="s">
        <v>131</v>
      </c>
      <c r="B571" t="s">
        <v>156</v>
      </c>
      <c r="C571" t="str">
        <f t="shared" si="27"/>
        <v>07617540000000</v>
      </c>
      <c r="D571" t="s">
        <v>2590</v>
      </c>
      <c r="E571" t="str">
        <f>"07617546004311"</f>
        <v>07617546004311</v>
      </c>
      <c r="F571" s="8">
        <v>170</v>
      </c>
      <c r="G571" s="8">
        <v>6949</v>
      </c>
      <c r="H571" s="8">
        <v>921</v>
      </c>
      <c r="I571" s="8">
        <v>3159</v>
      </c>
    </row>
    <row r="572" spans="1:9" x14ac:dyDescent="0.2">
      <c r="A572" t="s">
        <v>131</v>
      </c>
      <c r="B572" t="s">
        <v>156</v>
      </c>
      <c r="C572" t="str">
        <f t="shared" si="27"/>
        <v>07617540000000</v>
      </c>
      <c r="D572" t="s">
        <v>2591</v>
      </c>
      <c r="E572" t="str">
        <f>"07617546003982"</f>
        <v>07617546003982</v>
      </c>
      <c r="F572" s="8">
        <v>641</v>
      </c>
      <c r="G572" s="8">
        <v>6444</v>
      </c>
      <c r="H572" s="8">
        <v>921</v>
      </c>
      <c r="I572" s="8">
        <v>3159</v>
      </c>
    </row>
    <row r="573" spans="1:9" x14ac:dyDescent="0.2">
      <c r="A573" t="s">
        <v>131</v>
      </c>
      <c r="B573" t="s">
        <v>156</v>
      </c>
      <c r="C573" t="str">
        <f t="shared" si="27"/>
        <v>07617540000000</v>
      </c>
      <c r="D573" t="s">
        <v>2592</v>
      </c>
      <c r="E573" t="str">
        <f>"07617546004352"</f>
        <v>07617546004352</v>
      </c>
      <c r="F573" s="8">
        <v>402</v>
      </c>
      <c r="G573" s="8">
        <v>6680</v>
      </c>
      <c r="H573" s="8">
        <v>921</v>
      </c>
      <c r="I573" s="8">
        <v>3159</v>
      </c>
    </row>
    <row r="574" spans="1:9" x14ac:dyDescent="0.2">
      <c r="A574" t="s">
        <v>131</v>
      </c>
      <c r="B574" t="s">
        <v>156</v>
      </c>
      <c r="C574" t="str">
        <f t="shared" si="27"/>
        <v>07617540000000</v>
      </c>
      <c r="D574" t="s">
        <v>2593</v>
      </c>
      <c r="E574" t="str">
        <f>"07617546004097"</f>
        <v>07617546004097</v>
      </c>
      <c r="F574" s="8">
        <v>184</v>
      </c>
      <c r="G574" s="8">
        <v>6879</v>
      </c>
      <c r="H574" s="8">
        <v>921</v>
      </c>
      <c r="I574" s="8">
        <v>3159</v>
      </c>
    </row>
    <row r="575" spans="1:9" x14ac:dyDescent="0.2">
      <c r="A575" t="s">
        <v>131</v>
      </c>
      <c r="B575" t="s">
        <v>156</v>
      </c>
      <c r="C575" t="str">
        <f t="shared" si="27"/>
        <v>07617540000000</v>
      </c>
      <c r="D575" t="s">
        <v>2594</v>
      </c>
      <c r="E575" t="str">
        <f>"07617546003974"</f>
        <v>07617546003974</v>
      </c>
      <c r="F575" s="8">
        <v>476</v>
      </c>
      <c r="G575" s="8">
        <v>6579</v>
      </c>
      <c r="H575" s="8">
        <v>921</v>
      </c>
      <c r="I575" s="8">
        <v>3159</v>
      </c>
    </row>
    <row r="576" spans="1:9" x14ac:dyDescent="0.2">
      <c r="A576" t="s">
        <v>131</v>
      </c>
      <c r="B576" t="s">
        <v>156</v>
      </c>
      <c r="C576" t="str">
        <f t="shared" si="27"/>
        <v>07617540000000</v>
      </c>
      <c r="D576" t="s">
        <v>2595</v>
      </c>
      <c r="E576" t="str">
        <f>"07617546004345"</f>
        <v>07617546004345</v>
      </c>
      <c r="F576" s="8">
        <v>68</v>
      </c>
      <c r="G576" s="8">
        <v>6878</v>
      </c>
      <c r="H576" s="8">
        <v>921</v>
      </c>
      <c r="I576" s="8">
        <v>3159</v>
      </c>
    </row>
    <row r="577" spans="1:9" x14ac:dyDescent="0.2">
      <c r="A577" t="s">
        <v>131</v>
      </c>
      <c r="B577" t="s">
        <v>156</v>
      </c>
      <c r="C577" t="str">
        <f t="shared" si="27"/>
        <v>07617540000000</v>
      </c>
      <c r="D577" t="s">
        <v>2596</v>
      </c>
      <c r="E577" t="str">
        <f>"07617546004063"</f>
        <v>07617546004063</v>
      </c>
      <c r="F577" s="8">
        <v>170</v>
      </c>
      <c r="G577" s="8">
        <v>6705</v>
      </c>
      <c r="H577" s="8">
        <v>921</v>
      </c>
      <c r="I577" s="8">
        <v>3159</v>
      </c>
    </row>
    <row r="578" spans="1:9" x14ac:dyDescent="0.2">
      <c r="A578" t="s">
        <v>131</v>
      </c>
      <c r="B578" t="s">
        <v>156</v>
      </c>
      <c r="C578" t="str">
        <f t="shared" si="27"/>
        <v>07617540000000</v>
      </c>
      <c r="D578" t="s">
        <v>2597</v>
      </c>
      <c r="E578" t="str">
        <f>"07617540730044"</f>
        <v>07617540730044</v>
      </c>
      <c r="F578" s="8">
        <v>397</v>
      </c>
      <c r="G578" s="8">
        <v>6371</v>
      </c>
      <c r="H578" s="8">
        <v>921</v>
      </c>
      <c r="I578" s="8">
        <v>3159</v>
      </c>
    </row>
    <row r="579" spans="1:9" x14ac:dyDescent="0.2">
      <c r="A579" t="s">
        <v>131</v>
      </c>
      <c r="B579" t="s">
        <v>156</v>
      </c>
      <c r="C579" t="str">
        <f t="shared" si="27"/>
        <v>07617540000000</v>
      </c>
      <c r="D579" t="s">
        <v>2598</v>
      </c>
      <c r="E579" t="str">
        <f>"07617546004360"</f>
        <v>07617546004360</v>
      </c>
      <c r="F579" s="8">
        <v>32</v>
      </c>
      <c r="G579" s="8">
        <v>6635</v>
      </c>
      <c r="H579" s="8">
        <v>921</v>
      </c>
      <c r="I579" s="8">
        <v>3159</v>
      </c>
    </row>
    <row r="580" spans="1:9" x14ac:dyDescent="0.2">
      <c r="A580" t="s">
        <v>131</v>
      </c>
      <c r="B580" t="s">
        <v>156</v>
      </c>
      <c r="C580" t="str">
        <f t="shared" si="27"/>
        <v>07617540000000</v>
      </c>
      <c r="D580" t="s">
        <v>2599</v>
      </c>
      <c r="E580" t="str">
        <f>"07617540135822"</f>
        <v>07617540135822</v>
      </c>
      <c r="F580" s="8">
        <v>125</v>
      </c>
      <c r="G580" s="8">
        <v>6288</v>
      </c>
      <c r="H580" s="8">
        <v>921</v>
      </c>
      <c r="I580" s="8">
        <v>3159</v>
      </c>
    </row>
    <row r="581" spans="1:9" x14ac:dyDescent="0.2">
      <c r="A581" t="s">
        <v>131</v>
      </c>
      <c r="B581" t="s">
        <v>156</v>
      </c>
      <c r="C581" t="str">
        <f t="shared" si="27"/>
        <v>07617540000000</v>
      </c>
      <c r="D581" t="s">
        <v>2600</v>
      </c>
      <c r="E581" t="str">
        <f>"07617540731646"</f>
        <v>07617540731646</v>
      </c>
      <c r="F581" s="8">
        <v>263</v>
      </c>
      <c r="G581" s="8">
        <v>6015</v>
      </c>
      <c r="H581" s="8">
        <v>921</v>
      </c>
      <c r="I581" s="8">
        <v>3159</v>
      </c>
    </row>
    <row r="582" spans="1:9" x14ac:dyDescent="0.2">
      <c r="A582" t="s">
        <v>131</v>
      </c>
      <c r="B582" t="s">
        <v>156</v>
      </c>
      <c r="C582" t="str">
        <f t="shared" si="27"/>
        <v>07617540000000</v>
      </c>
      <c r="D582" t="s">
        <v>2601</v>
      </c>
      <c r="E582" t="str">
        <f>"07617546003966"</f>
        <v>07617546003966</v>
      </c>
      <c r="F582" s="8">
        <v>93</v>
      </c>
      <c r="G582" s="8">
        <v>6114</v>
      </c>
      <c r="H582" s="8">
        <v>921</v>
      </c>
      <c r="I582" s="8">
        <v>3159</v>
      </c>
    </row>
    <row r="583" spans="1:9" x14ac:dyDescent="0.2">
      <c r="A583" t="s">
        <v>131</v>
      </c>
      <c r="B583" t="s">
        <v>156</v>
      </c>
      <c r="C583" t="str">
        <f t="shared" si="27"/>
        <v>07617540000000</v>
      </c>
      <c r="D583" t="s">
        <v>2602</v>
      </c>
      <c r="E583" t="str">
        <f>"07617546114904"</f>
        <v>07617546114904</v>
      </c>
      <c r="F583" s="8">
        <v>236</v>
      </c>
      <c r="G583" s="8">
        <v>5951</v>
      </c>
      <c r="H583" s="8">
        <v>921</v>
      </c>
      <c r="I583" s="8">
        <v>3159</v>
      </c>
    </row>
    <row r="584" spans="1:9" x14ac:dyDescent="0.2">
      <c r="A584" t="s">
        <v>131</v>
      </c>
      <c r="B584" t="s">
        <v>156</v>
      </c>
      <c r="C584" t="str">
        <f t="shared" si="27"/>
        <v>07617540000000</v>
      </c>
      <c r="D584" t="s">
        <v>2300</v>
      </c>
      <c r="E584" t="str">
        <f>"07617546004253"</f>
        <v>07617546004253</v>
      </c>
      <c r="F584" s="8">
        <v>108</v>
      </c>
      <c r="G584" s="8">
        <v>6026</v>
      </c>
      <c r="H584" s="8">
        <v>921</v>
      </c>
      <c r="I584" s="8">
        <v>3159</v>
      </c>
    </row>
    <row r="585" spans="1:9" x14ac:dyDescent="0.2">
      <c r="A585" t="s">
        <v>131</v>
      </c>
      <c r="B585" t="s">
        <v>156</v>
      </c>
      <c r="C585" t="str">
        <f t="shared" si="27"/>
        <v>07617540000000</v>
      </c>
      <c r="D585" t="s">
        <v>2603</v>
      </c>
      <c r="E585" t="str">
        <f>"07617546004188"</f>
        <v>07617546004188</v>
      </c>
      <c r="F585" s="8">
        <v>92</v>
      </c>
      <c r="G585" s="8">
        <v>5843</v>
      </c>
      <c r="H585" s="8">
        <v>921</v>
      </c>
      <c r="I585" s="8">
        <v>3159</v>
      </c>
    </row>
    <row r="586" spans="1:9" x14ac:dyDescent="0.2">
      <c r="A586" t="s">
        <v>131</v>
      </c>
      <c r="B586" t="s">
        <v>156</v>
      </c>
      <c r="C586" t="str">
        <f t="shared" si="27"/>
        <v>07617540000000</v>
      </c>
      <c r="D586" t="s">
        <v>2604</v>
      </c>
      <c r="E586" t="str">
        <f>"07617546004337"</f>
        <v>07617546004337</v>
      </c>
      <c r="F586" s="8">
        <v>174</v>
      </c>
      <c r="G586" s="8">
        <v>5756</v>
      </c>
      <c r="H586" s="8">
        <v>921</v>
      </c>
      <c r="I586" s="8">
        <v>3159</v>
      </c>
    </row>
    <row r="587" spans="1:9" x14ac:dyDescent="0.2">
      <c r="A587" t="s">
        <v>131</v>
      </c>
      <c r="B587" t="s">
        <v>156</v>
      </c>
      <c r="C587" t="str">
        <f t="shared" si="27"/>
        <v>07617540000000</v>
      </c>
      <c r="D587" t="s">
        <v>2605</v>
      </c>
      <c r="E587" t="str">
        <f>"07617546105357"</f>
        <v>07617546105357</v>
      </c>
      <c r="F587" s="8">
        <v>109</v>
      </c>
      <c r="G587" s="8">
        <v>5714</v>
      </c>
      <c r="H587" s="8">
        <v>921</v>
      </c>
      <c r="I587" s="8">
        <v>3159</v>
      </c>
    </row>
    <row r="588" spans="1:9" x14ac:dyDescent="0.2">
      <c r="A588" t="s">
        <v>131</v>
      </c>
      <c r="B588" t="s">
        <v>156</v>
      </c>
      <c r="C588" t="str">
        <f t="shared" si="27"/>
        <v>07617540000000</v>
      </c>
      <c r="D588" t="s">
        <v>2606</v>
      </c>
      <c r="E588" t="str">
        <f>"07617540106088"</f>
        <v>07617540106088</v>
      </c>
      <c r="F588" s="8">
        <v>68</v>
      </c>
      <c r="G588" s="8">
        <v>5663</v>
      </c>
      <c r="H588" s="8">
        <v>921</v>
      </c>
      <c r="I588" s="8">
        <v>3159</v>
      </c>
    </row>
    <row r="589" spans="1:9" x14ac:dyDescent="0.2">
      <c r="A589" t="s">
        <v>131</v>
      </c>
      <c r="B589" t="s">
        <v>156</v>
      </c>
      <c r="C589" t="str">
        <f t="shared" si="27"/>
        <v>07617540000000</v>
      </c>
      <c r="D589" t="s">
        <v>2607</v>
      </c>
      <c r="E589" t="str">
        <f>"07617540140442"</f>
        <v>07617540140442</v>
      </c>
      <c r="F589" s="8">
        <v>0</v>
      </c>
      <c r="G589" s="8">
        <v>652</v>
      </c>
      <c r="H589" s="8">
        <v>921</v>
      </c>
      <c r="I589" s="8">
        <v>3159</v>
      </c>
    </row>
    <row r="590" spans="1:9" x14ac:dyDescent="0.2">
      <c r="A590" t="s">
        <v>131</v>
      </c>
      <c r="B590" t="s">
        <v>157</v>
      </c>
      <c r="C590" t="str">
        <f t="shared" ref="C590:C598" si="28">"07617620000000"</f>
        <v>07617620000000</v>
      </c>
      <c r="D590" t="s">
        <v>2297</v>
      </c>
      <c r="E590" t="str">
        <f>"07617626110803"</f>
        <v>07617626110803</v>
      </c>
      <c r="F590" s="8">
        <v>734</v>
      </c>
      <c r="G590" s="8">
        <v>11240</v>
      </c>
      <c r="H590" s="8">
        <v>261</v>
      </c>
      <c r="I590" s="8">
        <v>2240</v>
      </c>
    </row>
    <row r="591" spans="1:9" x14ac:dyDescent="0.2">
      <c r="A591" t="s">
        <v>131</v>
      </c>
      <c r="B591" t="s">
        <v>157</v>
      </c>
      <c r="C591" t="str">
        <f t="shared" si="28"/>
        <v>07617620000000</v>
      </c>
      <c r="D591" t="s">
        <v>2608</v>
      </c>
      <c r="E591" t="str">
        <f>"07617626004428"</f>
        <v>07617626004428</v>
      </c>
      <c r="F591" s="8">
        <v>692</v>
      </c>
      <c r="G591" s="8">
        <v>8825</v>
      </c>
      <c r="H591" s="8">
        <v>261</v>
      </c>
      <c r="I591" s="8">
        <v>2240</v>
      </c>
    </row>
    <row r="592" spans="1:9" x14ac:dyDescent="0.2">
      <c r="A592" t="s">
        <v>131</v>
      </c>
      <c r="B592" t="s">
        <v>157</v>
      </c>
      <c r="C592" t="str">
        <f t="shared" si="28"/>
        <v>07617620000000</v>
      </c>
      <c r="D592" t="s">
        <v>2609</v>
      </c>
      <c r="E592" t="str">
        <f>"07617620129064"</f>
        <v>07617620129064</v>
      </c>
      <c r="F592" s="8">
        <v>555</v>
      </c>
      <c r="G592" s="8">
        <v>8894</v>
      </c>
      <c r="H592" s="8">
        <v>261</v>
      </c>
      <c r="I592" s="8">
        <v>2240</v>
      </c>
    </row>
    <row r="593" spans="1:9" x14ac:dyDescent="0.2">
      <c r="A593" t="s">
        <v>131</v>
      </c>
      <c r="B593" t="s">
        <v>157</v>
      </c>
      <c r="C593" t="str">
        <f t="shared" si="28"/>
        <v>07617620000000</v>
      </c>
      <c r="D593" t="s">
        <v>2610</v>
      </c>
      <c r="E593" t="str">
        <f>"07617626110811"</f>
        <v>07617626110811</v>
      </c>
      <c r="F593" s="8">
        <v>601</v>
      </c>
      <c r="G593" s="8">
        <v>8625</v>
      </c>
      <c r="H593" s="8">
        <v>261</v>
      </c>
      <c r="I593" s="8">
        <v>2240</v>
      </c>
    </row>
    <row r="594" spans="1:9" x14ac:dyDescent="0.2">
      <c r="A594" t="s">
        <v>131</v>
      </c>
      <c r="B594" t="s">
        <v>157</v>
      </c>
      <c r="C594" t="str">
        <f t="shared" si="28"/>
        <v>07617620000000</v>
      </c>
      <c r="D594" t="s">
        <v>2611</v>
      </c>
      <c r="E594" t="str">
        <f>"07617620110684"</f>
        <v>07617620110684</v>
      </c>
      <c r="F594" s="8">
        <v>658</v>
      </c>
      <c r="G594" s="8">
        <v>8486</v>
      </c>
      <c r="H594" s="8">
        <v>261</v>
      </c>
      <c r="I594" s="8">
        <v>2240</v>
      </c>
    </row>
    <row r="595" spans="1:9" x14ac:dyDescent="0.2">
      <c r="A595" t="s">
        <v>131</v>
      </c>
      <c r="B595" t="s">
        <v>157</v>
      </c>
      <c r="C595" t="str">
        <f t="shared" si="28"/>
        <v>07617620000000</v>
      </c>
      <c r="D595" t="s">
        <v>2612</v>
      </c>
      <c r="E595" t="str">
        <f>"07617626108765"</f>
        <v>07617626108765</v>
      </c>
      <c r="F595" s="8">
        <v>633</v>
      </c>
      <c r="G595" s="8">
        <v>7585</v>
      </c>
      <c r="H595" s="8">
        <v>261</v>
      </c>
      <c r="I595" s="8">
        <v>2240</v>
      </c>
    </row>
    <row r="596" spans="1:9" x14ac:dyDescent="0.2">
      <c r="A596" t="s">
        <v>131</v>
      </c>
      <c r="B596" t="s">
        <v>157</v>
      </c>
      <c r="C596" t="str">
        <f t="shared" si="28"/>
        <v>07617620000000</v>
      </c>
      <c r="D596" t="s">
        <v>2613</v>
      </c>
      <c r="E596" t="str">
        <f>"07617626096234"</f>
        <v>07617626096234</v>
      </c>
      <c r="F596" s="8">
        <v>491</v>
      </c>
      <c r="G596" s="8">
        <v>7520</v>
      </c>
      <c r="H596" s="8">
        <v>261</v>
      </c>
      <c r="I596" s="8">
        <v>2240</v>
      </c>
    </row>
    <row r="597" spans="1:9" x14ac:dyDescent="0.2">
      <c r="A597" t="s">
        <v>131</v>
      </c>
      <c r="B597" t="s">
        <v>157</v>
      </c>
      <c r="C597" t="str">
        <f t="shared" si="28"/>
        <v>07617620000000</v>
      </c>
      <c r="D597" t="s">
        <v>2614</v>
      </c>
      <c r="E597" t="str">
        <f>"07617626119226"</f>
        <v>07617626119226</v>
      </c>
      <c r="F597" s="8">
        <v>801</v>
      </c>
      <c r="G597" s="8">
        <v>7196</v>
      </c>
      <c r="H597" s="8">
        <v>261</v>
      </c>
      <c r="I597" s="8">
        <v>2240</v>
      </c>
    </row>
    <row r="598" spans="1:9" x14ac:dyDescent="0.2">
      <c r="A598" t="s">
        <v>131</v>
      </c>
      <c r="B598" t="s">
        <v>157</v>
      </c>
      <c r="C598" t="str">
        <f t="shared" si="28"/>
        <v>07617620000000</v>
      </c>
      <c r="D598" t="s">
        <v>2615</v>
      </c>
      <c r="E598" t="str">
        <f>"07617620138859"</f>
        <v>07617620138859</v>
      </c>
      <c r="F598" s="8">
        <v>380</v>
      </c>
      <c r="G598" s="8">
        <v>6108</v>
      </c>
      <c r="H598" s="8">
        <v>261</v>
      </c>
      <c r="I598" s="8">
        <v>2240</v>
      </c>
    </row>
    <row r="599" spans="1:9" x14ac:dyDescent="0.2">
      <c r="A599" t="s">
        <v>131</v>
      </c>
      <c r="B599" t="s">
        <v>158</v>
      </c>
      <c r="C599" t="str">
        <f>"07617700000000"</f>
        <v>07617700000000</v>
      </c>
      <c r="D599" t="s">
        <v>2616</v>
      </c>
      <c r="E599" t="str">
        <f>"07617706004501"</f>
        <v>07617706004501</v>
      </c>
      <c r="F599" s="8">
        <v>6</v>
      </c>
      <c r="G599" s="8">
        <v>9488</v>
      </c>
      <c r="H599" s="8">
        <v>358</v>
      </c>
      <c r="I599" s="8">
        <v>5010</v>
      </c>
    </row>
    <row r="600" spans="1:9" x14ac:dyDescent="0.2">
      <c r="A600" t="s">
        <v>131</v>
      </c>
      <c r="B600" t="s">
        <v>158</v>
      </c>
      <c r="C600" t="str">
        <f>"07617700000000"</f>
        <v>07617700000000</v>
      </c>
      <c r="D600" t="s">
        <v>2617</v>
      </c>
      <c r="E600" t="str">
        <f>"07617706066583"</f>
        <v>07617706066583</v>
      </c>
      <c r="F600" s="8">
        <v>296</v>
      </c>
      <c r="G600" s="8">
        <v>9536</v>
      </c>
      <c r="H600" s="8">
        <v>287</v>
      </c>
      <c r="I600" s="8">
        <v>4028</v>
      </c>
    </row>
    <row r="601" spans="1:9" x14ac:dyDescent="0.2">
      <c r="A601" t="s">
        <v>131</v>
      </c>
      <c r="B601" t="s">
        <v>158</v>
      </c>
      <c r="C601" t="str">
        <f>"07617700000000"</f>
        <v>07617700000000</v>
      </c>
      <c r="D601" t="s">
        <v>2361</v>
      </c>
      <c r="E601" t="str">
        <f>"07617706004444"</f>
        <v>07617706004444</v>
      </c>
      <c r="F601" s="8">
        <v>286</v>
      </c>
      <c r="G601" s="8">
        <v>8647</v>
      </c>
      <c r="H601" s="8">
        <v>286</v>
      </c>
      <c r="I601" s="8">
        <v>4008</v>
      </c>
    </row>
    <row r="602" spans="1:9" x14ac:dyDescent="0.2">
      <c r="A602" t="s">
        <v>131</v>
      </c>
      <c r="B602" t="s">
        <v>158</v>
      </c>
      <c r="C602" t="str">
        <f>"07617700000000"</f>
        <v>07617700000000</v>
      </c>
      <c r="D602" t="s">
        <v>2618</v>
      </c>
      <c r="E602" t="str">
        <f>"07617706004451"</f>
        <v>07617706004451</v>
      </c>
      <c r="F602" s="8">
        <v>316</v>
      </c>
      <c r="G602" s="8">
        <v>8481</v>
      </c>
      <c r="H602" s="8">
        <v>272</v>
      </c>
      <c r="I602" s="8">
        <v>3806</v>
      </c>
    </row>
    <row r="603" spans="1:9" x14ac:dyDescent="0.2">
      <c r="A603" t="s">
        <v>131</v>
      </c>
      <c r="B603" t="s">
        <v>158</v>
      </c>
      <c r="C603" t="str">
        <f>"07617700000000"</f>
        <v>07617700000000</v>
      </c>
      <c r="D603" t="s">
        <v>2619</v>
      </c>
      <c r="E603" t="str">
        <f>"07617706004477"</f>
        <v>07617706004477</v>
      </c>
      <c r="F603" s="8">
        <v>122</v>
      </c>
      <c r="G603" s="8">
        <v>8307</v>
      </c>
      <c r="H603" s="8">
        <v>136</v>
      </c>
      <c r="I603" s="8">
        <v>1903</v>
      </c>
    </row>
    <row r="604" spans="1:9" x14ac:dyDescent="0.2">
      <c r="A604" t="s">
        <v>131</v>
      </c>
      <c r="B604" t="s">
        <v>159</v>
      </c>
      <c r="C604" t="str">
        <f t="shared" ref="C604:C616" si="29">"07617880000000"</f>
        <v>07617880000000</v>
      </c>
      <c r="D604" t="s">
        <v>2620</v>
      </c>
      <c r="E604" t="str">
        <f>"07617880730184"</f>
        <v>07617880730184</v>
      </c>
      <c r="F604" s="8">
        <v>493</v>
      </c>
      <c r="G604" s="8">
        <v>15198</v>
      </c>
      <c r="H604" s="8">
        <v>1225</v>
      </c>
      <c r="I604" s="8">
        <v>3441</v>
      </c>
    </row>
    <row r="605" spans="1:9" x14ac:dyDescent="0.2">
      <c r="A605" t="s">
        <v>131</v>
      </c>
      <c r="B605" t="s">
        <v>159</v>
      </c>
      <c r="C605" t="str">
        <f t="shared" si="29"/>
        <v>07617880000000</v>
      </c>
      <c r="D605" t="s">
        <v>2621</v>
      </c>
      <c r="E605" t="str">
        <f>"07617886098578"</f>
        <v>07617886098578</v>
      </c>
      <c r="F605" s="8">
        <v>829</v>
      </c>
      <c r="G605" s="8">
        <v>9446</v>
      </c>
      <c r="H605" s="8">
        <v>1311</v>
      </c>
      <c r="I605" s="8">
        <v>3942</v>
      </c>
    </row>
    <row r="606" spans="1:9" x14ac:dyDescent="0.2">
      <c r="A606" t="s">
        <v>131</v>
      </c>
      <c r="B606" t="s">
        <v>159</v>
      </c>
      <c r="C606" t="str">
        <f t="shared" si="29"/>
        <v>07617880000000</v>
      </c>
      <c r="D606" t="s">
        <v>2622</v>
      </c>
      <c r="E606" t="str">
        <f>"07617886004568"</f>
        <v>07617886004568</v>
      </c>
      <c r="F606" s="8">
        <v>918</v>
      </c>
      <c r="G606" s="8">
        <v>8026</v>
      </c>
      <c r="H606" s="8">
        <v>1311</v>
      </c>
      <c r="I606" s="8">
        <v>3942</v>
      </c>
    </row>
    <row r="607" spans="1:9" x14ac:dyDescent="0.2">
      <c r="A607" t="s">
        <v>131</v>
      </c>
      <c r="B607" t="s">
        <v>159</v>
      </c>
      <c r="C607" t="str">
        <f t="shared" si="29"/>
        <v>07617880000000</v>
      </c>
      <c r="D607" t="s">
        <v>2623</v>
      </c>
      <c r="E607" t="str">
        <f>"07617886109383"</f>
        <v>07617886109383</v>
      </c>
      <c r="F607" s="8">
        <v>688</v>
      </c>
      <c r="G607" s="8">
        <v>8078</v>
      </c>
      <c r="H607" s="8">
        <v>1311</v>
      </c>
      <c r="I607" s="8">
        <v>3942</v>
      </c>
    </row>
    <row r="608" spans="1:9" x14ac:dyDescent="0.2">
      <c r="A608" t="s">
        <v>131</v>
      </c>
      <c r="B608" t="s">
        <v>159</v>
      </c>
      <c r="C608" t="str">
        <f t="shared" si="29"/>
        <v>07617880000000</v>
      </c>
      <c r="D608" t="s">
        <v>2624</v>
      </c>
      <c r="E608" t="str">
        <f>"07617880125435"</f>
        <v>07617880125435</v>
      </c>
      <c r="F608" s="8">
        <v>861</v>
      </c>
      <c r="G608" s="8">
        <v>7891</v>
      </c>
      <c r="H608" s="8">
        <v>1311</v>
      </c>
      <c r="I608" s="8">
        <v>3942</v>
      </c>
    </row>
    <row r="609" spans="1:9" x14ac:dyDescent="0.2">
      <c r="A609" t="s">
        <v>131</v>
      </c>
      <c r="B609" t="s">
        <v>159</v>
      </c>
      <c r="C609" t="str">
        <f t="shared" si="29"/>
        <v>07617880000000</v>
      </c>
      <c r="D609" t="s">
        <v>2625</v>
      </c>
      <c r="E609" t="str">
        <f>"07617886004527"</f>
        <v>07617886004527</v>
      </c>
      <c r="F609" s="8">
        <v>658</v>
      </c>
      <c r="G609" s="8">
        <v>7860</v>
      </c>
      <c r="H609" s="8">
        <v>1311</v>
      </c>
      <c r="I609" s="8">
        <v>3942</v>
      </c>
    </row>
    <row r="610" spans="1:9" x14ac:dyDescent="0.2">
      <c r="A610" t="s">
        <v>131</v>
      </c>
      <c r="B610" t="s">
        <v>159</v>
      </c>
      <c r="C610" t="str">
        <f t="shared" si="29"/>
        <v>07617880000000</v>
      </c>
      <c r="D610" t="s">
        <v>2626</v>
      </c>
      <c r="E610" t="str">
        <f>"07617886004543"</f>
        <v>07617886004543</v>
      </c>
      <c r="F610" s="8">
        <v>778</v>
      </c>
      <c r="G610" s="8">
        <v>7689</v>
      </c>
      <c r="H610" s="8">
        <v>1311</v>
      </c>
      <c r="I610" s="8">
        <v>3942</v>
      </c>
    </row>
    <row r="611" spans="1:9" x14ac:dyDescent="0.2">
      <c r="A611" t="s">
        <v>131</v>
      </c>
      <c r="B611" t="s">
        <v>159</v>
      </c>
      <c r="C611" t="str">
        <f t="shared" si="29"/>
        <v>07617880000000</v>
      </c>
      <c r="D611" t="s">
        <v>2627</v>
      </c>
      <c r="E611" t="str">
        <f>"07617886061162"</f>
        <v>07617886061162</v>
      </c>
      <c r="F611" s="8">
        <v>636</v>
      </c>
      <c r="G611" s="8">
        <v>7707</v>
      </c>
      <c r="H611" s="8">
        <v>1311</v>
      </c>
      <c r="I611" s="8">
        <v>3942</v>
      </c>
    </row>
    <row r="612" spans="1:9" x14ac:dyDescent="0.2">
      <c r="A612" t="s">
        <v>131</v>
      </c>
      <c r="B612" t="s">
        <v>159</v>
      </c>
      <c r="C612" t="str">
        <f t="shared" si="29"/>
        <v>07617880000000</v>
      </c>
      <c r="D612" t="s">
        <v>2628</v>
      </c>
      <c r="E612" t="str">
        <f>"07617880116863"</f>
        <v>07617880116863</v>
      </c>
      <c r="F612" s="8">
        <v>778</v>
      </c>
      <c r="G612" s="8">
        <v>7545</v>
      </c>
      <c r="H612" s="8">
        <v>1311</v>
      </c>
      <c r="I612" s="8">
        <v>3942</v>
      </c>
    </row>
    <row r="613" spans="1:9" x14ac:dyDescent="0.2">
      <c r="A613" t="s">
        <v>131</v>
      </c>
      <c r="B613" t="s">
        <v>159</v>
      </c>
      <c r="C613" t="str">
        <f t="shared" si="29"/>
        <v>07617880000000</v>
      </c>
      <c r="D613" t="s">
        <v>2629</v>
      </c>
      <c r="E613" t="str">
        <f>"07617886084966"</f>
        <v>07617886084966</v>
      </c>
      <c r="F613" s="8">
        <v>723</v>
      </c>
      <c r="G613" s="8">
        <v>7445</v>
      </c>
      <c r="H613" s="8">
        <v>1311</v>
      </c>
      <c r="I613" s="8">
        <v>3942</v>
      </c>
    </row>
    <row r="614" spans="1:9" x14ac:dyDescent="0.2">
      <c r="A614" t="s">
        <v>131</v>
      </c>
      <c r="B614" t="s">
        <v>159</v>
      </c>
      <c r="C614" t="str">
        <f t="shared" si="29"/>
        <v>07617880000000</v>
      </c>
      <c r="D614" t="s">
        <v>2630</v>
      </c>
      <c r="E614" t="str">
        <f>"07617886004576"</f>
        <v>07617886004576</v>
      </c>
      <c r="F614" s="8">
        <v>741</v>
      </c>
      <c r="G614" s="8">
        <v>7374</v>
      </c>
      <c r="H614" s="8">
        <v>1311</v>
      </c>
      <c r="I614" s="8">
        <v>3942</v>
      </c>
    </row>
    <row r="615" spans="1:9" x14ac:dyDescent="0.2">
      <c r="A615" t="s">
        <v>131</v>
      </c>
      <c r="B615" t="s">
        <v>159</v>
      </c>
      <c r="C615" t="str">
        <f t="shared" si="29"/>
        <v>07617880000000</v>
      </c>
      <c r="D615" t="s">
        <v>2589</v>
      </c>
      <c r="E615" t="str">
        <f>"07617886004535"</f>
        <v>07617886004535</v>
      </c>
      <c r="F615" s="8">
        <v>638</v>
      </c>
      <c r="G615" s="8">
        <v>7201</v>
      </c>
      <c r="H615" s="8">
        <v>1311</v>
      </c>
      <c r="I615" s="8">
        <v>3942</v>
      </c>
    </row>
    <row r="616" spans="1:9" x14ac:dyDescent="0.2">
      <c r="A616" t="s">
        <v>131</v>
      </c>
      <c r="B616" t="s">
        <v>159</v>
      </c>
      <c r="C616" t="str">
        <f t="shared" si="29"/>
        <v>07617880000000</v>
      </c>
      <c r="D616" t="s">
        <v>2631</v>
      </c>
      <c r="E616" t="str">
        <f>"07617880735407"</f>
        <v>07617880735407</v>
      </c>
      <c r="F616" s="8">
        <v>477</v>
      </c>
      <c r="G616" s="8">
        <v>6804</v>
      </c>
      <c r="H616" s="8">
        <v>1225</v>
      </c>
      <c r="I616" s="8">
        <v>3441</v>
      </c>
    </row>
    <row r="617" spans="1:9" x14ac:dyDescent="0.2">
      <c r="A617" t="s">
        <v>131</v>
      </c>
      <c r="B617" t="s">
        <v>165</v>
      </c>
      <c r="C617" t="str">
        <f t="shared" ref="C617:C652" si="30">"07618040000000"</f>
        <v>07618040000000</v>
      </c>
      <c r="D617" t="s">
        <v>2632</v>
      </c>
      <c r="E617" t="str">
        <f>"07618040736819"</f>
        <v>07618040736819</v>
      </c>
      <c r="F617" s="8">
        <v>6344</v>
      </c>
      <c r="G617" s="8">
        <v>40619</v>
      </c>
      <c r="H617" s="8">
        <v>309</v>
      </c>
      <c r="I617" s="8">
        <v>2034</v>
      </c>
    </row>
    <row r="618" spans="1:9" x14ac:dyDescent="0.2">
      <c r="A618" t="s">
        <v>131</v>
      </c>
      <c r="B618" t="s">
        <v>165</v>
      </c>
      <c r="C618" t="str">
        <f t="shared" si="30"/>
        <v>07618040000000</v>
      </c>
      <c r="D618" t="s">
        <v>2633</v>
      </c>
      <c r="E618" t="str">
        <f>"07618040730218"</f>
        <v>07618040730218</v>
      </c>
      <c r="F618" s="8">
        <v>0</v>
      </c>
      <c r="G618" s="8">
        <v>9082</v>
      </c>
      <c r="H618" s="8">
        <v>3023</v>
      </c>
      <c r="I618" s="8">
        <v>29591</v>
      </c>
    </row>
    <row r="619" spans="1:9" x14ac:dyDescent="0.2">
      <c r="A619" t="s">
        <v>131</v>
      </c>
      <c r="B619" t="s">
        <v>165</v>
      </c>
      <c r="C619" t="str">
        <f t="shared" si="30"/>
        <v>07618040000000</v>
      </c>
      <c r="D619" t="s">
        <v>2634</v>
      </c>
      <c r="E619" t="str">
        <f>"07618046005128"</f>
        <v>07618046005128</v>
      </c>
      <c r="F619" s="8">
        <v>0</v>
      </c>
      <c r="G619" s="8">
        <v>7504</v>
      </c>
      <c r="H619" s="8">
        <v>1093</v>
      </c>
      <c r="I619" s="8">
        <v>9994</v>
      </c>
    </row>
    <row r="620" spans="1:9" x14ac:dyDescent="0.2">
      <c r="A620" t="s">
        <v>131</v>
      </c>
      <c r="B620" t="s">
        <v>165</v>
      </c>
      <c r="C620" t="str">
        <f t="shared" si="30"/>
        <v>07618040000000</v>
      </c>
      <c r="D620" t="s">
        <v>2635</v>
      </c>
      <c r="E620" t="str">
        <f>"07618046005086"</f>
        <v>07618046005086</v>
      </c>
      <c r="F620" s="8">
        <v>37</v>
      </c>
      <c r="G620" s="8">
        <v>7439</v>
      </c>
      <c r="H620" s="8">
        <v>992</v>
      </c>
      <c r="I620" s="8">
        <v>8964</v>
      </c>
    </row>
    <row r="621" spans="1:9" x14ac:dyDescent="0.2">
      <c r="A621" t="s">
        <v>131</v>
      </c>
      <c r="B621" t="s">
        <v>165</v>
      </c>
      <c r="C621" t="str">
        <f t="shared" si="30"/>
        <v>07618040000000</v>
      </c>
      <c r="D621" t="s">
        <v>2636</v>
      </c>
      <c r="E621" t="str">
        <f>"07618046100952"</f>
        <v>07618046100952</v>
      </c>
      <c r="F621" s="8">
        <v>0</v>
      </c>
      <c r="G621" s="8">
        <v>6623</v>
      </c>
      <c r="H621" s="8">
        <v>1015</v>
      </c>
      <c r="I621" s="8">
        <v>9200</v>
      </c>
    </row>
    <row r="622" spans="1:9" x14ac:dyDescent="0.2">
      <c r="A622" t="s">
        <v>131</v>
      </c>
      <c r="B622" t="s">
        <v>165</v>
      </c>
      <c r="C622" t="str">
        <f t="shared" si="30"/>
        <v>07618040000000</v>
      </c>
      <c r="D622" t="s">
        <v>2637</v>
      </c>
      <c r="E622" t="str">
        <f>"07618040119032"</f>
        <v>07618040119032</v>
      </c>
      <c r="F622" s="8">
        <v>0</v>
      </c>
      <c r="G622" s="8">
        <v>7423</v>
      </c>
      <c r="H622" s="8">
        <v>915</v>
      </c>
      <c r="I622" s="8">
        <v>8183</v>
      </c>
    </row>
    <row r="623" spans="1:9" x14ac:dyDescent="0.2">
      <c r="A623" t="s">
        <v>131</v>
      </c>
      <c r="B623" t="s">
        <v>165</v>
      </c>
      <c r="C623" t="str">
        <f t="shared" si="30"/>
        <v>07618040000000</v>
      </c>
      <c r="D623" t="s">
        <v>1703</v>
      </c>
      <c r="E623" t="str">
        <f>"07618040132902"</f>
        <v>07618040132902</v>
      </c>
      <c r="F623" s="8">
        <v>22</v>
      </c>
      <c r="G623" s="8">
        <v>6081</v>
      </c>
      <c r="H623" s="8">
        <v>960</v>
      </c>
      <c r="I623" s="8">
        <v>8645</v>
      </c>
    </row>
    <row r="624" spans="1:9" x14ac:dyDescent="0.2">
      <c r="A624" t="s">
        <v>131</v>
      </c>
      <c r="B624" t="s">
        <v>165</v>
      </c>
      <c r="C624" t="str">
        <f t="shared" si="30"/>
        <v>07618040000000</v>
      </c>
      <c r="D624" t="s">
        <v>2638</v>
      </c>
      <c r="E624" t="str">
        <f>"07618046108161"</f>
        <v>07618046108161</v>
      </c>
      <c r="F624" s="8">
        <v>0</v>
      </c>
      <c r="G624" s="8">
        <v>6853</v>
      </c>
      <c r="H624" s="8">
        <v>867</v>
      </c>
      <c r="I624" s="8">
        <v>7695</v>
      </c>
    </row>
    <row r="625" spans="1:9" x14ac:dyDescent="0.2">
      <c r="A625" t="s">
        <v>131</v>
      </c>
      <c r="B625" t="s">
        <v>165</v>
      </c>
      <c r="C625" t="str">
        <f t="shared" si="30"/>
        <v>07618040000000</v>
      </c>
      <c r="D625" t="s">
        <v>2639</v>
      </c>
      <c r="E625" t="str">
        <f>"07618046005144"</f>
        <v>07618046005144</v>
      </c>
      <c r="F625" s="8">
        <v>0</v>
      </c>
      <c r="G625" s="8">
        <v>6888</v>
      </c>
      <c r="H625" s="8">
        <v>614</v>
      </c>
      <c r="I625" s="8">
        <v>5125</v>
      </c>
    </row>
    <row r="626" spans="1:9" x14ac:dyDescent="0.2">
      <c r="A626" t="s">
        <v>131</v>
      </c>
      <c r="B626" t="s">
        <v>165</v>
      </c>
      <c r="C626" t="str">
        <f t="shared" si="30"/>
        <v>07618040000000</v>
      </c>
      <c r="D626" t="s">
        <v>2640</v>
      </c>
      <c r="E626" t="str">
        <f>"07618046005078"</f>
        <v>07618046005078</v>
      </c>
      <c r="F626" s="8">
        <v>0</v>
      </c>
      <c r="G626" s="8">
        <v>6582</v>
      </c>
      <c r="H626" s="8">
        <v>561</v>
      </c>
      <c r="I626" s="8">
        <v>4590</v>
      </c>
    </row>
    <row r="627" spans="1:9" x14ac:dyDescent="0.2">
      <c r="A627" t="s">
        <v>131</v>
      </c>
      <c r="B627" t="s">
        <v>165</v>
      </c>
      <c r="C627" t="str">
        <f t="shared" si="30"/>
        <v>07618040000000</v>
      </c>
      <c r="D627" t="s">
        <v>2641</v>
      </c>
      <c r="E627" t="str">
        <f>"07618040736504"</f>
        <v>07618040736504</v>
      </c>
      <c r="F627" s="8">
        <v>4</v>
      </c>
      <c r="G627" s="8">
        <v>6549</v>
      </c>
      <c r="H627" s="8">
        <v>552</v>
      </c>
      <c r="I627" s="8">
        <v>4497</v>
      </c>
    </row>
    <row r="628" spans="1:9" x14ac:dyDescent="0.2">
      <c r="A628" t="s">
        <v>131</v>
      </c>
      <c r="B628" t="s">
        <v>165</v>
      </c>
      <c r="C628" t="str">
        <f t="shared" si="30"/>
        <v>07618040000000</v>
      </c>
      <c r="D628" t="s">
        <v>2642</v>
      </c>
      <c r="E628" t="str">
        <f>"07618046005110"</f>
        <v>07618046005110</v>
      </c>
      <c r="F628" s="8">
        <v>4</v>
      </c>
      <c r="G628" s="8">
        <v>6867</v>
      </c>
      <c r="H628" s="8">
        <v>517</v>
      </c>
      <c r="I628" s="8">
        <v>4145</v>
      </c>
    </row>
    <row r="629" spans="1:9" x14ac:dyDescent="0.2">
      <c r="A629" t="s">
        <v>131</v>
      </c>
      <c r="B629" t="s">
        <v>165</v>
      </c>
      <c r="C629" t="str">
        <f t="shared" si="30"/>
        <v>07618040000000</v>
      </c>
      <c r="D629" t="s">
        <v>2643</v>
      </c>
      <c r="E629" t="str">
        <f>"07618046005136"</f>
        <v>07618046005136</v>
      </c>
      <c r="F629" s="8">
        <v>0</v>
      </c>
      <c r="G629" s="8">
        <v>9099</v>
      </c>
      <c r="H629" s="8">
        <v>309</v>
      </c>
      <c r="I629" s="8">
        <v>2034</v>
      </c>
    </row>
    <row r="630" spans="1:9" x14ac:dyDescent="0.2">
      <c r="A630" t="s">
        <v>131</v>
      </c>
      <c r="B630" t="s">
        <v>165</v>
      </c>
      <c r="C630" t="str">
        <f t="shared" si="30"/>
        <v>07618040000000</v>
      </c>
      <c r="D630" t="s">
        <v>2644</v>
      </c>
      <c r="E630" t="str">
        <f>"07618046117485"</f>
        <v>07618046117485</v>
      </c>
      <c r="F630" s="8">
        <v>10</v>
      </c>
      <c r="G630" s="8">
        <v>7557</v>
      </c>
      <c r="H630" s="8">
        <v>419</v>
      </c>
      <c r="I630" s="8">
        <v>3153</v>
      </c>
    </row>
    <row r="631" spans="1:9" x14ac:dyDescent="0.2">
      <c r="A631" t="s">
        <v>131</v>
      </c>
      <c r="B631" t="s">
        <v>165</v>
      </c>
      <c r="C631" t="str">
        <f t="shared" si="30"/>
        <v>07618040000000</v>
      </c>
      <c r="D631" t="s">
        <v>2645</v>
      </c>
      <c r="E631" t="str">
        <f>"07618046113336"</f>
        <v>07618046113336</v>
      </c>
      <c r="F631" s="8">
        <v>19</v>
      </c>
      <c r="G631" s="8">
        <v>6462</v>
      </c>
      <c r="H631" s="8">
        <v>490</v>
      </c>
      <c r="I631" s="8">
        <v>3868</v>
      </c>
    </row>
    <row r="632" spans="1:9" x14ac:dyDescent="0.2">
      <c r="A632" t="s">
        <v>131</v>
      </c>
      <c r="B632" t="s">
        <v>165</v>
      </c>
      <c r="C632" t="str">
        <f t="shared" si="30"/>
        <v>07618040000000</v>
      </c>
      <c r="D632" t="s">
        <v>2646</v>
      </c>
      <c r="E632" t="str">
        <f>"07618046117451"</f>
        <v>07618046117451</v>
      </c>
      <c r="F632" s="8">
        <v>0</v>
      </c>
      <c r="G632" s="8">
        <v>6099</v>
      </c>
      <c r="H632" s="8">
        <v>508</v>
      </c>
      <c r="I632" s="8">
        <v>4053</v>
      </c>
    </row>
    <row r="633" spans="1:9" x14ac:dyDescent="0.2">
      <c r="A633" t="s">
        <v>131</v>
      </c>
      <c r="B633" t="s">
        <v>165</v>
      </c>
      <c r="C633" t="str">
        <f t="shared" si="30"/>
        <v>07618040000000</v>
      </c>
      <c r="D633" t="s">
        <v>2647</v>
      </c>
      <c r="E633" t="str">
        <f>"07618040734368"</f>
        <v>07618040734368</v>
      </c>
      <c r="F633" s="8">
        <v>4</v>
      </c>
      <c r="G633" s="8">
        <v>6756</v>
      </c>
      <c r="H633" s="8">
        <v>435</v>
      </c>
      <c r="I633" s="8">
        <v>3313</v>
      </c>
    </row>
    <row r="634" spans="1:9" x14ac:dyDescent="0.2">
      <c r="A634" t="s">
        <v>131</v>
      </c>
      <c r="B634" t="s">
        <v>165</v>
      </c>
      <c r="C634" t="str">
        <f t="shared" si="30"/>
        <v>07618040000000</v>
      </c>
      <c r="D634" t="s">
        <v>2648</v>
      </c>
      <c r="E634" t="str">
        <f>"07618046005060"</f>
        <v>07618046005060</v>
      </c>
      <c r="F634" s="8">
        <v>0</v>
      </c>
      <c r="G634" s="8">
        <v>8159</v>
      </c>
      <c r="H634" s="8">
        <v>309</v>
      </c>
      <c r="I634" s="8">
        <v>2034</v>
      </c>
    </row>
    <row r="635" spans="1:9" x14ac:dyDescent="0.2">
      <c r="A635" t="s">
        <v>131</v>
      </c>
      <c r="B635" t="s">
        <v>165</v>
      </c>
      <c r="C635" t="str">
        <f t="shared" si="30"/>
        <v>07618040000000</v>
      </c>
      <c r="D635" t="s">
        <v>2649</v>
      </c>
      <c r="E635" t="str">
        <f>"07618040113118"</f>
        <v>07618040113118</v>
      </c>
      <c r="F635" s="8">
        <v>3</v>
      </c>
      <c r="G635" s="8">
        <v>6289</v>
      </c>
      <c r="H635" s="8">
        <v>476</v>
      </c>
      <c r="I635" s="8">
        <v>3725</v>
      </c>
    </row>
    <row r="636" spans="1:9" x14ac:dyDescent="0.2">
      <c r="A636" t="s">
        <v>131</v>
      </c>
      <c r="B636" t="s">
        <v>165</v>
      </c>
      <c r="C636" t="str">
        <f t="shared" si="30"/>
        <v>07618040000000</v>
      </c>
      <c r="D636" t="s">
        <v>2650</v>
      </c>
      <c r="E636" t="str">
        <f>"07618046114326"</f>
        <v>07618046114326</v>
      </c>
      <c r="F636" s="8">
        <v>51</v>
      </c>
      <c r="G636" s="8">
        <v>7931</v>
      </c>
      <c r="H636" s="8">
        <v>309</v>
      </c>
      <c r="I636" s="8">
        <v>2034</v>
      </c>
    </row>
    <row r="637" spans="1:9" x14ac:dyDescent="0.2">
      <c r="A637" t="s">
        <v>131</v>
      </c>
      <c r="B637" t="s">
        <v>165</v>
      </c>
      <c r="C637" t="str">
        <f t="shared" si="30"/>
        <v>07618040000000</v>
      </c>
      <c r="D637" t="s">
        <v>2651</v>
      </c>
      <c r="E637" t="str">
        <f>"07618046005102"</f>
        <v>07618046005102</v>
      </c>
      <c r="F637" s="8">
        <v>0</v>
      </c>
      <c r="G637" s="8">
        <v>7925</v>
      </c>
      <c r="H637" s="8">
        <v>309</v>
      </c>
      <c r="I637" s="8">
        <v>2034</v>
      </c>
    </row>
    <row r="638" spans="1:9" x14ac:dyDescent="0.2">
      <c r="A638" t="s">
        <v>131</v>
      </c>
      <c r="B638" t="s">
        <v>165</v>
      </c>
      <c r="C638" t="str">
        <f t="shared" si="30"/>
        <v>07618040000000</v>
      </c>
      <c r="D638" t="s">
        <v>2652</v>
      </c>
      <c r="E638" t="str">
        <f>"07618040730051"</f>
        <v>07618040730051</v>
      </c>
      <c r="F638" s="8">
        <v>6</v>
      </c>
      <c r="G638" s="8">
        <v>6372</v>
      </c>
      <c r="H638" s="8">
        <v>443</v>
      </c>
      <c r="I638" s="8">
        <v>3390</v>
      </c>
    </row>
    <row r="639" spans="1:9" x14ac:dyDescent="0.2">
      <c r="A639" t="s">
        <v>131</v>
      </c>
      <c r="B639" t="s">
        <v>165</v>
      </c>
      <c r="C639" t="str">
        <f t="shared" si="30"/>
        <v>07618040000000</v>
      </c>
      <c r="D639" t="s">
        <v>2653</v>
      </c>
      <c r="E639" t="str">
        <f>"07618046005151"</f>
        <v>07618046005151</v>
      </c>
      <c r="F639" s="8">
        <v>0</v>
      </c>
      <c r="G639" s="8">
        <v>7868</v>
      </c>
      <c r="H639" s="8">
        <v>309</v>
      </c>
      <c r="I639" s="8">
        <v>2034</v>
      </c>
    </row>
    <row r="640" spans="1:9" x14ac:dyDescent="0.2">
      <c r="A640" t="s">
        <v>131</v>
      </c>
      <c r="B640" t="s">
        <v>165</v>
      </c>
      <c r="C640" t="str">
        <f t="shared" si="30"/>
        <v>07618040000000</v>
      </c>
      <c r="D640" t="s">
        <v>2654</v>
      </c>
      <c r="E640" t="str">
        <f>"07618040116541"</f>
        <v>07618040116541</v>
      </c>
      <c r="F640" s="8">
        <v>148</v>
      </c>
      <c r="G640" s="8">
        <v>6215</v>
      </c>
      <c r="H640" s="8">
        <v>429</v>
      </c>
      <c r="I640" s="8">
        <v>3249</v>
      </c>
    </row>
    <row r="641" spans="1:9" x14ac:dyDescent="0.2">
      <c r="A641" t="s">
        <v>131</v>
      </c>
      <c r="B641" t="s">
        <v>165</v>
      </c>
      <c r="C641" t="str">
        <f t="shared" si="30"/>
        <v>07618040000000</v>
      </c>
      <c r="D641" t="s">
        <v>2655</v>
      </c>
      <c r="E641" t="str">
        <f>"07618046066591"</f>
        <v>07618046066591</v>
      </c>
      <c r="F641" s="8">
        <v>0</v>
      </c>
      <c r="G641" s="8">
        <v>7659</v>
      </c>
      <c r="H641" s="8">
        <v>309</v>
      </c>
      <c r="I641" s="8">
        <v>2034</v>
      </c>
    </row>
    <row r="642" spans="1:9" x14ac:dyDescent="0.2">
      <c r="A642" t="s">
        <v>131</v>
      </c>
      <c r="B642" t="s">
        <v>165</v>
      </c>
      <c r="C642" t="str">
        <f t="shared" si="30"/>
        <v>07618040000000</v>
      </c>
      <c r="D642" t="s">
        <v>2656</v>
      </c>
      <c r="E642" t="str">
        <f>"07618046005094"</f>
        <v>07618046005094</v>
      </c>
      <c r="F642" s="8">
        <v>0</v>
      </c>
      <c r="G642" s="8">
        <v>7498</v>
      </c>
      <c r="H642" s="8">
        <v>309</v>
      </c>
      <c r="I642" s="8">
        <v>2034</v>
      </c>
    </row>
    <row r="643" spans="1:9" x14ac:dyDescent="0.2">
      <c r="A643" t="s">
        <v>131</v>
      </c>
      <c r="B643" t="s">
        <v>165</v>
      </c>
      <c r="C643" t="str">
        <f t="shared" si="30"/>
        <v>07618040000000</v>
      </c>
      <c r="D643" t="s">
        <v>2657</v>
      </c>
      <c r="E643" t="str">
        <f>"07618046097166"</f>
        <v>07618046097166</v>
      </c>
      <c r="F643" s="8">
        <v>25</v>
      </c>
      <c r="G643" s="8">
        <v>6068</v>
      </c>
      <c r="H643" s="8">
        <v>425</v>
      </c>
      <c r="I643" s="8">
        <v>3207</v>
      </c>
    </row>
    <row r="644" spans="1:9" x14ac:dyDescent="0.2">
      <c r="A644" t="s">
        <v>131</v>
      </c>
      <c r="B644" t="s">
        <v>165</v>
      </c>
      <c r="C644" t="str">
        <f t="shared" si="30"/>
        <v>07618040000000</v>
      </c>
      <c r="D644" t="s">
        <v>2658</v>
      </c>
      <c r="E644" t="str">
        <f>"07618046071039"</f>
        <v>07618046071039</v>
      </c>
      <c r="F644" s="8">
        <v>0</v>
      </c>
      <c r="G644" s="8">
        <v>7360</v>
      </c>
      <c r="H644" s="8">
        <v>309</v>
      </c>
      <c r="I644" s="8">
        <v>2034</v>
      </c>
    </row>
    <row r="645" spans="1:9" x14ac:dyDescent="0.2">
      <c r="A645" t="s">
        <v>131</v>
      </c>
      <c r="B645" t="s">
        <v>165</v>
      </c>
      <c r="C645" t="str">
        <f t="shared" si="30"/>
        <v>07618040000000</v>
      </c>
      <c r="D645" t="s">
        <v>2659</v>
      </c>
      <c r="E645" t="str">
        <f>"07618046096036"</f>
        <v>07618046096036</v>
      </c>
      <c r="F645" s="8">
        <v>0</v>
      </c>
      <c r="G645" s="8">
        <v>7318</v>
      </c>
      <c r="H645" s="8">
        <v>309</v>
      </c>
      <c r="I645" s="8">
        <v>2034</v>
      </c>
    </row>
    <row r="646" spans="1:9" x14ac:dyDescent="0.2">
      <c r="A646" t="s">
        <v>131</v>
      </c>
      <c r="B646" t="s">
        <v>165</v>
      </c>
      <c r="C646" t="str">
        <f t="shared" si="30"/>
        <v>07618040000000</v>
      </c>
      <c r="D646" t="s">
        <v>1688</v>
      </c>
      <c r="E646" t="str">
        <f>"07618040113589"</f>
        <v>07618040113589</v>
      </c>
      <c r="F646" s="8">
        <v>0</v>
      </c>
      <c r="G646" s="8">
        <v>7306</v>
      </c>
      <c r="H646" s="8">
        <v>309</v>
      </c>
      <c r="I646" s="8">
        <v>2034</v>
      </c>
    </row>
    <row r="647" spans="1:9" x14ac:dyDescent="0.2">
      <c r="A647" t="s">
        <v>131</v>
      </c>
      <c r="B647" t="s">
        <v>165</v>
      </c>
      <c r="C647" t="str">
        <f t="shared" si="30"/>
        <v>07618040000000</v>
      </c>
      <c r="D647" t="s">
        <v>2660</v>
      </c>
      <c r="E647" t="str">
        <f>"07618040102566"</f>
        <v>07618040102566</v>
      </c>
      <c r="F647" s="8">
        <v>0</v>
      </c>
      <c r="G647" s="8">
        <v>7266</v>
      </c>
      <c r="H647" s="8">
        <v>309</v>
      </c>
      <c r="I647" s="8">
        <v>2034</v>
      </c>
    </row>
    <row r="648" spans="1:9" x14ac:dyDescent="0.2">
      <c r="A648" t="s">
        <v>131</v>
      </c>
      <c r="B648" t="s">
        <v>165</v>
      </c>
      <c r="C648" t="str">
        <f t="shared" si="30"/>
        <v>07618040000000</v>
      </c>
      <c r="D648" t="s">
        <v>2661</v>
      </c>
      <c r="E648" t="str">
        <f>"07618046089130"</f>
        <v>07618046089130</v>
      </c>
      <c r="F648" s="8">
        <v>18</v>
      </c>
      <c r="G648" s="8">
        <v>6384</v>
      </c>
      <c r="H648" s="8">
        <v>381</v>
      </c>
      <c r="I648" s="8">
        <v>2764</v>
      </c>
    </row>
    <row r="649" spans="1:9" x14ac:dyDescent="0.2">
      <c r="A649" t="s">
        <v>131</v>
      </c>
      <c r="B649" t="s">
        <v>165</v>
      </c>
      <c r="C649" t="str">
        <f t="shared" si="30"/>
        <v>07618040000000</v>
      </c>
      <c r="D649" t="s">
        <v>2662</v>
      </c>
      <c r="E649" t="str">
        <f>"07618040108324"</f>
        <v>07618040108324</v>
      </c>
      <c r="F649" s="8">
        <v>0</v>
      </c>
      <c r="G649" s="8">
        <v>6295</v>
      </c>
      <c r="H649" s="8">
        <v>385</v>
      </c>
      <c r="I649" s="8">
        <v>2806</v>
      </c>
    </row>
    <row r="650" spans="1:9" x14ac:dyDescent="0.2">
      <c r="A650" t="s">
        <v>131</v>
      </c>
      <c r="B650" t="s">
        <v>165</v>
      </c>
      <c r="C650" t="str">
        <f t="shared" si="30"/>
        <v>07618040000000</v>
      </c>
      <c r="D650" t="s">
        <v>2663</v>
      </c>
      <c r="E650" t="str">
        <f>"07618046110449"</f>
        <v>07618046110449</v>
      </c>
      <c r="F650" s="8">
        <v>0</v>
      </c>
      <c r="G650" s="8">
        <v>7026</v>
      </c>
      <c r="H650" s="8">
        <v>309</v>
      </c>
      <c r="I650" s="8">
        <v>2034</v>
      </c>
    </row>
    <row r="651" spans="1:9" x14ac:dyDescent="0.2">
      <c r="A651" t="s">
        <v>131</v>
      </c>
      <c r="B651" t="s">
        <v>165</v>
      </c>
      <c r="C651" t="str">
        <f t="shared" si="30"/>
        <v>07618040000000</v>
      </c>
      <c r="D651" t="s">
        <v>2664</v>
      </c>
      <c r="E651" t="str">
        <f>"07618046097158"</f>
        <v>07618046097158</v>
      </c>
      <c r="F651" s="8">
        <v>0</v>
      </c>
      <c r="G651" s="8">
        <v>6891</v>
      </c>
      <c r="H651" s="8">
        <v>309</v>
      </c>
      <c r="I651" s="8">
        <v>2034</v>
      </c>
    </row>
    <row r="652" spans="1:9" x14ac:dyDescent="0.2">
      <c r="A652" t="s">
        <v>131</v>
      </c>
      <c r="B652" t="s">
        <v>165</v>
      </c>
      <c r="C652" t="str">
        <f t="shared" si="30"/>
        <v>07618040000000</v>
      </c>
      <c r="D652" t="s">
        <v>2665</v>
      </c>
      <c r="E652" t="str">
        <f>"07618040109173"</f>
        <v>07618040109173</v>
      </c>
      <c r="F652" s="8">
        <v>29</v>
      </c>
      <c r="G652" s="8">
        <v>6668</v>
      </c>
      <c r="H652" s="8">
        <v>309</v>
      </c>
      <c r="I652" s="8">
        <v>2034</v>
      </c>
    </row>
    <row r="653" spans="1:9" x14ac:dyDescent="0.2">
      <c r="A653" t="s">
        <v>131</v>
      </c>
      <c r="B653" t="s">
        <v>170</v>
      </c>
      <c r="C653" t="str">
        <f t="shared" ref="C653:C659" si="31">"07618120000000"</f>
        <v>07618120000000</v>
      </c>
      <c r="D653" t="s">
        <v>2666</v>
      </c>
      <c r="E653" t="str">
        <f>"07618126005185"</f>
        <v>07618126005185</v>
      </c>
      <c r="F653" s="8">
        <v>262</v>
      </c>
      <c r="G653" s="8">
        <v>7033</v>
      </c>
      <c r="H653" s="8">
        <v>700</v>
      </c>
      <c r="I653" s="8">
        <v>4288</v>
      </c>
    </row>
    <row r="654" spans="1:9" x14ac:dyDescent="0.2">
      <c r="A654" t="s">
        <v>131</v>
      </c>
      <c r="B654" t="s">
        <v>170</v>
      </c>
      <c r="C654" t="str">
        <f t="shared" si="31"/>
        <v>07618120000000</v>
      </c>
      <c r="D654" t="s">
        <v>2667</v>
      </c>
      <c r="E654" t="str">
        <f>"07618126005177"</f>
        <v>07618126005177</v>
      </c>
      <c r="F654" s="8">
        <v>0</v>
      </c>
      <c r="G654" s="8">
        <v>6796</v>
      </c>
      <c r="H654" s="8">
        <v>700</v>
      </c>
      <c r="I654" s="8">
        <v>4288</v>
      </c>
    </row>
    <row r="655" spans="1:9" x14ac:dyDescent="0.2">
      <c r="A655" t="s">
        <v>131</v>
      </c>
      <c r="B655" t="s">
        <v>170</v>
      </c>
      <c r="C655" t="str">
        <f t="shared" si="31"/>
        <v>07618120000000</v>
      </c>
      <c r="D655" t="s">
        <v>2668</v>
      </c>
      <c r="E655" t="str">
        <f>"07618126005193"</f>
        <v>07618126005193</v>
      </c>
      <c r="F655" s="8">
        <v>0</v>
      </c>
      <c r="G655" s="8">
        <v>6481</v>
      </c>
      <c r="H655" s="8">
        <v>700</v>
      </c>
      <c r="I655" s="8">
        <v>4288</v>
      </c>
    </row>
    <row r="656" spans="1:9" x14ac:dyDescent="0.2">
      <c r="A656" t="s">
        <v>131</v>
      </c>
      <c r="B656" t="s">
        <v>170</v>
      </c>
      <c r="C656" t="str">
        <f t="shared" si="31"/>
        <v>07618120000000</v>
      </c>
      <c r="D656" t="s">
        <v>1942</v>
      </c>
      <c r="E656" t="str">
        <f>"07618126005169"</f>
        <v>07618126005169</v>
      </c>
      <c r="F656" s="8">
        <v>47</v>
      </c>
      <c r="G656" s="8">
        <v>6422</v>
      </c>
      <c r="H656" s="8">
        <v>700</v>
      </c>
      <c r="I656" s="8">
        <v>4288</v>
      </c>
    </row>
    <row r="657" spans="1:9" x14ac:dyDescent="0.2">
      <c r="A657" t="s">
        <v>131</v>
      </c>
      <c r="B657" t="s">
        <v>170</v>
      </c>
      <c r="C657" t="str">
        <f t="shared" si="31"/>
        <v>07618120000000</v>
      </c>
      <c r="D657" t="s">
        <v>2669</v>
      </c>
      <c r="E657" t="str">
        <f>"07618120131714"</f>
        <v>07618120131714</v>
      </c>
      <c r="F657" s="8">
        <v>28</v>
      </c>
      <c r="G657" s="8">
        <v>6137</v>
      </c>
      <c r="H657" s="8">
        <v>700</v>
      </c>
      <c r="I657" s="8">
        <v>4288</v>
      </c>
    </row>
    <row r="658" spans="1:9" x14ac:dyDescent="0.2">
      <c r="A658" t="s">
        <v>131</v>
      </c>
      <c r="B658" t="s">
        <v>170</v>
      </c>
      <c r="C658" t="str">
        <f t="shared" si="31"/>
        <v>07618120000000</v>
      </c>
      <c r="D658" t="s">
        <v>2670</v>
      </c>
      <c r="E658" t="str">
        <f>"07618126005243"</f>
        <v>07618126005243</v>
      </c>
      <c r="F658" s="8">
        <v>0</v>
      </c>
      <c r="G658" s="8">
        <v>5916</v>
      </c>
      <c r="H658" s="8">
        <v>700</v>
      </c>
      <c r="I658" s="8">
        <v>4288</v>
      </c>
    </row>
    <row r="659" spans="1:9" x14ac:dyDescent="0.2">
      <c r="A659" t="s">
        <v>131</v>
      </c>
      <c r="B659" t="s">
        <v>170</v>
      </c>
      <c r="C659" t="str">
        <f t="shared" si="31"/>
        <v>07618120000000</v>
      </c>
      <c r="D659" t="s">
        <v>2671</v>
      </c>
      <c r="E659" t="str">
        <f>"07618126005235"</f>
        <v>07618126005235</v>
      </c>
      <c r="F659" s="8">
        <v>0</v>
      </c>
      <c r="G659" s="8">
        <v>5855</v>
      </c>
      <c r="H659" s="8">
        <v>700</v>
      </c>
      <c r="I659" s="8">
        <v>4288</v>
      </c>
    </row>
    <row r="660" spans="1:9" x14ac:dyDescent="0.2">
      <c r="A660" t="s">
        <v>131</v>
      </c>
      <c r="B660" t="s">
        <v>171</v>
      </c>
      <c r="C660" t="str">
        <f t="shared" ref="C660:C691" si="32">"07617960000000"</f>
        <v>07617960000000</v>
      </c>
      <c r="D660" t="s">
        <v>2672</v>
      </c>
      <c r="E660" t="str">
        <f>"07617966004659"</f>
        <v>07617966004659</v>
      </c>
      <c r="F660" s="8">
        <v>1115</v>
      </c>
      <c r="G660" s="8">
        <v>3944</v>
      </c>
      <c r="H660" s="8">
        <v>2358</v>
      </c>
      <c r="I660" s="8">
        <v>3001</v>
      </c>
    </row>
    <row r="661" spans="1:9" x14ac:dyDescent="0.2">
      <c r="A661" t="s">
        <v>131</v>
      </c>
      <c r="B661" t="s">
        <v>171</v>
      </c>
      <c r="C661" t="str">
        <f t="shared" si="32"/>
        <v>07617960000000</v>
      </c>
      <c r="D661" t="s">
        <v>2673</v>
      </c>
      <c r="E661" t="str">
        <f>"07617966057236"</f>
        <v>07617966057236</v>
      </c>
      <c r="F661" s="8">
        <v>765</v>
      </c>
      <c r="G661" s="8">
        <v>3469</v>
      </c>
      <c r="H661" s="8">
        <v>2358</v>
      </c>
      <c r="I661" s="8">
        <v>3001</v>
      </c>
    </row>
    <row r="662" spans="1:9" x14ac:dyDescent="0.2">
      <c r="A662" t="s">
        <v>131</v>
      </c>
      <c r="B662" t="s">
        <v>171</v>
      </c>
      <c r="C662" t="str">
        <f t="shared" si="32"/>
        <v>07617960000000</v>
      </c>
      <c r="D662" t="s">
        <v>2674</v>
      </c>
      <c r="E662" t="str">
        <f>"07617966004931"</f>
        <v>07617966004931</v>
      </c>
      <c r="F662" s="8">
        <v>974</v>
      </c>
      <c r="G662" s="8">
        <v>3000</v>
      </c>
      <c r="H662" s="8">
        <v>2358</v>
      </c>
      <c r="I662" s="8">
        <v>3001</v>
      </c>
    </row>
    <row r="663" spans="1:9" x14ac:dyDescent="0.2">
      <c r="A663" t="s">
        <v>131</v>
      </c>
      <c r="B663" t="s">
        <v>171</v>
      </c>
      <c r="C663" t="str">
        <f t="shared" si="32"/>
        <v>07617960000000</v>
      </c>
      <c r="D663" t="s">
        <v>2675</v>
      </c>
      <c r="E663" t="str">
        <f>"07617966120885"</f>
        <v>07617966120885</v>
      </c>
      <c r="F663" s="8">
        <v>1197</v>
      </c>
      <c r="G663" s="8">
        <v>2675</v>
      </c>
      <c r="H663" s="8">
        <v>2358</v>
      </c>
      <c r="I663" s="8">
        <v>3001</v>
      </c>
    </row>
    <row r="664" spans="1:9" x14ac:dyDescent="0.2">
      <c r="A664" t="s">
        <v>131</v>
      </c>
      <c r="B664" t="s">
        <v>171</v>
      </c>
      <c r="C664" t="str">
        <f t="shared" si="32"/>
        <v>07617960000000</v>
      </c>
      <c r="D664" t="s">
        <v>2676</v>
      </c>
      <c r="E664" t="str">
        <f>"07617966004907"</f>
        <v>07617966004907</v>
      </c>
      <c r="F664" s="8">
        <v>751</v>
      </c>
      <c r="G664" s="8">
        <v>2476</v>
      </c>
      <c r="H664" s="8">
        <v>2358</v>
      </c>
      <c r="I664" s="8">
        <v>3001</v>
      </c>
    </row>
    <row r="665" spans="1:9" x14ac:dyDescent="0.2">
      <c r="A665" t="s">
        <v>131</v>
      </c>
      <c r="B665" t="s">
        <v>171</v>
      </c>
      <c r="C665" t="str">
        <f t="shared" si="32"/>
        <v>07617960000000</v>
      </c>
      <c r="D665" t="s">
        <v>2328</v>
      </c>
      <c r="E665" t="str">
        <f>"07617966005003"</f>
        <v>07617966005003</v>
      </c>
      <c r="F665" s="8">
        <v>172</v>
      </c>
      <c r="G665" s="8">
        <v>3030</v>
      </c>
      <c r="H665" s="8">
        <v>2358</v>
      </c>
      <c r="I665" s="8">
        <v>3001</v>
      </c>
    </row>
    <row r="666" spans="1:9" x14ac:dyDescent="0.2">
      <c r="A666" t="s">
        <v>131</v>
      </c>
      <c r="B666" t="s">
        <v>171</v>
      </c>
      <c r="C666" t="str">
        <f t="shared" si="32"/>
        <v>07617960000000</v>
      </c>
      <c r="D666" t="s">
        <v>2677</v>
      </c>
      <c r="E666" t="str">
        <f>"07617966061170"</f>
        <v>07617966061170</v>
      </c>
      <c r="F666" s="8">
        <v>712</v>
      </c>
      <c r="G666" s="8">
        <v>2347</v>
      </c>
      <c r="H666" s="8">
        <v>2358</v>
      </c>
      <c r="I666" s="8">
        <v>3001</v>
      </c>
    </row>
    <row r="667" spans="1:9" x14ac:dyDescent="0.2">
      <c r="A667" t="s">
        <v>131</v>
      </c>
      <c r="B667" t="s">
        <v>171</v>
      </c>
      <c r="C667" t="str">
        <f t="shared" si="32"/>
        <v>07617960000000</v>
      </c>
      <c r="D667" t="s">
        <v>2678</v>
      </c>
      <c r="E667" t="str">
        <f>"07617966057210"</f>
        <v>07617966057210</v>
      </c>
      <c r="F667" s="8">
        <v>546</v>
      </c>
      <c r="G667" s="8">
        <v>2509</v>
      </c>
      <c r="H667" s="8">
        <v>2358</v>
      </c>
      <c r="I667" s="8">
        <v>3001</v>
      </c>
    </row>
    <row r="668" spans="1:9" x14ac:dyDescent="0.2">
      <c r="A668" t="s">
        <v>131</v>
      </c>
      <c r="B668" t="s">
        <v>171</v>
      </c>
      <c r="C668" t="str">
        <f t="shared" si="32"/>
        <v>07617960000000</v>
      </c>
      <c r="D668" t="s">
        <v>2679</v>
      </c>
      <c r="E668" t="str">
        <f>"07617966004956"</f>
        <v>07617966004956</v>
      </c>
      <c r="F668" s="8">
        <v>1012</v>
      </c>
      <c r="G668" s="8">
        <v>2028</v>
      </c>
      <c r="H668" s="8">
        <v>2358</v>
      </c>
      <c r="I668" s="8">
        <v>3001</v>
      </c>
    </row>
    <row r="669" spans="1:9" x14ac:dyDescent="0.2">
      <c r="A669" t="s">
        <v>131</v>
      </c>
      <c r="B669" t="s">
        <v>171</v>
      </c>
      <c r="C669" t="str">
        <f t="shared" si="32"/>
        <v>07617960000000</v>
      </c>
      <c r="D669" t="s">
        <v>2680</v>
      </c>
      <c r="E669" t="str">
        <f>"07617966004758"</f>
        <v>07617966004758</v>
      </c>
      <c r="F669" s="8">
        <v>798</v>
      </c>
      <c r="G669" s="8">
        <v>2237</v>
      </c>
      <c r="H669" s="8">
        <v>2358</v>
      </c>
      <c r="I669" s="8">
        <v>3001</v>
      </c>
    </row>
    <row r="670" spans="1:9" x14ac:dyDescent="0.2">
      <c r="A670" t="s">
        <v>131</v>
      </c>
      <c r="B670" t="s">
        <v>171</v>
      </c>
      <c r="C670" t="str">
        <f t="shared" si="32"/>
        <v>07617960000000</v>
      </c>
      <c r="D670" t="s">
        <v>2681</v>
      </c>
      <c r="E670" t="str">
        <f>"07617960733253"</f>
        <v>07617960733253</v>
      </c>
      <c r="F670" s="8">
        <v>536</v>
      </c>
      <c r="G670" s="8">
        <v>2419</v>
      </c>
      <c r="H670" s="8">
        <v>2358</v>
      </c>
      <c r="I670" s="8">
        <v>3001</v>
      </c>
    </row>
    <row r="671" spans="1:9" x14ac:dyDescent="0.2">
      <c r="A671" t="s">
        <v>131</v>
      </c>
      <c r="B671" t="s">
        <v>171</v>
      </c>
      <c r="C671" t="str">
        <f t="shared" si="32"/>
        <v>07617960000000</v>
      </c>
      <c r="D671" t="s">
        <v>2682</v>
      </c>
      <c r="E671" t="str">
        <f>"07617966004998"</f>
        <v>07617966004998</v>
      </c>
      <c r="F671" s="8">
        <v>619</v>
      </c>
      <c r="G671" s="8">
        <v>2336</v>
      </c>
      <c r="H671" s="8">
        <v>2358</v>
      </c>
      <c r="I671" s="8">
        <v>3001</v>
      </c>
    </row>
    <row r="672" spans="1:9" x14ac:dyDescent="0.2">
      <c r="A672" t="s">
        <v>131</v>
      </c>
      <c r="B672" t="s">
        <v>171</v>
      </c>
      <c r="C672" t="str">
        <f t="shared" si="32"/>
        <v>07617960000000</v>
      </c>
      <c r="D672" t="s">
        <v>2264</v>
      </c>
      <c r="E672" t="str">
        <f>"07617966004915"</f>
        <v>07617966004915</v>
      </c>
      <c r="F672" s="8">
        <v>845</v>
      </c>
      <c r="G672" s="8">
        <v>2107</v>
      </c>
      <c r="H672" s="8">
        <v>2358</v>
      </c>
      <c r="I672" s="8">
        <v>3001</v>
      </c>
    </row>
    <row r="673" spans="1:9" x14ac:dyDescent="0.2">
      <c r="A673" t="s">
        <v>131</v>
      </c>
      <c r="B673" t="s">
        <v>171</v>
      </c>
      <c r="C673" t="str">
        <f t="shared" si="32"/>
        <v>07617960000000</v>
      </c>
      <c r="D673" t="s">
        <v>2683</v>
      </c>
      <c r="E673" t="str">
        <f>"07617966005045"</f>
        <v>07617966005045</v>
      </c>
      <c r="F673" s="8">
        <v>920</v>
      </c>
      <c r="G673" s="8">
        <v>2029</v>
      </c>
      <c r="H673" s="8">
        <v>2358</v>
      </c>
      <c r="I673" s="8">
        <v>3001</v>
      </c>
    </row>
    <row r="674" spans="1:9" x14ac:dyDescent="0.2">
      <c r="A674" t="s">
        <v>131</v>
      </c>
      <c r="B674" t="s">
        <v>171</v>
      </c>
      <c r="C674" t="str">
        <f t="shared" si="32"/>
        <v>07617960000000</v>
      </c>
      <c r="D674" t="s">
        <v>2137</v>
      </c>
      <c r="E674" t="str">
        <f>"07617960733659"</f>
        <v>07617960733659</v>
      </c>
      <c r="F674" s="8">
        <v>1072</v>
      </c>
      <c r="G674" s="8">
        <v>1869</v>
      </c>
      <c r="H674" s="8">
        <v>2358</v>
      </c>
      <c r="I674" s="8">
        <v>3001</v>
      </c>
    </row>
    <row r="675" spans="1:9" x14ac:dyDescent="0.2">
      <c r="A675" t="s">
        <v>131</v>
      </c>
      <c r="B675" t="s">
        <v>171</v>
      </c>
      <c r="C675" t="str">
        <f t="shared" si="32"/>
        <v>07617960000000</v>
      </c>
      <c r="D675" t="s">
        <v>2684</v>
      </c>
      <c r="E675" t="str">
        <f>"07617966057228"</f>
        <v>07617966057228</v>
      </c>
      <c r="F675" s="8">
        <v>950</v>
      </c>
      <c r="G675" s="8">
        <v>1910</v>
      </c>
      <c r="H675" s="8">
        <v>2358</v>
      </c>
      <c r="I675" s="8">
        <v>3001</v>
      </c>
    </row>
    <row r="676" spans="1:9" x14ac:dyDescent="0.2">
      <c r="A676" t="s">
        <v>131</v>
      </c>
      <c r="B676" t="s">
        <v>171</v>
      </c>
      <c r="C676" t="str">
        <f t="shared" si="32"/>
        <v>07617960000000</v>
      </c>
      <c r="D676" t="s">
        <v>2685</v>
      </c>
      <c r="E676" t="str">
        <f>"07617966004873"</f>
        <v>07617966004873</v>
      </c>
      <c r="F676" s="8">
        <v>1099</v>
      </c>
      <c r="G676" s="8">
        <v>1760</v>
      </c>
      <c r="H676" s="8">
        <v>2358</v>
      </c>
      <c r="I676" s="8">
        <v>3001</v>
      </c>
    </row>
    <row r="677" spans="1:9" x14ac:dyDescent="0.2">
      <c r="A677" t="s">
        <v>131</v>
      </c>
      <c r="B677" t="s">
        <v>171</v>
      </c>
      <c r="C677" t="str">
        <f t="shared" si="32"/>
        <v>07617960000000</v>
      </c>
      <c r="D677" t="s">
        <v>2686</v>
      </c>
      <c r="E677" t="str">
        <f>"07617960732164"</f>
        <v>07617960732164</v>
      </c>
      <c r="F677" s="8">
        <v>614</v>
      </c>
      <c r="G677" s="8">
        <v>2236</v>
      </c>
      <c r="H677" s="8">
        <v>2358</v>
      </c>
      <c r="I677" s="8">
        <v>3001</v>
      </c>
    </row>
    <row r="678" spans="1:9" x14ac:dyDescent="0.2">
      <c r="A678" t="s">
        <v>131</v>
      </c>
      <c r="B678" t="s">
        <v>171</v>
      </c>
      <c r="C678" t="str">
        <f t="shared" si="32"/>
        <v>07617960000000</v>
      </c>
      <c r="D678" t="s">
        <v>2687</v>
      </c>
      <c r="E678" t="str">
        <f>"07617966004733"</f>
        <v>07617966004733</v>
      </c>
      <c r="F678" s="8">
        <v>421</v>
      </c>
      <c r="G678" s="8">
        <v>2207</v>
      </c>
      <c r="H678" s="8">
        <v>2358</v>
      </c>
      <c r="I678" s="8">
        <v>3001</v>
      </c>
    </row>
    <row r="679" spans="1:9" x14ac:dyDescent="0.2">
      <c r="A679" t="s">
        <v>131</v>
      </c>
      <c r="B679" t="s">
        <v>171</v>
      </c>
      <c r="C679" t="str">
        <f t="shared" si="32"/>
        <v>07617960000000</v>
      </c>
      <c r="D679" t="s">
        <v>2688</v>
      </c>
      <c r="E679" t="str">
        <f>"07617966057244"</f>
        <v>07617966057244</v>
      </c>
      <c r="F679" s="8">
        <v>563</v>
      </c>
      <c r="G679" s="8">
        <v>2052</v>
      </c>
      <c r="H679" s="8">
        <v>2358</v>
      </c>
      <c r="I679" s="8">
        <v>3001</v>
      </c>
    </row>
    <row r="680" spans="1:9" x14ac:dyDescent="0.2">
      <c r="A680" t="s">
        <v>131</v>
      </c>
      <c r="B680" t="s">
        <v>171</v>
      </c>
      <c r="C680" t="str">
        <f t="shared" si="32"/>
        <v>07617960000000</v>
      </c>
      <c r="D680" t="s">
        <v>2689</v>
      </c>
      <c r="E680" t="str">
        <f>"07617966004667"</f>
        <v>07617966004667</v>
      </c>
      <c r="F680" s="8">
        <v>386</v>
      </c>
      <c r="G680" s="8">
        <v>2227</v>
      </c>
      <c r="H680" s="8">
        <v>2358</v>
      </c>
      <c r="I680" s="8">
        <v>3001</v>
      </c>
    </row>
    <row r="681" spans="1:9" x14ac:dyDescent="0.2">
      <c r="A681" t="s">
        <v>131</v>
      </c>
      <c r="B681" t="s">
        <v>171</v>
      </c>
      <c r="C681" t="str">
        <f t="shared" si="32"/>
        <v>07617960000000</v>
      </c>
      <c r="D681" t="s">
        <v>2690</v>
      </c>
      <c r="E681" t="str">
        <f>"07617966004766"</f>
        <v>07617966004766</v>
      </c>
      <c r="F681" s="8">
        <v>536</v>
      </c>
      <c r="G681" s="8">
        <v>1873</v>
      </c>
      <c r="H681" s="8">
        <v>2358</v>
      </c>
      <c r="I681" s="8">
        <v>3001</v>
      </c>
    </row>
    <row r="682" spans="1:9" x14ac:dyDescent="0.2">
      <c r="A682" t="s">
        <v>131</v>
      </c>
      <c r="B682" t="s">
        <v>171</v>
      </c>
      <c r="C682" t="str">
        <f t="shared" si="32"/>
        <v>07617960000000</v>
      </c>
      <c r="D682" t="s">
        <v>1715</v>
      </c>
      <c r="E682" t="str">
        <f>"07617966004774"</f>
        <v>07617966004774</v>
      </c>
      <c r="F682" s="8">
        <v>819</v>
      </c>
      <c r="G682" s="8">
        <v>1587</v>
      </c>
      <c r="H682" s="8">
        <v>2358</v>
      </c>
      <c r="I682" s="8">
        <v>3001</v>
      </c>
    </row>
    <row r="683" spans="1:9" x14ac:dyDescent="0.2">
      <c r="A683" t="s">
        <v>131</v>
      </c>
      <c r="B683" t="s">
        <v>171</v>
      </c>
      <c r="C683" t="str">
        <f t="shared" si="32"/>
        <v>07617960000000</v>
      </c>
      <c r="D683" t="s">
        <v>2691</v>
      </c>
      <c r="E683" t="str">
        <f>"07617960735902"</f>
        <v>07617960735902</v>
      </c>
      <c r="F683" s="8">
        <v>851</v>
      </c>
      <c r="G683" s="8">
        <v>1521</v>
      </c>
      <c r="H683" s="8">
        <v>2358</v>
      </c>
      <c r="I683" s="8">
        <v>3001</v>
      </c>
    </row>
    <row r="684" spans="1:9" x14ac:dyDescent="0.2">
      <c r="A684" t="s">
        <v>131</v>
      </c>
      <c r="B684" t="s">
        <v>171</v>
      </c>
      <c r="C684" t="str">
        <f t="shared" si="32"/>
        <v>07617960000000</v>
      </c>
      <c r="D684" t="s">
        <v>2692</v>
      </c>
      <c r="E684" t="str">
        <f>"07617966097141"</f>
        <v>07617966097141</v>
      </c>
      <c r="F684" s="8">
        <v>399</v>
      </c>
      <c r="G684" s="8">
        <v>1774</v>
      </c>
      <c r="H684" s="8">
        <v>2358</v>
      </c>
      <c r="I684" s="8">
        <v>3001</v>
      </c>
    </row>
    <row r="685" spans="1:9" x14ac:dyDescent="0.2">
      <c r="A685" t="s">
        <v>131</v>
      </c>
      <c r="B685" t="s">
        <v>171</v>
      </c>
      <c r="C685" t="str">
        <f t="shared" si="32"/>
        <v>07617960000000</v>
      </c>
      <c r="D685" t="s">
        <v>2693</v>
      </c>
      <c r="E685" t="str">
        <f>"07617966004865"</f>
        <v>07617966004865</v>
      </c>
      <c r="F685" s="8">
        <v>479</v>
      </c>
      <c r="G685" s="8">
        <v>1680</v>
      </c>
      <c r="H685" s="8">
        <v>2358</v>
      </c>
      <c r="I685" s="8">
        <v>3001</v>
      </c>
    </row>
    <row r="686" spans="1:9" x14ac:dyDescent="0.2">
      <c r="A686" t="s">
        <v>131</v>
      </c>
      <c r="B686" t="s">
        <v>171</v>
      </c>
      <c r="C686" t="str">
        <f t="shared" si="32"/>
        <v>07617960000000</v>
      </c>
      <c r="D686" t="s">
        <v>2694</v>
      </c>
      <c r="E686" t="str">
        <f>"07617966004964"</f>
        <v>07617966004964</v>
      </c>
      <c r="F686" s="8">
        <v>265</v>
      </c>
      <c r="G686" s="8">
        <v>1831</v>
      </c>
      <c r="H686" s="8">
        <v>2358</v>
      </c>
      <c r="I686" s="8">
        <v>3001</v>
      </c>
    </row>
    <row r="687" spans="1:9" x14ac:dyDescent="0.2">
      <c r="A687" t="s">
        <v>131</v>
      </c>
      <c r="B687" t="s">
        <v>171</v>
      </c>
      <c r="C687" t="str">
        <f t="shared" si="32"/>
        <v>07617960000000</v>
      </c>
      <c r="D687" t="s">
        <v>2695</v>
      </c>
      <c r="E687" t="str">
        <f>"07617966119515"</f>
        <v>07617966119515</v>
      </c>
      <c r="F687" s="8">
        <v>428</v>
      </c>
      <c r="G687" s="8">
        <v>1658</v>
      </c>
      <c r="H687" s="8">
        <v>2358</v>
      </c>
      <c r="I687" s="8">
        <v>3001</v>
      </c>
    </row>
    <row r="688" spans="1:9" x14ac:dyDescent="0.2">
      <c r="A688" t="s">
        <v>131</v>
      </c>
      <c r="B688" t="s">
        <v>171</v>
      </c>
      <c r="C688" t="str">
        <f t="shared" si="32"/>
        <v>07617960000000</v>
      </c>
      <c r="D688" t="s">
        <v>2696</v>
      </c>
      <c r="E688" t="str">
        <f>"07617960730598"</f>
        <v>07617960730598</v>
      </c>
      <c r="F688" s="8">
        <v>372</v>
      </c>
      <c r="G688" s="8">
        <v>1702</v>
      </c>
      <c r="H688" s="8">
        <v>2358</v>
      </c>
      <c r="I688" s="8">
        <v>3001</v>
      </c>
    </row>
    <row r="689" spans="1:9" x14ac:dyDescent="0.2">
      <c r="A689" t="s">
        <v>131</v>
      </c>
      <c r="B689" t="s">
        <v>171</v>
      </c>
      <c r="C689" t="str">
        <f t="shared" si="32"/>
        <v>07617960000000</v>
      </c>
      <c r="D689" t="s">
        <v>2697</v>
      </c>
      <c r="E689" t="str">
        <f>"07617966005011"</f>
        <v>07617966005011</v>
      </c>
      <c r="F689" s="8">
        <v>647</v>
      </c>
      <c r="G689" s="8">
        <v>1425</v>
      </c>
      <c r="H689" s="8">
        <v>2358</v>
      </c>
      <c r="I689" s="8">
        <v>3001</v>
      </c>
    </row>
    <row r="690" spans="1:9" x14ac:dyDescent="0.2">
      <c r="A690" t="s">
        <v>131</v>
      </c>
      <c r="B690" t="s">
        <v>171</v>
      </c>
      <c r="C690" t="str">
        <f t="shared" si="32"/>
        <v>07617960000000</v>
      </c>
      <c r="D690" t="s">
        <v>2243</v>
      </c>
      <c r="E690" t="str">
        <f>"07617966004832"</f>
        <v>07617966004832</v>
      </c>
      <c r="F690" s="8">
        <v>469</v>
      </c>
      <c r="G690" s="8">
        <v>1473</v>
      </c>
      <c r="H690" s="8">
        <v>2358</v>
      </c>
      <c r="I690" s="8">
        <v>3001</v>
      </c>
    </row>
    <row r="691" spans="1:9" x14ac:dyDescent="0.2">
      <c r="A691" t="s">
        <v>131</v>
      </c>
      <c r="B691" t="s">
        <v>171</v>
      </c>
      <c r="C691" t="str">
        <f t="shared" si="32"/>
        <v>07617960000000</v>
      </c>
      <c r="D691" t="s">
        <v>2698</v>
      </c>
      <c r="E691" t="str">
        <f>"07617966114094"</f>
        <v>07617966114094</v>
      </c>
      <c r="F691" s="8">
        <v>747</v>
      </c>
      <c r="G691" s="8">
        <v>1138</v>
      </c>
      <c r="H691" s="8">
        <v>2358</v>
      </c>
      <c r="I691" s="8">
        <v>3001</v>
      </c>
    </row>
    <row r="692" spans="1:9" x14ac:dyDescent="0.2">
      <c r="A692" t="s">
        <v>131</v>
      </c>
      <c r="B692" t="s">
        <v>171</v>
      </c>
      <c r="C692" t="str">
        <f t="shared" ref="C692:C712" si="33">"07617960000000"</f>
        <v>07617960000000</v>
      </c>
      <c r="D692" t="s">
        <v>2699</v>
      </c>
      <c r="E692" t="str">
        <f>"07617966004741"</f>
        <v>07617966004741</v>
      </c>
      <c r="F692" s="8">
        <v>620</v>
      </c>
      <c r="G692" s="8">
        <v>1202</v>
      </c>
      <c r="H692" s="8">
        <v>2358</v>
      </c>
      <c r="I692" s="8">
        <v>3001</v>
      </c>
    </row>
    <row r="693" spans="1:9" x14ac:dyDescent="0.2">
      <c r="A693" t="s">
        <v>131</v>
      </c>
      <c r="B693" t="s">
        <v>171</v>
      </c>
      <c r="C693" t="str">
        <f t="shared" si="33"/>
        <v>07617960000000</v>
      </c>
      <c r="D693" t="s">
        <v>2700</v>
      </c>
      <c r="E693" t="str">
        <f>"07617960735316"</f>
        <v>07617960735316</v>
      </c>
      <c r="F693" s="8">
        <v>319</v>
      </c>
      <c r="G693" s="8">
        <v>1381</v>
      </c>
      <c r="H693" s="8">
        <v>2358</v>
      </c>
      <c r="I693" s="8">
        <v>3001</v>
      </c>
    </row>
    <row r="694" spans="1:9" x14ac:dyDescent="0.2">
      <c r="A694" t="s">
        <v>131</v>
      </c>
      <c r="B694" t="s">
        <v>171</v>
      </c>
      <c r="C694" t="str">
        <f t="shared" si="33"/>
        <v>07617960000000</v>
      </c>
      <c r="D694" t="s">
        <v>255</v>
      </c>
      <c r="E694" t="str">
        <f>"07617966004824"</f>
        <v>07617966004824</v>
      </c>
      <c r="F694" s="8">
        <v>659</v>
      </c>
      <c r="G694" s="8">
        <v>974</v>
      </c>
      <c r="H694" s="8">
        <v>2358</v>
      </c>
      <c r="I694" s="8">
        <v>3001</v>
      </c>
    </row>
    <row r="695" spans="1:9" x14ac:dyDescent="0.2">
      <c r="A695" t="s">
        <v>131</v>
      </c>
      <c r="B695" t="s">
        <v>171</v>
      </c>
      <c r="C695" t="str">
        <f t="shared" si="33"/>
        <v>07617960000000</v>
      </c>
      <c r="D695" t="s">
        <v>2701</v>
      </c>
      <c r="E695" t="str">
        <f>"07617966004857"</f>
        <v>07617966004857</v>
      </c>
      <c r="F695" s="8">
        <v>372</v>
      </c>
      <c r="G695" s="8">
        <v>1257</v>
      </c>
      <c r="H695" s="8">
        <v>2358</v>
      </c>
      <c r="I695" s="8">
        <v>3001</v>
      </c>
    </row>
    <row r="696" spans="1:9" x14ac:dyDescent="0.2">
      <c r="A696" t="s">
        <v>131</v>
      </c>
      <c r="B696" t="s">
        <v>171</v>
      </c>
      <c r="C696" t="str">
        <f t="shared" si="33"/>
        <v>07617960000000</v>
      </c>
      <c r="D696" t="s">
        <v>2702</v>
      </c>
      <c r="E696" t="str">
        <f>"07617966004881"</f>
        <v>07617966004881</v>
      </c>
      <c r="F696" s="8">
        <v>486</v>
      </c>
      <c r="G696" s="8">
        <v>1137</v>
      </c>
      <c r="H696" s="8">
        <v>2358</v>
      </c>
      <c r="I696" s="8">
        <v>3001</v>
      </c>
    </row>
    <row r="697" spans="1:9" x14ac:dyDescent="0.2">
      <c r="A697" t="s">
        <v>131</v>
      </c>
      <c r="B697" t="s">
        <v>171</v>
      </c>
      <c r="C697" t="str">
        <f t="shared" si="33"/>
        <v>07617960000000</v>
      </c>
      <c r="D697" t="s">
        <v>2703</v>
      </c>
      <c r="E697" t="str">
        <f>"07617966004782"</f>
        <v>07617966004782</v>
      </c>
      <c r="F697" s="8">
        <v>190</v>
      </c>
      <c r="G697" s="8">
        <v>1415</v>
      </c>
      <c r="H697" s="8">
        <v>2358</v>
      </c>
      <c r="I697" s="8">
        <v>3001</v>
      </c>
    </row>
    <row r="698" spans="1:9" x14ac:dyDescent="0.2">
      <c r="A698" t="s">
        <v>131</v>
      </c>
      <c r="B698" t="s">
        <v>171</v>
      </c>
      <c r="C698" t="str">
        <f t="shared" si="33"/>
        <v>07617960000000</v>
      </c>
      <c r="D698" t="s">
        <v>2704</v>
      </c>
      <c r="E698" t="str">
        <f>"07617960732941"</f>
        <v>07617960732941</v>
      </c>
      <c r="F698" s="8">
        <v>351</v>
      </c>
      <c r="G698" s="8">
        <v>1213</v>
      </c>
      <c r="H698" s="8">
        <v>2358</v>
      </c>
      <c r="I698" s="8">
        <v>3001</v>
      </c>
    </row>
    <row r="699" spans="1:9" x14ac:dyDescent="0.2">
      <c r="A699" t="s">
        <v>131</v>
      </c>
      <c r="B699" t="s">
        <v>171</v>
      </c>
      <c r="C699" t="str">
        <f t="shared" si="33"/>
        <v>07617960000000</v>
      </c>
      <c r="D699" t="s">
        <v>2705</v>
      </c>
      <c r="E699" t="str">
        <f>"07617966004972"</f>
        <v>07617966004972</v>
      </c>
      <c r="F699" s="8">
        <v>221</v>
      </c>
      <c r="G699" s="8">
        <v>1246</v>
      </c>
      <c r="H699" s="8">
        <v>2358</v>
      </c>
      <c r="I699" s="8">
        <v>3001</v>
      </c>
    </row>
    <row r="700" spans="1:9" x14ac:dyDescent="0.2">
      <c r="A700" t="s">
        <v>131</v>
      </c>
      <c r="B700" t="s">
        <v>171</v>
      </c>
      <c r="C700" t="str">
        <f t="shared" si="33"/>
        <v>07617960000000</v>
      </c>
      <c r="D700" t="s">
        <v>2706</v>
      </c>
      <c r="E700" t="str">
        <f>"07617966099717"</f>
        <v>07617966099717</v>
      </c>
      <c r="F700" s="8">
        <v>423</v>
      </c>
      <c r="G700" s="8">
        <v>1009</v>
      </c>
      <c r="H700" s="8">
        <v>2358</v>
      </c>
      <c r="I700" s="8">
        <v>3001</v>
      </c>
    </row>
    <row r="701" spans="1:9" x14ac:dyDescent="0.2">
      <c r="A701" t="s">
        <v>131</v>
      </c>
      <c r="B701" t="s">
        <v>171</v>
      </c>
      <c r="C701" t="str">
        <f t="shared" si="33"/>
        <v>07617960000000</v>
      </c>
      <c r="D701" t="s">
        <v>2094</v>
      </c>
      <c r="E701" t="str">
        <f>"07617966005037"</f>
        <v>07617966005037</v>
      </c>
      <c r="F701" s="8">
        <v>279</v>
      </c>
      <c r="G701" s="8">
        <v>1112</v>
      </c>
      <c r="H701" s="8">
        <v>2358</v>
      </c>
      <c r="I701" s="8">
        <v>3001</v>
      </c>
    </row>
    <row r="702" spans="1:9" x14ac:dyDescent="0.2">
      <c r="A702" t="s">
        <v>131</v>
      </c>
      <c r="B702" t="s">
        <v>171</v>
      </c>
      <c r="C702" t="str">
        <f t="shared" si="33"/>
        <v>07617960000000</v>
      </c>
      <c r="D702" t="s">
        <v>2707</v>
      </c>
      <c r="E702" t="str">
        <f>"07617966004691"</f>
        <v>07617966004691</v>
      </c>
      <c r="F702" s="8">
        <v>447</v>
      </c>
      <c r="G702" s="8">
        <v>757</v>
      </c>
      <c r="H702" s="8">
        <v>2358</v>
      </c>
      <c r="I702" s="8">
        <v>3001</v>
      </c>
    </row>
    <row r="703" spans="1:9" x14ac:dyDescent="0.2">
      <c r="A703" t="s">
        <v>131</v>
      </c>
      <c r="B703" t="s">
        <v>171</v>
      </c>
      <c r="C703" t="str">
        <f t="shared" si="33"/>
        <v>07617960000000</v>
      </c>
      <c r="D703" t="s">
        <v>2708</v>
      </c>
      <c r="E703" t="str">
        <f>"07617966004600"</f>
        <v>07617966004600</v>
      </c>
      <c r="F703" s="8">
        <v>562</v>
      </c>
      <c r="G703" s="8">
        <v>607</v>
      </c>
      <c r="H703" s="8">
        <v>2358</v>
      </c>
      <c r="I703" s="8">
        <v>3001</v>
      </c>
    </row>
    <row r="704" spans="1:9" x14ac:dyDescent="0.2">
      <c r="A704" t="s">
        <v>131</v>
      </c>
      <c r="B704" t="s">
        <v>171</v>
      </c>
      <c r="C704" t="str">
        <f t="shared" si="33"/>
        <v>07617960000000</v>
      </c>
      <c r="D704" t="s">
        <v>2709</v>
      </c>
      <c r="E704" t="str">
        <f>"07617960730325"</f>
        <v>07617960730325</v>
      </c>
      <c r="F704" s="8">
        <v>244</v>
      </c>
      <c r="G704" s="8">
        <v>924</v>
      </c>
      <c r="H704" s="8">
        <v>2358</v>
      </c>
      <c r="I704" s="8">
        <v>3001</v>
      </c>
    </row>
    <row r="705" spans="1:9" x14ac:dyDescent="0.2">
      <c r="A705" t="s">
        <v>131</v>
      </c>
      <c r="B705" t="s">
        <v>171</v>
      </c>
      <c r="C705" t="str">
        <f t="shared" si="33"/>
        <v>07617960000000</v>
      </c>
      <c r="D705" t="s">
        <v>2710</v>
      </c>
      <c r="E705" t="str">
        <f>"07617966004840"</f>
        <v>07617966004840</v>
      </c>
      <c r="F705" s="8">
        <v>132</v>
      </c>
      <c r="G705" s="8">
        <v>756</v>
      </c>
      <c r="H705" s="8">
        <v>2358</v>
      </c>
      <c r="I705" s="8">
        <v>3001</v>
      </c>
    </row>
    <row r="706" spans="1:9" x14ac:dyDescent="0.2">
      <c r="A706" t="s">
        <v>131</v>
      </c>
      <c r="B706" t="s">
        <v>171</v>
      </c>
      <c r="C706" t="str">
        <f t="shared" si="33"/>
        <v>07617960000000</v>
      </c>
      <c r="D706" t="s">
        <v>2711</v>
      </c>
      <c r="E706" t="str">
        <f>"07617966112015"</f>
        <v>07617966112015</v>
      </c>
      <c r="F706" s="8">
        <v>251</v>
      </c>
      <c r="G706" s="8">
        <v>444</v>
      </c>
      <c r="H706" s="8">
        <v>2358</v>
      </c>
      <c r="I706" s="8">
        <v>3001</v>
      </c>
    </row>
    <row r="707" spans="1:9" x14ac:dyDescent="0.2">
      <c r="A707" t="s">
        <v>131</v>
      </c>
      <c r="B707" t="s">
        <v>171</v>
      </c>
      <c r="C707" t="str">
        <f t="shared" si="33"/>
        <v>07617960000000</v>
      </c>
      <c r="D707" t="s">
        <v>2712</v>
      </c>
      <c r="E707" t="str">
        <f>"07617966004980"</f>
        <v>07617966004980</v>
      </c>
      <c r="F707" s="8">
        <v>136</v>
      </c>
      <c r="G707" s="8">
        <v>558</v>
      </c>
      <c r="H707" s="8">
        <v>2358</v>
      </c>
      <c r="I707" s="8">
        <v>3001</v>
      </c>
    </row>
    <row r="708" spans="1:9" x14ac:dyDescent="0.2">
      <c r="A708" t="s">
        <v>131</v>
      </c>
      <c r="B708" t="s">
        <v>171</v>
      </c>
      <c r="C708" t="str">
        <f t="shared" si="33"/>
        <v>07617960000000</v>
      </c>
      <c r="D708" t="s">
        <v>2713</v>
      </c>
      <c r="E708" t="str">
        <f>"07617960135434"</f>
        <v>07617960135434</v>
      </c>
      <c r="F708" s="8">
        <v>99</v>
      </c>
      <c r="G708" s="8">
        <v>584</v>
      </c>
      <c r="H708" s="8">
        <v>2358</v>
      </c>
      <c r="I708" s="8">
        <v>3001</v>
      </c>
    </row>
    <row r="709" spans="1:9" x14ac:dyDescent="0.2">
      <c r="A709" t="s">
        <v>131</v>
      </c>
      <c r="B709" t="s">
        <v>171</v>
      </c>
      <c r="C709" t="str">
        <f t="shared" si="33"/>
        <v>07617960000000</v>
      </c>
      <c r="D709" t="s">
        <v>2714</v>
      </c>
      <c r="E709" t="str">
        <f>"07617966004808"</f>
        <v>07617966004808</v>
      </c>
      <c r="F709" s="8">
        <v>38</v>
      </c>
      <c r="G709" s="8">
        <v>620</v>
      </c>
      <c r="H709" s="8">
        <v>2358</v>
      </c>
      <c r="I709" s="8">
        <v>3001</v>
      </c>
    </row>
    <row r="710" spans="1:9" x14ac:dyDescent="0.2">
      <c r="A710" t="s">
        <v>131</v>
      </c>
      <c r="B710" t="s">
        <v>171</v>
      </c>
      <c r="C710" t="str">
        <f t="shared" si="33"/>
        <v>07617960000000</v>
      </c>
      <c r="D710" t="s">
        <v>2715</v>
      </c>
      <c r="E710" t="str">
        <f>"07617966004899"</f>
        <v>07617966004899</v>
      </c>
      <c r="F710" s="8">
        <v>85</v>
      </c>
      <c r="G710" s="8">
        <v>420</v>
      </c>
      <c r="H710" s="8">
        <v>2358</v>
      </c>
      <c r="I710" s="8">
        <v>3001</v>
      </c>
    </row>
    <row r="711" spans="1:9" x14ac:dyDescent="0.2">
      <c r="A711" t="s">
        <v>131</v>
      </c>
      <c r="B711" t="s">
        <v>171</v>
      </c>
      <c r="C711" t="str">
        <f t="shared" si="33"/>
        <v>07617960000000</v>
      </c>
      <c r="D711" t="s">
        <v>2716</v>
      </c>
      <c r="E711" t="str">
        <f>"07617960730291"</f>
        <v>07617960730291</v>
      </c>
      <c r="F711" s="8">
        <v>133</v>
      </c>
      <c r="G711" s="8">
        <v>212</v>
      </c>
      <c r="H711" s="8">
        <v>2358</v>
      </c>
      <c r="I711" s="8">
        <v>3001</v>
      </c>
    </row>
    <row r="712" spans="1:9" x14ac:dyDescent="0.2">
      <c r="A712" t="s">
        <v>131</v>
      </c>
      <c r="B712" t="s">
        <v>171</v>
      </c>
      <c r="C712" t="str">
        <f t="shared" si="33"/>
        <v>07617960000000</v>
      </c>
      <c r="D712" t="s">
        <v>2717</v>
      </c>
      <c r="E712" t="str">
        <f>"07617966114086"</f>
        <v>07617966114086</v>
      </c>
      <c r="F712" s="8">
        <v>0</v>
      </c>
      <c r="G712" s="8">
        <v>0</v>
      </c>
      <c r="H712" s="8">
        <v>2358</v>
      </c>
      <c r="I712" s="8">
        <v>2950</v>
      </c>
    </row>
    <row r="713" spans="1:9" x14ac:dyDescent="0.2">
      <c r="A713" t="s">
        <v>172</v>
      </c>
      <c r="B713" t="s">
        <v>173</v>
      </c>
      <c r="C713" t="str">
        <f>"08100820000000"</f>
        <v>08100820000000</v>
      </c>
      <c r="D713" t="s">
        <v>2718</v>
      </c>
      <c r="E713" t="str">
        <f>"08100820106625"</f>
        <v>08100820106625</v>
      </c>
      <c r="F713" s="8">
        <v>4790</v>
      </c>
      <c r="G713" s="8">
        <v>31057</v>
      </c>
      <c r="H713" s="8">
        <v>0</v>
      </c>
      <c r="I713" s="8">
        <v>477</v>
      </c>
    </row>
    <row r="714" spans="1:9" x14ac:dyDescent="0.2">
      <c r="A714" t="s">
        <v>172</v>
      </c>
      <c r="B714" t="s">
        <v>173</v>
      </c>
      <c r="C714" t="str">
        <f>"08100820000000"</f>
        <v>08100820000000</v>
      </c>
      <c r="D714" t="s">
        <v>2719</v>
      </c>
      <c r="E714" t="str">
        <f>"08100820830042"</f>
        <v>08100820830042</v>
      </c>
      <c r="F714" s="8">
        <v>8291</v>
      </c>
      <c r="G714" s="8">
        <v>11832</v>
      </c>
      <c r="H714" s="8">
        <v>0</v>
      </c>
      <c r="I714" s="8">
        <v>282</v>
      </c>
    </row>
    <row r="715" spans="1:9" x14ac:dyDescent="0.2">
      <c r="A715" t="s">
        <v>172</v>
      </c>
      <c r="B715" t="s">
        <v>173</v>
      </c>
      <c r="C715" t="str">
        <f>"08100820000000"</f>
        <v>08100820000000</v>
      </c>
      <c r="D715" t="s">
        <v>2720</v>
      </c>
      <c r="E715" t="str">
        <f>"08100820830059"</f>
        <v>08100820830059</v>
      </c>
      <c r="F715" s="8">
        <v>59</v>
      </c>
      <c r="G715" s="8">
        <v>6380</v>
      </c>
      <c r="H715" s="8">
        <v>0</v>
      </c>
      <c r="I715" s="8">
        <v>1253</v>
      </c>
    </row>
    <row r="716" spans="1:9" x14ac:dyDescent="0.2">
      <c r="A716" t="s">
        <v>172</v>
      </c>
      <c r="B716" t="s">
        <v>174</v>
      </c>
      <c r="C716" t="str">
        <f t="shared" ref="C716:C726" si="34">"08618200000000"</f>
        <v>08618200000000</v>
      </c>
      <c r="D716" t="s">
        <v>1689</v>
      </c>
      <c r="E716" t="str">
        <f>"08618206005425"</f>
        <v>08618206005425</v>
      </c>
      <c r="F716" s="8">
        <v>2624</v>
      </c>
      <c r="G716" s="8">
        <v>9908</v>
      </c>
      <c r="H716" s="8">
        <v>33</v>
      </c>
      <c r="I716" s="8">
        <v>152</v>
      </c>
    </row>
    <row r="717" spans="1:9" x14ac:dyDescent="0.2">
      <c r="A717" t="s">
        <v>172</v>
      </c>
      <c r="B717" t="s">
        <v>174</v>
      </c>
      <c r="C717" t="str">
        <f t="shared" si="34"/>
        <v>08618200000000</v>
      </c>
      <c r="D717" t="s">
        <v>2721</v>
      </c>
      <c r="E717" t="str">
        <f>"08618206005417"</f>
        <v>08618206005417</v>
      </c>
      <c r="F717" s="8">
        <v>3597</v>
      </c>
      <c r="G717" s="8">
        <v>8760</v>
      </c>
      <c r="H717" s="8">
        <v>58</v>
      </c>
      <c r="I717" s="8">
        <v>269</v>
      </c>
    </row>
    <row r="718" spans="1:9" x14ac:dyDescent="0.2">
      <c r="A718" t="s">
        <v>172</v>
      </c>
      <c r="B718" t="s">
        <v>174</v>
      </c>
      <c r="C718" t="str">
        <f t="shared" si="34"/>
        <v>08618200000000</v>
      </c>
      <c r="D718" t="s">
        <v>2722</v>
      </c>
      <c r="E718" t="str">
        <f>"08618206005375"</f>
        <v>08618206005375</v>
      </c>
      <c r="F718" s="8">
        <v>1426</v>
      </c>
      <c r="G718" s="8">
        <v>9348</v>
      </c>
      <c r="H718" s="8">
        <v>119</v>
      </c>
      <c r="I718" s="8">
        <v>556</v>
      </c>
    </row>
    <row r="719" spans="1:9" x14ac:dyDescent="0.2">
      <c r="A719" t="s">
        <v>172</v>
      </c>
      <c r="B719" t="s">
        <v>174</v>
      </c>
      <c r="C719" t="str">
        <f t="shared" si="34"/>
        <v>08618200000000</v>
      </c>
      <c r="D719" t="s">
        <v>2723</v>
      </c>
      <c r="E719" t="str">
        <f>"08618206005458"</f>
        <v>08618206005458</v>
      </c>
      <c r="F719" s="8">
        <v>1718</v>
      </c>
      <c r="G719" s="8">
        <v>7209</v>
      </c>
      <c r="H719" s="8">
        <v>99</v>
      </c>
      <c r="I719" s="8">
        <v>758</v>
      </c>
    </row>
    <row r="720" spans="1:9" x14ac:dyDescent="0.2">
      <c r="A720" t="s">
        <v>172</v>
      </c>
      <c r="B720" t="s">
        <v>174</v>
      </c>
      <c r="C720" t="str">
        <f t="shared" si="34"/>
        <v>08618200000000</v>
      </c>
      <c r="D720" t="s">
        <v>2724</v>
      </c>
      <c r="E720" t="str">
        <f>"08618200836205"</f>
        <v>08618200836205</v>
      </c>
      <c r="F720" s="8">
        <v>363</v>
      </c>
      <c r="G720" s="8">
        <v>8851</v>
      </c>
      <c r="H720" s="8">
        <v>36</v>
      </c>
      <c r="I720" s="8">
        <v>168</v>
      </c>
    </row>
    <row r="721" spans="1:9" x14ac:dyDescent="0.2">
      <c r="A721" t="s">
        <v>172</v>
      </c>
      <c r="B721" t="s">
        <v>174</v>
      </c>
      <c r="C721" t="str">
        <f t="shared" si="34"/>
        <v>08618200000000</v>
      </c>
      <c r="D721" t="s">
        <v>2725</v>
      </c>
      <c r="E721" t="str">
        <f>"08618206005383"</f>
        <v>08618206005383</v>
      </c>
      <c r="F721" s="8">
        <v>423</v>
      </c>
      <c r="G721" s="8">
        <v>7370</v>
      </c>
      <c r="H721" s="8">
        <v>174</v>
      </c>
      <c r="I721" s="8">
        <v>807</v>
      </c>
    </row>
    <row r="722" spans="1:9" x14ac:dyDescent="0.2">
      <c r="A722" t="s">
        <v>172</v>
      </c>
      <c r="B722" t="s">
        <v>174</v>
      </c>
      <c r="C722" t="str">
        <f t="shared" si="34"/>
        <v>08618200000000</v>
      </c>
      <c r="D722" t="s">
        <v>2726</v>
      </c>
      <c r="E722" t="str">
        <f>"08618206113013"</f>
        <v>08618206113013</v>
      </c>
      <c r="F722" s="8">
        <v>604</v>
      </c>
      <c r="G722" s="8">
        <v>7564</v>
      </c>
      <c r="H722" s="8">
        <v>428</v>
      </c>
      <c r="I722" s="8">
        <v>92</v>
      </c>
    </row>
    <row r="723" spans="1:9" x14ac:dyDescent="0.2">
      <c r="A723" t="s">
        <v>172</v>
      </c>
      <c r="B723" t="s">
        <v>174</v>
      </c>
      <c r="C723" t="str">
        <f t="shared" si="34"/>
        <v>08618200000000</v>
      </c>
      <c r="D723" t="s">
        <v>2727</v>
      </c>
      <c r="E723" t="str">
        <f>"08618206005391"</f>
        <v>08618206005391</v>
      </c>
      <c r="F723" s="8">
        <v>887</v>
      </c>
      <c r="G723" s="8">
        <v>6727</v>
      </c>
      <c r="H723" s="8">
        <v>111</v>
      </c>
      <c r="I723" s="8">
        <v>517</v>
      </c>
    </row>
    <row r="724" spans="1:9" x14ac:dyDescent="0.2">
      <c r="A724" t="s">
        <v>172</v>
      </c>
      <c r="B724" t="s">
        <v>174</v>
      </c>
      <c r="C724" t="str">
        <f t="shared" si="34"/>
        <v>08618200000000</v>
      </c>
      <c r="D724" t="s">
        <v>2728</v>
      </c>
      <c r="E724" t="str">
        <f>"08618200833004"</f>
        <v>08618200833004</v>
      </c>
      <c r="F724" s="8">
        <v>388</v>
      </c>
      <c r="G724" s="8">
        <v>6159</v>
      </c>
      <c r="H724" s="8">
        <v>297</v>
      </c>
      <c r="I724" s="8">
        <v>1381</v>
      </c>
    </row>
    <row r="725" spans="1:9" x14ac:dyDescent="0.2">
      <c r="A725" t="s">
        <v>172</v>
      </c>
      <c r="B725" t="s">
        <v>174</v>
      </c>
      <c r="C725" t="str">
        <f t="shared" si="34"/>
        <v>08618200000000</v>
      </c>
      <c r="D725" t="s">
        <v>2729</v>
      </c>
      <c r="E725" t="str">
        <f>"08618206005441"</f>
        <v>08618206005441</v>
      </c>
      <c r="F725" s="8">
        <v>426</v>
      </c>
      <c r="G725" s="8">
        <v>6294</v>
      </c>
      <c r="H725" s="8">
        <v>143</v>
      </c>
      <c r="I725" s="8">
        <v>665</v>
      </c>
    </row>
    <row r="726" spans="1:9" x14ac:dyDescent="0.2">
      <c r="A726" t="s">
        <v>172</v>
      </c>
      <c r="B726" t="s">
        <v>174</v>
      </c>
      <c r="C726" t="str">
        <f t="shared" si="34"/>
        <v>08618200000000</v>
      </c>
      <c r="D726" t="s">
        <v>2730</v>
      </c>
      <c r="E726" t="str">
        <f>"08618206005433"</f>
        <v>08618206005433</v>
      </c>
      <c r="F726" s="8">
        <v>602</v>
      </c>
      <c r="G726" s="8">
        <v>6188</v>
      </c>
      <c r="H726" s="8">
        <v>85</v>
      </c>
      <c r="I726" s="8">
        <v>396</v>
      </c>
    </row>
    <row r="727" spans="1:9" x14ac:dyDescent="0.2">
      <c r="A727" t="s">
        <v>176</v>
      </c>
      <c r="B727" t="s">
        <v>177</v>
      </c>
      <c r="C727" t="str">
        <f t="shared" ref="C727:C732" si="35">"09737830000000"</f>
        <v>09737830000000</v>
      </c>
      <c r="D727" t="s">
        <v>2731</v>
      </c>
      <c r="E727" t="str">
        <f>"09737830930073"</f>
        <v>09737830930073</v>
      </c>
      <c r="F727" s="8">
        <v>1244</v>
      </c>
      <c r="G727" s="8">
        <v>5814</v>
      </c>
      <c r="H727" s="8">
        <v>1648</v>
      </c>
      <c r="I727" s="8">
        <v>1650</v>
      </c>
    </row>
    <row r="728" spans="1:9" x14ac:dyDescent="0.2">
      <c r="A728" t="s">
        <v>176</v>
      </c>
      <c r="B728" t="s">
        <v>177</v>
      </c>
      <c r="C728" t="str">
        <f t="shared" si="35"/>
        <v>09737830000000</v>
      </c>
      <c r="D728" t="s">
        <v>2732</v>
      </c>
      <c r="E728" t="str">
        <f>"09737836005623"</f>
        <v>09737836005623</v>
      </c>
      <c r="F728" s="8">
        <v>1504</v>
      </c>
      <c r="G728" s="8">
        <v>5232</v>
      </c>
      <c r="H728" s="8">
        <v>1648</v>
      </c>
      <c r="I728" s="8">
        <v>1650</v>
      </c>
    </row>
    <row r="729" spans="1:9" x14ac:dyDescent="0.2">
      <c r="A729" t="s">
        <v>176</v>
      </c>
      <c r="B729" t="s">
        <v>177</v>
      </c>
      <c r="C729" t="str">
        <f t="shared" si="35"/>
        <v>09737830000000</v>
      </c>
      <c r="D729" t="s">
        <v>2733</v>
      </c>
      <c r="E729" t="str">
        <f>"09737836005490"</f>
        <v>09737836005490</v>
      </c>
      <c r="F729" s="8">
        <v>1231</v>
      </c>
      <c r="G729" s="8">
        <v>5460</v>
      </c>
      <c r="H729" s="8">
        <v>1648</v>
      </c>
      <c r="I729" s="8">
        <v>1650</v>
      </c>
    </row>
    <row r="730" spans="1:9" x14ac:dyDescent="0.2">
      <c r="A730" t="s">
        <v>176</v>
      </c>
      <c r="B730" t="s">
        <v>177</v>
      </c>
      <c r="C730" t="str">
        <f t="shared" si="35"/>
        <v>09737830000000</v>
      </c>
      <c r="D730" t="s">
        <v>2734</v>
      </c>
      <c r="E730" t="str">
        <f>"09737836110498"</f>
        <v>09737836110498</v>
      </c>
      <c r="F730" s="8">
        <v>760</v>
      </c>
      <c r="G730" s="8">
        <v>5670</v>
      </c>
      <c r="H730" s="8">
        <v>1648</v>
      </c>
      <c r="I730" s="8">
        <v>1650</v>
      </c>
    </row>
    <row r="731" spans="1:9" x14ac:dyDescent="0.2">
      <c r="A731" t="s">
        <v>176</v>
      </c>
      <c r="B731" t="s">
        <v>177</v>
      </c>
      <c r="C731" t="str">
        <f t="shared" si="35"/>
        <v>09737830000000</v>
      </c>
      <c r="D731" t="s">
        <v>2735</v>
      </c>
      <c r="E731" t="str">
        <f>"09737830121566"</f>
        <v>09737830121566</v>
      </c>
      <c r="F731" s="8">
        <v>217</v>
      </c>
      <c r="G731" s="8">
        <v>5954</v>
      </c>
      <c r="H731" s="8">
        <v>1648</v>
      </c>
      <c r="I731" s="8">
        <v>1650</v>
      </c>
    </row>
    <row r="732" spans="1:9" x14ac:dyDescent="0.2">
      <c r="A732" t="s">
        <v>176</v>
      </c>
      <c r="B732" t="s">
        <v>177</v>
      </c>
      <c r="C732" t="str">
        <f t="shared" si="35"/>
        <v>09737830000000</v>
      </c>
      <c r="D732" t="s">
        <v>2736</v>
      </c>
      <c r="E732" t="str">
        <f>"09737830930099"</f>
        <v>09737830930099</v>
      </c>
      <c r="F732" s="8">
        <v>1791</v>
      </c>
      <c r="G732" s="8">
        <v>3576</v>
      </c>
      <c r="H732" s="8">
        <v>1648</v>
      </c>
      <c r="I732" s="8">
        <v>1650</v>
      </c>
    </row>
    <row r="733" spans="1:9" x14ac:dyDescent="0.2">
      <c r="A733" t="s">
        <v>176</v>
      </c>
      <c r="B733" t="s">
        <v>178</v>
      </c>
      <c r="C733" t="str">
        <f t="shared" ref="C733:C741" si="36">"09618380000000"</f>
        <v>09618380000000</v>
      </c>
      <c r="D733" t="s">
        <v>2737</v>
      </c>
      <c r="E733" t="str">
        <f>"09618386096614"</f>
        <v>09618386096614</v>
      </c>
      <c r="F733" s="8">
        <v>221</v>
      </c>
      <c r="G733" s="8">
        <v>10705</v>
      </c>
      <c r="H733" s="8">
        <v>50</v>
      </c>
      <c r="I733" s="8">
        <v>184</v>
      </c>
    </row>
    <row r="734" spans="1:9" x14ac:dyDescent="0.2">
      <c r="A734" t="s">
        <v>176</v>
      </c>
      <c r="B734" t="s">
        <v>178</v>
      </c>
      <c r="C734" t="str">
        <f t="shared" si="36"/>
        <v>09618380000000</v>
      </c>
      <c r="D734" t="s">
        <v>2738</v>
      </c>
      <c r="E734" t="str">
        <f>"09618386005466"</f>
        <v>09618386005466</v>
      </c>
      <c r="F734" s="8">
        <v>1033</v>
      </c>
      <c r="G734" s="8">
        <v>9581</v>
      </c>
      <c r="H734" s="8">
        <v>36</v>
      </c>
      <c r="I734" s="8">
        <v>131</v>
      </c>
    </row>
    <row r="735" spans="1:9" x14ac:dyDescent="0.2">
      <c r="A735" t="s">
        <v>176</v>
      </c>
      <c r="B735" t="s">
        <v>178</v>
      </c>
      <c r="C735" t="str">
        <f t="shared" si="36"/>
        <v>09618380000000</v>
      </c>
      <c r="D735" t="s">
        <v>2739</v>
      </c>
      <c r="E735" t="str">
        <f>"09618386112361"</f>
        <v>09618386112361</v>
      </c>
      <c r="F735" s="8">
        <v>202</v>
      </c>
      <c r="G735" s="8">
        <v>8627</v>
      </c>
      <c r="H735" s="8">
        <v>84</v>
      </c>
      <c r="I735" s="8">
        <v>309</v>
      </c>
    </row>
    <row r="736" spans="1:9" x14ac:dyDescent="0.2">
      <c r="A736" t="s">
        <v>176</v>
      </c>
      <c r="B736" t="s">
        <v>178</v>
      </c>
      <c r="C736" t="str">
        <f t="shared" si="36"/>
        <v>09618380000000</v>
      </c>
      <c r="D736" t="s">
        <v>2740</v>
      </c>
      <c r="E736" t="str">
        <f>"09618386107361"</f>
        <v>09618386107361</v>
      </c>
      <c r="F736" s="8">
        <v>647</v>
      </c>
      <c r="G736" s="8">
        <v>8250</v>
      </c>
      <c r="H736" s="8">
        <v>46</v>
      </c>
      <c r="I736" s="8">
        <v>169</v>
      </c>
    </row>
    <row r="737" spans="1:9" x14ac:dyDescent="0.2">
      <c r="A737" t="s">
        <v>176</v>
      </c>
      <c r="B737" t="s">
        <v>178</v>
      </c>
      <c r="C737" t="str">
        <f t="shared" si="36"/>
        <v>09618380000000</v>
      </c>
      <c r="D737" t="s">
        <v>2741</v>
      </c>
      <c r="E737" t="str">
        <f>"09618386110456"</f>
        <v>09618386110456</v>
      </c>
      <c r="F737" s="8">
        <v>474</v>
      </c>
      <c r="G737" s="8">
        <v>8361</v>
      </c>
      <c r="H737" s="8">
        <v>47</v>
      </c>
      <c r="I737" s="8">
        <v>174</v>
      </c>
    </row>
    <row r="738" spans="1:9" x14ac:dyDescent="0.2">
      <c r="A738" t="s">
        <v>176</v>
      </c>
      <c r="B738" t="s">
        <v>178</v>
      </c>
      <c r="C738" t="str">
        <f t="shared" si="36"/>
        <v>09618380000000</v>
      </c>
      <c r="D738" t="s">
        <v>2742</v>
      </c>
      <c r="E738" t="str">
        <f>"09618380100024"</f>
        <v>09618380100024</v>
      </c>
      <c r="F738" s="8">
        <v>381</v>
      </c>
      <c r="G738" s="8">
        <v>8079</v>
      </c>
      <c r="H738" s="8">
        <v>52</v>
      </c>
      <c r="I738" s="8">
        <v>189</v>
      </c>
    </row>
    <row r="739" spans="1:9" x14ac:dyDescent="0.2">
      <c r="A739" t="s">
        <v>176</v>
      </c>
      <c r="B739" t="s">
        <v>178</v>
      </c>
      <c r="C739" t="str">
        <f t="shared" si="36"/>
        <v>09618380000000</v>
      </c>
      <c r="D739" t="s">
        <v>2743</v>
      </c>
      <c r="E739" t="str">
        <f>"09618386005474"</f>
        <v>09618386005474</v>
      </c>
      <c r="F739" s="8">
        <v>487</v>
      </c>
      <c r="G739" s="8">
        <v>7548</v>
      </c>
      <c r="H739" s="8">
        <v>43</v>
      </c>
      <c r="I739" s="8">
        <v>157</v>
      </c>
    </row>
    <row r="740" spans="1:9" x14ac:dyDescent="0.2">
      <c r="A740" t="s">
        <v>176</v>
      </c>
      <c r="B740" t="s">
        <v>178</v>
      </c>
      <c r="C740" t="str">
        <f t="shared" si="36"/>
        <v>09618380000000</v>
      </c>
      <c r="D740" t="s">
        <v>2744</v>
      </c>
      <c r="E740" t="str">
        <f>"09618380107227"</f>
        <v>09618380107227</v>
      </c>
      <c r="F740" s="8">
        <v>143</v>
      </c>
      <c r="G740" s="8">
        <v>7745</v>
      </c>
      <c r="H740" s="8">
        <v>69</v>
      </c>
      <c r="I740" s="8">
        <v>251</v>
      </c>
    </row>
    <row r="741" spans="1:9" x14ac:dyDescent="0.2">
      <c r="A741" t="s">
        <v>176</v>
      </c>
      <c r="B741" t="s">
        <v>178</v>
      </c>
      <c r="C741" t="str">
        <f t="shared" si="36"/>
        <v>09618380000000</v>
      </c>
      <c r="D741" t="s">
        <v>2745</v>
      </c>
      <c r="E741" t="str">
        <f>"09618380137919"</f>
        <v>09618380137919</v>
      </c>
      <c r="F741" s="8">
        <v>293</v>
      </c>
      <c r="G741" s="8">
        <v>7615</v>
      </c>
      <c r="H741" s="8">
        <v>9</v>
      </c>
      <c r="I741" s="8">
        <v>32</v>
      </c>
    </row>
    <row r="742" spans="1:9" x14ac:dyDescent="0.2">
      <c r="A742" t="s">
        <v>176</v>
      </c>
      <c r="B742" t="s">
        <v>181</v>
      </c>
      <c r="C742" t="str">
        <f>"09618460000000"</f>
        <v>09618460000000</v>
      </c>
      <c r="D742" t="s">
        <v>2746</v>
      </c>
      <c r="E742" t="str">
        <f>"09618466005482"</f>
        <v>09618466005482</v>
      </c>
      <c r="F742" s="8">
        <v>1723</v>
      </c>
      <c r="G742" s="8">
        <v>4150</v>
      </c>
      <c r="H742" s="8">
        <v>616</v>
      </c>
      <c r="I742" s="8">
        <v>4199</v>
      </c>
    </row>
    <row r="743" spans="1:9" x14ac:dyDescent="0.2">
      <c r="A743" t="s">
        <v>176</v>
      </c>
      <c r="B743" t="s">
        <v>184</v>
      </c>
      <c r="C743" t="str">
        <f t="shared" ref="C743:C748" si="37">"09100900000000"</f>
        <v>09100900000000</v>
      </c>
      <c r="D743" t="s">
        <v>2747</v>
      </c>
      <c r="E743" t="str">
        <f>"09100906069470"</f>
        <v>09100906069470</v>
      </c>
      <c r="F743" s="8">
        <v>14731</v>
      </c>
      <c r="G743" s="8">
        <v>54103</v>
      </c>
      <c r="H743" s="8">
        <v>6376</v>
      </c>
      <c r="I743" s="8">
        <v>2593</v>
      </c>
    </row>
    <row r="744" spans="1:9" x14ac:dyDescent="0.2">
      <c r="A744" t="s">
        <v>176</v>
      </c>
      <c r="B744" t="s">
        <v>184</v>
      </c>
      <c r="C744" t="str">
        <f t="shared" si="37"/>
        <v>09100900000000</v>
      </c>
      <c r="D744" t="s">
        <v>2748</v>
      </c>
      <c r="E744" t="str">
        <f>"09100900106047"</f>
        <v>09100900106047</v>
      </c>
      <c r="F744" s="8">
        <v>15404</v>
      </c>
      <c r="G744" s="8">
        <v>27746</v>
      </c>
      <c r="H744" s="8">
        <v>6376</v>
      </c>
      <c r="I744" s="8">
        <v>2593</v>
      </c>
    </row>
    <row r="745" spans="1:9" x14ac:dyDescent="0.2">
      <c r="A745" t="s">
        <v>176</v>
      </c>
      <c r="B745" t="s">
        <v>184</v>
      </c>
      <c r="C745" t="str">
        <f t="shared" si="37"/>
        <v>09100900000000</v>
      </c>
      <c r="D745" t="s">
        <v>2749</v>
      </c>
      <c r="E745" t="str">
        <f>"09100900930131"</f>
        <v>09100900930131</v>
      </c>
      <c r="F745" s="8">
        <v>6593</v>
      </c>
      <c r="G745" s="8">
        <v>28799</v>
      </c>
      <c r="H745" s="8">
        <v>6376</v>
      </c>
      <c r="I745" s="8">
        <v>2593</v>
      </c>
    </row>
    <row r="746" spans="1:9" x14ac:dyDescent="0.2">
      <c r="A746" t="s">
        <v>176</v>
      </c>
      <c r="B746" t="s">
        <v>184</v>
      </c>
      <c r="C746" t="str">
        <f t="shared" si="37"/>
        <v>09100900000000</v>
      </c>
      <c r="D746" t="s">
        <v>2750</v>
      </c>
      <c r="E746" t="str">
        <f>"09100900930123"</f>
        <v>09100900930123</v>
      </c>
      <c r="F746" s="8">
        <v>0</v>
      </c>
      <c r="G746" s="8">
        <v>12376</v>
      </c>
      <c r="H746" s="8">
        <v>0</v>
      </c>
      <c r="I746" s="8">
        <v>2593</v>
      </c>
    </row>
    <row r="747" spans="1:9" x14ac:dyDescent="0.2">
      <c r="A747" t="s">
        <v>176</v>
      </c>
      <c r="B747" t="s">
        <v>184</v>
      </c>
      <c r="C747" t="str">
        <f t="shared" si="37"/>
        <v>09100900000000</v>
      </c>
      <c r="D747" t="s">
        <v>2751</v>
      </c>
      <c r="E747" t="str">
        <f>"09100900123521"</f>
        <v>09100900123521</v>
      </c>
      <c r="F747" s="8">
        <v>0</v>
      </c>
      <c r="G747" s="8">
        <v>10134</v>
      </c>
      <c r="H747" s="8">
        <v>0</v>
      </c>
      <c r="I747" s="8">
        <v>2593</v>
      </c>
    </row>
    <row r="748" spans="1:9" x14ac:dyDescent="0.2">
      <c r="A748" t="s">
        <v>176</v>
      </c>
      <c r="B748" t="s">
        <v>184</v>
      </c>
      <c r="C748" t="str">
        <f t="shared" si="37"/>
        <v>09100900000000</v>
      </c>
      <c r="D748" t="s">
        <v>2752</v>
      </c>
      <c r="E748" t="str">
        <f>"09100900930016"</f>
        <v>09100900930016</v>
      </c>
      <c r="F748" s="8" t="s">
        <v>30</v>
      </c>
      <c r="G748" s="8" t="s">
        <v>30</v>
      </c>
      <c r="H748" s="8" t="s">
        <v>30</v>
      </c>
      <c r="I748" s="8" t="s">
        <v>30</v>
      </c>
    </row>
    <row r="749" spans="1:9" x14ac:dyDescent="0.2">
      <c r="A749" t="s">
        <v>176</v>
      </c>
      <c r="B749" t="s">
        <v>185</v>
      </c>
      <c r="C749" t="str">
        <f t="shared" ref="C749:C754" si="38">"09618530000000"</f>
        <v>09618530000000</v>
      </c>
      <c r="D749" t="s">
        <v>2753</v>
      </c>
      <c r="E749" t="str">
        <f>"09618530934554"</f>
        <v>09618530934554</v>
      </c>
      <c r="F749" s="8">
        <v>2498</v>
      </c>
      <c r="G749" s="8">
        <v>20483</v>
      </c>
      <c r="H749" s="8">
        <v>436</v>
      </c>
      <c r="I749" s="8">
        <v>2003</v>
      </c>
    </row>
    <row r="750" spans="1:9" x14ac:dyDescent="0.2">
      <c r="A750" t="s">
        <v>176</v>
      </c>
      <c r="B750" t="s">
        <v>185</v>
      </c>
      <c r="C750" t="str">
        <f t="shared" si="38"/>
        <v>09618530000000</v>
      </c>
      <c r="D750" t="s">
        <v>2754</v>
      </c>
      <c r="E750" t="str">
        <f>"09618530932756"</f>
        <v>09618530932756</v>
      </c>
      <c r="F750" s="8">
        <v>520</v>
      </c>
      <c r="G750" s="8">
        <v>7799</v>
      </c>
      <c r="H750" s="8">
        <v>436</v>
      </c>
      <c r="I750" s="8">
        <v>2003</v>
      </c>
    </row>
    <row r="751" spans="1:9" x14ac:dyDescent="0.2">
      <c r="A751" t="s">
        <v>176</v>
      </c>
      <c r="B751" t="s">
        <v>185</v>
      </c>
      <c r="C751" t="str">
        <f t="shared" si="38"/>
        <v>09618530000000</v>
      </c>
      <c r="D751" t="s">
        <v>2755</v>
      </c>
      <c r="E751" t="str">
        <f>"09618530930214"</f>
        <v>09618530930214</v>
      </c>
      <c r="F751" s="8">
        <v>257</v>
      </c>
      <c r="G751" s="8">
        <v>8049</v>
      </c>
      <c r="H751" s="8">
        <v>436</v>
      </c>
      <c r="I751" s="8">
        <v>2003</v>
      </c>
    </row>
    <row r="752" spans="1:9" x14ac:dyDescent="0.2">
      <c r="A752" t="s">
        <v>176</v>
      </c>
      <c r="B752" t="s">
        <v>185</v>
      </c>
      <c r="C752" t="str">
        <f t="shared" si="38"/>
        <v>09618530000000</v>
      </c>
      <c r="D752" t="s">
        <v>2756</v>
      </c>
      <c r="E752" t="str">
        <f>"09618530930164"</f>
        <v>09618530930164</v>
      </c>
      <c r="F752" s="8">
        <v>498</v>
      </c>
      <c r="G752" s="8">
        <v>7300</v>
      </c>
      <c r="H752" s="8">
        <v>436</v>
      </c>
      <c r="I752" s="8">
        <v>2003</v>
      </c>
    </row>
    <row r="753" spans="1:9" x14ac:dyDescent="0.2">
      <c r="A753" t="s">
        <v>176</v>
      </c>
      <c r="B753" t="s">
        <v>185</v>
      </c>
      <c r="C753" t="str">
        <f t="shared" si="38"/>
        <v>09618530000000</v>
      </c>
      <c r="D753" t="s">
        <v>2757</v>
      </c>
      <c r="E753" t="str">
        <f>"09618530936302"</f>
        <v>09618530936302</v>
      </c>
      <c r="F753" s="8">
        <v>257</v>
      </c>
      <c r="G753" s="8">
        <v>6612</v>
      </c>
      <c r="H753" s="8">
        <v>436</v>
      </c>
      <c r="I753" s="8">
        <v>2003</v>
      </c>
    </row>
    <row r="754" spans="1:9" x14ac:dyDescent="0.2">
      <c r="A754" t="s">
        <v>176</v>
      </c>
      <c r="B754" t="s">
        <v>185</v>
      </c>
      <c r="C754" t="str">
        <f t="shared" si="38"/>
        <v>09618530000000</v>
      </c>
      <c r="D754" t="s">
        <v>2758</v>
      </c>
      <c r="E754" t="str">
        <f>"09618530930081"</f>
        <v>09618530930081</v>
      </c>
      <c r="F754" s="8">
        <v>256</v>
      </c>
      <c r="G754" s="8">
        <v>6384</v>
      </c>
      <c r="H754" s="8">
        <v>436</v>
      </c>
      <c r="I754" s="8">
        <v>2003</v>
      </c>
    </row>
    <row r="755" spans="1:9" x14ac:dyDescent="0.2">
      <c r="A755" t="s">
        <v>176</v>
      </c>
      <c r="B755" t="s">
        <v>186</v>
      </c>
      <c r="C755" t="str">
        <f>"09618790000000"</f>
        <v>09618790000000</v>
      </c>
      <c r="D755" t="s">
        <v>2759</v>
      </c>
      <c r="E755" t="str">
        <f>"09618796109698"</f>
        <v>09618796109698</v>
      </c>
      <c r="F755" s="8">
        <v>500</v>
      </c>
      <c r="G755" s="8">
        <v>8181</v>
      </c>
      <c r="H755" s="8">
        <v>1356</v>
      </c>
      <c r="I755" s="8">
        <v>3079</v>
      </c>
    </row>
    <row r="756" spans="1:9" x14ac:dyDescent="0.2">
      <c r="A756" t="s">
        <v>176</v>
      </c>
      <c r="B756" t="s">
        <v>186</v>
      </c>
      <c r="C756" t="str">
        <f>"09618790000000"</f>
        <v>09618790000000</v>
      </c>
      <c r="D756" t="s">
        <v>2760</v>
      </c>
      <c r="E756" t="str">
        <f>"09618796005508"</f>
        <v>09618796005508</v>
      </c>
      <c r="F756" s="8">
        <v>659</v>
      </c>
      <c r="G756" s="8">
        <v>6323</v>
      </c>
      <c r="H756" s="8">
        <v>1356</v>
      </c>
      <c r="I756" s="8">
        <v>3079</v>
      </c>
    </row>
    <row r="757" spans="1:9" x14ac:dyDescent="0.2">
      <c r="A757" t="s">
        <v>176</v>
      </c>
      <c r="B757" t="s">
        <v>187</v>
      </c>
      <c r="C757" t="str">
        <f>"09618870000000"</f>
        <v>09618870000000</v>
      </c>
      <c r="D757" t="s">
        <v>2761</v>
      </c>
      <c r="E757" t="str">
        <f>"09618876005516"</f>
        <v>09618876005516</v>
      </c>
      <c r="F757" s="8">
        <v>692</v>
      </c>
      <c r="G757" s="8">
        <v>6131</v>
      </c>
      <c r="H757" s="8">
        <v>209</v>
      </c>
      <c r="I757" s="8">
        <v>2551</v>
      </c>
    </row>
    <row r="758" spans="1:9" x14ac:dyDescent="0.2">
      <c r="A758" t="s">
        <v>176</v>
      </c>
      <c r="B758" t="s">
        <v>187</v>
      </c>
      <c r="C758" t="str">
        <f>"09618870000000"</f>
        <v>09618870000000</v>
      </c>
      <c r="D758" t="s">
        <v>2762</v>
      </c>
      <c r="E758" t="str">
        <f>"09618876110167"</f>
        <v>09618876110167</v>
      </c>
      <c r="F758" s="8">
        <v>645</v>
      </c>
      <c r="G758" s="8">
        <v>6094</v>
      </c>
      <c r="H758" s="8">
        <v>209</v>
      </c>
      <c r="I758" s="8">
        <v>2551</v>
      </c>
    </row>
    <row r="759" spans="1:9" x14ac:dyDescent="0.2">
      <c r="A759" t="s">
        <v>176</v>
      </c>
      <c r="B759" t="s">
        <v>188</v>
      </c>
      <c r="C759" t="str">
        <f>"09618950000000"</f>
        <v>09618950000000</v>
      </c>
      <c r="D759" t="s">
        <v>188</v>
      </c>
      <c r="E759" t="str">
        <f>"09618956005524"</f>
        <v>09618956005524</v>
      </c>
      <c r="F759" s="8">
        <v>1913</v>
      </c>
      <c r="G759" s="8">
        <v>13584</v>
      </c>
      <c r="H759" s="8">
        <v>0</v>
      </c>
      <c r="I759" s="8">
        <v>2421</v>
      </c>
    </row>
    <row r="760" spans="1:9" x14ac:dyDescent="0.2">
      <c r="A760" t="s">
        <v>176</v>
      </c>
      <c r="B760" t="s">
        <v>190</v>
      </c>
      <c r="C760" t="str">
        <f t="shared" ref="C760:C767" si="39">"09619030000000"</f>
        <v>09619030000000</v>
      </c>
      <c r="D760" t="s">
        <v>2763</v>
      </c>
      <c r="E760" t="str">
        <f>"09619030930040"</f>
        <v>09619030930040</v>
      </c>
      <c r="F760" s="8">
        <v>4609</v>
      </c>
      <c r="G760" s="8">
        <v>8568</v>
      </c>
      <c r="H760" s="8">
        <v>1035</v>
      </c>
      <c r="I760" s="8">
        <v>4508</v>
      </c>
    </row>
    <row r="761" spans="1:9" x14ac:dyDescent="0.2">
      <c r="A761" t="s">
        <v>176</v>
      </c>
      <c r="B761" t="s">
        <v>190</v>
      </c>
      <c r="C761" t="str">
        <f t="shared" si="39"/>
        <v>09619030000000</v>
      </c>
      <c r="D761" t="s">
        <v>2764</v>
      </c>
      <c r="E761" t="str">
        <f>"09619030140459"</f>
        <v>09619030140459</v>
      </c>
      <c r="F761" s="8">
        <v>524</v>
      </c>
      <c r="G761" s="8">
        <v>8582</v>
      </c>
      <c r="H761" s="8">
        <v>1035</v>
      </c>
      <c r="I761" s="8">
        <v>4508</v>
      </c>
    </row>
    <row r="762" spans="1:9" x14ac:dyDescent="0.2">
      <c r="A762" t="s">
        <v>176</v>
      </c>
      <c r="B762" t="s">
        <v>190</v>
      </c>
      <c r="C762" t="str">
        <f t="shared" si="39"/>
        <v>09619030000000</v>
      </c>
      <c r="D762" t="s">
        <v>2765</v>
      </c>
      <c r="E762" t="str">
        <f>"09619036005573"</f>
        <v>09619036005573</v>
      </c>
      <c r="F762" s="8">
        <v>411</v>
      </c>
      <c r="G762" s="8">
        <v>7571</v>
      </c>
      <c r="H762" s="8">
        <v>1035</v>
      </c>
      <c r="I762" s="8">
        <v>4508</v>
      </c>
    </row>
    <row r="763" spans="1:9" x14ac:dyDescent="0.2">
      <c r="A763" t="s">
        <v>176</v>
      </c>
      <c r="B763" t="s">
        <v>190</v>
      </c>
      <c r="C763" t="str">
        <f t="shared" si="39"/>
        <v>09619030000000</v>
      </c>
      <c r="D763" t="s">
        <v>2766</v>
      </c>
      <c r="E763" t="str">
        <f>"09619036005565"</f>
        <v>09619036005565</v>
      </c>
      <c r="F763" s="8">
        <v>296</v>
      </c>
      <c r="G763" s="8">
        <v>7188</v>
      </c>
      <c r="H763" s="8">
        <v>1035</v>
      </c>
      <c r="I763" s="8">
        <v>4508</v>
      </c>
    </row>
    <row r="764" spans="1:9" x14ac:dyDescent="0.2">
      <c r="A764" t="s">
        <v>176</v>
      </c>
      <c r="B764" t="s">
        <v>190</v>
      </c>
      <c r="C764" t="str">
        <f t="shared" si="39"/>
        <v>09619030000000</v>
      </c>
      <c r="D764" t="s">
        <v>2767</v>
      </c>
      <c r="E764" t="str">
        <f>"09619030937805"</f>
        <v>09619030937805</v>
      </c>
      <c r="F764" s="8">
        <v>303</v>
      </c>
      <c r="G764" s="8">
        <v>7143</v>
      </c>
      <c r="H764" s="8">
        <v>1035</v>
      </c>
      <c r="I764" s="8">
        <v>4508</v>
      </c>
    </row>
    <row r="765" spans="1:9" x14ac:dyDescent="0.2">
      <c r="A765" t="s">
        <v>176</v>
      </c>
      <c r="B765" t="s">
        <v>190</v>
      </c>
      <c r="C765" t="str">
        <f t="shared" si="39"/>
        <v>09619030000000</v>
      </c>
      <c r="D765" t="s">
        <v>2768</v>
      </c>
      <c r="E765" t="str">
        <f>"09619036095301"</f>
        <v>09619036095301</v>
      </c>
      <c r="F765" s="8">
        <v>329</v>
      </c>
      <c r="G765" s="8">
        <v>6313</v>
      </c>
      <c r="H765" s="8">
        <v>1035</v>
      </c>
      <c r="I765" s="8">
        <v>4508</v>
      </c>
    </row>
    <row r="766" spans="1:9" x14ac:dyDescent="0.2">
      <c r="A766" t="s">
        <v>176</v>
      </c>
      <c r="B766" t="s">
        <v>190</v>
      </c>
      <c r="C766" t="str">
        <f t="shared" si="39"/>
        <v>09619030000000</v>
      </c>
      <c r="D766" t="s">
        <v>2769</v>
      </c>
      <c r="E766" t="str">
        <f>"09619036005540"</f>
        <v>09619036005540</v>
      </c>
      <c r="F766" s="8">
        <v>519</v>
      </c>
      <c r="G766" s="8">
        <v>6002</v>
      </c>
      <c r="H766" s="8">
        <v>1035</v>
      </c>
      <c r="I766" s="8">
        <v>4508</v>
      </c>
    </row>
    <row r="767" spans="1:9" x14ac:dyDescent="0.2">
      <c r="A767" t="s">
        <v>176</v>
      </c>
      <c r="B767" t="s">
        <v>190</v>
      </c>
      <c r="C767" t="str">
        <f t="shared" si="39"/>
        <v>09619030000000</v>
      </c>
      <c r="D767" t="s">
        <v>2770</v>
      </c>
      <c r="E767" t="str">
        <f>"09619030110155"</f>
        <v>09619030110155</v>
      </c>
      <c r="F767" s="8">
        <v>204</v>
      </c>
      <c r="G767" s="8">
        <v>3776</v>
      </c>
      <c r="H767" s="8">
        <v>1035</v>
      </c>
      <c r="I767" s="8">
        <v>4508</v>
      </c>
    </row>
    <row r="768" spans="1:9" x14ac:dyDescent="0.2">
      <c r="A768" t="s">
        <v>176</v>
      </c>
      <c r="B768" t="s">
        <v>191</v>
      </c>
      <c r="C768" t="str">
        <f>"09619110000000"</f>
        <v>09619110000000</v>
      </c>
      <c r="D768" t="s">
        <v>2771</v>
      </c>
      <c r="E768" t="str">
        <f>"09619116005581"</f>
        <v>09619116005581</v>
      </c>
      <c r="F768" s="8">
        <v>656</v>
      </c>
      <c r="G768" s="8">
        <v>13207</v>
      </c>
      <c r="H768" s="8">
        <v>53</v>
      </c>
      <c r="I768" s="8">
        <v>3854</v>
      </c>
    </row>
    <row r="769" spans="1:9" x14ac:dyDescent="0.2">
      <c r="A769" t="s">
        <v>176</v>
      </c>
      <c r="B769" t="s">
        <v>191</v>
      </c>
      <c r="C769" t="str">
        <f>"09619110000000"</f>
        <v>09619110000000</v>
      </c>
      <c r="D769" t="s">
        <v>2772</v>
      </c>
      <c r="E769" t="str">
        <f>"09619116103857"</f>
        <v>09619116103857</v>
      </c>
      <c r="F769" s="8">
        <v>435</v>
      </c>
      <c r="G769" s="8">
        <v>10490</v>
      </c>
      <c r="H769" s="8">
        <v>53</v>
      </c>
      <c r="I769" s="8">
        <v>3854</v>
      </c>
    </row>
    <row r="770" spans="1:9" x14ac:dyDescent="0.2">
      <c r="A770" t="s">
        <v>176</v>
      </c>
      <c r="B770" t="s">
        <v>192</v>
      </c>
      <c r="C770" t="str">
        <f>"09619290000000"</f>
        <v>09619290000000</v>
      </c>
      <c r="D770" t="s">
        <v>2773</v>
      </c>
      <c r="E770" t="str">
        <f>"09619296106678"</f>
        <v>09619296106678</v>
      </c>
      <c r="F770" s="8">
        <v>737</v>
      </c>
      <c r="G770" s="8">
        <v>5762</v>
      </c>
      <c r="H770" s="8">
        <v>546</v>
      </c>
      <c r="I770" s="8">
        <v>2643</v>
      </c>
    </row>
    <row r="771" spans="1:9" x14ac:dyDescent="0.2">
      <c r="A771" t="s">
        <v>176</v>
      </c>
      <c r="B771" t="s">
        <v>192</v>
      </c>
      <c r="C771" t="str">
        <f>"09619290000000"</f>
        <v>09619290000000</v>
      </c>
      <c r="D771" t="s">
        <v>2774</v>
      </c>
      <c r="E771" t="str">
        <f>"09619296005615"</f>
        <v>09619296005615</v>
      </c>
      <c r="F771" s="8">
        <v>209</v>
      </c>
      <c r="G771" s="8">
        <v>5044</v>
      </c>
      <c r="H771" s="8">
        <v>454</v>
      </c>
      <c r="I771" s="8">
        <v>2198</v>
      </c>
    </row>
    <row r="772" spans="1:9" x14ac:dyDescent="0.2">
      <c r="A772" t="s">
        <v>176</v>
      </c>
      <c r="B772" t="s">
        <v>113</v>
      </c>
      <c r="C772" t="str">
        <f>"09619450000000"</f>
        <v>09619450000000</v>
      </c>
      <c r="D772" t="s">
        <v>2775</v>
      </c>
      <c r="E772" t="str">
        <f>"09619456114664"</f>
        <v>09619456114664</v>
      </c>
      <c r="F772" s="8">
        <v>1198</v>
      </c>
      <c r="G772" s="8">
        <v>7735</v>
      </c>
      <c r="H772" s="8">
        <v>1311</v>
      </c>
      <c r="I772" s="8">
        <v>4607</v>
      </c>
    </row>
    <row r="773" spans="1:9" x14ac:dyDescent="0.2">
      <c r="A773" t="s">
        <v>176</v>
      </c>
      <c r="B773" t="s">
        <v>113</v>
      </c>
      <c r="C773" t="str">
        <f>"09619450000000"</f>
        <v>09619450000000</v>
      </c>
      <c r="D773" t="s">
        <v>2229</v>
      </c>
      <c r="E773" t="str">
        <f>"09619456005631"</f>
        <v>09619456005631</v>
      </c>
      <c r="F773" s="8">
        <v>1214</v>
      </c>
      <c r="G773" s="8">
        <v>5443</v>
      </c>
      <c r="H773" s="8">
        <v>1311</v>
      </c>
      <c r="I773" s="8">
        <v>4607</v>
      </c>
    </row>
    <row r="774" spans="1:9" x14ac:dyDescent="0.2">
      <c r="A774" t="s">
        <v>176</v>
      </c>
      <c r="B774" t="s">
        <v>113</v>
      </c>
      <c r="C774" t="str">
        <f>"09619450000000"</f>
        <v>09619450000000</v>
      </c>
      <c r="D774" t="s">
        <v>2776</v>
      </c>
      <c r="E774" t="str">
        <f>"09619456112569"</f>
        <v>09619456112569</v>
      </c>
      <c r="F774" s="8">
        <v>277</v>
      </c>
      <c r="G774" s="8">
        <v>4636</v>
      </c>
      <c r="H774" s="8">
        <v>1311</v>
      </c>
      <c r="I774" s="8">
        <v>4607</v>
      </c>
    </row>
    <row r="775" spans="1:9" x14ac:dyDescent="0.2">
      <c r="A775" t="s">
        <v>176</v>
      </c>
      <c r="B775" t="s">
        <v>193</v>
      </c>
      <c r="C775" t="str">
        <f>"09619520000000"</f>
        <v>09619520000000</v>
      </c>
      <c r="D775" t="s">
        <v>2777</v>
      </c>
      <c r="E775" t="str">
        <f>"09619526005664"</f>
        <v>09619526005664</v>
      </c>
      <c r="F775" s="8">
        <v>425</v>
      </c>
      <c r="G775" s="8">
        <v>8023</v>
      </c>
      <c r="H775" s="8">
        <v>1526</v>
      </c>
      <c r="I775" s="8">
        <v>2862</v>
      </c>
    </row>
    <row r="776" spans="1:9" x14ac:dyDescent="0.2">
      <c r="A776" t="s">
        <v>176</v>
      </c>
      <c r="B776" t="s">
        <v>193</v>
      </c>
      <c r="C776" t="str">
        <f>"09619520000000"</f>
        <v>09619520000000</v>
      </c>
      <c r="D776" t="s">
        <v>2778</v>
      </c>
      <c r="E776" t="str">
        <f>"09619526005656"</f>
        <v>09619526005656</v>
      </c>
      <c r="F776" s="8">
        <v>546</v>
      </c>
      <c r="G776" s="8">
        <v>7401</v>
      </c>
      <c r="H776" s="8">
        <v>1526</v>
      </c>
      <c r="I776" s="8">
        <v>2862</v>
      </c>
    </row>
    <row r="777" spans="1:9" x14ac:dyDescent="0.2">
      <c r="A777" t="s">
        <v>176</v>
      </c>
      <c r="B777" t="s">
        <v>193</v>
      </c>
      <c r="C777" t="str">
        <f>"09619520000000"</f>
        <v>09619520000000</v>
      </c>
      <c r="D777" t="s">
        <v>2779</v>
      </c>
      <c r="E777" t="str">
        <f>"09619526005649"</f>
        <v>09619526005649</v>
      </c>
      <c r="F777" s="8">
        <v>298</v>
      </c>
      <c r="G777" s="8">
        <v>6697</v>
      </c>
      <c r="H777" s="8">
        <v>1526</v>
      </c>
      <c r="I777" s="8">
        <v>2862</v>
      </c>
    </row>
    <row r="778" spans="1:9" x14ac:dyDescent="0.2">
      <c r="A778" t="s">
        <v>176</v>
      </c>
      <c r="B778" t="s">
        <v>194</v>
      </c>
      <c r="C778" t="str">
        <f>"09619600000000"</f>
        <v>09619600000000</v>
      </c>
      <c r="D778" t="s">
        <v>2780</v>
      </c>
      <c r="E778" t="str">
        <f>"09619606005680"</f>
        <v>09619606005680</v>
      </c>
      <c r="F778" s="8">
        <v>758</v>
      </c>
      <c r="G778" s="8">
        <v>7589</v>
      </c>
      <c r="H778" s="8">
        <v>90</v>
      </c>
      <c r="I778" s="8">
        <v>2071</v>
      </c>
    </row>
    <row r="779" spans="1:9" x14ac:dyDescent="0.2">
      <c r="A779" t="s">
        <v>176</v>
      </c>
      <c r="B779" t="s">
        <v>194</v>
      </c>
      <c r="C779" t="str">
        <f>"09619600000000"</f>
        <v>09619600000000</v>
      </c>
      <c r="D779" t="s">
        <v>2781</v>
      </c>
      <c r="E779" t="str">
        <f>"09619606107437"</f>
        <v>09619606107437</v>
      </c>
      <c r="F779" s="8">
        <v>1081</v>
      </c>
      <c r="G779" s="8">
        <v>6500</v>
      </c>
      <c r="H779" s="8">
        <v>90</v>
      </c>
      <c r="I779" s="8">
        <v>2071</v>
      </c>
    </row>
    <row r="780" spans="1:9" x14ac:dyDescent="0.2">
      <c r="A780" t="s">
        <v>176</v>
      </c>
      <c r="B780" t="s">
        <v>195</v>
      </c>
      <c r="C780" t="str">
        <f t="shared" ref="C780:C786" si="40">"09619780000000"</f>
        <v>09619780000000</v>
      </c>
      <c r="D780" t="s">
        <v>2656</v>
      </c>
      <c r="E780" t="str">
        <f>"09619786098693"</f>
        <v>09619786098693</v>
      </c>
      <c r="F780" s="8">
        <v>564</v>
      </c>
      <c r="G780" s="8">
        <v>8819</v>
      </c>
      <c r="H780" s="8">
        <v>909</v>
      </c>
      <c r="I780" s="8">
        <v>2479</v>
      </c>
    </row>
    <row r="781" spans="1:9" x14ac:dyDescent="0.2">
      <c r="A781" t="s">
        <v>176</v>
      </c>
      <c r="B781" t="s">
        <v>195</v>
      </c>
      <c r="C781" t="str">
        <f t="shared" si="40"/>
        <v>09619780000000</v>
      </c>
      <c r="D781" t="s">
        <v>2782</v>
      </c>
      <c r="E781" t="str">
        <f>"09619786005714"</f>
        <v>09619786005714</v>
      </c>
      <c r="F781" s="8">
        <v>575</v>
      </c>
      <c r="G781" s="8">
        <v>7741</v>
      </c>
      <c r="H781" s="8">
        <v>909</v>
      </c>
      <c r="I781" s="8">
        <v>2479</v>
      </c>
    </row>
    <row r="782" spans="1:9" x14ac:dyDescent="0.2">
      <c r="A782" t="s">
        <v>176</v>
      </c>
      <c r="B782" t="s">
        <v>195</v>
      </c>
      <c r="C782" t="str">
        <f t="shared" si="40"/>
        <v>09619780000000</v>
      </c>
      <c r="D782" t="s">
        <v>2783</v>
      </c>
      <c r="E782" t="str">
        <f>"09619780108258"</f>
        <v>09619780108258</v>
      </c>
      <c r="F782" s="8">
        <v>1111</v>
      </c>
      <c r="G782" s="8">
        <v>6815</v>
      </c>
      <c r="H782" s="8">
        <v>909</v>
      </c>
      <c r="I782" s="8">
        <v>2479</v>
      </c>
    </row>
    <row r="783" spans="1:9" x14ac:dyDescent="0.2">
      <c r="A783" t="s">
        <v>176</v>
      </c>
      <c r="B783" t="s">
        <v>195</v>
      </c>
      <c r="C783" t="str">
        <f t="shared" si="40"/>
        <v>09619780000000</v>
      </c>
      <c r="D783" t="s">
        <v>2383</v>
      </c>
      <c r="E783" t="str">
        <f>"09619786005706"</f>
        <v>09619786005706</v>
      </c>
      <c r="F783" s="8">
        <v>591</v>
      </c>
      <c r="G783" s="8">
        <v>7069</v>
      </c>
      <c r="H783" s="8">
        <v>909</v>
      </c>
      <c r="I783" s="8">
        <v>2479</v>
      </c>
    </row>
    <row r="784" spans="1:9" x14ac:dyDescent="0.2">
      <c r="A784" t="s">
        <v>176</v>
      </c>
      <c r="B784" t="s">
        <v>195</v>
      </c>
      <c r="C784" t="str">
        <f t="shared" si="40"/>
        <v>09619780000000</v>
      </c>
      <c r="D784" t="s">
        <v>2784</v>
      </c>
      <c r="E784" t="str">
        <f>"09619780101519"</f>
        <v>09619780101519</v>
      </c>
      <c r="F784" s="8">
        <v>388</v>
      </c>
      <c r="G784" s="8">
        <v>6993</v>
      </c>
      <c r="H784" s="8">
        <v>909</v>
      </c>
      <c r="I784" s="8">
        <v>2479</v>
      </c>
    </row>
    <row r="785" spans="1:9" x14ac:dyDescent="0.2">
      <c r="A785" t="s">
        <v>176</v>
      </c>
      <c r="B785" t="s">
        <v>195</v>
      </c>
      <c r="C785" t="str">
        <f t="shared" si="40"/>
        <v>09619780000000</v>
      </c>
      <c r="D785" t="s">
        <v>2785</v>
      </c>
      <c r="E785" t="str">
        <f>"09619786103527"</f>
        <v>09619786103527</v>
      </c>
      <c r="F785" s="8">
        <v>127</v>
      </c>
      <c r="G785" s="8">
        <v>7221</v>
      </c>
      <c r="H785" s="8">
        <v>909</v>
      </c>
      <c r="I785" s="8">
        <v>2479</v>
      </c>
    </row>
    <row r="786" spans="1:9" x14ac:dyDescent="0.2">
      <c r="A786" t="s">
        <v>176</v>
      </c>
      <c r="B786" t="s">
        <v>195</v>
      </c>
      <c r="C786" t="str">
        <f t="shared" si="40"/>
        <v>09619780000000</v>
      </c>
      <c r="D786" t="s">
        <v>2786</v>
      </c>
      <c r="E786" t="str">
        <f>"09619786109441"</f>
        <v>09619786109441</v>
      </c>
      <c r="F786" s="8">
        <v>491</v>
      </c>
      <c r="G786" s="8">
        <v>4272</v>
      </c>
      <c r="H786" s="8">
        <v>909</v>
      </c>
      <c r="I786" s="8">
        <v>2479</v>
      </c>
    </row>
    <row r="787" spans="1:9" x14ac:dyDescent="0.2">
      <c r="A787" t="s">
        <v>176</v>
      </c>
      <c r="B787" t="s">
        <v>197</v>
      </c>
      <c r="C787" t="str">
        <f>"09619860000000"</f>
        <v>09619860000000</v>
      </c>
      <c r="D787" t="s">
        <v>197</v>
      </c>
      <c r="E787" t="str">
        <f>"09619866005722"</f>
        <v>09619866005722</v>
      </c>
      <c r="F787" s="8">
        <v>1040</v>
      </c>
      <c r="G787" s="8">
        <v>22058</v>
      </c>
      <c r="H787" s="8">
        <v>0</v>
      </c>
      <c r="I787" s="8">
        <v>0</v>
      </c>
    </row>
    <row r="788" spans="1:9" x14ac:dyDescent="0.2">
      <c r="A788" t="s">
        <v>198</v>
      </c>
      <c r="B788" t="s">
        <v>199</v>
      </c>
      <c r="C788" t="str">
        <f>"10619940000000"</f>
        <v>10619940000000</v>
      </c>
      <c r="D788" t="s">
        <v>2787</v>
      </c>
      <c r="E788" t="str">
        <f>"10619946005730"</f>
        <v>10619946005730</v>
      </c>
      <c r="F788" s="8">
        <v>2145</v>
      </c>
      <c r="G788" s="8">
        <v>12389</v>
      </c>
      <c r="H788" s="8">
        <v>0</v>
      </c>
      <c r="I788" s="8">
        <v>0</v>
      </c>
    </row>
    <row r="789" spans="1:9" x14ac:dyDescent="0.2">
      <c r="A789" t="s">
        <v>198</v>
      </c>
      <c r="B789" t="s">
        <v>203</v>
      </c>
      <c r="C789" t="str">
        <f>"10620260000000"</f>
        <v>10620260000000</v>
      </c>
      <c r="D789" t="s">
        <v>203</v>
      </c>
      <c r="E789" t="str">
        <f>"10620266005763"</f>
        <v>10620266005763</v>
      </c>
      <c r="F789" s="8">
        <v>1384</v>
      </c>
      <c r="G789" s="8">
        <v>23797</v>
      </c>
      <c r="H789" s="8">
        <v>0</v>
      </c>
      <c r="I789" s="8">
        <v>0</v>
      </c>
    </row>
    <row r="790" spans="1:9" x14ac:dyDescent="0.2">
      <c r="A790" t="s">
        <v>198</v>
      </c>
      <c r="B790" t="s">
        <v>205</v>
      </c>
      <c r="C790" t="str">
        <f>"10620420000000"</f>
        <v>10620420000000</v>
      </c>
      <c r="D790" t="s">
        <v>2788</v>
      </c>
      <c r="E790" t="str">
        <f>"10620426005797"</f>
        <v>10620426005797</v>
      </c>
      <c r="F790" s="8">
        <v>2301</v>
      </c>
      <c r="G790" s="8">
        <v>12125</v>
      </c>
      <c r="H790" s="8">
        <v>0</v>
      </c>
      <c r="I790" s="8">
        <v>0</v>
      </c>
    </row>
    <row r="791" spans="1:9" x14ac:dyDescent="0.2">
      <c r="A791" t="s">
        <v>198</v>
      </c>
      <c r="B791" t="s">
        <v>209</v>
      </c>
      <c r="C791" t="str">
        <f>"10755980000000"</f>
        <v>10755980000000</v>
      </c>
      <c r="D791" t="s">
        <v>2789</v>
      </c>
      <c r="E791" t="str">
        <f>"10755981030543"</f>
        <v>10755981030543</v>
      </c>
      <c r="F791" s="8">
        <v>635</v>
      </c>
      <c r="G791" s="8">
        <v>19036</v>
      </c>
      <c r="H791" s="8">
        <v>1276</v>
      </c>
      <c r="I791" s="8">
        <v>3617</v>
      </c>
    </row>
    <row r="792" spans="1:9" x14ac:dyDescent="0.2">
      <c r="A792" t="s">
        <v>198</v>
      </c>
      <c r="B792" t="s">
        <v>209</v>
      </c>
      <c r="C792" t="str">
        <f>"10755980000000"</f>
        <v>10755980000000</v>
      </c>
      <c r="D792" t="s">
        <v>2790</v>
      </c>
      <c r="E792" t="str">
        <f>"10755981030535"</f>
        <v>10755981030535</v>
      </c>
      <c r="F792" s="8">
        <v>1234</v>
      </c>
      <c r="G792" s="8">
        <v>9478</v>
      </c>
      <c r="H792" s="8">
        <v>1276</v>
      </c>
      <c r="I792" s="8">
        <v>3617</v>
      </c>
    </row>
    <row r="793" spans="1:9" x14ac:dyDescent="0.2">
      <c r="A793" t="s">
        <v>198</v>
      </c>
      <c r="B793" t="s">
        <v>209</v>
      </c>
      <c r="C793" t="str">
        <f>"10755980000000"</f>
        <v>10755980000000</v>
      </c>
      <c r="D793" t="s">
        <v>2791</v>
      </c>
      <c r="E793" t="str">
        <f>"10755986005813"</f>
        <v>10755986005813</v>
      </c>
      <c r="F793" s="8">
        <v>1153</v>
      </c>
      <c r="G793" s="8">
        <v>8629</v>
      </c>
      <c r="H793" s="8">
        <v>1276</v>
      </c>
      <c r="I793" s="8">
        <v>3617</v>
      </c>
    </row>
    <row r="794" spans="1:9" x14ac:dyDescent="0.2">
      <c r="A794" t="s">
        <v>198</v>
      </c>
      <c r="B794" t="s">
        <v>210</v>
      </c>
      <c r="C794" t="str">
        <f t="shared" ref="C794:C817" si="41">"10739650000000"</f>
        <v>10739650000000</v>
      </c>
      <c r="D794" t="s">
        <v>2792</v>
      </c>
      <c r="E794" t="str">
        <f>"10739650114751"</f>
        <v>10739650114751</v>
      </c>
      <c r="F794" s="8">
        <v>1254</v>
      </c>
      <c r="G794" s="8">
        <v>649197</v>
      </c>
      <c r="H794" s="8">
        <v>1618</v>
      </c>
      <c r="I794" s="8">
        <v>4958</v>
      </c>
    </row>
    <row r="795" spans="1:9" x14ac:dyDescent="0.2">
      <c r="A795" t="s">
        <v>198</v>
      </c>
      <c r="B795" t="s">
        <v>210</v>
      </c>
      <c r="C795" t="str">
        <f t="shared" si="41"/>
        <v>10739650000000</v>
      </c>
      <c r="D795" t="s">
        <v>2793</v>
      </c>
      <c r="E795" t="str">
        <f>"10739651035112"</f>
        <v>10739651035112</v>
      </c>
      <c r="F795" s="8">
        <v>239</v>
      </c>
      <c r="G795" s="8">
        <v>17864</v>
      </c>
      <c r="H795" s="8">
        <v>1618</v>
      </c>
      <c r="I795" s="8">
        <v>4958</v>
      </c>
    </row>
    <row r="796" spans="1:9" x14ac:dyDescent="0.2">
      <c r="A796" t="s">
        <v>198</v>
      </c>
      <c r="B796" t="s">
        <v>210</v>
      </c>
      <c r="C796" t="str">
        <f t="shared" si="41"/>
        <v>10739650000000</v>
      </c>
      <c r="D796" t="s">
        <v>2794</v>
      </c>
      <c r="E796" t="str">
        <f>"10739650125682"</f>
        <v>10739650125682</v>
      </c>
      <c r="F796" s="8">
        <v>1116</v>
      </c>
      <c r="G796" s="8">
        <v>14013</v>
      </c>
      <c r="H796" s="8">
        <v>1618</v>
      </c>
      <c r="I796" s="8">
        <v>4958</v>
      </c>
    </row>
    <row r="797" spans="1:9" x14ac:dyDescent="0.2">
      <c r="A797" t="s">
        <v>198</v>
      </c>
      <c r="B797" t="s">
        <v>210</v>
      </c>
      <c r="C797" t="str">
        <f t="shared" si="41"/>
        <v>10739650000000</v>
      </c>
      <c r="D797" t="s">
        <v>2795</v>
      </c>
      <c r="E797" t="str">
        <f>"10739656005789"</f>
        <v>10739656005789</v>
      </c>
      <c r="F797" s="8">
        <v>404</v>
      </c>
      <c r="G797" s="8">
        <v>8019</v>
      </c>
      <c r="H797" s="8">
        <v>1618</v>
      </c>
      <c r="I797" s="8">
        <v>4958</v>
      </c>
    </row>
    <row r="798" spans="1:9" x14ac:dyDescent="0.2">
      <c r="A798" t="s">
        <v>198</v>
      </c>
      <c r="B798" t="s">
        <v>210</v>
      </c>
      <c r="C798" t="str">
        <f t="shared" si="41"/>
        <v>10739650000000</v>
      </c>
      <c r="D798" t="s">
        <v>2796</v>
      </c>
      <c r="E798" t="str">
        <f>"10739656006662"</f>
        <v>10739656006662</v>
      </c>
      <c r="F798" s="8">
        <v>408</v>
      </c>
      <c r="G798" s="8">
        <v>7952</v>
      </c>
      <c r="H798" s="8">
        <v>1618</v>
      </c>
      <c r="I798" s="8">
        <v>4958</v>
      </c>
    </row>
    <row r="799" spans="1:9" x14ac:dyDescent="0.2">
      <c r="A799" t="s">
        <v>198</v>
      </c>
      <c r="B799" t="s">
        <v>210</v>
      </c>
      <c r="C799" t="str">
        <f t="shared" si="41"/>
        <v>10739650000000</v>
      </c>
      <c r="D799" t="s">
        <v>2797</v>
      </c>
      <c r="E799" t="str">
        <f>"10739651030386"</f>
        <v>10739651030386</v>
      </c>
      <c r="F799" s="8">
        <v>161</v>
      </c>
      <c r="G799" s="8">
        <v>7793</v>
      </c>
      <c r="H799" s="8">
        <v>1618</v>
      </c>
      <c r="I799" s="8">
        <v>4958</v>
      </c>
    </row>
    <row r="800" spans="1:9" x14ac:dyDescent="0.2">
      <c r="A800" t="s">
        <v>198</v>
      </c>
      <c r="B800" t="s">
        <v>210</v>
      </c>
      <c r="C800" t="str">
        <f t="shared" si="41"/>
        <v>10739650000000</v>
      </c>
      <c r="D800" t="s">
        <v>2344</v>
      </c>
      <c r="E800" t="str">
        <f>"10739656006910"</f>
        <v>10739656006910</v>
      </c>
      <c r="F800" s="8">
        <v>309</v>
      </c>
      <c r="G800" s="8">
        <v>7088</v>
      </c>
      <c r="H800" s="8">
        <v>1618</v>
      </c>
      <c r="I800" s="8">
        <v>4958</v>
      </c>
    </row>
    <row r="801" spans="1:9" x14ac:dyDescent="0.2">
      <c r="A801" t="s">
        <v>198</v>
      </c>
      <c r="B801" t="s">
        <v>210</v>
      </c>
      <c r="C801" t="str">
        <f t="shared" si="41"/>
        <v>10739650000000</v>
      </c>
      <c r="D801" t="s">
        <v>2347</v>
      </c>
      <c r="E801" t="str">
        <f>"10739656006951"</f>
        <v>10739656006951</v>
      </c>
      <c r="F801" s="8">
        <v>374</v>
      </c>
      <c r="G801" s="8">
        <v>6152</v>
      </c>
      <c r="H801" s="8">
        <v>1618</v>
      </c>
      <c r="I801" s="8">
        <v>4958</v>
      </c>
    </row>
    <row r="802" spans="1:9" x14ac:dyDescent="0.2">
      <c r="A802" t="s">
        <v>198</v>
      </c>
      <c r="B802" t="s">
        <v>210</v>
      </c>
      <c r="C802" t="str">
        <f t="shared" si="41"/>
        <v>10739650000000</v>
      </c>
      <c r="D802" t="s">
        <v>2798</v>
      </c>
      <c r="E802" t="str">
        <f>"10739656115521"</f>
        <v>10739656115521</v>
      </c>
      <c r="F802" s="8">
        <v>455</v>
      </c>
      <c r="G802" s="8">
        <v>6068</v>
      </c>
      <c r="H802" s="8">
        <v>1618</v>
      </c>
      <c r="I802" s="8">
        <v>4958</v>
      </c>
    </row>
    <row r="803" spans="1:9" x14ac:dyDescent="0.2">
      <c r="A803" t="s">
        <v>198</v>
      </c>
      <c r="B803" t="s">
        <v>210</v>
      </c>
      <c r="C803" t="str">
        <f t="shared" si="41"/>
        <v>10739650000000</v>
      </c>
      <c r="D803" t="s">
        <v>2799</v>
      </c>
      <c r="E803" t="str">
        <f>"10739656006936"</f>
        <v>10739656006936</v>
      </c>
      <c r="F803" s="8">
        <v>251</v>
      </c>
      <c r="G803" s="8">
        <v>6007</v>
      </c>
      <c r="H803" s="8">
        <v>1618</v>
      </c>
      <c r="I803" s="8">
        <v>4958</v>
      </c>
    </row>
    <row r="804" spans="1:9" x14ac:dyDescent="0.2">
      <c r="A804" t="s">
        <v>198</v>
      </c>
      <c r="B804" t="s">
        <v>210</v>
      </c>
      <c r="C804" t="str">
        <f t="shared" si="41"/>
        <v>10739650000000</v>
      </c>
      <c r="D804" t="s">
        <v>2800</v>
      </c>
      <c r="E804" t="str">
        <f>"10739656112023"</f>
        <v>10739656112023</v>
      </c>
      <c r="F804" s="8">
        <v>359</v>
      </c>
      <c r="G804" s="8">
        <v>5782</v>
      </c>
      <c r="H804" s="8">
        <v>1618</v>
      </c>
      <c r="I804" s="8">
        <v>4958</v>
      </c>
    </row>
    <row r="805" spans="1:9" x14ac:dyDescent="0.2">
      <c r="A805" t="s">
        <v>198</v>
      </c>
      <c r="B805" t="s">
        <v>210</v>
      </c>
      <c r="C805" t="str">
        <f t="shared" si="41"/>
        <v>10739650000000</v>
      </c>
      <c r="D805" t="s">
        <v>2801</v>
      </c>
      <c r="E805" t="str">
        <f>"10739656112775"</f>
        <v>10739656112775</v>
      </c>
      <c r="F805" s="8">
        <v>374</v>
      </c>
      <c r="G805" s="8">
        <v>5642</v>
      </c>
      <c r="H805" s="8">
        <v>1618</v>
      </c>
      <c r="I805" s="8">
        <v>4958</v>
      </c>
    </row>
    <row r="806" spans="1:9" x14ac:dyDescent="0.2">
      <c r="A806" t="s">
        <v>198</v>
      </c>
      <c r="B806" t="s">
        <v>210</v>
      </c>
      <c r="C806" t="str">
        <f t="shared" si="41"/>
        <v>10739650000000</v>
      </c>
      <c r="D806" t="s">
        <v>2802</v>
      </c>
      <c r="E806" t="str">
        <f>"10739656006654"</f>
        <v>10739656006654</v>
      </c>
      <c r="F806" s="8">
        <v>306</v>
      </c>
      <c r="G806" s="8">
        <v>5636</v>
      </c>
      <c r="H806" s="8">
        <v>1618</v>
      </c>
      <c r="I806" s="8">
        <v>4958</v>
      </c>
    </row>
    <row r="807" spans="1:9" x14ac:dyDescent="0.2">
      <c r="A807" t="s">
        <v>198</v>
      </c>
      <c r="B807" t="s">
        <v>210</v>
      </c>
      <c r="C807" t="str">
        <f t="shared" si="41"/>
        <v>10739650000000</v>
      </c>
      <c r="D807" t="s">
        <v>2803</v>
      </c>
      <c r="E807" t="str">
        <f>"10739651030626"</f>
        <v>10739651030626</v>
      </c>
      <c r="F807" s="8">
        <v>135</v>
      </c>
      <c r="G807" s="8">
        <v>5707</v>
      </c>
      <c r="H807" s="8">
        <v>1618</v>
      </c>
      <c r="I807" s="8">
        <v>4958</v>
      </c>
    </row>
    <row r="808" spans="1:9" x14ac:dyDescent="0.2">
      <c r="A808" t="s">
        <v>198</v>
      </c>
      <c r="B808" t="s">
        <v>210</v>
      </c>
      <c r="C808" t="str">
        <f t="shared" si="41"/>
        <v>10739650000000</v>
      </c>
      <c r="D808" t="s">
        <v>2804</v>
      </c>
      <c r="E808" t="str">
        <f>"10739650123943"</f>
        <v>10739650123943</v>
      </c>
      <c r="F808" s="8">
        <v>230</v>
      </c>
      <c r="G808" s="8">
        <v>5503</v>
      </c>
      <c r="H808" s="8">
        <v>1618</v>
      </c>
      <c r="I808" s="8">
        <v>4958</v>
      </c>
    </row>
    <row r="809" spans="1:9" x14ac:dyDescent="0.2">
      <c r="A809" t="s">
        <v>198</v>
      </c>
      <c r="B809" t="s">
        <v>210</v>
      </c>
      <c r="C809" t="str">
        <f t="shared" si="41"/>
        <v>10739650000000</v>
      </c>
      <c r="D809" t="s">
        <v>2805</v>
      </c>
      <c r="E809" t="str">
        <f>"10739656007389"</f>
        <v>10739656007389</v>
      </c>
      <c r="F809" s="8">
        <v>249</v>
      </c>
      <c r="G809" s="8">
        <v>5437</v>
      </c>
      <c r="H809" s="8">
        <v>1618</v>
      </c>
      <c r="I809" s="8">
        <v>4958</v>
      </c>
    </row>
    <row r="810" spans="1:9" x14ac:dyDescent="0.2">
      <c r="A810" t="s">
        <v>198</v>
      </c>
      <c r="B810" t="s">
        <v>210</v>
      </c>
      <c r="C810" t="str">
        <f t="shared" si="41"/>
        <v>10739650000000</v>
      </c>
      <c r="D810" t="s">
        <v>2806</v>
      </c>
      <c r="E810" t="str">
        <f>"10739656120539"</f>
        <v>10739656120539</v>
      </c>
      <c r="F810" s="8">
        <v>125</v>
      </c>
      <c r="G810" s="8">
        <v>5545</v>
      </c>
      <c r="H810" s="8">
        <v>1618</v>
      </c>
      <c r="I810" s="8">
        <v>4958</v>
      </c>
    </row>
    <row r="811" spans="1:9" x14ac:dyDescent="0.2">
      <c r="A811" t="s">
        <v>198</v>
      </c>
      <c r="B811" t="s">
        <v>210</v>
      </c>
      <c r="C811" t="str">
        <f t="shared" si="41"/>
        <v>10739650000000</v>
      </c>
      <c r="D811" t="s">
        <v>2349</v>
      </c>
      <c r="E811" t="str">
        <f>"10739656006944"</f>
        <v>10739656006944</v>
      </c>
      <c r="F811" s="8">
        <v>414</v>
      </c>
      <c r="G811" s="8">
        <v>4945</v>
      </c>
      <c r="H811" s="8">
        <v>1618</v>
      </c>
      <c r="I811" s="8">
        <v>4958</v>
      </c>
    </row>
    <row r="812" spans="1:9" x14ac:dyDescent="0.2">
      <c r="A812" t="s">
        <v>198</v>
      </c>
      <c r="B812" t="s">
        <v>210</v>
      </c>
      <c r="C812" t="str">
        <f t="shared" si="41"/>
        <v>10739650000000</v>
      </c>
      <c r="D812" t="s">
        <v>2807</v>
      </c>
      <c r="E812" t="str">
        <f>"10739650106476"</f>
        <v>10739650106476</v>
      </c>
      <c r="F812" s="8">
        <v>321</v>
      </c>
      <c r="G812" s="8">
        <v>4892</v>
      </c>
      <c r="H812" s="8">
        <v>1618</v>
      </c>
      <c r="I812" s="8">
        <v>4958</v>
      </c>
    </row>
    <row r="813" spans="1:9" x14ac:dyDescent="0.2">
      <c r="A813" t="s">
        <v>198</v>
      </c>
      <c r="B813" t="s">
        <v>210</v>
      </c>
      <c r="C813" t="str">
        <f t="shared" si="41"/>
        <v>10739650000000</v>
      </c>
      <c r="D813" t="s">
        <v>2808</v>
      </c>
      <c r="E813" t="str">
        <f>"10739650113993"</f>
        <v>10739650113993</v>
      </c>
      <c r="F813" s="8">
        <v>354</v>
      </c>
      <c r="G813" s="8">
        <v>4847</v>
      </c>
      <c r="H813" s="8">
        <v>1618</v>
      </c>
      <c r="I813" s="8">
        <v>4958</v>
      </c>
    </row>
    <row r="814" spans="1:9" x14ac:dyDescent="0.2">
      <c r="A814" t="s">
        <v>198</v>
      </c>
      <c r="B814" t="s">
        <v>210</v>
      </c>
      <c r="C814" t="str">
        <f t="shared" si="41"/>
        <v>10739650000000</v>
      </c>
      <c r="D814" t="s">
        <v>2809</v>
      </c>
      <c r="E814" t="str">
        <f>"10739656120521"</f>
        <v>10739656120521</v>
      </c>
      <c r="F814" s="8">
        <v>293</v>
      </c>
      <c r="G814" s="8">
        <v>4876</v>
      </c>
      <c r="H814" s="8">
        <v>1618</v>
      </c>
      <c r="I814" s="8">
        <v>4958</v>
      </c>
    </row>
    <row r="815" spans="1:9" x14ac:dyDescent="0.2">
      <c r="A815" t="s">
        <v>198</v>
      </c>
      <c r="B815" t="s">
        <v>210</v>
      </c>
      <c r="C815" t="str">
        <f t="shared" si="41"/>
        <v>10739650000000</v>
      </c>
      <c r="D815" t="s">
        <v>2810</v>
      </c>
      <c r="E815" t="str">
        <f>"10739650130690"</f>
        <v>10739650130690</v>
      </c>
      <c r="F815" s="8">
        <v>382</v>
      </c>
      <c r="G815" s="8">
        <v>4706</v>
      </c>
      <c r="H815" s="8">
        <v>1618</v>
      </c>
      <c r="I815" s="8">
        <v>4958</v>
      </c>
    </row>
    <row r="816" spans="1:9" x14ac:dyDescent="0.2">
      <c r="A816" t="s">
        <v>198</v>
      </c>
      <c r="B816" t="s">
        <v>210</v>
      </c>
      <c r="C816" t="str">
        <f t="shared" si="41"/>
        <v>10739650000000</v>
      </c>
      <c r="D816" t="s">
        <v>2811</v>
      </c>
      <c r="E816" t="str">
        <f>"10739650140269"</f>
        <v>10739650140269</v>
      </c>
      <c r="F816" s="8">
        <v>1328</v>
      </c>
      <c r="G816" s="8">
        <v>2611</v>
      </c>
      <c r="H816" s="8">
        <v>1618</v>
      </c>
      <c r="I816" s="8">
        <v>4958</v>
      </c>
    </row>
    <row r="817" spans="1:9" x14ac:dyDescent="0.2">
      <c r="A817" t="s">
        <v>198</v>
      </c>
      <c r="B817" t="s">
        <v>210</v>
      </c>
      <c r="C817" t="str">
        <f t="shared" si="41"/>
        <v>10739650000000</v>
      </c>
      <c r="D817" t="s">
        <v>2812</v>
      </c>
      <c r="E817" t="str">
        <f>"10739651030790"</f>
        <v>10739651030790</v>
      </c>
      <c r="F817" s="8" t="s">
        <v>30</v>
      </c>
      <c r="G817" s="8" t="s">
        <v>30</v>
      </c>
      <c r="H817" s="8" t="s">
        <v>30</v>
      </c>
      <c r="I817" s="8" t="s">
        <v>30</v>
      </c>
    </row>
    <row r="818" spans="1:9" x14ac:dyDescent="0.2">
      <c r="A818" t="s">
        <v>198</v>
      </c>
      <c r="B818" t="s">
        <v>211</v>
      </c>
      <c r="C818" t="str">
        <f>"10621090000000"</f>
        <v>10621090000000</v>
      </c>
      <c r="D818" t="s">
        <v>2813</v>
      </c>
      <c r="E818" t="str">
        <f>"10621096005839"</f>
        <v>10621096005839</v>
      </c>
      <c r="F818" s="8">
        <v>974</v>
      </c>
      <c r="G818" s="8">
        <v>8739</v>
      </c>
      <c r="H818" s="8">
        <v>0</v>
      </c>
      <c r="I818" s="8">
        <v>0</v>
      </c>
    </row>
    <row r="819" spans="1:9" x14ac:dyDescent="0.2">
      <c r="A819" t="s">
        <v>198</v>
      </c>
      <c r="B819" t="s">
        <v>213</v>
      </c>
      <c r="C819" t="str">
        <f t="shared" ref="C819:C850" si="42">"10621170000000"</f>
        <v>10621170000000</v>
      </c>
      <c r="D819" t="s">
        <v>2814</v>
      </c>
      <c r="E819" t="str">
        <f>"10621170101949"</f>
        <v>10621170101949</v>
      </c>
      <c r="F819" s="8">
        <v>48977</v>
      </c>
      <c r="G819" s="8">
        <v>475309</v>
      </c>
      <c r="H819" s="8">
        <v>120</v>
      </c>
      <c r="I819" s="8">
        <v>2011</v>
      </c>
    </row>
    <row r="820" spans="1:9" x14ac:dyDescent="0.2">
      <c r="A820" t="s">
        <v>198</v>
      </c>
      <c r="B820" t="s">
        <v>213</v>
      </c>
      <c r="C820" t="str">
        <f t="shared" si="42"/>
        <v>10621170000000</v>
      </c>
      <c r="D820" t="s">
        <v>2815</v>
      </c>
      <c r="E820" t="str">
        <f>"10621170110270"</f>
        <v>10621170110270</v>
      </c>
      <c r="F820" s="8">
        <v>3842</v>
      </c>
      <c r="G820" s="8">
        <v>66730</v>
      </c>
      <c r="H820" s="8">
        <v>120</v>
      </c>
      <c r="I820" s="8">
        <v>2011</v>
      </c>
    </row>
    <row r="821" spans="1:9" x14ac:dyDescent="0.2">
      <c r="A821" t="s">
        <v>198</v>
      </c>
      <c r="B821" t="s">
        <v>213</v>
      </c>
      <c r="C821" t="str">
        <f t="shared" si="42"/>
        <v>10621170000000</v>
      </c>
      <c r="D821" t="s">
        <v>2816</v>
      </c>
      <c r="E821" t="str">
        <f>"10621171031004"</f>
        <v>10621171031004</v>
      </c>
      <c r="F821" s="8">
        <v>1602</v>
      </c>
      <c r="G821" s="8">
        <v>23906</v>
      </c>
      <c r="H821" s="8">
        <v>120</v>
      </c>
      <c r="I821" s="8">
        <v>2011</v>
      </c>
    </row>
    <row r="822" spans="1:9" x14ac:dyDescent="0.2">
      <c r="A822" t="s">
        <v>198</v>
      </c>
      <c r="B822" t="s">
        <v>213</v>
      </c>
      <c r="C822" t="str">
        <f t="shared" si="42"/>
        <v>10621170000000</v>
      </c>
      <c r="D822" t="s">
        <v>2817</v>
      </c>
      <c r="E822" t="str">
        <f>"10621176109235"</f>
        <v>10621176109235</v>
      </c>
      <c r="F822" s="8">
        <v>1480</v>
      </c>
      <c r="G822" s="8">
        <v>10739</v>
      </c>
      <c r="H822" s="8">
        <v>120</v>
      </c>
      <c r="I822" s="8">
        <v>2011</v>
      </c>
    </row>
    <row r="823" spans="1:9" x14ac:dyDescent="0.2">
      <c r="A823" t="s">
        <v>198</v>
      </c>
      <c r="B823" t="s">
        <v>213</v>
      </c>
      <c r="C823" t="str">
        <f t="shared" si="42"/>
        <v>10621170000000</v>
      </c>
      <c r="D823" t="s">
        <v>2818</v>
      </c>
      <c r="E823" t="str">
        <f>"10621176108096"</f>
        <v>10621176108096</v>
      </c>
      <c r="F823" s="8">
        <v>175</v>
      </c>
      <c r="G823" s="8">
        <v>11739</v>
      </c>
      <c r="H823" s="8">
        <v>120</v>
      </c>
      <c r="I823" s="8">
        <v>2011</v>
      </c>
    </row>
    <row r="824" spans="1:9" x14ac:dyDescent="0.2">
      <c r="A824" t="s">
        <v>198</v>
      </c>
      <c r="B824" t="s">
        <v>213</v>
      </c>
      <c r="C824" t="str">
        <f t="shared" si="42"/>
        <v>10621170000000</v>
      </c>
      <c r="D824" t="s">
        <v>2819</v>
      </c>
      <c r="E824" t="str">
        <f>"10621176005888"</f>
        <v>10621176005888</v>
      </c>
      <c r="F824" s="8">
        <v>665</v>
      </c>
      <c r="G824" s="8">
        <v>10940</v>
      </c>
      <c r="H824" s="8">
        <v>120</v>
      </c>
      <c r="I824" s="8">
        <v>2011</v>
      </c>
    </row>
    <row r="825" spans="1:9" x14ac:dyDescent="0.2">
      <c r="A825" t="s">
        <v>198</v>
      </c>
      <c r="B825" t="s">
        <v>213</v>
      </c>
      <c r="C825" t="str">
        <f t="shared" si="42"/>
        <v>10621170000000</v>
      </c>
      <c r="D825" t="s">
        <v>289</v>
      </c>
      <c r="E825" t="str">
        <f>"10621176112742"</f>
        <v>10621176112742</v>
      </c>
      <c r="F825" s="8">
        <v>133</v>
      </c>
      <c r="G825" s="8">
        <v>10717</v>
      </c>
      <c r="H825" s="8">
        <v>120</v>
      </c>
      <c r="I825" s="8">
        <v>2011</v>
      </c>
    </row>
    <row r="826" spans="1:9" x14ac:dyDescent="0.2">
      <c r="A826" t="s">
        <v>198</v>
      </c>
      <c r="B826" t="s">
        <v>213</v>
      </c>
      <c r="C826" t="str">
        <f t="shared" si="42"/>
        <v>10621170000000</v>
      </c>
      <c r="D826" t="s">
        <v>2820</v>
      </c>
      <c r="E826" t="str">
        <f>"10621176005862"</f>
        <v>10621176005862</v>
      </c>
      <c r="F826" s="8">
        <v>292</v>
      </c>
      <c r="G826" s="8">
        <v>10548</v>
      </c>
      <c r="H826" s="8">
        <v>120</v>
      </c>
      <c r="I826" s="8">
        <v>2011</v>
      </c>
    </row>
    <row r="827" spans="1:9" x14ac:dyDescent="0.2">
      <c r="A827" t="s">
        <v>198</v>
      </c>
      <c r="B827" t="s">
        <v>213</v>
      </c>
      <c r="C827" t="str">
        <f t="shared" si="42"/>
        <v>10621170000000</v>
      </c>
      <c r="D827" t="s">
        <v>1811</v>
      </c>
      <c r="E827" t="str">
        <f>"10621176109920"</f>
        <v>10621176109920</v>
      </c>
      <c r="F827" s="8">
        <v>130</v>
      </c>
      <c r="G827" s="8">
        <v>10200</v>
      </c>
      <c r="H827" s="8">
        <v>120</v>
      </c>
      <c r="I827" s="8">
        <v>2011</v>
      </c>
    </row>
    <row r="828" spans="1:9" x14ac:dyDescent="0.2">
      <c r="A828" t="s">
        <v>198</v>
      </c>
      <c r="B828" t="s">
        <v>213</v>
      </c>
      <c r="C828" t="str">
        <f t="shared" si="42"/>
        <v>10621170000000</v>
      </c>
      <c r="D828" t="s">
        <v>2821</v>
      </c>
      <c r="E828" t="str">
        <f>"10621176120091"</f>
        <v>10621176120091</v>
      </c>
      <c r="F828" s="8">
        <v>202</v>
      </c>
      <c r="G828" s="8">
        <v>10079</v>
      </c>
      <c r="H828" s="8">
        <v>120</v>
      </c>
      <c r="I828" s="8">
        <v>2011</v>
      </c>
    </row>
    <row r="829" spans="1:9" x14ac:dyDescent="0.2">
      <c r="A829" t="s">
        <v>198</v>
      </c>
      <c r="B829" t="s">
        <v>213</v>
      </c>
      <c r="C829" t="str">
        <f t="shared" si="42"/>
        <v>10621170000000</v>
      </c>
      <c r="D829" t="s">
        <v>280</v>
      </c>
      <c r="E829" t="str">
        <f>"10621176110258"</f>
        <v>10621176110258</v>
      </c>
      <c r="F829" s="8">
        <v>1230</v>
      </c>
      <c r="G829" s="8">
        <v>8987</v>
      </c>
      <c r="H829" s="8">
        <v>120</v>
      </c>
      <c r="I829" s="8">
        <v>2011</v>
      </c>
    </row>
    <row r="830" spans="1:9" x14ac:dyDescent="0.2">
      <c r="A830" t="s">
        <v>198</v>
      </c>
      <c r="B830" t="s">
        <v>213</v>
      </c>
      <c r="C830" t="str">
        <f t="shared" si="42"/>
        <v>10621170000000</v>
      </c>
      <c r="D830" t="s">
        <v>2822</v>
      </c>
      <c r="E830" t="str">
        <f>"10621171030196"</f>
        <v>10621171030196</v>
      </c>
      <c r="F830" s="8">
        <v>261</v>
      </c>
      <c r="G830" s="8">
        <v>9200</v>
      </c>
      <c r="H830" s="8">
        <v>120</v>
      </c>
      <c r="I830" s="8">
        <v>2011</v>
      </c>
    </row>
    <row r="831" spans="1:9" x14ac:dyDescent="0.2">
      <c r="A831" t="s">
        <v>198</v>
      </c>
      <c r="B831" t="s">
        <v>213</v>
      </c>
      <c r="C831" t="str">
        <f t="shared" si="42"/>
        <v>10621170000000</v>
      </c>
      <c r="D831" t="s">
        <v>2823</v>
      </c>
      <c r="E831" t="str">
        <f>"10621176005854"</f>
        <v>10621176005854</v>
      </c>
      <c r="F831" s="8">
        <v>256</v>
      </c>
      <c r="G831" s="8">
        <v>9077</v>
      </c>
      <c r="H831" s="8">
        <v>120</v>
      </c>
      <c r="I831" s="8">
        <v>2011</v>
      </c>
    </row>
    <row r="832" spans="1:9" x14ac:dyDescent="0.2">
      <c r="A832" t="s">
        <v>198</v>
      </c>
      <c r="B832" t="s">
        <v>213</v>
      </c>
      <c r="C832" t="str">
        <f t="shared" si="42"/>
        <v>10621170000000</v>
      </c>
      <c r="D832" t="s">
        <v>2824</v>
      </c>
      <c r="E832" t="str">
        <f>"10621176005904"</f>
        <v>10621176005904</v>
      </c>
      <c r="F832" s="8">
        <v>1014</v>
      </c>
      <c r="G832" s="8">
        <v>8094</v>
      </c>
      <c r="H832" s="8">
        <v>120</v>
      </c>
      <c r="I832" s="8">
        <v>2011</v>
      </c>
    </row>
    <row r="833" spans="1:9" x14ac:dyDescent="0.2">
      <c r="A833" t="s">
        <v>198</v>
      </c>
      <c r="B833" t="s">
        <v>213</v>
      </c>
      <c r="C833" t="str">
        <f t="shared" si="42"/>
        <v>10621170000000</v>
      </c>
      <c r="D833" t="s">
        <v>2825</v>
      </c>
      <c r="E833" t="str">
        <f>"10621176116313"</f>
        <v>10621176116313</v>
      </c>
      <c r="F833" s="8">
        <v>1018</v>
      </c>
      <c r="G833" s="8">
        <v>7970</v>
      </c>
      <c r="H833" s="8">
        <v>120</v>
      </c>
      <c r="I833" s="8">
        <v>2011</v>
      </c>
    </row>
    <row r="834" spans="1:9" x14ac:dyDescent="0.2">
      <c r="A834" t="s">
        <v>198</v>
      </c>
      <c r="B834" t="s">
        <v>213</v>
      </c>
      <c r="C834" t="str">
        <f t="shared" si="42"/>
        <v>10621170000000</v>
      </c>
      <c r="D834" t="s">
        <v>2826</v>
      </c>
      <c r="E834" t="str">
        <f>"10621171030683"</f>
        <v>10621171030683</v>
      </c>
      <c r="F834" s="8">
        <v>284</v>
      </c>
      <c r="G834" s="8">
        <v>8535</v>
      </c>
      <c r="H834" s="8">
        <v>120</v>
      </c>
      <c r="I834" s="8">
        <v>2011</v>
      </c>
    </row>
    <row r="835" spans="1:9" x14ac:dyDescent="0.2">
      <c r="A835" t="s">
        <v>198</v>
      </c>
      <c r="B835" t="s">
        <v>213</v>
      </c>
      <c r="C835" t="str">
        <f t="shared" si="42"/>
        <v>10621170000000</v>
      </c>
      <c r="D835" t="s">
        <v>2827</v>
      </c>
      <c r="E835" t="str">
        <f>"10621176097026"</f>
        <v>10621176097026</v>
      </c>
      <c r="F835" s="8">
        <v>888</v>
      </c>
      <c r="G835" s="8">
        <v>7922</v>
      </c>
      <c r="H835" s="8">
        <v>120</v>
      </c>
      <c r="I835" s="8">
        <v>2011</v>
      </c>
    </row>
    <row r="836" spans="1:9" x14ac:dyDescent="0.2">
      <c r="A836" t="s">
        <v>198</v>
      </c>
      <c r="B836" t="s">
        <v>213</v>
      </c>
      <c r="C836" t="str">
        <f t="shared" si="42"/>
        <v>10621170000000</v>
      </c>
      <c r="D836" t="s">
        <v>2828</v>
      </c>
      <c r="E836" t="str">
        <f>"10621176005847"</f>
        <v>10621176005847</v>
      </c>
      <c r="F836" s="8">
        <v>664</v>
      </c>
      <c r="G836" s="8">
        <v>8102</v>
      </c>
      <c r="H836" s="8">
        <v>120</v>
      </c>
      <c r="I836" s="8">
        <v>2011</v>
      </c>
    </row>
    <row r="837" spans="1:9" x14ac:dyDescent="0.2">
      <c r="A837" t="s">
        <v>198</v>
      </c>
      <c r="B837" t="s">
        <v>213</v>
      </c>
      <c r="C837" t="str">
        <f t="shared" si="42"/>
        <v>10621170000000</v>
      </c>
      <c r="D837" t="s">
        <v>2829</v>
      </c>
      <c r="E837" t="str">
        <f>"10621170113555"</f>
        <v>10621170113555</v>
      </c>
      <c r="F837" s="8">
        <v>344</v>
      </c>
      <c r="G837" s="8">
        <v>8404</v>
      </c>
      <c r="H837" s="8">
        <v>120</v>
      </c>
      <c r="I837" s="8">
        <v>2011</v>
      </c>
    </row>
    <row r="838" spans="1:9" x14ac:dyDescent="0.2">
      <c r="A838" t="s">
        <v>198</v>
      </c>
      <c r="B838" t="s">
        <v>213</v>
      </c>
      <c r="C838" t="str">
        <f t="shared" si="42"/>
        <v>10621170000000</v>
      </c>
      <c r="D838" t="s">
        <v>2830</v>
      </c>
      <c r="E838" t="str">
        <f>"10621176005912"</f>
        <v>10621176005912</v>
      </c>
      <c r="F838" s="8">
        <v>844</v>
      </c>
      <c r="G838" s="8">
        <v>7898</v>
      </c>
      <c r="H838" s="8">
        <v>120</v>
      </c>
      <c r="I838" s="8">
        <v>2011</v>
      </c>
    </row>
    <row r="839" spans="1:9" x14ac:dyDescent="0.2">
      <c r="A839" t="s">
        <v>198</v>
      </c>
      <c r="B839" t="s">
        <v>213</v>
      </c>
      <c r="C839" t="str">
        <f t="shared" si="42"/>
        <v>10621170000000</v>
      </c>
      <c r="D839" t="s">
        <v>2831</v>
      </c>
      <c r="E839" t="str">
        <f>"10621171030501"</f>
        <v>10621171030501</v>
      </c>
      <c r="F839" s="8">
        <v>441</v>
      </c>
      <c r="G839" s="8">
        <v>8249</v>
      </c>
      <c r="H839" s="8">
        <v>120</v>
      </c>
      <c r="I839" s="8">
        <v>2011</v>
      </c>
    </row>
    <row r="840" spans="1:9" x14ac:dyDescent="0.2">
      <c r="A840" t="s">
        <v>198</v>
      </c>
      <c r="B840" t="s">
        <v>213</v>
      </c>
      <c r="C840" t="str">
        <f t="shared" si="42"/>
        <v>10621170000000</v>
      </c>
      <c r="D840" t="s">
        <v>2832</v>
      </c>
      <c r="E840" t="str">
        <f>"10621176005920"</f>
        <v>10621176005920</v>
      </c>
      <c r="F840" s="8">
        <v>1024</v>
      </c>
      <c r="G840" s="8">
        <v>7628</v>
      </c>
      <c r="H840" s="8">
        <v>120</v>
      </c>
      <c r="I840" s="8">
        <v>2011</v>
      </c>
    </row>
    <row r="841" spans="1:9" x14ac:dyDescent="0.2">
      <c r="A841" t="s">
        <v>198</v>
      </c>
      <c r="B841" t="s">
        <v>213</v>
      </c>
      <c r="C841" t="str">
        <f t="shared" si="42"/>
        <v>10621170000000</v>
      </c>
      <c r="D841" t="s">
        <v>2833</v>
      </c>
      <c r="E841" t="str">
        <f>"10621176101190"</f>
        <v>10621176101190</v>
      </c>
      <c r="F841" s="8">
        <v>391</v>
      </c>
      <c r="G841" s="8">
        <v>8134</v>
      </c>
      <c r="H841" s="8">
        <v>120</v>
      </c>
      <c r="I841" s="8">
        <v>2011</v>
      </c>
    </row>
    <row r="842" spans="1:9" x14ac:dyDescent="0.2">
      <c r="A842" t="s">
        <v>198</v>
      </c>
      <c r="B842" t="s">
        <v>213</v>
      </c>
      <c r="C842" t="str">
        <f t="shared" si="42"/>
        <v>10621170000000</v>
      </c>
      <c r="D842" t="s">
        <v>2834</v>
      </c>
      <c r="E842" t="str">
        <f>"10621176117550"</f>
        <v>10621176117550</v>
      </c>
      <c r="F842" s="8">
        <v>239</v>
      </c>
      <c r="G842" s="8">
        <v>8269</v>
      </c>
      <c r="H842" s="8">
        <v>120</v>
      </c>
      <c r="I842" s="8">
        <v>2011</v>
      </c>
    </row>
    <row r="843" spans="1:9" x14ac:dyDescent="0.2">
      <c r="A843" t="s">
        <v>198</v>
      </c>
      <c r="B843" t="s">
        <v>213</v>
      </c>
      <c r="C843" t="str">
        <f t="shared" si="42"/>
        <v>10621170000000</v>
      </c>
      <c r="D843" t="s">
        <v>1194</v>
      </c>
      <c r="E843" t="str">
        <f>"10621176005870"</f>
        <v>10621176005870</v>
      </c>
      <c r="F843" s="8">
        <v>703</v>
      </c>
      <c r="G843" s="8">
        <v>7713</v>
      </c>
      <c r="H843" s="8">
        <v>120</v>
      </c>
      <c r="I843" s="8">
        <v>2011</v>
      </c>
    </row>
    <row r="844" spans="1:9" x14ac:dyDescent="0.2">
      <c r="A844" t="s">
        <v>198</v>
      </c>
      <c r="B844" t="s">
        <v>213</v>
      </c>
      <c r="C844" t="str">
        <f t="shared" si="42"/>
        <v>10621170000000</v>
      </c>
      <c r="D844" t="s">
        <v>710</v>
      </c>
      <c r="E844" t="str">
        <f>"10621176104624"</f>
        <v>10621176104624</v>
      </c>
      <c r="F844" s="8">
        <v>673</v>
      </c>
      <c r="G844" s="8">
        <v>7604</v>
      </c>
      <c r="H844" s="8">
        <v>120</v>
      </c>
      <c r="I844" s="8">
        <v>2011</v>
      </c>
    </row>
    <row r="845" spans="1:9" x14ac:dyDescent="0.2">
      <c r="A845" t="s">
        <v>198</v>
      </c>
      <c r="B845" t="s">
        <v>213</v>
      </c>
      <c r="C845" t="str">
        <f t="shared" si="42"/>
        <v>10621170000000</v>
      </c>
      <c r="D845" t="s">
        <v>2835</v>
      </c>
      <c r="E845" t="str">
        <f>"10621176005938"</f>
        <v>10621176005938</v>
      </c>
      <c r="F845" s="8">
        <v>907</v>
      </c>
      <c r="G845" s="8">
        <v>7183</v>
      </c>
      <c r="H845" s="8">
        <v>120</v>
      </c>
      <c r="I845" s="8">
        <v>2011</v>
      </c>
    </row>
    <row r="846" spans="1:9" x14ac:dyDescent="0.2">
      <c r="A846" t="s">
        <v>198</v>
      </c>
      <c r="B846" t="s">
        <v>213</v>
      </c>
      <c r="C846" t="str">
        <f t="shared" si="42"/>
        <v>10621170000000</v>
      </c>
      <c r="D846" t="s">
        <v>2836</v>
      </c>
      <c r="E846" t="str">
        <f>"10621170118018"</f>
        <v>10621170118018</v>
      </c>
      <c r="F846" s="8">
        <v>64</v>
      </c>
      <c r="G846" s="8">
        <v>8020</v>
      </c>
      <c r="H846" s="8">
        <v>120</v>
      </c>
      <c r="I846" s="8">
        <v>2011</v>
      </c>
    </row>
    <row r="847" spans="1:9" x14ac:dyDescent="0.2">
      <c r="A847" t="s">
        <v>198</v>
      </c>
      <c r="B847" t="s">
        <v>213</v>
      </c>
      <c r="C847" t="str">
        <f t="shared" si="42"/>
        <v>10621170000000</v>
      </c>
      <c r="D847" t="s">
        <v>2837</v>
      </c>
      <c r="E847" t="str">
        <f>"10621176108088"</f>
        <v>10621176108088</v>
      </c>
      <c r="F847" s="8">
        <v>866</v>
      </c>
      <c r="G847" s="8">
        <v>7212</v>
      </c>
      <c r="H847" s="8">
        <v>120</v>
      </c>
      <c r="I847" s="8">
        <v>2011</v>
      </c>
    </row>
    <row r="848" spans="1:9" x14ac:dyDescent="0.2">
      <c r="A848" t="s">
        <v>198</v>
      </c>
      <c r="B848" t="s">
        <v>213</v>
      </c>
      <c r="C848" t="str">
        <f t="shared" si="42"/>
        <v>10621170000000</v>
      </c>
      <c r="D848" t="s">
        <v>2838</v>
      </c>
      <c r="E848" t="str">
        <f>"10621170113548"</f>
        <v>10621170113548</v>
      </c>
      <c r="F848" s="8">
        <v>272</v>
      </c>
      <c r="G848" s="8">
        <v>7782</v>
      </c>
      <c r="H848" s="8">
        <v>120</v>
      </c>
      <c r="I848" s="8">
        <v>2011</v>
      </c>
    </row>
    <row r="849" spans="1:9" x14ac:dyDescent="0.2">
      <c r="A849" t="s">
        <v>198</v>
      </c>
      <c r="B849" t="s">
        <v>213</v>
      </c>
      <c r="C849" t="str">
        <f t="shared" si="42"/>
        <v>10621170000000</v>
      </c>
      <c r="D849" t="s">
        <v>2839</v>
      </c>
      <c r="E849" t="str">
        <f>"10621176101984"</f>
        <v>10621176101984</v>
      </c>
      <c r="F849" s="8">
        <v>518</v>
      </c>
      <c r="G849" s="8">
        <v>7446</v>
      </c>
      <c r="H849" s="8">
        <v>120</v>
      </c>
      <c r="I849" s="8">
        <v>2011</v>
      </c>
    </row>
    <row r="850" spans="1:9" x14ac:dyDescent="0.2">
      <c r="A850" t="s">
        <v>198</v>
      </c>
      <c r="B850" t="s">
        <v>213</v>
      </c>
      <c r="C850" t="str">
        <f t="shared" si="42"/>
        <v>10621170000000</v>
      </c>
      <c r="D850" t="s">
        <v>2840</v>
      </c>
      <c r="E850" t="str">
        <f>"10621176066617"</f>
        <v>10621176066617</v>
      </c>
      <c r="F850" s="8">
        <v>109</v>
      </c>
      <c r="G850" s="8">
        <v>7814</v>
      </c>
      <c r="H850" s="8">
        <v>120</v>
      </c>
      <c r="I850" s="8">
        <v>2011</v>
      </c>
    </row>
    <row r="851" spans="1:9" x14ac:dyDescent="0.2">
      <c r="A851" t="s">
        <v>198</v>
      </c>
      <c r="B851" t="s">
        <v>213</v>
      </c>
      <c r="C851" t="str">
        <f t="shared" ref="C851:C867" si="43">"10621170000000"</f>
        <v>10621170000000</v>
      </c>
      <c r="D851" t="s">
        <v>2841</v>
      </c>
      <c r="E851" t="str">
        <f>"10621176109912"</f>
        <v>10621176109912</v>
      </c>
      <c r="F851" s="8">
        <v>422</v>
      </c>
      <c r="G851" s="8">
        <v>7471</v>
      </c>
      <c r="H851" s="8">
        <v>120</v>
      </c>
      <c r="I851" s="8">
        <v>2011</v>
      </c>
    </row>
    <row r="852" spans="1:9" x14ac:dyDescent="0.2">
      <c r="A852" t="s">
        <v>198</v>
      </c>
      <c r="B852" t="s">
        <v>213</v>
      </c>
      <c r="C852" t="str">
        <f t="shared" si="43"/>
        <v>10621170000000</v>
      </c>
      <c r="D852" t="s">
        <v>2842</v>
      </c>
      <c r="E852" t="str">
        <f>"10621170133314"</f>
        <v>10621170133314</v>
      </c>
      <c r="F852" s="8">
        <v>132</v>
      </c>
      <c r="G852" s="8">
        <v>7743</v>
      </c>
      <c r="H852" s="8">
        <v>120</v>
      </c>
      <c r="I852" s="8">
        <v>2011</v>
      </c>
    </row>
    <row r="853" spans="1:9" x14ac:dyDescent="0.2">
      <c r="A853" t="s">
        <v>198</v>
      </c>
      <c r="B853" t="s">
        <v>213</v>
      </c>
      <c r="C853" t="str">
        <f t="shared" si="43"/>
        <v>10621170000000</v>
      </c>
      <c r="D853" t="s">
        <v>2843</v>
      </c>
      <c r="E853" t="str">
        <f>"10621176116321"</f>
        <v>10621176116321</v>
      </c>
      <c r="F853" s="8">
        <v>156</v>
      </c>
      <c r="G853" s="8">
        <v>7591</v>
      </c>
      <c r="H853" s="8">
        <v>120</v>
      </c>
      <c r="I853" s="8">
        <v>2011</v>
      </c>
    </row>
    <row r="854" spans="1:9" x14ac:dyDescent="0.2">
      <c r="A854" t="s">
        <v>198</v>
      </c>
      <c r="B854" t="s">
        <v>213</v>
      </c>
      <c r="C854" t="str">
        <f t="shared" si="43"/>
        <v>10621170000000</v>
      </c>
      <c r="D854" t="s">
        <v>2844</v>
      </c>
      <c r="E854" t="str">
        <f>"10621176113583"</f>
        <v>10621176113583</v>
      </c>
      <c r="F854" s="8">
        <v>228</v>
      </c>
      <c r="G854" s="8">
        <v>7493</v>
      </c>
      <c r="H854" s="8">
        <v>120</v>
      </c>
      <c r="I854" s="8">
        <v>2011</v>
      </c>
    </row>
    <row r="855" spans="1:9" x14ac:dyDescent="0.2">
      <c r="A855" t="s">
        <v>198</v>
      </c>
      <c r="B855" t="s">
        <v>213</v>
      </c>
      <c r="C855" t="str">
        <f t="shared" si="43"/>
        <v>10621170000000</v>
      </c>
      <c r="D855" t="s">
        <v>2845</v>
      </c>
      <c r="E855" t="str">
        <f>"10621170113563"</f>
        <v>10621170113563</v>
      </c>
      <c r="F855" s="8">
        <v>205</v>
      </c>
      <c r="G855" s="8">
        <v>7462</v>
      </c>
      <c r="H855" s="8">
        <v>120</v>
      </c>
      <c r="I855" s="8">
        <v>2011</v>
      </c>
    </row>
    <row r="856" spans="1:9" x14ac:dyDescent="0.2">
      <c r="A856" t="s">
        <v>198</v>
      </c>
      <c r="B856" t="s">
        <v>213</v>
      </c>
      <c r="C856" t="str">
        <f t="shared" si="43"/>
        <v>10621170000000</v>
      </c>
      <c r="D856" t="s">
        <v>2846</v>
      </c>
      <c r="E856" t="str">
        <f>"10621171031053"</f>
        <v>10621171031053</v>
      </c>
      <c r="F856" s="8">
        <v>186</v>
      </c>
      <c r="G856" s="8">
        <v>7468</v>
      </c>
      <c r="H856" s="8">
        <v>120</v>
      </c>
      <c r="I856" s="8">
        <v>2011</v>
      </c>
    </row>
    <row r="857" spans="1:9" x14ac:dyDescent="0.2">
      <c r="A857" t="s">
        <v>198</v>
      </c>
      <c r="B857" t="s">
        <v>213</v>
      </c>
      <c r="C857" t="str">
        <f t="shared" si="43"/>
        <v>10621170000000</v>
      </c>
      <c r="D857" t="s">
        <v>2847</v>
      </c>
      <c r="E857" t="str">
        <f>"10621170139766"</f>
        <v>10621170139766</v>
      </c>
      <c r="F857" s="8">
        <v>212</v>
      </c>
      <c r="G857" s="8">
        <v>7424</v>
      </c>
      <c r="H857" s="8">
        <v>120</v>
      </c>
      <c r="I857" s="8">
        <v>2011</v>
      </c>
    </row>
    <row r="858" spans="1:9" x14ac:dyDescent="0.2">
      <c r="A858" t="s">
        <v>198</v>
      </c>
      <c r="B858" t="s">
        <v>213</v>
      </c>
      <c r="C858" t="str">
        <f t="shared" si="43"/>
        <v>10621170000000</v>
      </c>
      <c r="D858" t="s">
        <v>2848</v>
      </c>
      <c r="E858" t="str">
        <f>"10621170108142"</f>
        <v>10621170108142</v>
      </c>
      <c r="F858" s="8">
        <v>201</v>
      </c>
      <c r="G858" s="8">
        <v>7361</v>
      </c>
      <c r="H858" s="8">
        <v>120</v>
      </c>
      <c r="I858" s="8">
        <v>2011</v>
      </c>
    </row>
    <row r="859" spans="1:9" x14ac:dyDescent="0.2">
      <c r="A859" t="s">
        <v>198</v>
      </c>
      <c r="B859" t="s">
        <v>213</v>
      </c>
      <c r="C859" t="str">
        <f t="shared" si="43"/>
        <v>10621170000000</v>
      </c>
      <c r="D859" t="s">
        <v>2243</v>
      </c>
      <c r="E859" t="str">
        <f>"10621176100408"</f>
        <v>10621176100408</v>
      </c>
      <c r="F859" s="8">
        <v>619</v>
      </c>
      <c r="G859" s="8">
        <v>6851</v>
      </c>
      <c r="H859" s="8">
        <v>120</v>
      </c>
      <c r="I859" s="8">
        <v>2011</v>
      </c>
    </row>
    <row r="860" spans="1:9" x14ac:dyDescent="0.2">
      <c r="A860" t="s">
        <v>198</v>
      </c>
      <c r="B860" t="s">
        <v>213</v>
      </c>
      <c r="C860" t="str">
        <f t="shared" si="43"/>
        <v>10621170000000</v>
      </c>
      <c r="D860" t="s">
        <v>2849</v>
      </c>
      <c r="E860" t="str">
        <f>"10621176106660"</f>
        <v>10621176106660</v>
      </c>
      <c r="F860" s="8">
        <v>160</v>
      </c>
      <c r="G860" s="8">
        <v>7303</v>
      </c>
      <c r="H860" s="8">
        <v>120</v>
      </c>
      <c r="I860" s="8">
        <v>2011</v>
      </c>
    </row>
    <row r="861" spans="1:9" x14ac:dyDescent="0.2">
      <c r="A861" t="s">
        <v>198</v>
      </c>
      <c r="B861" t="s">
        <v>213</v>
      </c>
      <c r="C861" t="str">
        <f t="shared" si="43"/>
        <v>10621170000000</v>
      </c>
      <c r="D861" t="s">
        <v>2850</v>
      </c>
      <c r="E861" t="str">
        <f>"10621176120083"</f>
        <v>10621176120083</v>
      </c>
      <c r="F861" s="8">
        <v>312</v>
      </c>
      <c r="G861" s="8">
        <v>7148</v>
      </c>
      <c r="H861" s="8">
        <v>120</v>
      </c>
      <c r="I861" s="8">
        <v>2011</v>
      </c>
    </row>
    <row r="862" spans="1:9" x14ac:dyDescent="0.2">
      <c r="A862" t="s">
        <v>198</v>
      </c>
      <c r="B862" t="s">
        <v>213</v>
      </c>
      <c r="C862" t="str">
        <f t="shared" si="43"/>
        <v>10621170000000</v>
      </c>
      <c r="D862" t="s">
        <v>2442</v>
      </c>
      <c r="E862" t="str">
        <f>"10621176113575"</f>
        <v>10621176113575</v>
      </c>
      <c r="F862" s="8">
        <v>213</v>
      </c>
      <c r="G862" s="8">
        <v>6837</v>
      </c>
      <c r="H862" s="8">
        <v>120</v>
      </c>
      <c r="I862" s="8">
        <v>2011</v>
      </c>
    </row>
    <row r="863" spans="1:9" x14ac:dyDescent="0.2">
      <c r="A863" t="s">
        <v>198</v>
      </c>
      <c r="B863" t="s">
        <v>213</v>
      </c>
      <c r="C863" t="str">
        <f t="shared" si="43"/>
        <v>10621170000000</v>
      </c>
      <c r="D863" t="s">
        <v>2851</v>
      </c>
      <c r="E863" t="str">
        <f>"10621170111153"</f>
        <v>10621170111153</v>
      </c>
      <c r="F863" s="8">
        <v>191</v>
      </c>
      <c r="G863" s="8">
        <v>6784</v>
      </c>
      <c r="H863" s="8">
        <v>120</v>
      </c>
      <c r="I863" s="8">
        <v>2011</v>
      </c>
    </row>
    <row r="864" spans="1:9" x14ac:dyDescent="0.2">
      <c r="A864" t="s">
        <v>198</v>
      </c>
      <c r="B864" t="s">
        <v>213</v>
      </c>
      <c r="C864" t="str">
        <f t="shared" si="43"/>
        <v>10621170000000</v>
      </c>
      <c r="D864" t="s">
        <v>2852</v>
      </c>
      <c r="E864" t="str">
        <f>"10621170106419"</f>
        <v>10621170106419</v>
      </c>
      <c r="F864" s="8">
        <v>182</v>
      </c>
      <c r="G864" s="8">
        <v>6474</v>
      </c>
      <c r="H864" s="8">
        <v>120</v>
      </c>
      <c r="I864" s="8">
        <v>2011</v>
      </c>
    </row>
    <row r="865" spans="1:9" x14ac:dyDescent="0.2">
      <c r="A865" t="s">
        <v>198</v>
      </c>
      <c r="B865" t="s">
        <v>213</v>
      </c>
      <c r="C865" t="str">
        <f t="shared" si="43"/>
        <v>10621170000000</v>
      </c>
      <c r="D865" t="s">
        <v>2853</v>
      </c>
      <c r="E865" t="str">
        <f>"10621170123869"</f>
        <v>10621170123869</v>
      </c>
      <c r="F865" s="8">
        <v>192</v>
      </c>
      <c r="G865" s="8">
        <v>6186</v>
      </c>
      <c r="H865" s="8">
        <v>120</v>
      </c>
      <c r="I865" s="8">
        <v>2011</v>
      </c>
    </row>
    <row r="866" spans="1:9" x14ac:dyDescent="0.2">
      <c r="A866" t="s">
        <v>198</v>
      </c>
      <c r="B866" t="s">
        <v>213</v>
      </c>
      <c r="C866" t="str">
        <f t="shared" si="43"/>
        <v>10621170000000</v>
      </c>
      <c r="D866" t="s">
        <v>2854</v>
      </c>
      <c r="E866" t="str">
        <f>"10621176109243"</f>
        <v>10621176109243</v>
      </c>
      <c r="F866" s="8">
        <v>148</v>
      </c>
      <c r="G866" s="8">
        <v>6086</v>
      </c>
      <c r="H866" s="8">
        <v>120</v>
      </c>
      <c r="I866" s="8">
        <v>2011</v>
      </c>
    </row>
    <row r="867" spans="1:9" x14ac:dyDescent="0.2">
      <c r="A867" t="s">
        <v>198</v>
      </c>
      <c r="B867" t="s">
        <v>213</v>
      </c>
      <c r="C867" t="str">
        <f t="shared" si="43"/>
        <v>10621170000000</v>
      </c>
      <c r="D867" t="s">
        <v>2855</v>
      </c>
      <c r="E867" t="str">
        <f>"10621171030469"</f>
        <v>10621171030469</v>
      </c>
      <c r="F867" s="8">
        <v>0</v>
      </c>
      <c r="G867" s="8">
        <v>5037</v>
      </c>
      <c r="H867" s="8">
        <v>120</v>
      </c>
      <c r="I867" s="8">
        <v>2011</v>
      </c>
    </row>
    <row r="868" spans="1:9" x14ac:dyDescent="0.2">
      <c r="A868" t="s">
        <v>198</v>
      </c>
      <c r="B868" t="s">
        <v>214</v>
      </c>
      <c r="C868" t="str">
        <f t="shared" ref="C868:C878" si="44">"10621250000000"</f>
        <v>10621250000000</v>
      </c>
      <c r="D868" t="s">
        <v>2856</v>
      </c>
      <c r="E868" t="str">
        <f>"10621256110225"</f>
        <v>10621256110225</v>
      </c>
      <c r="F868" s="8">
        <v>518</v>
      </c>
      <c r="G868" s="8">
        <v>8236</v>
      </c>
      <c r="H868" s="8">
        <v>2008</v>
      </c>
      <c r="I868" s="8">
        <v>4369</v>
      </c>
    </row>
    <row r="869" spans="1:9" x14ac:dyDescent="0.2">
      <c r="A869" t="s">
        <v>198</v>
      </c>
      <c r="B869" t="s">
        <v>214</v>
      </c>
      <c r="C869" t="str">
        <f t="shared" si="44"/>
        <v>10621250000000</v>
      </c>
      <c r="D869" t="s">
        <v>2857</v>
      </c>
      <c r="E869" t="str">
        <f>"10621256110209"</f>
        <v>10621256110209</v>
      </c>
      <c r="F869" s="8">
        <v>435</v>
      </c>
      <c r="G869" s="8">
        <v>8033</v>
      </c>
      <c r="H869" s="8">
        <v>2008</v>
      </c>
      <c r="I869" s="8">
        <v>4369</v>
      </c>
    </row>
    <row r="870" spans="1:9" x14ac:dyDescent="0.2">
      <c r="A870" t="s">
        <v>198</v>
      </c>
      <c r="B870" t="s">
        <v>214</v>
      </c>
      <c r="C870" t="str">
        <f t="shared" si="44"/>
        <v>10621250000000</v>
      </c>
      <c r="D870" t="s">
        <v>2858</v>
      </c>
      <c r="E870" t="str">
        <f>"10621251031376"</f>
        <v>10621251031376</v>
      </c>
      <c r="F870" s="8">
        <v>386</v>
      </c>
      <c r="G870" s="8">
        <v>7418</v>
      </c>
      <c r="H870" s="8">
        <v>2008</v>
      </c>
      <c r="I870" s="8">
        <v>4369</v>
      </c>
    </row>
    <row r="871" spans="1:9" x14ac:dyDescent="0.2">
      <c r="A871" t="s">
        <v>198</v>
      </c>
      <c r="B871" t="s">
        <v>214</v>
      </c>
      <c r="C871" t="str">
        <f t="shared" si="44"/>
        <v>10621250000000</v>
      </c>
      <c r="D871" t="s">
        <v>2859</v>
      </c>
      <c r="E871" t="str">
        <f>"10621256113849"</f>
        <v>10621256113849</v>
      </c>
      <c r="F871" s="8">
        <v>296</v>
      </c>
      <c r="G871" s="8">
        <v>7506</v>
      </c>
      <c r="H871" s="8">
        <v>2008</v>
      </c>
      <c r="I871" s="8">
        <v>4369</v>
      </c>
    </row>
    <row r="872" spans="1:9" x14ac:dyDescent="0.2">
      <c r="A872" t="s">
        <v>198</v>
      </c>
      <c r="B872" t="s">
        <v>214</v>
      </c>
      <c r="C872" t="str">
        <f t="shared" si="44"/>
        <v>10621250000000</v>
      </c>
      <c r="D872" t="s">
        <v>2860</v>
      </c>
      <c r="E872" t="str">
        <f>"10621256005961"</f>
        <v>10621256005961</v>
      </c>
      <c r="F872" s="8">
        <v>570</v>
      </c>
      <c r="G872" s="8">
        <v>6826</v>
      </c>
      <c r="H872" s="8">
        <v>2008</v>
      </c>
      <c r="I872" s="8">
        <v>4369</v>
      </c>
    </row>
    <row r="873" spans="1:9" x14ac:dyDescent="0.2">
      <c r="A873" t="s">
        <v>198</v>
      </c>
      <c r="B873" t="s">
        <v>214</v>
      </c>
      <c r="C873" t="str">
        <f t="shared" si="44"/>
        <v>10621250000000</v>
      </c>
      <c r="D873" t="s">
        <v>2861</v>
      </c>
      <c r="E873" t="str">
        <f>"10621256057269"</f>
        <v>10621256057269</v>
      </c>
      <c r="F873" s="8">
        <v>450</v>
      </c>
      <c r="G873" s="8">
        <v>6427</v>
      </c>
      <c r="H873" s="8">
        <v>2008</v>
      </c>
      <c r="I873" s="8">
        <v>4369</v>
      </c>
    </row>
    <row r="874" spans="1:9" x14ac:dyDescent="0.2">
      <c r="A874" t="s">
        <v>198</v>
      </c>
      <c r="B874" t="s">
        <v>214</v>
      </c>
      <c r="C874" t="str">
        <f t="shared" si="44"/>
        <v>10621250000000</v>
      </c>
      <c r="D874" t="s">
        <v>2220</v>
      </c>
      <c r="E874" t="str">
        <f>"10621256005979"</f>
        <v>10621256005979</v>
      </c>
      <c r="F874" s="8">
        <v>478</v>
      </c>
      <c r="G874" s="8">
        <v>6134</v>
      </c>
      <c r="H874" s="8">
        <v>2008</v>
      </c>
      <c r="I874" s="8">
        <v>4369</v>
      </c>
    </row>
    <row r="875" spans="1:9" x14ac:dyDescent="0.2">
      <c r="A875" t="s">
        <v>198</v>
      </c>
      <c r="B875" t="s">
        <v>214</v>
      </c>
      <c r="C875" t="str">
        <f t="shared" si="44"/>
        <v>10621250000000</v>
      </c>
      <c r="D875" t="s">
        <v>2862</v>
      </c>
      <c r="E875" t="str">
        <f>"10621251030113"</f>
        <v>10621251030113</v>
      </c>
      <c r="F875" s="8">
        <v>844</v>
      </c>
      <c r="G875" s="8">
        <v>1508</v>
      </c>
      <c r="H875" s="8">
        <v>2008</v>
      </c>
      <c r="I875" s="8">
        <v>4369</v>
      </c>
    </row>
    <row r="876" spans="1:9" x14ac:dyDescent="0.2">
      <c r="A876" t="s">
        <v>198</v>
      </c>
      <c r="B876" t="s">
        <v>214</v>
      </c>
      <c r="C876" t="str">
        <f t="shared" si="44"/>
        <v>10621250000000</v>
      </c>
      <c r="D876" t="s">
        <v>2863</v>
      </c>
      <c r="E876" t="str">
        <f>"10621251030873"</f>
        <v>10621251030873</v>
      </c>
      <c r="F876" s="8">
        <v>455</v>
      </c>
      <c r="G876" s="8">
        <v>0</v>
      </c>
      <c r="H876" s="8">
        <v>2008</v>
      </c>
      <c r="I876" s="8">
        <v>4369</v>
      </c>
    </row>
    <row r="877" spans="1:9" x14ac:dyDescent="0.2">
      <c r="A877" t="s">
        <v>198</v>
      </c>
      <c r="B877" t="s">
        <v>214</v>
      </c>
      <c r="C877" t="str">
        <f t="shared" si="44"/>
        <v>10621250000000</v>
      </c>
      <c r="D877" t="s">
        <v>2864</v>
      </c>
      <c r="E877" t="str">
        <f>"10621251030477"</f>
        <v>10621251030477</v>
      </c>
      <c r="F877" s="8">
        <v>254</v>
      </c>
      <c r="G877" s="8">
        <v>5</v>
      </c>
      <c r="H877" s="8">
        <v>2008</v>
      </c>
      <c r="I877" s="8">
        <v>4369</v>
      </c>
    </row>
    <row r="878" spans="1:9" x14ac:dyDescent="0.2">
      <c r="A878" t="s">
        <v>198</v>
      </c>
      <c r="B878" t="s">
        <v>214</v>
      </c>
      <c r="C878" t="str">
        <f t="shared" si="44"/>
        <v>10621250000000</v>
      </c>
      <c r="D878" t="s">
        <v>2865</v>
      </c>
      <c r="E878" t="str">
        <f>"10621256110217"</f>
        <v>10621256110217</v>
      </c>
      <c r="F878" s="8" t="s">
        <v>30</v>
      </c>
      <c r="G878" s="8" t="s">
        <v>30</v>
      </c>
      <c r="H878" s="8" t="s">
        <v>30</v>
      </c>
      <c r="I878" s="8" t="s">
        <v>30</v>
      </c>
    </row>
    <row r="879" spans="1:9" x14ac:dyDescent="0.2">
      <c r="A879" t="s">
        <v>198</v>
      </c>
      <c r="B879" t="s">
        <v>219</v>
      </c>
      <c r="C879" t="str">
        <f t="shared" ref="C879:C884" si="45">"10738090000000"</f>
        <v>10738090000000</v>
      </c>
      <c r="D879" t="s">
        <v>2866</v>
      </c>
      <c r="E879" t="str">
        <f>"10738091030147"</f>
        <v>10738091030147</v>
      </c>
      <c r="F879" s="8">
        <v>1163</v>
      </c>
      <c r="G879" s="8">
        <v>18167</v>
      </c>
      <c r="H879" s="8">
        <v>1163</v>
      </c>
      <c r="I879" s="8">
        <v>4895</v>
      </c>
    </row>
    <row r="880" spans="1:9" x14ac:dyDescent="0.2">
      <c r="A880" t="s">
        <v>198</v>
      </c>
      <c r="B880" t="s">
        <v>219</v>
      </c>
      <c r="C880" t="str">
        <f t="shared" si="45"/>
        <v>10738090000000</v>
      </c>
      <c r="D880" t="s">
        <v>2867</v>
      </c>
      <c r="E880" t="str">
        <f>"10738090123950"</f>
        <v>10738090123950</v>
      </c>
      <c r="F880" s="8">
        <v>1163</v>
      </c>
      <c r="G880" s="8">
        <v>18167</v>
      </c>
      <c r="H880" s="8">
        <v>1163</v>
      </c>
      <c r="I880" s="8">
        <v>4895</v>
      </c>
    </row>
    <row r="881" spans="1:9" x14ac:dyDescent="0.2">
      <c r="A881" t="s">
        <v>198</v>
      </c>
      <c r="B881" t="s">
        <v>219</v>
      </c>
      <c r="C881" t="str">
        <f t="shared" si="45"/>
        <v>10738090000000</v>
      </c>
      <c r="D881" t="s">
        <v>2868</v>
      </c>
      <c r="E881" t="str">
        <f>"10738091030121"</f>
        <v>10738091030121</v>
      </c>
      <c r="F881" s="8">
        <v>1313</v>
      </c>
      <c r="G881" s="8">
        <v>8501</v>
      </c>
      <c r="H881" s="8">
        <v>1163</v>
      </c>
      <c r="I881" s="8">
        <v>4895</v>
      </c>
    </row>
    <row r="882" spans="1:9" x14ac:dyDescent="0.2">
      <c r="A882" t="s">
        <v>198</v>
      </c>
      <c r="B882" t="s">
        <v>219</v>
      </c>
      <c r="C882" t="str">
        <f t="shared" si="45"/>
        <v>10738090000000</v>
      </c>
      <c r="D882" t="s">
        <v>2869</v>
      </c>
      <c r="E882" t="str">
        <f>"10738096006019"</f>
        <v>10738096006019</v>
      </c>
      <c r="F882" s="8">
        <v>2511</v>
      </c>
      <c r="G882" s="8">
        <v>6308</v>
      </c>
      <c r="H882" s="8">
        <v>1163</v>
      </c>
      <c r="I882" s="8">
        <v>4895</v>
      </c>
    </row>
    <row r="883" spans="1:9" x14ac:dyDescent="0.2">
      <c r="A883" t="s">
        <v>198</v>
      </c>
      <c r="B883" t="s">
        <v>219</v>
      </c>
      <c r="C883" t="str">
        <f t="shared" si="45"/>
        <v>10738090000000</v>
      </c>
      <c r="D883" t="s">
        <v>2870</v>
      </c>
      <c r="E883" t="str">
        <f>"10738096006001"</f>
        <v>10738096006001</v>
      </c>
      <c r="F883" s="8">
        <v>776</v>
      </c>
      <c r="G883" s="8">
        <v>7165</v>
      </c>
      <c r="H883" s="8">
        <v>1163</v>
      </c>
      <c r="I883" s="8">
        <v>4895</v>
      </c>
    </row>
    <row r="884" spans="1:9" x14ac:dyDescent="0.2">
      <c r="A884" t="s">
        <v>198</v>
      </c>
      <c r="B884" t="s">
        <v>219</v>
      </c>
      <c r="C884" t="str">
        <f t="shared" si="45"/>
        <v>10738090000000</v>
      </c>
      <c r="D884" t="s">
        <v>2871</v>
      </c>
      <c r="E884" t="str">
        <f>"10738096005995"</f>
        <v>10738096005995</v>
      </c>
      <c r="F884" s="8">
        <v>462</v>
      </c>
      <c r="G884" s="8">
        <v>6997</v>
      </c>
      <c r="H884" s="8">
        <v>1163</v>
      </c>
      <c r="I884" s="8">
        <v>4895</v>
      </c>
    </row>
    <row r="885" spans="1:9" x14ac:dyDescent="0.2">
      <c r="A885" t="s">
        <v>198</v>
      </c>
      <c r="B885" t="s">
        <v>220</v>
      </c>
      <c r="C885" t="str">
        <f t="shared" ref="C885:C893" si="46">"10621580000000"</f>
        <v>10621580000000</v>
      </c>
      <c r="D885" t="s">
        <v>2872</v>
      </c>
      <c r="E885" t="str">
        <f>"10621580126250"</f>
        <v>10621580126250</v>
      </c>
      <c r="F885" s="8">
        <v>107</v>
      </c>
      <c r="G885" s="8">
        <v>21043</v>
      </c>
      <c r="H885" s="8">
        <v>1268</v>
      </c>
      <c r="I885" s="8">
        <v>5477</v>
      </c>
    </row>
    <row r="886" spans="1:9" x14ac:dyDescent="0.2">
      <c r="A886" t="s">
        <v>198</v>
      </c>
      <c r="B886" t="s">
        <v>220</v>
      </c>
      <c r="C886" t="str">
        <f t="shared" si="46"/>
        <v>10621580000000</v>
      </c>
      <c r="D886" t="s">
        <v>2873</v>
      </c>
      <c r="E886" t="str">
        <f>"10621580108977"</f>
        <v>10621580108977</v>
      </c>
      <c r="F886" s="8">
        <v>107</v>
      </c>
      <c r="G886" s="8">
        <v>21043</v>
      </c>
      <c r="H886" s="8">
        <v>1268</v>
      </c>
      <c r="I886" s="8">
        <v>5477</v>
      </c>
    </row>
    <row r="887" spans="1:9" x14ac:dyDescent="0.2">
      <c r="A887" t="s">
        <v>198</v>
      </c>
      <c r="B887" t="s">
        <v>220</v>
      </c>
      <c r="C887" t="str">
        <f t="shared" si="46"/>
        <v>10621580000000</v>
      </c>
      <c r="D887" t="s">
        <v>2874</v>
      </c>
      <c r="E887" t="str">
        <f>"10621581031954"</f>
        <v>10621581031954</v>
      </c>
      <c r="F887" s="8">
        <v>107</v>
      </c>
      <c r="G887" s="8">
        <v>21043</v>
      </c>
      <c r="H887" s="8">
        <v>1268</v>
      </c>
      <c r="I887" s="8">
        <v>5477</v>
      </c>
    </row>
    <row r="888" spans="1:9" x14ac:dyDescent="0.2">
      <c r="A888" t="s">
        <v>198</v>
      </c>
      <c r="B888" t="s">
        <v>220</v>
      </c>
      <c r="C888" t="str">
        <f t="shared" si="46"/>
        <v>10621580000000</v>
      </c>
      <c r="D888" t="s">
        <v>2875</v>
      </c>
      <c r="E888" t="str">
        <f>"10621580120246"</f>
        <v>10621580120246</v>
      </c>
      <c r="F888" s="8">
        <v>107</v>
      </c>
      <c r="G888" s="8">
        <v>21043</v>
      </c>
      <c r="H888" s="8">
        <v>1268</v>
      </c>
      <c r="I888" s="8">
        <v>5477</v>
      </c>
    </row>
    <row r="889" spans="1:9" x14ac:dyDescent="0.2">
      <c r="A889" t="s">
        <v>198</v>
      </c>
      <c r="B889" t="s">
        <v>220</v>
      </c>
      <c r="C889" t="str">
        <f t="shared" si="46"/>
        <v>10621580000000</v>
      </c>
      <c r="D889" t="s">
        <v>2876</v>
      </c>
      <c r="E889" t="str">
        <f>"10621586006043"</f>
        <v>10621586006043</v>
      </c>
      <c r="F889" s="8">
        <v>1010</v>
      </c>
      <c r="G889" s="8">
        <v>8584</v>
      </c>
      <c r="H889" s="8">
        <v>1268</v>
      </c>
      <c r="I889" s="8">
        <v>5477</v>
      </c>
    </row>
    <row r="890" spans="1:9" x14ac:dyDescent="0.2">
      <c r="A890" t="s">
        <v>198</v>
      </c>
      <c r="B890" t="s">
        <v>220</v>
      </c>
      <c r="C890" t="str">
        <f t="shared" si="46"/>
        <v>10621580000000</v>
      </c>
      <c r="D890" t="s">
        <v>2877</v>
      </c>
      <c r="E890" t="str">
        <f>"10621581032150"</f>
        <v>10621581032150</v>
      </c>
      <c r="F890" s="8">
        <v>183</v>
      </c>
      <c r="G890" s="8">
        <v>7567</v>
      </c>
      <c r="H890" s="8">
        <v>1268</v>
      </c>
      <c r="I890" s="8">
        <v>5477</v>
      </c>
    </row>
    <row r="891" spans="1:9" x14ac:dyDescent="0.2">
      <c r="A891" t="s">
        <v>198</v>
      </c>
      <c r="B891" t="s">
        <v>220</v>
      </c>
      <c r="C891" t="str">
        <f t="shared" si="46"/>
        <v>10621580000000</v>
      </c>
      <c r="D891" t="s">
        <v>2110</v>
      </c>
      <c r="E891" t="str">
        <f>"10621586006050"</f>
        <v>10621586006050</v>
      </c>
      <c r="F891" s="8">
        <v>741</v>
      </c>
      <c r="G891" s="8">
        <v>6892</v>
      </c>
      <c r="H891" s="8">
        <v>1268</v>
      </c>
      <c r="I891" s="8">
        <v>5477</v>
      </c>
    </row>
    <row r="892" spans="1:9" x14ac:dyDescent="0.2">
      <c r="A892" t="s">
        <v>198</v>
      </c>
      <c r="B892" t="s">
        <v>220</v>
      </c>
      <c r="C892" t="str">
        <f t="shared" si="46"/>
        <v>10621580000000</v>
      </c>
      <c r="D892" t="s">
        <v>2500</v>
      </c>
      <c r="E892" t="str">
        <f>"10621586006027"</f>
        <v>10621586006027</v>
      </c>
      <c r="F892" s="8">
        <v>657</v>
      </c>
      <c r="G892" s="8">
        <v>5989</v>
      </c>
      <c r="H892" s="8">
        <v>1268</v>
      </c>
      <c r="I892" s="8">
        <v>5477</v>
      </c>
    </row>
    <row r="893" spans="1:9" x14ac:dyDescent="0.2">
      <c r="A893" t="s">
        <v>198</v>
      </c>
      <c r="B893" t="s">
        <v>220</v>
      </c>
      <c r="C893" t="str">
        <f t="shared" si="46"/>
        <v>10621580000000</v>
      </c>
      <c r="D893" t="s">
        <v>2878</v>
      </c>
      <c r="E893" t="str">
        <f>"10621586115190"</f>
        <v>10621586115190</v>
      </c>
      <c r="F893" s="8">
        <v>161</v>
      </c>
      <c r="G893" s="8">
        <v>6290</v>
      </c>
      <c r="H893" s="8">
        <v>1268</v>
      </c>
      <c r="I893" s="8">
        <v>5477</v>
      </c>
    </row>
    <row r="894" spans="1:9" x14ac:dyDescent="0.2">
      <c r="A894" t="s">
        <v>198</v>
      </c>
      <c r="B894" t="s">
        <v>221</v>
      </c>
      <c r="C894" t="str">
        <f>"10101080000000"</f>
        <v>10101080000000</v>
      </c>
      <c r="D894" t="s">
        <v>2879</v>
      </c>
      <c r="E894" t="str">
        <f>"10101086069488"</f>
        <v>10101086069488</v>
      </c>
      <c r="F894" s="8">
        <v>5263</v>
      </c>
      <c r="G894" s="8">
        <v>44416</v>
      </c>
      <c r="H894" s="8">
        <v>447</v>
      </c>
      <c r="I894" s="8">
        <v>2295</v>
      </c>
    </row>
    <row r="895" spans="1:9" x14ac:dyDescent="0.2">
      <c r="A895" t="s">
        <v>198</v>
      </c>
      <c r="B895" t="s">
        <v>221</v>
      </c>
      <c r="C895" t="str">
        <f>"10101080000000"</f>
        <v>10101080000000</v>
      </c>
      <c r="D895" t="s">
        <v>2880</v>
      </c>
      <c r="E895" t="str">
        <f>"10101081030337"</f>
        <v>10101081030337</v>
      </c>
      <c r="F895" s="8">
        <v>7145</v>
      </c>
      <c r="G895" s="8">
        <v>27918</v>
      </c>
      <c r="H895" s="8">
        <v>547</v>
      </c>
      <c r="I895" s="8">
        <v>2260</v>
      </c>
    </row>
    <row r="896" spans="1:9" x14ac:dyDescent="0.2">
      <c r="A896" t="s">
        <v>198</v>
      </c>
      <c r="B896" t="s">
        <v>221</v>
      </c>
      <c r="C896" t="str">
        <f>"10101080000000"</f>
        <v>10101080000000</v>
      </c>
      <c r="D896" t="s">
        <v>2881</v>
      </c>
      <c r="E896" t="str">
        <f>"10101081030899"</f>
        <v>10101081030899</v>
      </c>
      <c r="F896" s="8">
        <v>7145</v>
      </c>
      <c r="G896" s="8">
        <v>20480</v>
      </c>
      <c r="H896" s="8">
        <v>547</v>
      </c>
      <c r="I896" s="8">
        <v>1635</v>
      </c>
    </row>
    <row r="897" spans="1:9" x14ac:dyDescent="0.2">
      <c r="A897" t="s">
        <v>198</v>
      </c>
      <c r="B897" t="s">
        <v>222</v>
      </c>
      <c r="C897" t="str">
        <f t="shared" ref="C897:C928" si="47">"10621660000000"</f>
        <v>10621660000000</v>
      </c>
      <c r="D897" t="s">
        <v>2882</v>
      </c>
      <c r="E897" t="str">
        <f>"10621661030717"</f>
        <v>10621661030717</v>
      </c>
      <c r="F897" s="8">
        <v>13099</v>
      </c>
      <c r="G897" s="8">
        <v>72901</v>
      </c>
      <c r="H897" s="8">
        <v>15045</v>
      </c>
      <c r="I897" s="8">
        <v>81814</v>
      </c>
    </row>
    <row r="898" spans="1:9" x14ac:dyDescent="0.2">
      <c r="A898" t="s">
        <v>198</v>
      </c>
      <c r="B898" t="s">
        <v>222</v>
      </c>
      <c r="C898" t="str">
        <f t="shared" si="47"/>
        <v>10621660000000</v>
      </c>
      <c r="D898" t="s">
        <v>2883</v>
      </c>
      <c r="E898" t="str">
        <f>"10621666116651"</f>
        <v>10621666116651</v>
      </c>
      <c r="F898" s="8">
        <v>7159</v>
      </c>
      <c r="G898" s="8">
        <v>47014</v>
      </c>
      <c r="H898" s="8">
        <v>9300</v>
      </c>
      <c r="I898" s="8">
        <v>54666</v>
      </c>
    </row>
    <row r="899" spans="1:9" x14ac:dyDescent="0.2">
      <c r="A899" t="s">
        <v>198</v>
      </c>
      <c r="B899" t="s">
        <v>222</v>
      </c>
      <c r="C899" t="str">
        <f t="shared" si="47"/>
        <v>10621660000000</v>
      </c>
      <c r="D899" t="s">
        <v>2884</v>
      </c>
      <c r="E899" t="str">
        <f>"10621660120964"</f>
        <v>10621660120964</v>
      </c>
      <c r="F899" s="8">
        <v>2109</v>
      </c>
      <c r="G899" s="8">
        <v>94180</v>
      </c>
      <c r="H899" s="8">
        <v>1121</v>
      </c>
      <c r="I899" s="8">
        <v>5424</v>
      </c>
    </row>
    <row r="900" spans="1:9" x14ac:dyDescent="0.2">
      <c r="A900" t="s">
        <v>198</v>
      </c>
      <c r="B900" t="s">
        <v>222</v>
      </c>
      <c r="C900" t="str">
        <f t="shared" si="47"/>
        <v>10621660000000</v>
      </c>
      <c r="D900" t="s">
        <v>2885</v>
      </c>
      <c r="E900" t="str">
        <f>"10621666112619"</f>
        <v>10621666112619</v>
      </c>
      <c r="F900" s="8">
        <v>8790</v>
      </c>
      <c r="G900" s="8">
        <v>25155</v>
      </c>
      <c r="H900" s="8">
        <v>5536</v>
      </c>
      <c r="I900" s="8">
        <v>36883</v>
      </c>
    </row>
    <row r="901" spans="1:9" x14ac:dyDescent="0.2">
      <c r="A901" t="s">
        <v>198</v>
      </c>
      <c r="B901" t="s">
        <v>222</v>
      </c>
      <c r="C901" t="str">
        <f t="shared" si="47"/>
        <v>10621660000000</v>
      </c>
      <c r="D901" t="s">
        <v>2886</v>
      </c>
      <c r="E901" t="str">
        <f>"10621666120703"</f>
        <v>10621666120703</v>
      </c>
      <c r="F901" s="8">
        <v>7668</v>
      </c>
      <c r="G901" s="8">
        <v>59269</v>
      </c>
      <c r="H901" s="8">
        <v>375</v>
      </c>
      <c r="I901" s="8">
        <v>8952</v>
      </c>
    </row>
    <row r="902" spans="1:9" x14ac:dyDescent="0.2">
      <c r="A902" t="s">
        <v>198</v>
      </c>
      <c r="B902" t="s">
        <v>222</v>
      </c>
      <c r="C902" t="str">
        <f t="shared" si="47"/>
        <v>10621660000000</v>
      </c>
      <c r="D902" t="s">
        <v>2887</v>
      </c>
      <c r="E902" t="str">
        <f>"10621661030287"</f>
        <v>10621661030287</v>
      </c>
      <c r="F902" s="8">
        <v>824</v>
      </c>
      <c r="G902" s="8">
        <v>18360</v>
      </c>
      <c r="H902" s="8">
        <v>675</v>
      </c>
      <c r="I902" s="8">
        <v>7533</v>
      </c>
    </row>
    <row r="903" spans="1:9" x14ac:dyDescent="0.2">
      <c r="A903" t="s">
        <v>198</v>
      </c>
      <c r="B903" t="s">
        <v>222</v>
      </c>
      <c r="C903" t="str">
        <f t="shared" si="47"/>
        <v>10621660000000</v>
      </c>
      <c r="D903" t="s">
        <v>2888</v>
      </c>
      <c r="E903" t="str">
        <f>"10621666006324"</f>
        <v>10621666006324</v>
      </c>
      <c r="F903" s="8">
        <v>2194</v>
      </c>
      <c r="G903" s="8">
        <v>11631</v>
      </c>
      <c r="H903" s="8">
        <v>1230</v>
      </c>
      <c r="I903" s="8">
        <v>4913</v>
      </c>
    </row>
    <row r="904" spans="1:9" x14ac:dyDescent="0.2">
      <c r="A904" t="s">
        <v>198</v>
      </c>
      <c r="B904" t="s">
        <v>222</v>
      </c>
      <c r="C904" t="str">
        <f t="shared" si="47"/>
        <v>10621660000000</v>
      </c>
      <c r="D904" t="s">
        <v>2889</v>
      </c>
      <c r="E904" t="str">
        <f>"10621666111231"</f>
        <v>10621666111231</v>
      </c>
      <c r="F904" s="8">
        <v>1824</v>
      </c>
      <c r="G904" s="8">
        <v>10872</v>
      </c>
      <c r="H904" s="8">
        <v>1311</v>
      </c>
      <c r="I904" s="8">
        <v>4527</v>
      </c>
    </row>
    <row r="905" spans="1:9" x14ac:dyDescent="0.2">
      <c r="A905" t="s">
        <v>198</v>
      </c>
      <c r="B905" t="s">
        <v>222</v>
      </c>
      <c r="C905" t="str">
        <f t="shared" si="47"/>
        <v>10621660000000</v>
      </c>
      <c r="D905" t="s">
        <v>2890</v>
      </c>
      <c r="E905" t="str">
        <f>"10621666006282"</f>
        <v>10621666006282</v>
      </c>
      <c r="F905" s="8">
        <v>2526</v>
      </c>
      <c r="G905" s="8">
        <v>9696</v>
      </c>
      <c r="H905" s="8">
        <v>1349</v>
      </c>
      <c r="I905" s="8">
        <v>4347</v>
      </c>
    </row>
    <row r="906" spans="1:9" x14ac:dyDescent="0.2">
      <c r="A906" t="s">
        <v>198</v>
      </c>
      <c r="B906" t="s">
        <v>222</v>
      </c>
      <c r="C906" t="str">
        <f t="shared" si="47"/>
        <v>10621660000000</v>
      </c>
      <c r="D906" t="s">
        <v>2891</v>
      </c>
      <c r="E906" t="str">
        <f>"10621666088934"</f>
        <v>10621666088934</v>
      </c>
      <c r="F906" s="8">
        <v>1873</v>
      </c>
      <c r="G906" s="8">
        <v>10503</v>
      </c>
      <c r="H906" s="8">
        <v>1416</v>
      </c>
      <c r="I906" s="8">
        <v>4034</v>
      </c>
    </row>
    <row r="907" spans="1:9" x14ac:dyDescent="0.2">
      <c r="A907" t="s">
        <v>198</v>
      </c>
      <c r="B907" t="s">
        <v>222</v>
      </c>
      <c r="C907" t="str">
        <f t="shared" si="47"/>
        <v>10621660000000</v>
      </c>
      <c r="D907" t="s">
        <v>1194</v>
      </c>
      <c r="E907" t="str">
        <f>"10621666006316"</f>
        <v>10621666006316</v>
      </c>
      <c r="F907" s="8">
        <v>1925</v>
      </c>
      <c r="G907" s="8">
        <v>10282</v>
      </c>
      <c r="H907" s="8">
        <v>1386</v>
      </c>
      <c r="I907" s="8">
        <v>4174</v>
      </c>
    </row>
    <row r="908" spans="1:9" x14ac:dyDescent="0.2">
      <c r="A908" t="s">
        <v>198</v>
      </c>
      <c r="B908" t="s">
        <v>222</v>
      </c>
      <c r="C908" t="str">
        <f t="shared" si="47"/>
        <v>10621660000000</v>
      </c>
      <c r="D908" t="s">
        <v>2892</v>
      </c>
      <c r="E908" t="str">
        <f>"10621666117477"</f>
        <v>10621666117477</v>
      </c>
      <c r="F908" s="8">
        <v>1935</v>
      </c>
      <c r="G908" s="8">
        <v>9913</v>
      </c>
      <c r="H908" s="8">
        <v>1423</v>
      </c>
      <c r="I908" s="8">
        <v>3998</v>
      </c>
    </row>
    <row r="909" spans="1:9" x14ac:dyDescent="0.2">
      <c r="A909" t="s">
        <v>198</v>
      </c>
      <c r="B909" t="s">
        <v>222</v>
      </c>
      <c r="C909" t="str">
        <f t="shared" si="47"/>
        <v>10621660000000</v>
      </c>
      <c r="D909" t="s">
        <v>2893</v>
      </c>
      <c r="E909" t="str">
        <f>"10621660132134"</f>
        <v>10621660132134</v>
      </c>
      <c r="F909" s="8">
        <v>416</v>
      </c>
      <c r="G909" s="8">
        <v>12871</v>
      </c>
      <c r="H909" s="8">
        <v>1872</v>
      </c>
      <c r="I909" s="8">
        <v>1878</v>
      </c>
    </row>
    <row r="910" spans="1:9" x14ac:dyDescent="0.2">
      <c r="A910" t="s">
        <v>198</v>
      </c>
      <c r="B910" t="s">
        <v>222</v>
      </c>
      <c r="C910" t="str">
        <f t="shared" si="47"/>
        <v>10621660000000</v>
      </c>
      <c r="D910" t="s">
        <v>2894</v>
      </c>
      <c r="E910" t="str">
        <f>"10621666088538"</f>
        <v>10621666088538</v>
      </c>
      <c r="F910" s="8">
        <v>2014</v>
      </c>
      <c r="G910" s="8">
        <v>10034</v>
      </c>
      <c r="H910" s="8">
        <v>1568</v>
      </c>
      <c r="I910" s="8">
        <v>3312</v>
      </c>
    </row>
    <row r="911" spans="1:9" x14ac:dyDescent="0.2">
      <c r="A911" t="s">
        <v>198</v>
      </c>
      <c r="B911" t="s">
        <v>222</v>
      </c>
      <c r="C911" t="str">
        <f t="shared" si="47"/>
        <v>10621660000000</v>
      </c>
      <c r="D911" t="s">
        <v>2895</v>
      </c>
      <c r="E911" t="str">
        <f>"10621666112882"</f>
        <v>10621666112882</v>
      </c>
      <c r="F911" s="8">
        <v>2451</v>
      </c>
      <c r="G911" s="8">
        <v>9261</v>
      </c>
      <c r="H911" s="8">
        <v>1488</v>
      </c>
      <c r="I911" s="8">
        <v>3690</v>
      </c>
    </row>
    <row r="912" spans="1:9" x14ac:dyDescent="0.2">
      <c r="A912" t="s">
        <v>198</v>
      </c>
      <c r="B912" t="s">
        <v>222</v>
      </c>
      <c r="C912" t="str">
        <f t="shared" si="47"/>
        <v>10621660000000</v>
      </c>
      <c r="D912" t="s">
        <v>2896</v>
      </c>
      <c r="E912" t="str">
        <f>"10621666006597"</f>
        <v>10621666006597</v>
      </c>
      <c r="F912" s="8">
        <v>1460</v>
      </c>
      <c r="G912" s="8">
        <v>10412</v>
      </c>
      <c r="H912" s="8">
        <v>1542</v>
      </c>
      <c r="I912" s="8">
        <v>3438</v>
      </c>
    </row>
    <row r="913" spans="1:9" x14ac:dyDescent="0.2">
      <c r="A913" t="s">
        <v>198</v>
      </c>
      <c r="B913" t="s">
        <v>222</v>
      </c>
      <c r="C913" t="str">
        <f t="shared" si="47"/>
        <v>10621660000000</v>
      </c>
      <c r="D913" t="s">
        <v>2897</v>
      </c>
      <c r="E913" t="str">
        <f>"10621666006431"</f>
        <v>10621666006431</v>
      </c>
      <c r="F913" s="8">
        <v>1666</v>
      </c>
      <c r="G913" s="8">
        <v>9782</v>
      </c>
      <c r="H913" s="8">
        <v>1454</v>
      </c>
      <c r="I913" s="8">
        <v>3854</v>
      </c>
    </row>
    <row r="914" spans="1:9" x14ac:dyDescent="0.2">
      <c r="A914" t="s">
        <v>198</v>
      </c>
      <c r="B914" t="s">
        <v>222</v>
      </c>
      <c r="C914" t="str">
        <f t="shared" si="47"/>
        <v>10621660000000</v>
      </c>
      <c r="D914" t="s">
        <v>2898</v>
      </c>
      <c r="E914" t="str">
        <f>"10621666006555"</f>
        <v>10621666006555</v>
      </c>
      <c r="F914" s="8">
        <v>1380</v>
      </c>
      <c r="G914" s="8">
        <v>11290</v>
      </c>
      <c r="H914" s="8">
        <v>1805</v>
      </c>
      <c r="I914" s="8">
        <v>2194</v>
      </c>
    </row>
    <row r="915" spans="1:9" x14ac:dyDescent="0.2">
      <c r="A915" t="s">
        <v>198</v>
      </c>
      <c r="B915" t="s">
        <v>222</v>
      </c>
      <c r="C915" t="str">
        <f t="shared" si="47"/>
        <v>10621660000000</v>
      </c>
      <c r="D915" t="s">
        <v>2899</v>
      </c>
      <c r="E915" t="str">
        <f>"10621661031632"</f>
        <v>10621661031632</v>
      </c>
      <c r="F915" s="8">
        <v>930</v>
      </c>
      <c r="G915" s="8">
        <v>11980</v>
      </c>
      <c r="H915" s="8">
        <v>1872</v>
      </c>
      <c r="I915" s="8">
        <v>1877</v>
      </c>
    </row>
    <row r="916" spans="1:9" x14ac:dyDescent="0.2">
      <c r="A916" t="s">
        <v>198</v>
      </c>
      <c r="B916" t="s">
        <v>222</v>
      </c>
      <c r="C916" t="str">
        <f t="shared" si="47"/>
        <v>10621660000000</v>
      </c>
      <c r="D916" t="s">
        <v>2900</v>
      </c>
      <c r="E916" t="str">
        <f>"10621666006233"</f>
        <v>10621666006233</v>
      </c>
      <c r="F916" s="8">
        <v>2193</v>
      </c>
      <c r="G916" s="8">
        <v>8478</v>
      </c>
      <c r="H916" s="8">
        <v>1282</v>
      </c>
      <c r="I916" s="8">
        <v>4666</v>
      </c>
    </row>
    <row r="917" spans="1:9" x14ac:dyDescent="0.2">
      <c r="A917" t="s">
        <v>198</v>
      </c>
      <c r="B917" t="s">
        <v>222</v>
      </c>
      <c r="C917" t="str">
        <f t="shared" si="47"/>
        <v>10621660000000</v>
      </c>
      <c r="D917" t="s">
        <v>2901</v>
      </c>
      <c r="E917" t="str">
        <f>"10621666006589"</f>
        <v>10621666006589</v>
      </c>
      <c r="F917" s="8">
        <v>1387</v>
      </c>
      <c r="G917" s="8">
        <v>9998</v>
      </c>
      <c r="H917" s="8">
        <v>1505</v>
      </c>
      <c r="I917" s="8">
        <v>3613</v>
      </c>
    </row>
    <row r="918" spans="1:9" x14ac:dyDescent="0.2">
      <c r="A918" t="s">
        <v>198</v>
      </c>
      <c r="B918" t="s">
        <v>222</v>
      </c>
      <c r="C918" t="str">
        <f t="shared" si="47"/>
        <v>10621660000000</v>
      </c>
      <c r="D918" t="s">
        <v>2902</v>
      </c>
      <c r="E918" t="str">
        <f>"10621666061188"</f>
        <v>10621666061188</v>
      </c>
      <c r="F918" s="8">
        <v>1692</v>
      </c>
      <c r="G918" s="8">
        <v>9729</v>
      </c>
      <c r="H918" s="8">
        <v>1601</v>
      </c>
      <c r="I918" s="8">
        <v>3158</v>
      </c>
    </row>
    <row r="919" spans="1:9" x14ac:dyDescent="0.2">
      <c r="A919" t="s">
        <v>198</v>
      </c>
      <c r="B919" t="s">
        <v>222</v>
      </c>
      <c r="C919" t="str">
        <f t="shared" si="47"/>
        <v>10621660000000</v>
      </c>
      <c r="D919" t="s">
        <v>2903</v>
      </c>
      <c r="E919" t="str">
        <f>"10621666061204"</f>
        <v>10621666061204</v>
      </c>
      <c r="F919" s="8">
        <v>2173</v>
      </c>
      <c r="G919" s="8">
        <v>9082</v>
      </c>
      <c r="H919" s="8">
        <v>1616</v>
      </c>
      <c r="I919" s="8">
        <v>3088</v>
      </c>
    </row>
    <row r="920" spans="1:9" x14ac:dyDescent="0.2">
      <c r="A920" t="s">
        <v>198</v>
      </c>
      <c r="B920" t="s">
        <v>222</v>
      </c>
      <c r="C920" t="str">
        <f t="shared" si="47"/>
        <v>10621660000000</v>
      </c>
      <c r="D920" t="s">
        <v>2500</v>
      </c>
      <c r="E920" t="str">
        <f>"10621666006258"</f>
        <v>10621666006258</v>
      </c>
      <c r="F920" s="8">
        <v>1353</v>
      </c>
      <c r="G920" s="8">
        <v>9669</v>
      </c>
      <c r="H920" s="8">
        <v>1561</v>
      </c>
      <c r="I920" s="8">
        <v>3345</v>
      </c>
    </row>
    <row r="921" spans="1:9" x14ac:dyDescent="0.2">
      <c r="A921" t="s">
        <v>198</v>
      </c>
      <c r="B921" t="s">
        <v>222</v>
      </c>
      <c r="C921" t="str">
        <f t="shared" si="47"/>
        <v>10621660000000</v>
      </c>
      <c r="D921" t="s">
        <v>2904</v>
      </c>
      <c r="E921" t="str">
        <f>"10621666006456"</f>
        <v>10621666006456</v>
      </c>
      <c r="F921" s="8">
        <v>1564</v>
      </c>
      <c r="G921" s="8">
        <v>9083</v>
      </c>
      <c r="H921" s="8">
        <v>1517</v>
      </c>
      <c r="I921" s="8">
        <v>3554</v>
      </c>
    </row>
    <row r="922" spans="1:9" x14ac:dyDescent="0.2">
      <c r="A922" t="s">
        <v>198</v>
      </c>
      <c r="B922" t="s">
        <v>222</v>
      </c>
      <c r="C922" t="str">
        <f t="shared" si="47"/>
        <v>10621660000000</v>
      </c>
      <c r="D922" t="s">
        <v>2905</v>
      </c>
      <c r="E922" t="str">
        <f>"10621666006274"</f>
        <v>10621666006274</v>
      </c>
      <c r="F922" s="8">
        <v>1832</v>
      </c>
      <c r="G922" s="8">
        <v>8896</v>
      </c>
      <c r="H922" s="8">
        <v>1561</v>
      </c>
      <c r="I922" s="8">
        <v>3348</v>
      </c>
    </row>
    <row r="923" spans="1:9" x14ac:dyDescent="0.2">
      <c r="A923" t="s">
        <v>198</v>
      </c>
      <c r="B923" t="s">
        <v>222</v>
      </c>
      <c r="C923" t="str">
        <f t="shared" si="47"/>
        <v>10621660000000</v>
      </c>
      <c r="D923" t="s">
        <v>2906</v>
      </c>
      <c r="E923" t="str">
        <f>"10621666006357"</f>
        <v>10621666006357</v>
      </c>
      <c r="F923" s="8">
        <v>1117</v>
      </c>
      <c r="G923" s="8">
        <v>9735</v>
      </c>
      <c r="H923" s="8">
        <v>1621</v>
      </c>
      <c r="I923" s="8">
        <v>3064</v>
      </c>
    </row>
    <row r="924" spans="1:9" x14ac:dyDescent="0.2">
      <c r="A924" t="s">
        <v>198</v>
      </c>
      <c r="B924" t="s">
        <v>222</v>
      </c>
      <c r="C924" t="str">
        <f t="shared" si="47"/>
        <v>10621660000000</v>
      </c>
      <c r="D924" t="s">
        <v>2907</v>
      </c>
      <c r="E924" t="str">
        <f>"10621666057343"</f>
        <v>10621666057343</v>
      </c>
      <c r="F924" s="8">
        <v>1436</v>
      </c>
      <c r="G924" s="8">
        <v>9385</v>
      </c>
      <c r="H924" s="8">
        <v>1622</v>
      </c>
      <c r="I924" s="8">
        <v>3060</v>
      </c>
    </row>
    <row r="925" spans="1:9" x14ac:dyDescent="0.2">
      <c r="A925" t="s">
        <v>198</v>
      </c>
      <c r="B925" t="s">
        <v>222</v>
      </c>
      <c r="C925" t="str">
        <f t="shared" si="47"/>
        <v>10621660000000</v>
      </c>
      <c r="D925" t="s">
        <v>2908</v>
      </c>
      <c r="E925" t="str">
        <f>"10621666120125"</f>
        <v>10621666120125</v>
      </c>
      <c r="F925" s="8">
        <v>1528</v>
      </c>
      <c r="G925" s="8">
        <v>8985</v>
      </c>
      <c r="H925" s="8">
        <v>1564</v>
      </c>
      <c r="I925" s="8">
        <v>3332</v>
      </c>
    </row>
    <row r="926" spans="1:9" x14ac:dyDescent="0.2">
      <c r="A926" t="s">
        <v>198</v>
      </c>
      <c r="B926" t="s">
        <v>222</v>
      </c>
      <c r="C926" t="str">
        <f t="shared" si="47"/>
        <v>10621660000000</v>
      </c>
      <c r="D926" t="s">
        <v>2909</v>
      </c>
      <c r="E926" t="str">
        <f>"10621666068704"</f>
        <v>10621666068704</v>
      </c>
      <c r="F926" s="8">
        <v>1273</v>
      </c>
      <c r="G926" s="8">
        <v>9146</v>
      </c>
      <c r="H926" s="8">
        <v>1557</v>
      </c>
      <c r="I926" s="8">
        <v>3364</v>
      </c>
    </row>
    <row r="927" spans="1:9" x14ac:dyDescent="0.2">
      <c r="A927" t="s">
        <v>198</v>
      </c>
      <c r="B927" t="s">
        <v>222</v>
      </c>
      <c r="C927" t="str">
        <f t="shared" si="47"/>
        <v>10621660000000</v>
      </c>
      <c r="D927" t="s">
        <v>2910</v>
      </c>
      <c r="E927" t="str">
        <f>"10621661032911"</f>
        <v>10621661032911</v>
      </c>
      <c r="F927" s="8">
        <v>1498</v>
      </c>
      <c r="G927" s="8">
        <v>8750</v>
      </c>
      <c r="H927" s="8">
        <v>1515</v>
      </c>
      <c r="I927" s="8">
        <v>3564</v>
      </c>
    </row>
    <row r="928" spans="1:9" x14ac:dyDescent="0.2">
      <c r="A928" t="s">
        <v>198</v>
      </c>
      <c r="B928" t="s">
        <v>222</v>
      </c>
      <c r="C928" t="str">
        <f t="shared" si="47"/>
        <v>10621660000000</v>
      </c>
      <c r="D928" t="s">
        <v>2911</v>
      </c>
      <c r="E928" t="str">
        <f>"10621666057293"</f>
        <v>10621666057293</v>
      </c>
      <c r="F928" s="8">
        <v>1377</v>
      </c>
      <c r="G928" s="8">
        <v>9208</v>
      </c>
      <c r="H928" s="8">
        <v>1659</v>
      </c>
      <c r="I928" s="8">
        <v>2885</v>
      </c>
    </row>
    <row r="929" spans="1:9" x14ac:dyDescent="0.2">
      <c r="A929" t="s">
        <v>198</v>
      </c>
      <c r="B929" t="s">
        <v>222</v>
      </c>
      <c r="C929" t="str">
        <f t="shared" ref="C929:C960" si="48">"10621660000000"</f>
        <v>10621660000000</v>
      </c>
      <c r="D929" t="s">
        <v>2912</v>
      </c>
      <c r="E929" t="str">
        <f>"10621666101109"</f>
        <v>10621666101109</v>
      </c>
      <c r="F929" s="8">
        <v>1491</v>
      </c>
      <c r="G929" s="8">
        <v>8650</v>
      </c>
      <c r="H929" s="8">
        <v>1551</v>
      </c>
      <c r="I929" s="8">
        <v>3396</v>
      </c>
    </row>
    <row r="930" spans="1:9" x14ac:dyDescent="0.2">
      <c r="A930" t="s">
        <v>198</v>
      </c>
      <c r="B930" t="s">
        <v>222</v>
      </c>
      <c r="C930" t="str">
        <f t="shared" si="48"/>
        <v>10621660000000</v>
      </c>
      <c r="D930" t="s">
        <v>2913</v>
      </c>
      <c r="E930" t="str">
        <f>"10621661034214"</f>
        <v>10621661034214</v>
      </c>
      <c r="F930" s="8">
        <v>1280</v>
      </c>
      <c r="G930" s="8">
        <v>9023</v>
      </c>
      <c r="H930" s="8">
        <v>1603</v>
      </c>
      <c r="I930" s="8">
        <v>3150</v>
      </c>
    </row>
    <row r="931" spans="1:9" x14ac:dyDescent="0.2">
      <c r="A931" t="s">
        <v>198</v>
      </c>
      <c r="B931" t="s">
        <v>222</v>
      </c>
      <c r="C931" t="str">
        <f t="shared" si="48"/>
        <v>10621660000000</v>
      </c>
      <c r="D931" t="s">
        <v>2914</v>
      </c>
      <c r="E931" t="str">
        <f>"10621666006266"</f>
        <v>10621666006266</v>
      </c>
      <c r="F931" s="8">
        <v>1253</v>
      </c>
      <c r="G931" s="8">
        <v>8864</v>
      </c>
      <c r="H931" s="8">
        <v>1604</v>
      </c>
      <c r="I931" s="8">
        <v>3144</v>
      </c>
    </row>
    <row r="932" spans="1:9" x14ac:dyDescent="0.2">
      <c r="A932" t="s">
        <v>198</v>
      </c>
      <c r="B932" t="s">
        <v>222</v>
      </c>
      <c r="C932" t="str">
        <f t="shared" si="48"/>
        <v>10621660000000</v>
      </c>
      <c r="D932" t="s">
        <v>2915</v>
      </c>
      <c r="E932" t="str">
        <f>"10621666109961"</f>
        <v>10621666109961</v>
      </c>
      <c r="F932" s="8">
        <v>937</v>
      </c>
      <c r="G932" s="8">
        <v>9308</v>
      </c>
      <c r="H932" s="8">
        <v>1646</v>
      </c>
      <c r="I932" s="8">
        <v>2947</v>
      </c>
    </row>
    <row r="933" spans="1:9" x14ac:dyDescent="0.2">
      <c r="A933" t="s">
        <v>198</v>
      </c>
      <c r="B933" t="s">
        <v>222</v>
      </c>
      <c r="C933" t="str">
        <f t="shared" si="48"/>
        <v>10621660000000</v>
      </c>
      <c r="D933" t="s">
        <v>1708</v>
      </c>
      <c r="E933" t="str">
        <f>"10621666006159"</f>
        <v>10621666006159</v>
      </c>
      <c r="F933" s="8">
        <v>802</v>
      </c>
      <c r="G933" s="8">
        <v>9517</v>
      </c>
      <c r="H933" s="8">
        <v>1691</v>
      </c>
      <c r="I933" s="8">
        <v>2734</v>
      </c>
    </row>
    <row r="934" spans="1:9" x14ac:dyDescent="0.2">
      <c r="A934" t="s">
        <v>198</v>
      </c>
      <c r="B934" t="s">
        <v>222</v>
      </c>
      <c r="C934" t="str">
        <f t="shared" si="48"/>
        <v>10621660000000</v>
      </c>
      <c r="D934" t="s">
        <v>2916</v>
      </c>
      <c r="E934" t="str">
        <f>"10621666006449"</f>
        <v>10621666006449</v>
      </c>
      <c r="F934" s="8">
        <v>1179</v>
      </c>
      <c r="G934" s="8">
        <v>8672</v>
      </c>
      <c r="H934" s="8">
        <v>1568</v>
      </c>
      <c r="I934" s="8">
        <v>3315</v>
      </c>
    </row>
    <row r="935" spans="1:9" x14ac:dyDescent="0.2">
      <c r="A935" t="s">
        <v>198</v>
      </c>
      <c r="B935" t="s">
        <v>222</v>
      </c>
      <c r="C935" t="str">
        <f t="shared" si="48"/>
        <v>10621660000000</v>
      </c>
      <c r="D935" t="s">
        <v>2917</v>
      </c>
      <c r="E935" t="str">
        <f>"10621660129338"</f>
        <v>10621660129338</v>
      </c>
      <c r="F935" s="8">
        <v>1143</v>
      </c>
      <c r="G935" s="8">
        <v>9043</v>
      </c>
      <c r="H935" s="8">
        <v>1667</v>
      </c>
      <c r="I935" s="8">
        <v>2844</v>
      </c>
    </row>
    <row r="936" spans="1:9" x14ac:dyDescent="0.2">
      <c r="A936" t="s">
        <v>198</v>
      </c>
      <c r="B936" t="s">
        <v>222</v>
      </c>
      <c r="C936" t="str">
        <f t="shared" si="48"/>
        <v>10621660000000</v>
      </c>
      <c r="D936" t="s">
        <v>2918</v>
      </c>
      <c r="E936" t="str">
        <f>"10621666006415"</f>
        <v>10621666006415</v>
      </c>
      <c r="F936" s="8">
        <v>1356</v>
      </c>
      <c r="G936" s="8">
        <v>8641</v>
      </c>
      <c r="H936" s="8">
        <v>1617</v>
      </c>
      <c r="I936" s="8">
        <v>3080</v>
      </c>
    </row>
    <row r="937" spans="1:9" x14ac:dyDescent="0.2">
      <c r="A937" t="s">
        <v>198</v>
      </c>
      <c r="B937" t="s">
        <v>222</v>
      </c>
      <c r="C937" t="str">
        <f t="shared" si="48"/>
        <v>10621660000000</v>
      </c>
      <c r="D937" t="s">
        <v>2919</v>
      </c>
      <c r="E937" t="str">
        <f>"10621666105746"</f>
        <v>10621666105746</v>
      </c>
      <c r="F937" s="8">
        <v>1145</v>
      </c>
      <c r="G937" s="8">
        <v>8817</v>
      </c>
      <c r="H937" s="8">
        <v>1609</v>
      </c>
      <c r="I937" s="8">
        <v>3118</v>
      </c>
    </row>
    <row r="938" spans="1:9" x14ac:dyDescent="0.2">
      <c r="A938" t="s">
        <v>198</v>
      </c>
      <c r="B938" t="s">
        <v>222</v>
      </c>
      <c r="C938" t="str">
        <f t="shared" si="48"/>
        <v>10621660000000</v>
      </c>
      <c r="D938" t="s">
        <v>2920</v>
      </c>
      <c r="E938" t="str">
        <f>"10621661032507"</f>
        <v>10621661032507</v>
      </c>
      <c r="F938" s="8">
        <v>1004</v>
      </c>
      <c r="G938" s="8">
        <v>9045</v>
      </c>
      <c r="H938" s="8">
        <v>1644</v>
      </c>
      <c r="I938" s="8">
        <v>2954</v>
      </c>
    </row>
    <row r="939" spans="1:9" x14ac:dyDescent="0.2">
      <c r="A939" t="s">
        <v>198</v>
      </c>
      <c r="B939" t="s">
        <v>222</v>
      </c>
      <c r="C939" t="str">
        <f t="shared" si="48"/>
        <v>10621660000000</v>
      </c>
      <c r="D939" t="s">
        <v>2921</v>
      </c>
      <c r="E939" t="str">
        <f>"10621666006373"</f>
        <v>10621666006373</v>
      </c>
      <c r="F939" s="8">
        <v>972</v>
      </c>
      <c r="G939" s="8">
        <v>9685</v>
      </c>
      <c r="H939" s="8">
        <v>1825</v>
      </c>
      <c r="I939" s="8">
        <v>2100</v>
      </c>
    </row>
    <row r="940" spans="1:9" x14ac:dyDescent="0.2">
      <c r="A940" t="s">
        <v>198</v>
      </c>
      <c r="B940" t="s">
        <v>222</v>
      </c>
      <c r="C940" t="str">
        <f t="shared" si="48"/>
        <v>10621660000000</v>
      </c>
      <c r="D940" t="s">
        <v>2922</v>
      </c>
      <c r="E940" t="str">
        <f>"10621666006092"</f>
        <v>10621666006092</v>
      </c>
      <c r="F940" s="8">
        <v>947</v>
      </c>
      <c r="G940" s="8">
        <v>8816</v>
      </c>
      <c r="H940" s="8">
        <v>1620</v>
      </c>
      <c r="I940" s="8">
        <v>3069</v>
      </c>
    </row>
    <row r="941" spans="1:9" x14ac:dyDescent="0.2">
      <c r="A941" t="s">
        <v>198</v>
      </c>
      <c r="B941" t="s">
        <v>222</v>
      </c>
      <c r="C941" t="str">
        <f t="shared" si="48"/>
        <v>10621660000000</v>
      </c>
      <c r="D941" t="s">
        <v>2383</v>
      </c>
      <c r="E941" t="str">
        <f>"10621666006308"</f>
        <v>10621666006308</v>
      </c>
      <c r="F941" s="8">
        <v>777</v>
      </c>
      <c r="G941" s="8">
        <v>9498</v>
      </c>
      <c r="H941" s="8">
        <v>1774</v>
      </c>
      <c r="I941" s="8">
        <v>2338</v>
      </c>
    </row>
    <row r="942" spans="1:9" x14ac:dyDescent="0.2">
      <c r="A942" t="s">
        <v>198</v>
      </c>
      <c r="B942" t="s">
        <v>222</v>
      </c>
      <c r="C942" t="str">
        <f t="shared" si="48"/>
        <v>10621660000000</v>
      </c>
      <c r="D942" t="s">
        <v>2923</v>
      </c>
      <c r="E942" t="str">
        <f>"10621666085120"</f>
        <v>10621666085120</v>
      </c>
      <c r="F942" s="8">
        <v>1157</v>
      </c>
      <c r="G942" s="8">
        <v>8578</v>
      </c>
      <c r="H942" s="8">
        <v>1632</v>
      </c>
      <c r="I942" s="8">
        <v>3011</v>
      </c>
    </row>
    <row r="943" spans="1:9" x14ac:dyDescent="0.2">
      <c r="A943" t="s">
        <v>198</v>
      </c>
      <c r="B943" t="s">
        <v>222</v>
      </c>
      <c r="C943" t="str">
        <f t="shared" si="48"/>
        <v>10621660000000</v>
      </c>
      <c r="D943" t="s">
        <v>2924</v>
      </c>
      <c r="E943" t="str">
        <f>"10621666006225"</f>
        <v>10621666006225</v>
      </c>
      <c r="F943" s="8">
        <v>1316</v>
      </c>
      <c r="G943" s="8">
        <v>8349</v>
      </c>
      <c r="H943" s="8">
        <v>1615</v>
      </c>
      <c r="I943" s="8">
        <v>3094</v>
      </c>
    </row>
    <row r="944" spans="1:9" x14ac:dyDescent="0.2">
      <c r="A944" t="s">
        <v>198</v>
      </c>
      <c r="B944" t="s">
        <v>222</v>
      </c>
      <c r="C944" t="str">
        <f t="shared" si="48"/>
        <v>10621660000000</v>
      </c>
      <c r="D944" t="s">
        <v>2925</v>
      </c>
      <c r="E944" t="str">
        <f>"10621666006548"</f>
        <v>10621666006548</v>
      </c>
      <c r="F944" s="8">
        <v>911</v>
      </c>
      <c r="G944" s="8">
        <v>8973</v>
      </c>
      <c r="H944" s="8">
        <v>1703</v>
      </c>
      <c r="I944" s="8">
        <v>2677</v>
      </c>
    </row>
    <row r="945" spans="1:9" x14ac:dyDescent="0.2">
      <c r="A945" t="s">
        <v>198</v>
      </c>
      <c r="B945" t="s">
        <v>222</v>
      </c>
      <c r="C945" t="str">
        <f t="shared" si="48"/>
        <v>10621660000000</v>
      </c>
      <c r="D945" t="s">
        <v>2926</v>
      </c>
      <c r="E945" t="str">
        <f>"10621666006480"</f>
        <v>10621666006480</v>
      </c>
      <c r="F945" s="8">
        <v>1657</v>
      </c>
      <c r="G945" s="8">
        <v>7984</v>
      </c>
      <c r="H945" s="8">
        <v>1647</v>
      </c>
      <c r="I945" s="8">
        <v>2940</v>
      </c>
    </row>
    <row r="946" spans="1:9" x14ac:dyDescent="0.2">
      <c r="A946" t="s">
        <v>198</v>
      </c>
      <c r="B946" t="s">
        <v>222</v>
      </c>
      <c r="C946" t="str">
        <f t="shared" si="48"/>
        <v>10621660000000</v>
      </c>
      <c r="D946" t="s">
        <v>2927</v>
      </c>
      <c r="E946" t="str">
        <f>"10621666006126"</f>
        <v>10621666006126</v>
      </c>
      <c r="F946" s="8">
        <v>775</v>
      </c>
      <c r="G946" s="8">
        <v>9056</v>
      </c>
      <c r="H946" s="8">
        <v>1704</v>
      </c>
      <c r="I946" s="8">
        <v>2670</v>
      </c>
    </row>
    <row r="947" spans="1:9" x14ac:dyDescent="0.2">
      <c r="A947" t="s">
        <v>198</v>
      </c>
      <c r="B947" t="s">
        <v>222</v>
      </c>
      <c r="C947" t="str">
        <f t="shared" si="48"/>
        <v>10621660000000</v>
      </c>
      <c r="D947" t="s">
        <v>2348</v>
      </c>
      <c r="E947" t="str">
        <f>"10621666006563"</f>
        <v>10621666006563</v>
      </c>
      <c r="F947" s="8">
        <v>1238</v>
      </c>
      <c r="G947" s="8">
        <v>8096</v>
      </c>
      <c r="H947" s="8">
        <v>1584</v>
      </c>
      <c r="I947" s="8">
        <v>3240</v>
      </c>
    </row>
    <row r="948" spans="1:9" x14ac:dyDescent="0.2">
      <c r="A948" t="s">
        <v>198</v>
      </c>
      <c r="B948" t="s">
        <v>222</v>
      </c>
      <c r="C948" t="str">
        <f t="shared" si="48"/>
        <v>10621660000000</v>
      </c>
      <c r="D948" t="s">
        <v>2928</v>
      </c>
      <c r="E948" t="str">
        <f>"10621660136150"</f>
        <v>10621660136150</v>
      </c>
      <c r="F948" s="8">
        <v>1725</v>
      </c>
      <c r="G948" s="8">
        <v>8019</v>
      </c>
      <c r="H948" s="8">
        <v>1708</v>
      </c>
      <c r="I948" s="8">
        <v>2654</v>
      </c>
    </row>
    <row r="949" spans="1:9" x14ac:dyDescent="0.2">
      <c r="A949" t="s">
        <v>198</v>
      </c>
      <c r="B949" t="s">
        <v>222</v>
      </c>
      <c r="C949" t="str">
        <f t="shared" si="48"/>
        <v>10621660000000</v>
      </c>
      <c r="D949" t="s">
        <v>2929</v>
      </c>
      <c r="E949" t="str">
        <f>"10621666006118"</f>
        <v>10621666006118</v>
      </c>
      <c r="F949" s="8">
        <v>794</v>
      </c>
      <c r="G949" s="8">
        <v>8947</v>
      </c>
      <c r="H949" s="8">
        <v>1734</v>
      </c>
      <c r="I949" s="8">
        <v>2527</v>
      </c>
    </row>
    <row r="950" spans="1:9" x14ac:dyDescent="0.2">
      <c r="A950" t="s">
        <v>198</v>
      </c>
      <c r="B950" t="s">
        <v>222</v>
      </c>
      <c r="C950" t="str">
        <f t="shared" si="48"/>
        <v>10621660000000</v>
      </c>
      <c r="D950" t="s">
        <v>2930</v>
      </c>
      <c r="E950" t="str">
        <f>"10621666006183"</f>
        <v>10621666006183</v>
      </c>
      <c r="F950" s="8">
        <v>777</v>
      </c>
      <c r="G950" s="8">
        <v>8762</v>
      </c>
      <c r="H950" s="8">
        <v>1699</v>
      </c>
      <c r="I950" s="8">
        <v>2693</v>
      </c>
    </row>
    <row r="951" spans="1:9" x14ac:dyDescent="0.2">
      <c r="A951" t="s">
        <v>198</v>
      </c>
      <c r="B951" t="s">
        <v>222</v>
      </c>
      <c r="C951" t="str">
        <f t="shared" si="48"/>
        <v>10621660000000</v>
      </c>
      <c r="D951" t="s">
        <v>2931</v>
      </c>
      <c r="E951" t="str">
        <f>"10621661035831"</f>
        <v>10621661035831</v>
      </c>
      <c r="F951" s="8">
        <v>853</v>
      </c>
      <c r="G951" s="8">
        <v>8584</v>
      </c>
      <c r="H951" s="8">
        <v>1687</v>
      </c>
      <c r="I951" s="8">
        <v>2752</v>
      </c>
    </row>
    <row r="952" spans="1:9" x14ac:dyDescent="0.2">
      <c r="A952" t="s">
        <v>198</v>
      </c>
      <c r="B952" t="s">
        <v>222</v>
      </c>
      <c r="C952" t="str">
        <f t="shared" si="48"/>
        <v>10621660000000</v>
      </c>
      <c r="D952" t="s">
        <v>2932</v>
      </c>
      <c r="E952" t="str">
        <f>"10621666061196"</f>
        <v>10621666061196</v>
      </c>
      <c r="F952" s="8">
        <v>1432</v>
      </c>
      <c r="G952" s="8">
        <v>8046</v>
      </c>
      <c r="H952" s="8">
        <v>1698</v>
      </c>
      <c r="I952" s="8">
        <v>2700</v>
      </c>
    </row>
    <row r="953" spans="1:9" x14ac:dyDescent="0.2">
      <c r="A953" t="s">
        <v>198</v>
      </c>
      <c r="B953" t="s">
        <v>222</v>
      </c>
      <c r="C953" t="str">
        <f t="shared" si="48"/>
        <v>10621660000000</v>
      </c>
      <c r="D953" t="s">
        <v>2933</v>
      </c>
      <c r="E953" t="str">
        <f>"10621666006423"</f>
        <v>10621666006423</v>
      </c>
      <c r="F953" s="8">
        <v>889</v>
      </c>
      <c r="G953" s="8">
        <v>8274</v>
      </c>
      <c r="H953" s="8">
        <v>1619</v>
      </c>
      <c r="I953" s="8">
        <v>3070</v>
      </c>
    </row>
    <row r="954" spans="1:9" x14ac:dyDescent="0.2">
      <c r="A954" t="s">
        <v>198</v>
      </c>
      <c r="B954" t="s">
        <v>222</v>
      </c>
      <c r="C954" t="str">
        <f t="shared" si="48"/>
        <v>10621660000000</v>
      </c>
      <c r="D954" t="s">
        <v>2605</v>
      </c>
      <c r="E954" t="str">
        <f>"10621666057335"</f>
        <v>10621666057335</v>
      </c>
      <c r="F954" s="8">
        <v>1056</v>
      </c>
      <c r="G954" s="8">
        <v>8379</v>
      </c>
      <c r="H954" s="8">
        <v>1693</v>
      </c>
      <c r="I954" s="8">
        <v>2721</v>
      </c>
    </row>
    <row r="955" spans="1:9" x14ac:dyDescent="0.2">
      <c r="A955" t="s">
        <v>198</v>
      </c>
      <c r="B955" t="s">
        <v>222</v>
      </c>
      <c r="C955" t="str">
        <f t="shared" si="48"/>
        <v>10621660000000</v>
      </c>
      <c r="D955" t="s">
        <v>2934</v>
      </c>
      <c r="E955" t="str">
        <f>"10621666006464"</f>
        <v>10621666006464</v>
      </c>
      <c r="F955" s="8">
        <v>986</v>
      </c>
      <c r="G955" s="8">
        <v>8551</v>
      </c>
      <c r="H955" s="8">
        <v>1733</v>
      </c>
      <c r="I955" s="8">
        <v>2533</v>
      </c>
    </row>
    <row r="956" spans="1:9" x14ac:dyDescent="0.2">
      <c r="A956" t="s">
        <v>198</v>
      </c>
      <c r="B956" t="s">
        <v>222</v>
      </c>
      <c r="C956" t="str">
        <f t="shared" si="48"/>
        <v>10621660000000</v>
      </c>
      <c r="D956" t="s">
        <v>2935</v>
      </c>
      <c r="E956" t="str">
        <f>"10621666006571"</f>
        <v>10621666006571</v>
      </c>
      <c r="F956" s="8">
        <v>767</v>
      </c>
      <c r="G956" s="8">
        <v>8618</v>
      </c>
      <c r="H956" s="8">
        <v>1692</v>
      </c>
      <c r="I956" s="8">
        <v>2726</v>
      </c>
    </row>
    <row r="957" spans="1:9" x14ac:dyDescent="0.2">
      <c r="A957" t="s">
        <v>198</v>
      </c>
      <c r="B957" t="s">
        <v>222</v>
      </c>
      <c r="C957" t="str">
        <f t="shared" si="48"/>
        <v>10621660000000</v>
      </c>
      <c r="D957" t="s">
        <v>2936</v>
      </c>
      <c r="E957" t="str">
        <f>"10621666006217"</f>
        <v>10621666006217</v>
      </c>
      <c r="F957" s="8">
        <v>1012</v>
      </c>
      <c r="G957" s="8">
        <v>8018</v>
      </c>
      <c r="H957" s="8">
        <v>1616</v>
      </c>
      <c r="I957" s="8">
        <v>3088</v>
      </c>
    </row>
    <row r="958" spans="1:9" x14ac:dyDescent="0.2">
      <c r="A958" t="s">
        <v>198</v>
      </c>
      <c r="B958" t="s">
        <v>222</v>
      </c>
      <c r="C958" t="str">
        <f t="shared" si="48"/>
        <v>10621660000000</v>
      </c>
      <c r="D958" t="s">
        <v>2937</v>
      </c>
      <c r="E958" t="str">
        <f>"10621666006084"</f>
        <v>10621666006084</v>
      </c>
      <c r="F958" s="8">
        <v>1089</v>
      </c>
      <c r="G958" s="8">
        <v>8518</v>
      </c>
      <c r="H958" s="8">
        <v>1778</v>
      </c>
      <c r="I958" s="8">
        <v>2321</v>
      </c>
    </row>
    <row r="959" spans="1:9" x14ac:dyDescent="0.2">
      <c r="A959" t="s">
        <v>198</v>
      </c>
      <c r="B959" t="s">
        <v>222</v>
      </c>
      <c r="C959" t="str">
        <f t="shared" si="48"/>
        <v>10621660000000</v>
      </c>
      <c r="D959" t="s">
        <v>2938</v>
      </c>
      <c r="E959" t="str">
        <f>"10621666057285"</f>
        <v>10621666057285</v>
      </c>
      <c r="F959" s="8">
        <v>821</v>
      </c>
      <c r="G959" s="8">
        <v>9090</v>
      </c>
      <c r="H959" s="8">
        <v>1864</v>
      </c>
      <c r="I959" s="8">
        <v>1914</v>
      </c>
    </row>
    <row r="960" spans="1:9" x14ac:dyDescent="0.2">
      <c r="A960" t="s">
        <v>198</v>
      </c>
      <c r="B960" t="s">
        <v>222</v>
      </c>
      <c r="C960" t="str">
        <f t="shared" si="48"/>
        <v>10621660000000</v>
      </c>
      <c r="D960" t="s">
        <v>2939</v>
      </c>
      <c r="E960" t="str">
        <f>"10621661030279"</f>
        <v>10621661030279</v>
      </c>
      <c r="F960" s="8">
        <v>950</v>
      </c>
      <c r="G960" s="8">
        <v>8179</v>
      </c>
      <c r="H960" s="8">
        <v>1656</v>
      </c>
      <c r="I960" s="8">
        <v>2898</v>
      </c>
    </row>
    <row r="961" spans="1:9" x14ac:dyDescent="0.2">
      <c r="A961" t="s">
        <v>198</v>
      </c>
      <c r="B961" t="s">
        <v>222</v>
      </c>
      <c r="C961" t="str">
        <f t="shared" ref="C961:C995" si="49">"10621660000000"</f>
        <v>10621660000000</v>
      </c>
      <c r="D961" t="s">
        <v>2940</v>
      </c>
      <c r="E961" t="str">
        <f>"10621666006472"</f>
        <v>10621666006472</v>
      </c>
      <c r="F961" s="8">
        <v>786</v>
      </c>
      <c r="G961" s="8">
        <v>8772</v>
      </c>
      <c r="H961" s="8">
        <v>1785</v>
      </c>
      <c r="I961" s="8">
        <v>2288</v>
      </c>
    </row>
    <row r="962" spans="1:9" x14ac:dyDescent="0.2">
      <c r="A962" t="s">
        <v>198</v>
      </c>
      <c r="B962" t="s">
        <v>222</v>
      </c>
      <c r="C962" t="str">
        <f t="shared" si="49"/>
        <v>10621660000000</v>
      </c>
      <c r="D962" t="s">
        <v>2941</v>
      </c>
      <c r="E962" t="str">
        <f>"10621666006332"</f>
        <v>10621666006332</v>
      </c>
      <c r="F962" s="8">
        <v>789</v>
      </c>
      <c r="G962" s="8">
        <v>8291</v>
      </c>
      <c r="H962" s="8">
        <v>1666</v>
      </c>
      <c r="I962" s="8">
        <v>2853</v>
      </c>
    </row>
    <row r="963" spans="1:9" x14ac:dyDescent="0.2">
      <c r="A963" t="s">
        <v>198</v>
      </c>
      <c r="B963" t="s">
        <v>222</v>
      </c>
      <c r="C963" t="str">
        <f t="shared" si="49"/>
        <v>10621660000000</v>
      </c>
      <c r="D963" t="s">
        <v>2942</v>
      </c>
      <c r="E963" t="str">
        <f>"10621666006191"</f>
        <v>10621666006191</v>
      </c>
      <c r="F963" s="8">
        <v>758</v>
      </c>
      <c r="G963" s="8">
        <v>8404</v>
      </c>
      <c r="H963" s="8">
        <v>1692</v>
      </c>
      <c r="I963" s="8">
        <v>2730</v>
      </c>
    </row>
    <row r="964" spans="1:9" x14ac:dyDescent="0.2">
      <c r="A964" t="s">
        <v>198</v>
      </c>
      <c r="B964" t="s">
        <v>222</v>
      </c>
      <c r="C964" t="str">
        <f t="shared" si="49"/>
        <v>10621660000000</v>
      </c>
      <c r="D964" t="s">
        <v>2943</v>
      </c>
      <c r="E964" t="str">
        <f>"10621666006381"</f>
        <v>10621666006381</v>
      </c>
      <c r="F964" s="8">
        <v>721</v>
      </c>
      <c r="G964" s="8">
        <v>8557</v>
      </c>
      <c r="H964" s="8">
        <v>1725</v>
      </c>
      <c r="I964" s="8">
        <v>2574</v>
      </c>
    </row>
    <row r="965" spans="1:9" x14ac:dyDescent="0.2">
      <c r="A965" t="s">
        <v>198</v>
      </c>
      <c r="B965" t="s">
        <v>222</v>
      </c>
      <c r="C965" t="str">
        <f t="shared" si="49"/>
        <v>10621660000000</v>
      </c>
      <c r="D965" t="s">
        <v>2944</v>
      </c>
      <c r="E965" t="str">
        <f>"10621666101091"</f>
        <v>10621666101091</v>
      </c>
      <c r="F965" s="8">
        <v>1352</v>
      </c>
      <c r="G965" s="8">
        <v>7252</v>
      </c>
      <c r="H965" s="8">
        <v>1547</v>
      </c>
      <c r="I965" s="8">
        <v>3415</v>
      </c>
    </row>
    <row r="966" spans="1:9" x14ac:dyDescent="0.2">
      <c r="A966" t="s">
        <v>198</v>
      </c>
      <c r="B966" t="s">
        <v>222</v>
      </c>
      <c r="C966" t="str">
        <f t="shared" si="49"/>
        <v>10621660000000</v>
      </c>
      <c r="D966" t="s">
        <v>2220</v>
      </c>
      <c r="E966" t="str">
        <f>"10621666088942"</f>
        <v>10621666088942</v>
      </c>
      <c r="F966" s="8">
        <v>874</v>
      </c>
      <c r="G966" s="8">
        <v>8655</v>
      </c>
      <c r="H966" s="8">
        <v>1800</v>
      </c>
      <c r="I966" s="8">
        <v>2215</v>
      </c>
    </row>
    <row r="967" spans="1:9" x14ac:dyDescent="0.2">
      <c r="A967" t="s">
        <v>198</v>
      </c>
      <c r="B967" t="s">
        <v>222</v>
      </c>
      <c r="C967" t="str">
        <f t="shared" si="49"/>
        <v>10621660000000</v>
      </c>
      <c r="D967" t="s">
        <v>2243</v>
      </c>
      <c r="E967" t="str">
        <f>"10621666006365"</f>
        <v>10621666006365</v>
      </c>
      <c r="F967" s="8">
        <v>824</v>
      </c>
      <c r="G967" s="8">
        <v>8423</v>
      </c>
      <c r="H967" s="8">
        <v>1729</v>
      </c>
      <c r="I967" s="8">
        <v>2553</v>
      </c>
    </row>
    <row r="968" spans="1:9" x14ac:dyDescent="0.2">
      <c r="A968" t="s">
        <v>198</v>
      </c>
      <c r="B968" t="s">
        <v>222</v>
      </c>
      <c r="C968" t="str">
        <f t="shared" si="49"/>
        <v>10621660000000</v>
      </c>
      <c r="D968" t="s">
        <v>2945</v>
      </c>
      <c r="E968" t="str">
        <f>"10621666057327"</f>
        <v>10621666057327</v>
      </c>
      <c r="F968" s="8">
        <v>1154</v>
      </c>
      <c r="G968" s="8">
        <v>7936</v>
      </c>
      <c r="H968" s="8">
        <v>1691</v>
      </c>
      <c r="I968" s="8">
        <v>2731</v>
      </c>
    </row>
    <row r="969" spans="1:9" x14ac:dyDescent="0.2">
      <c r="A969" t="s">
        <v>198</v>
      </c>
      <c r="B969" t="s">
        <v>222</v>
      </c>
      <c r="C969" t="str">
        <f t="shared" si="49"/>
        <v>10621660000000</v>
      </c>
      <c r="D969" t="s">
        <v>2946</v>
      </c>
      <c r="E969" t="str">
        <f>"10621666006407"</f>
        <v>10621666006407</v>
      </c>
      <c r="F969" s="8">
        <v>677</v>
      </c>
      <c r="G969" s="8">
        <v>8743</v>
      </c>
      <c r="H969" s="8">
        <v>1780</v>
      </c>
      <c r="I969" s="8">
        <v>2311</v>
      </c>
    </row>
    <row r="970" spans="1:9" x14ac:dyDescent="0.2">
      <c r="A970" t="s">
        <v>198</v>
      </c>
      <c r="B970" t="s">
        <v>222</v>
      </c>
      <c r="C970" t="str">
        <f t="shared" si="49"/>
        <v>10621660000000</v>
      </c>
      <c r="D970" t="s">
        <v>2947</v>
      </c>
      <c r="E970" t="str">
        <f>"10621666088546"</f>
        <v>10621666088546</v>
      </c>
      <c r="F970" s="8">
        <v>1035</v>
      </c>
      <c r="G970" s="8">
        <v>8363</v>
      </c>
      <c r="H970" s="8">
        <v>1784</v>
      </c>
      <c r="I970" s="8">
        <v>2293</v>
      </c>
    </row>
    <row r="971" spans="1:9" x14ac:dyDescent="0.2">
      <c r="A971" t="s">
        <v>198</v>
      </c>
      <c r="B971" t="s">
        <v>222</v>
      </c>
      <c r="C971" t="str">
        <f t="shared" si="49"/>
        <v>10621660000000</v>
      </c>
      <c r="D971" t="s">
        <v>2948</v>
      </c>
      <c r="E971" t="str">
        <f>"10621666006290"</f>
        <v>10621666006290</v>
      </c>
      <c r="F971" s="8">
        <v>816</v>
      </c>
      <c r="G971" s="8">
        <v>8276</v>
      </c>
      <c r="H971" s="8">
        <v>1718</v>
      </c>
      <c r="I971" s="8">
        <v>2604</v>
      </c>
    </row>
    <row r="972" spans="1:9" x14ac:dyDescent="0.2">
      <c r="A972" t="s">
        <v>198</v>
      </c>
      <c r="B972" t="s">
        <v>222</v>
      </c>
      <c r="C972" t="str">
        <f t="shared" si="49"/>
        <v>10621660000000</v>
      </c>
      <c r="D972" t="s">
        <v>2949</v>
      </c>
      <c r="E972" t="str">
        <f>"10621661030675"</f>
        <v>10621661030675</v>
      </c>
      <c r="F972" s="8">
        <v>824</v>
      </c>
      <c r="G972" s="8">
        <v>8211</v>
      </c>
      <c r="H972" s="8">
        <v>1711</v>
      </c>
      <c r="I972" s="8">
        <v>2639</v>
      </c>
    </row>
    <row r="973" spans="1:9" x14ac:dyDescent="0.2">
      <c r="A973" t="s">
        <v>198</v>
      </c>
      <c r="B973" t="s">
        <v>222</v>
      </c>
      <c r="C973" t="str">
        <f t="shared" si="49"/>
        <v>10621660000000</v>
      </c>
      <c r="D973" t="s">
        <v>2950</v>
      </c>
      <c r="E973" t="str">
        <f>"10621666111249"</f>
        <v>10621666111249</v>
      </c>
      <c r="F973" s="8">
        <v>978</v>
      </c>
      <c r="G973" s="8">
        <v>7756</v>
      </c>
      <c r="H973" s="8">
        <v>1656</v>
      </c>
      <c r="I973" s="8">
        <v>2900</v>
      </c>
    </row>
    <row r="974" spans="1:9" x14ac:dyDescent="0.2">
      <c r="A974" t="s">
        <v>198</v>
      </c>
      <c r="B974" t="s">
        <v>222</v>
      </c>
      <c r="C974" t="str">
        <f t="shared" si="49"/>
        <v>10621660000000</v>
      </c>
      <c r="D974" t="s">
        <v>2951</v>
      </c>
      <c r="E974" t="str">
        <f>"10621666085138"</f>
        <v>10621666085138</v>
      </c>
      <c r="F974" s="8">
        <v>800</v>
      </c>
      <c r="G974" s="8">
        <v>8055</v>
      </c>
      <c r="H974" s="8">
        <v>1695</v>
      </c>
      <c r="I974" s="8">
        <v>2712</v>
      </c>
    </row>
    <row r="975" spans="1:9" x14ac:dyDescent="0.2">
      <c r="A975" t="s">
        <v>198</v>
      </c>
      <c r="B975" t="s">
        <v>222</v>
      </c>
      <c r="C975" t="str">
        <f t="shared" si="49"/>
        <v>10621660000000</v>
      </c>
      <c r="D975" t="s">
        <v>2952</v>
      </c>
      <c r="E975" t="str">
        <f>"10621660113829"</f>
        <v>10621660113829</v>
      </c>
      <c r="F975" s="8">
        <v>734</v>
      </c>
      <c r="G975" s="8">
        <v>8443</v>
      </c>
      <c r="H975" s="8">
        <v>1792</v>
      </c>
      <c r="I975" s="8">
        <v>2254</v>
      </c>
    </row>
    <row r="976" spans="1:9" x14ac:dyDescent="0.2">
      <c r="A976" t="s">
        <v>198</v>
      </c>
      <c r="B976" t="s">
        <v>222</v>
      </c>
      <c r="C976" t="str">
        <f t="shared" si="49"/>
        <v>10621660000000</v>
      </c>
      <c r="D976" t="s">
        <v>2953</v>
      </c>
      <c r="E976" t="str">
        <f>"10621661030295"</f>
        <v>10621661030295</v>
      </c>
      <c r="F976" s="8">
        <v>785</v>
      </c>
      <c r="G976" s="8">
        <v>8534</v>
      </c>
      <c r="H976" s="8">
        <v>1836</v>
      </c>
      <c r="I976" s="8">
        <v>2049</v>
      </c>
    </row>
    <row r="977" spans="1:9" x14ac:dyDescent="0.2">
      <c r="A977" t="s">
        <v>198</v>
      </c>
      <c r="B977" t="s">
        <v>222</v>
      </c>
      <c r="C977" t="str">
        <f t="shared" si="49"/>
        <v>10621660000000</v>
      </c>
      <c r="D977" t="s">
        <v>2954</v>
      </c>
      <c r="E977" t="str">
        <f>"10621666111256"</f>
        <v>10621666111256</v>
      </c>
      <c r="F977" s="8">
        <v>752</v>
      </c>
      <c r="G977" s="8">
        <v>7993</v>
      </c>
      <c r="H977" s="8">
        <v>1703</v>
      </c>
      <c r="I977" s="8">
        <v>2675</v>
      </c>
    </row>
    <row r="978" spans="1:9" x14ac:dyDescent="0.2">
      <c r="A978" t="s">
        <v>198</v>
      </c>
      <c r="B978" t="s">
        <v>222</v>
      </c>
      <c r="C978" t="str">
        <f t="shared" si="49"/>
        <v>10621660000000</v>
      </c>
      <c r="D978" t="s">
        <v>2955</v>
      </c>
      <c r="E978" t="str">
        <f>"10621666006068"</f>
        <v>10621666006068</v>
      </c>
      <c r="F978" s="8">
        <v>939</v>
      </c>
      <c r="G978" s="8">
        <v>7881</v>
      </c>
      <c r="H978" s="8">
        <v>1725</v>
      </c>
      <c r="I978" s="8">
        <v>2573</v>
      </c>
    </row>
    <row r="979" spans="1:9" x14ac:dyDescent="0.2">
      <c r="A979" t="s">
        <v>198</v>
      </c>
      <c r="B979" t="s">
        <v>222</v>
      </c>
      <c r="C979" t="str">
        <f t="shared" si="49"/>
        <v>10621660000000</v>
      </c>
      <c r="D979" t="s">
        <v>2496</v>
      </c>
      <c r="E979" t="str">
        <f>"10621666006522"</f>
        <v>10621666006522</v>
      </c>
      <c r="F979" s="8">
        <v>887</v>
      </c>
      <c r="G979" s="8">
        <v>7825</v>
      </c>
      <c r="H979" s="8">
        <v>1721</v>
      </c>
      <c r="I979" s="8">
        <v>2589</v>
      </c>
    </row>
    <row r="980" spans="1:9" x14ac:dyDescent="0.2">
      <c r="A980" t="s">
        <v>198</v>
      </c>
      <c r="B980" t="s">
        <v>222</v>
      </c>
      <c r="C980" t="str">
        <f t="shared" si="49"/>
        <v>10621660000000</v>
      </c>
      <c r="D980" t="s">
        <v>2956</v>
      </c>
      <c r="E980" t="str">
        <f>"10621666006514"</f>
        <v>10621666006514</v>
      </c>
      <c r="F980" s="8">
        <v>791</v>
      </c>
      <c r="G980" s="8">
        <v>7763</v>
      </c>
      <c r="H980" s="8">
        <v>1709</v>
      </c>
      <c r="I980" s="8">
        <v>2649</v>
      </c>
    </row>
    <row r="981" spans="1:9" x14ac:dyDescent="0.2">
      <c r="A981" t="s">
        <v>198</v>
      </c>
      <c r="B981" t="s">
        <v>222</v>
      </c>
      <c r="C981" t="str">
        <f t="shared" si="49"/>
        <v>10621660000000</v>
      </c>
      <c r="D981" t="s">
        <v>2957</v>
      </c>
      <c r="E981" t="str">
        <f>"10621660113811"</f>
        <v>10621660113811</v>
      </c>
      <c r="F981" s="8">
        <v>798</v>
      </c>
      <c r="G981" s="8">
        <v>7812</v>
      </c>
      <c r="H981" s="8">
        <v>1733</v>
      </c>
      <c r="I981" s="8">
        <v>2534</v>
      </c>
    </row>
    <row r="982" spans="1:9" x14ac:dyDescent="0.2">
      <c r="A982" t="s">
        <v>198</v>
      </c>
      <c r="B982" t="s">
        <v>222</v>
      </c>
      <c r="C982" t="str">
        <f t="shared" si="49"/>
        <v>10621660000000</v>
      </c>
      <c r="D982" t="s">
        <v>2958</v>
      </c>
      <c r="E982" t="str">
        <f>"10621661031897"</f>
        <v>10621661031897</v>
      </c>
      <c r="F982" s="8">
        <v>725</v>
      </c>
      <c r="G982" s="8">
        <v>7866</v>
      </c>
      <c r="H982" s="8">
        <v>1764</v>
      </c>
      <c r="I982" s="8">
        <v>2388</v>
      </c>
    </row>
    <row r="983" spans="1:9" x14ac:dyDescent="0.2">
      <c r="A983" t="s">
        <v>198</v>
      </c>
      <c r="B983" t="s">
        <v>222</v>
      </c>
      <c r="C983" t="str">
        <f t="shared" si="49"/>
        <v>10621660000000</v>
      </c>
      <c r="D983" t="s">
        <v>2959</v>
      </c>
      <c r="E983" t="str">
        <f>"10621666006530"</f>
        <v>10621666006530</v>
      </c>
      <c r="F983" s="8">
        <v>629</v>
      </c>
      <c r="G983" s="8">
        <v>7836</v>
      </c>
      <c r="H983" s="8">
        <v>1762</v>
      </c>
      <c r="I983" s="8">
        <v>2397</v>
      </c>
    </row>
    <row r="984" spans="1:9" x14ac:dyDescent="0.2">
      <c r="A984" t="s">
        <v>198</v>
      </c>
      <c r="B984" t="s">
        <v>222</v>
      </c>
      <c r="C984" t="str">
        <f t="shared" si="49"/>
        <v>10621660000000</v>
      </c>
      <c r="D984" t="s">
        <v>2960</v>
      </c>
      <c r="E984" t="str">
        <f>"10621660119339"</f>
        <v>10621660119339</v>
      </c>
      <c r="F984" s="8">
        <v>581</v>
      </c>
      <c r="G984" s="8">
        <v>8049</v>
      </c>
      <c r="H984" s="8">
        <v>1833</v>
      </c>
      <c r="I984" s="8">
        <v>2062</v>
      </c>
    </row>
    <row r="985" spans="1:9" x14ac:dyDescent="0.2">
      <c r="A985" t="s">
        <v>198</v>
      </c>
      <c r="B985" t="s">
        <v>222</v>
      </c>
      <c r="C985" t="str">
        <f t="shared" si="49"/>
        <v>10621660000000</v>
      </c>
      <c r="D985" t="s">
        <v>2961</v>
      </c>
      <c r="E985" t="str">
        <f>"10621661030584"</f>
        <v>10621661030584</v>
      </c>
      <c r="F985" s="8">
        <v>646</v>
      </c>
      <c r="G985" s="8">
        <v>7736</v>
      </c>
      <c r="H985" s="8">
        <v>1776</v>
      </c>
      <c r="I985" s="8">
        <v>2332</v>
      </c>
    </row>
    <row r="986" spans="1:9" x14ac:dyDescent="0.2">
      <c r="A986" t="s">
        <v>198</v>
      </c>
      <c r="B986" t="s">
        <v>222</v>
      </c>
      <c r="C986" t="str">
        <f t="shared" si="49"/>
        <v>10621660000000</v>
      </c>
      <c r="D986" t="s">
        <v>2962</v>
      </c>
      <c r="E986" t="str">
        <f>"10621660108118"</f>
        <v>10621660108118</v>
      </c>
      <c r="F986" s="8">
        <v>490</v>
      </c>
      <c r="G986" s="8">
        <v>8009</v>
      </c>
      <c r="H986" s="8">
        <v>1832</v>
      </c>
      <c r="I986" s="8">
        <v>2065</v>
      </c>
    </row>
    <row r="987" spans="1:9" x14ac:dyDescent="0.2">
      <c r="A987" t="s">
        <v>198</v>
      </c>
      <c r="B987" t="s">
        <v>222</v>
      </c>
      <c r="C987" t="str">
        <f t="shared" si="49"/>
        <v>10621660000000</v>
      </c>
      <c r="D987" t="s">
        <v>2963</v>
      </c>
      <c r="E987" t="str">
        <f>"10621666102016"</f>
        <v>10621666102016</v>
      </c>
      <c r="F987" s="8">
        <v>697</v>
      </c>
      <c r="G987" s="8">
        <v>7567</v>
      </c>
      <c r="H987" s="8">
        <v>1775</v>
      </c>
      <c r="I987" s="8">
        <v>2337</v>
      </c>
    </row>
    <row r="988" spans="1:9" x14ac:dyDescent="0.2">
      <c r="A988" t="s">
        <v>198</v>
      </c>
      <c r="B988" t="s">
        <v>222</v>
      </c>
      <c r="C988" t="str">
        <f t="shared" si="49"/>
        <v>10621660000000</v>
      </c>
      <c r="D988" t="s">
        <v>2964</v>
      </c>
      <c r="E988" t="str">
        <f>"10621666006076"</f>
        <v>10621666006076</v>
      </c>
      <c r="F988" s="8">
        <v>516</v>
      </c>
      <c r="G988" s="8">
        <v>7837</v>
      </c>
      <c r="H988" s="8">
        <v>1824</v>
      </c>
      <c r="I988" s="8">
        <v>2106</v>
      </c>
    </row>
    <row r="989" spans="1:9" x14ac:dyDescent="0.2">
      <c r="A989" t="s">
        <v>198</v>
      </c>
      <c r="B989" t="s">
        <v>222</v>
      </c>
      <c r="C989" t="str">
        <f t="shared" si="49"/>
        <v>10621660000000</v>
      </c>
      <c r="D989" t="s">
        <v>2965</v>
      </c>
      <c r="E989" t="str">
        <f>"10621666006100"</f>
        <v>10621666006100</v>
      </c>
      <c r="F989" s="8">
        <v>401</v>
      </c>
      <c r="G989" s="8">
        <v>8023</v>
      </c>
      <c r="H989" s="8">
        <v>1846</v>
      </c>
      <c r="I989" s="8">
        <v>2001</v>
      </c>
    </row>
    <row r="990" spans="1:9" x14ac:dyDescent="0.2">
      <c r="A990" t="s">
        <v>198</v>
      </c>
      <c r="B990" t="s">
        <v>222</v>
      </c>
      <c r="C990" t="str">
        <f t="shared" si="49"/>
        <v>10621660000000</v>
      </c>
      <c r="D990" t="s">
        <v>2966</v>
      </c>
      <c r="E990" t="str">
        <f>"10621660108555"</f>
        <v>10621660108555</v>
      </c>
      <c r="F990" s="8">
        <v>404</v>
      </c>
      <c r="G990" s="8">
        <v>7893</v>
      </c>
      <c r="H990" s="8">
        <v>1872</v>
      </c>
      <c r="I990" s="8">
        <v>1877</v>
      </c>
    </row>
    <row r="991" spans="1:9" x14ac:dyDescent="0.2">
      <c r="A991" t="s">
        <v>198</v>
      </c>
      <c r="B991" t="s">
        <v>222</v>
      </c>
      <c r="C991" t="str">
        <f t="shared" si="49"/>
        <v>10621660000000</v>
      </c>
      <c r="D991" t="s">
        <v>2967</v>
      </c>
      <c r="E991" t="str">
        <f>"10621660108100"</f>
        <v>10621660108100</v>
      </c>
      <c r="F991" s="8">
        <v>618</v>
      </c>
      <c r="G991" s="8">
        <v>7277</v>
      </c>
      <c r="H991" s="8">
        <v>1813</v>
      </c>
      <c r="I991" s="8">
        <v>2157</v>
      </c>
    </row>
    <row r="992" spans="1:9" x14ac:dyDescent="0.2">
      <c r="A992" t="s">
        <v>198</v>
      </c>
      <c r="B992" t="s">
        <v>222</v>
      </c>
      <c r="C992" t="str">
        <f t="shared" si="49"/>
        <v>10621660000000</v>
      </c>
      <c r="D992" t="s">
        <v>2968</v>
      </c>
      <c r="E992" t="str">
        <f>"10621666006142"</f>
        <v>10621666006142</v>
      </c>
      <c r="F992" s="8">
        <v>600</v>
      </c>
      <c r="G992" s="8">
        <v>6989</v>
      </c>
      <c r="H992" s="8">
        <v>1799</v>
      </c>
      <c r="I992" s="8">
        <v>2222</v>
      </c>
    </row>
    <row r="993" spans="1:9" x14ac:dyDescent="0.2">
      <c r="A993" t="s">
        <v>198</v>
      </c>
      <c r="B993" t="s">
        <v>222</v>
      </c>
      <c r="C993" t="str">
        <f t="shared" si="49"/>
        <v>10621660000000</v>
      </c>
      <c r="D993" t="s">
        <v>2969</v>
      </c>
      <c r="E993" t="str">
        <f>"10621666103840"</f>
        <v>10621666103840</v>
      </c>
      <c r="F993" s="8">
        <v>327</v>
      </c>
      <c r="G993" s="8">
        <v>7351</v>
      </c>
      <c r="H993" s="8">
        <v>1872</v>
      </c>
      <c r="I993" s="8">
        <v>1877</v>
      </c>
    </row>
    <row r="994" spans="1:9" x14ac:dyDescent="0.2">
      <c r="A994" t="s">
        <v>198</v>
      </c>
      <c r="B994" t="s">
        <v>222</v>
      </c>
      <c r="C994" t="str">
        <f t="shared" si="49"/>
        <v>10621660000000</v>
      </c>
      <c r="D994" t="s">
        <v>2970</v>
      </c>
      <c r="E994" t="str">
        <f>"10621660121533"</f>
        <v>10621660121533</v>
      </c>
      <c r="F994" s="8">
        <v>326</v>
      </c>
      <c r="G994" s="8">
        <v>10408</v>
      </c>
      <c r="H994" s="8">
        <v>0</v>
      </c>
      <c r="I994" s="8">
        <v>0</v>
      </c>
    </row>
    <row r="995" spans="1:9" x14ac:dyDescent="0.2">
      <c r="A995" t="s">
        <v>198</v>
      </c>
      <c r="B995" t="s">
        <v>222</v>
      </c>
      <c r="C995" t="str">
        <f t="shared" si="49"/>
        <v>10621660000000</v>
      </c>
      <c r="D995" t="s">
        <v>2971</v>
      </c>
      <c r="E995" t="str">
        <f>"10621666103832"</f>
        <v>10621666103832</v>
      </c>
      <c r="F995" s="8">
        <v>267</v>
      </c>
      <c r="G995" s="8">
        <v>6476</v>
      </c>
      <c r="H995" s="8">
        <v>1869</v>
      </c>
      <c r="I995" s="8">
        <v>1891</v>
      </c>
    </row>
    <row r="996" spans="1:9" x14ac:dyDescent="0.2">
      <c r="A996" t="s">
        <v>198</v>
      </c>
      <c r="B996" t="s">
        <v>223</v>
      </c>
      <c r="C996" t="str">
        <f t="shared" ref="C996:C1001" si="50">"10752340000000"</f>
        <v>10752340000000</v>
      </c>
      <c r="D996" t="s">
        <v>2972</v>
      </c>
      <c r="E996" t="str">
        <f>"10752341030352"</f>
        <v>10752341030352</v>
      </c>
      <c r="F996" s="8">
        <v>1464</v>
      </c>
      <c r="G996" s="8">
        <v>14702</v>
      </c>
      <c r="H996" s="8">
        <v>1825</v>
      </c>
      <c r="I996" s="8">
        <v>4446</v>
      </c>
    </row>
    <row r="997" spans="1:9" x14ac:dyDescent="0.2">
      <c r="A997" t="s">
        <v>198</v>
      </c>
      <c r="B997" t="s">
        <v>223</v>
      </c>
      <c r="C997" t="str">
        <f t="shared" si="50"/>
        <v>10752340000000</v>
      </c>
      <c r="D997" t="s">
        <v>2973</v>
      </c>
      <c r="E997" t="str">
        <f>"10752346007397"</f>
        <v>10752346007397</v>
      </c>
      <c r="F997" s="8">
        <v>1534</v>
      </c>
      <c r="G997" s="8">
        <v>10892</v>
      </c>
      <c r="H997" s="8">
        <v>1825</v>
      </c>
      <c r="I997" s="8">
        <v>4446</v>
      </c>
    </row>
    <row r="998" spans="1:9" x14ac:dyDescent="0.2">
      <c r="A998" t="s">
        <v>198</v>
      </c>
      <c r="B998" t="s">
        <v>223</v>
      </c>
      <c r="C998" t="str">
        <f t="shared" si="50"/>
        <v>10752340000000</v>
      </c>
      <c r="D998" t="s">
        <v>2974</v>
      </c>
      <c r="E998" t="str">
        <f>"10752346006647"</f>
        <v>10752346006647</v>
      </c>
      <c r="F998" s="8">
        <v>849</v>
      </c>
      <c r="G998" s="8">
        <v>10963</v>
      </c>
      <c r="H998" s="8">
        <v>1825</v>
      </c>
      <c r="I998" s="8">
        <v>4446</v>
      </c>
    </row>
    <row r="999" spans="1:9" x14ac:dyDescent="0.2">
      <c r="A999" t="s">
        <v>198</v>
      </c>
      <c r="B999" t="s">
        <v>223</v>
      </c>
      <c r="C999" t="str">
        <f t="shared" si="50"/>
        <v>10752340000000</v>
      </c>
      <c r="D999" t="s">
        <v>2975</v>
      </c>
      <c r="E999" t="str">
        <f>"10752346005805"</f>
        <v>10752346005805</v>
      </c>
      <c r="F999" s="8">
        <v>532</v>
      </c>
      <c r="G999" s="8">
        <v>9624</v>
      </c>
      <c r="H999" s="8">
        <v>1825</v>
      </c>
      <c r="I999" s="8">
        <v>4446</v>
      </c>
    </row>
    <row r="1000" spans="1:9" x14ac:dyDescent="0.2">
      <c r="A1000" t="s">
        <v>198</v>
      </c>
      <c r="B1000" t="s">
        <v>223</v>
      </c>
      <c r="C1000" t="str">
        <f t="shared" si="50"/>
        <v>10752340000000</v>
      </c>
      <c r="D1000" t="s">
        <v>2976</v>
      </c>
      <c r="E1000" t="str">
        <f>"10752341037456"</f>
        <v>10752341037456</v>
      </c>
      <c r="F1000" s="8">
        <v>925</v>
      </c>
      <c r="G1000" s="8">
        <v>8230</v>
      </c>
      <c r="H1000" s="8">
        <v>1825</v>
      </c>
      <c r="I1000" s="8">
        <v>4446</v>
      </c>
    </row>
    <row r="1001" spans="1:9" x14ac:dyDescent="0.2">
      <c r="A1001" t="s">
        <v>198</v>
      </c>
      <c r="B1001" t="s">
        <v>223</v>
      </c>
      <c r="C1001" t="str">
        <f t="shared" si="50"/>
        <v>10752340000000</v>
      </c>
      <c r="D1001" t="s">
        <v>2977</v>
      </c>
      <c r="E1001" t="str">
        <f>"10752346007223"</f>
        <v>10752346007223</v>
      </c>
      <c r="F1001" s="8">
        <v>1028</v>
      </c>
      <c r="G1001" s="8">
        <v>6893</v>
      </c>
      <c r="H1001" s="8">
        <v>1825</v>
      </c>
      <c r="I1001" s="8">
        <v>4446</v>
      </c>
    </row>
    <row r="1002" spans="1:9" x14ac:dyDescent="0.2">
      <c r="A1002" t="s">
        <v>198</v>
      </c>
      <c r="B1002" t="s">
        <v>226</v>
      </c>
      <c r="C1002" t="str">
        <f t="shared" ref="C1002:C1008" si="51">"10739990000000"</f>
        <v>10739990000000</v>
      </c>
      <c r="D1002" t="s">
        <v>2978</v>
      </c>
      <c r="E1002" t="str">
        <f>"10739991033422"</f>
        <v>10739991033422</v>
      </c>
      <c r="F1002" s="8">
        <v>1779</v>
      </c>
      <c r="G1002" s="8">
        <v>15153</v>
      </c>
      <c r="H1002" s="8">
        <v>804</v>
      </c>
      <c r="I1002" s="8">
        <v>3420</v>
      </c>
    </row>
    <row r="1003" spans="1:9" x14ac:dyDescent="0.2">
      <c r="A1003" t="s">
        <v>198</v>
      </c>
      <c r="B1003" t="s">
        <v>226</v>
      </c>
      <c r="C1003" t="str">
        <f t="shared" si="51"/>
        <v>10739990000000</v>
      </c>
      <c r="D1003" t="s">
        <v>2979</v>
      </c>
      <c r="E1003" t="str">
        <f>"10739996006688"</f>
        <v>10739996006688</v>
      </c>
      <c r="F1003" s="8">
        <v>1544</v>
      </c>
      <c r="G1003" s="8">
        <v>7225</v>
      </c>
      <c r="H1003" s="8">
        <v>804</v>
      </c>
      <c r="I1003" s="8">
        <v>3420</v>
      </c>
    </row>
    <row r="1004" spans="1:9" x14ac:dyDescent="0.2">
      <c r="A1004" t="s">
        <v>198</v>
      </c>
      <c r="B1004" t="s">
        <v>226</v>
      </c>
      <c r="C1004" t="str">
        <f t="shared" si="51"/>
        <v>10739990000000</v>
      </c>
      <c r="D1004" t="s">
        <v>2980</v>
      </c>
      <c r="E1004" t="str">
        <f>"10739996007371"</f>
        <v>10739996007371</v>
      </c>
      <c r="F1004" s="8">
        <v>950</v>
      </c>
      <c r="G1004" s="8">
        <v>6453</v>
      </c>
      <c r="H1004" s="8">
        <v>804</v>
      </c>
      <c r="I1004" s="8">
        <v>3420</v>
      </c>
    </row>
    <row r="1005" spans="1:9" x14ac:dyDescent="0.2">
      <c r="A1005" t="s">
        <v>198</v>
      </c>
      <c r="B1005" t="s">
        <v>226</v>
      </c>
      <c r="C1005" t="str">
        <f t="shared" si="51"/>
        <v>10739990000000</v>
      </c>
      <c r="D1005" t="s">
        <v>2981</v>
      </c>
      <c r="E1005" t="str">
        <f>"10739996006696"</f>
        <v>10739996006696</v>
      </c>
      <c r="F1005" s="8">
        <v>711</v>
      </c>
      <c r="G1005" s="8">
        <v>6452</v>
      </c>
      <c r="H1005" s="8">
        <v>804</v>
      </c>
      <c r="I1005" s="8">
        <v>3420</v>
      </c>
    </row>
    <row r="1006" spans="1:9" x14ac:dyDescent="0.2">
      <c r="A1006" t="s">
        <v>198</v>
      </c>
      <c r="B1006" t="s">
        <v>226</v>
      </c>
      <c r="C1006" t="str">
        <f t="shared" si="51"/>
        <v>10739990000000</v>
      </c>
      <c r="D1006" t="s">
        <v>2982</v>
      </c>
      <c r="E1006" t="str">
        <f>"10739990123596"</f>
        <v>10739990123596</v>
      </c>
      <c r="F1006" s="8">
        <v>820</v>
      </c>
      <c r="G1006" s="8">
        <v>6189</v>
      </c>
      <c r="H1006" s="8">
        <v>804</v>
      </c>
      <c r="I1006" s="8">
        <v>3420</v>
      </c>
    </row>
    <row r="1007" spans="1:9" x14ac:dyDescent="0.2">
      <c r="A1007" t="s">
        <v>198</v>
      </c>
      <c r="B1007" t="s">
        <v>226</v>
      </c>
      <c r="C1007" t="str">
        <f t="shared" si="51"/>
        <v>10739990000000</v>
      </c>
      <c r="D1007" t="s">
        <v>1811</v>
      </c>
      <c r="E1007" t="str">
        <f>"10739996119978"</f>
        <v>10739996119978</v>
      </c>
      <c r="F1007" s="8">
        <v>769</v>
      </c>
      <c r="G1007" s="8">
        <v>6076</v>
      </c>
      <c r="H1007" s="8">
        <v>804</v>
      </c>
      <c r="I1007" s="8">
        <v>3420</v>
      </c>
    </row>
    <row r="1008" spans="1:9" x14ac:dyDescent="0.2">
      <c r="A1008" t="s">
        <v>198</v>
      </c>
      <c r="B1008" t="s">
        <v>226</v>
      </c>
      <c r="C1008" t="str">
        <f t="shared" si="51"/>
        <v>10739990000000</v>
      </c>
      <c r="D1008" t="s">
        <v>2983</v>
      </c>
      <c r="E1008" t="str">
        <f>"10739991033430"</f>
        <v>10739991033430</v>
      </c>
      <c r="F1008" s="8">
        <v>640</v>
      </c>
      <c r="G1008" s="8">
        <v>6014</v>
      </c>
      <c r="H1008" s="8">
        <v>804</v>
      </c>
      <c r="I1008" s="8">
        <v>3420</v>
      </c>
    </row>
    <row r="1009" spans="1:9" x14ac:dyDescent="0.2">
      <c r="A1009" t="s">
        <v>198</v>
      </c>
      <c r="B1009" t="s">
        <v>227</v>
      </c>
      <c r="C1009" t="str">
        <f t="shared" ref="C1009:C1029" si="52">"10622650000000"</f>
        <v>10622650000000</v>
      </c>
      <c r="D1009" t="s">
        <v>2094</v>
      </c>
      <c r="E1009" t="str">
        <f>"10622656006878"</f>
        <v>10622656006878</v>
      </c>
      <c r="F1009" s="8">
        <v>2665</v>
      </c>
      <c r="G1009" s="8">
        <v>11508</v>
      </c>
      <c r="H1009" s="8">
        <v>1171</v>
      </c>
      <c r="I1009" s="8">
        <v>2713</v>
      </c>
    </row>
    <row r="1010" spans="1:9" x14ac:dyDescent="0.2">
      <c r="A1010" t="s">
        <v>198</v>
      </c>
      <c r="B1010" t="s">
        <v>227</v>
      </c>
      <c r="C1010" t="str">
        <f t="shared" si="52"/>
        <v>10622650000000</v>
      </c>
      <c r="D1010" t="s">
        <v>2984</v>
      </c>
      <c r="E1010" t="str">
        <f>"10622656088959"</f>
        <v>10622656088959</v>
      </c>
      <c r="F1010" s="8">
        <v>2960</v>
      </c>
      <c r="G1010" s="8">
        <v>11122</v>
      </c>
      <c r="H1010" s="8">
        <v>1171</v>
      </c>
      <c r="I1010" s="8">
        <v>2713</v>
      </c>
    </row>
    <row r="1011" spans="1:9" x14ac:dyDescent="0.2">
      <c r="A1011" t="s">
        <v>198</v>
      </c>
      <c r="B1011" t="s">
        <v>227</v>
      </c>
      <c r="C1011" t="str">
        <f t="shared" si="52"/>
        <v>10622650000000</v>
      </c>
      <c r="D1011" t="s">
        <v>2243</v>
      </c>
      <c r="E1011" t="str">
        <f>"10622656006803"</f>
        <v>10622656006803</v>
      </c>
      <c r="F1011" s="8">
        <v>2592</v>
      </c>
      <c r="G1011" s="8">
        <v>11151</v>
      </c>
      <c r="H1011" s="8">
        <v>1171</v>
      </c>
      <c r="I1011" s="8">
        <v>2713</v>
      </c>
    </row>
    <row r="1012" spans="1:9" x14ac:dyDescent="0.2">
      <c r="A1012" t="s">
        <v>198</v>
      </c>
      <c r="B1012" t="s">
        <v>227</v>
      </c>
      <c r="C1012" t="str">
        <f t="shared" si="52"/>
        <v>10622650000000</v>
      </c>
      <c r="D1012" t="s">
        <v>2985</v>
      </c>
      <c r="E1012" t="str">
        <f>"10622656006753"</f>
        <v>10622656006753</v>
      </c>
      <c r="F1012" s="8">
        <v>2206</v>
      </c>
      <c r="G1012" s="8">
        <v>11277</v>
      </c>
      <c r="H1012" s="8">
        <v>1171</v>
      </c>
      <c r="I1012" s="8">
        <v>2713</v>
      </c>
    </row>
    <row r="1013" spans="1:9" x14ac:dyDescent="0.2">
      <c r="A1013" t="s">
        <v>198</v>
      </c>
      <c r="B1013" t="s">
        <v>227</v>
      </c>
      <c r="C1013" t="str">
        <f t="shared" si="52"/>
        <v>10622650000000</v>
      </c>
      <c r="D1013" t="s">
        <v>1194</v>
      </c>
      <c r="E1013" t="str">
        <f>"10622656006787"</f>
        <v>10622656006787</v>
      </c>
      <c r="F1013" s="8">
        <v>3221</v>
      </c>
      <c r="G1013" s="8">
        <v>10163</v>
      </c>
      <c r="H1013" s="8">
        <v>1171</v>
      </c>
      <c r="I1013" s="8">
        <v>2713</v>
      </c>
    </row>
    <row r="1014" spans="1:9" x14ac:dyDescent="0.2">
      <c r="A1014" t="s">
        <v>198</v>
      </c>
      <c r="B1014" t="s">
        <v>227</v>
      </c>
      <c r="C1014" t="str">
        <f t="shared" si="52"/>
        <v>10622650000000</v>
      </c>
      <c r="D1014" t="s">
        <v>2986</v>
      </c>
      <c r="E1014" t="str">
        <f>"10622651033703"</f>
        <v>10622651033703</v>
      </c>
      <c r="F1014" s="8">
        <v>1188</v>
      </c>
      <c r="G1014" s="8">
        <v>11538</v>
      </c>
      <c r="H1014" s="8">
        <v>1171</v>
      </c>
      <c r="I1014" s="8">
        <v>2713</v>
      </c>
    </row>
    <row r="1015" spans="1:9" x14ac:dyDescent="0.2">
      <c r="A1015" t="s">
        <v>198</v>
      </c>
      <c r="B1015" t="s">
        <v>227</v>
      </c>
      <c r="C1015" t="str">
        <f t="shared" si="52"/>
        <v>10622650000000</v>
      </c>
      <c r="D1015" t="s">
        <v>2987</v>
      </c>
      <c r="E1015" t="str">
        <f>"10622656006738"</f>
        <v>10622656006738</v>
      </c>
      <c r="F1015" s="8">
        <v>2236</v>
      </c>
      <c r="G1015" s="8">
        <v>10274</v>
      </c>
      <c r="H1015" s="8">
        <v>1171</v>
      </c>
      <c r="I1015" s="8">
        <v>2713</v>
      </c>
    </row>
    <row r="1016" spans="1:9" x14ac:dyDescent="0.2">
      <c r="A1016" t="s">
        <v>198</v>
      </c>
      <c r="B1016" t="s">
        <v>227</v>
      </c>
      <c r="C1016" t="str">
        <f t="shared" si="52"/>
        <v>10622650000000</v>
      </c>
      <c r="D1016" t="s">
        <v>2988</v>
      </c>
      <c r="E1016" t="str">
        <f>"10622650105692"</f>
        <v>10622650105692</v>
      </c>
      <c r="F1016" s="8">
        <v>2397</v>
      </c>
      <c r="G1016" s="8">
        <v>10057</v>
      </c>
      <c r="H1016" s="8">
        <v>1171</v>
      </c>
      <c r="I1016" s="8">
        <v>2713</v>
      </c>
    </row>
    <row r="1017" spans="1:9" x14ac:dyDescent="0.2">
      <c r="A1017" t="s">
        <v>198</v>
      </c>
      <c r="B1017" t="s">
        <v>227</v>
      </c>
      <c r="C1017" t="str">
        <f t="shared" si="52"/>
        <v>10622650000000</v>
      </c>
      <c r="D1017" t="s">
        <v>2989</v>
      </c>
      <c r="E1017" t="str">
        <f>"10622650108092"</f>
        <v>10622650108092</v>
      </c>
      <c r="F1017" s="8">
        <v>1565</v>
      </c>
      <c r="G1017" s="8">
        <v>10479</v>
      </c>
      <c r="H1017" s="8">
        <v>1171</v>
      </c>
      <c r="I1017" s="8">
        <v>2713</v>
      </c>
    </row>
    <row r="1018" spans="1:9" x14ac:dyDescent="0.2">
      <c r="A1018" t="s">
        <v>198</v>
      </c>
      <c r="B1018" t="s">
        <v>227</v>
      </c>
      <c r="C1018" t="str">
        <f t="shared" si="52"/>
        <v>10622650000000</v>
      </c>
      <c r="D1018" t="s">
        <v>2850</v>
      </c>
      <c r="E1018" t="str">
        <f>"10622656006837"</f>
        <v>10622656006837</v>
      </c>
      <c r="F1018" s="8">
        <v>2112</v>
      </c>
      <c r="G1018" s="8">
        <v>9603</v>
      </c>
      <c r="H1018" s="8">
        <v>1171</v>
      </c>
      <c r="I1018" s="8">
        <v>2713</v>
      </c>
    </row>
    <row r="1019" spans="1:9" x14ac:dyDescent="0.2">
      <c r="A1019" t="s">
        <v>198</v>
      </c>
      <c r="B1019" t="s">
        <v>227</v>
      </c>
      <c r="C1019" t="str">
        <f t="shared" si="52"/>
        <v>10622650000000</v>
      </c>
      <c r="D1019" t="s">
        <v>2990</v>
      </c>
      <c r="E1019" t="str">
        <f>"10622656006795"</f>
        <v>10622656006795</v>
      </c>
      <c r="F1019" s="8">
        <v>2208</v>
      </c>
      <c r="G1019" s="8">
        <v>9416</v>
      </c>
      <c r="H1019" s="8">
        <v>1171</v>
      </c>
      <c r="I1019" s="8">
        <v>2713</v>
      </c>
    </row>
    <row r="1020" spans="1:9" x14ac:dyDescent="0.2">
      <c r="A1020" t="s">
        <v>198</v>
      </c>
      <c r="B1020" t="s">
        <v>227</v>
      </c>
      <c r="C1020" t="str">
        <f t="shared" si="52"/>
        <v>10622650000000</v>
      </c>
      <c r="D1020" t="s">
        <v>2991</v>
      </c>
      <c r="E1020" t="str">
        <f>"10622656006829"</f>
        <v>10622656006829</v>
      </c>
      <c r="F1020" s="8">
        <v>1872</v>
      </c>
      <c r="G1020" s="8">
        <v>9626</v>
      </c>
      <c r="H1020" s="8">
        <v>1171</v>
      </c>
      <c r="I1020" s="8">
        <v>2713</v>
      </c>
    </row>
    <row r="1021" spans="1:9" x14ac:dyDescent="0.2">
      <c r="A1021" t="s">
        <v>198</v>
      </c>
      <c r="B1021" t="s">
        <v>227</v>
      </c>
      <c r="C1021" t="str">
        <f t="shared" si="52"/>
        <v>10622650000000</v>
      </c>
      <c r="D1021" t="s">
        <v>2992</v>
      </c>
      <c r="E1021" t="str">
        <f>"10622656006845"</f>
        <v>10622656006845</v>
      </c>
      <c r="F1021" s="8">
        <v>1972</v>
      </c>
      <c r="G1021" s="8">
        <v>9513</v>
      </c>
      <c r="H1021" s="8">
        <v>1171</v>
      </c>
      <c r="I1021" s="8">
        <v>2713</v>
      </c>
    </row>
    <row r="1022" spans="1:9" x14ac:dyDescent="0.2">
      <c r="A1022" t="s">
        <v>198</v>
      </c>
      <c r="B1022" t="s">
        <v>227</v>
      </c>
      <c r="C1022" t="str">
        <f t="shared" si="52"/>
        <v>10622650000000</v>
      </c>
      <c r="D1022" t="s">
        <v>2993</v>
      </c>
      <c r="E1022" t="str">
        <f>"10622651035310"</f>
        <v>10622651035310</v>
      </c>
      <c r="F1022" s="8">
        <v>1674</v>
      </c>
      <c r="G1022" s="8">
        <v>9709</v>
      </c>
      <c r="H1022" s="8">
        <v>1171</v>
      </c>
      <c r="I1022" s="8">
        <v>2713</v>
      </c>
    </row>
    <row r="1023" spans="1:9" x14ac:dyDescent="0.2">
      <c r="A1023" t="s">
        <v>198</v>
      </c>
      <c r="B1023" t="s">
        <v>227</v>
      </c>
      <c r="C1023" t="str">
        <f t="shared" si="52"/>
        <v>10622650000000</v>
      </c>
      <c r="D1023" t="s">
        <v>2994</v>
      </c>
      <c r="E1023" t="str">
        <f>"10622656006761"</f>
        <v>10622656006761</v>
      </c>
      <c r="F1023" s="8">
        <v>2021</v>
      </c>
      <c r="G1023" s="8">
        <v>9333</v>
      </c>
      <c r="H1023" s="8">
        <v>1171</v>
      </c>
      <c r="I1023" s="8">
        <v>2713</v>
      </c>
    </row>
    <row r="1024" spans="1:9" x14ac:dyDescent="0.2">
      <c r="A1024" t="s">
        <v>198</v>
      </c>
      <c r="B1024" t="s">
        <v>227</v>
      </c>
      <c r="C1024" t="str">
        <f t="shared" si="52"/>
        <v>10622650000000</v>
      </c>
      <c r="D1024" t="s">
        <v>2995</v>
      </c>
      <c r="E1024" t="str">
        <f>"10622650106815"</f>
        <v>10622650106815</v>
      </c>
      <c r="F1024" s="8">
        <v>1839</v>
      </c>
      <c r="G1024" s="8">
        <v>9352</v>
      </c>
      <c r="H1024" s="8">
        <v>1171</v>
      </c>
      <c r="I1024" s="8">
        <v>2713</v>
      </c>
    </row>
    <row r="1025" spans="1:9" x14ac:dyDescent="0.2">
      <c r="A1025" t="s">
        <v>198</v>
      </c>
      <c r="B1025" t="s">
        <v>227</v>
      </c>
      <c r="C1025" t="str">
        <f t="shared" si="52"/>
        <v>10622650000000</v>
      </c>
      <c r="D1025" t="s">
        <v>2996</v>
      </c>
      <c r="E1025" t="str">
        <f>"10622650116657"</f>
        <v>10622650116657</v>
      </c>
      <c r="F1025" s="8">
        <v>1675</v>
      </c>
      <c r="G1025" s="8">
        <v>9208</v>
      </c>
      <c r="H1025" s="8">
        <v>1171</v>
      </c>
      <c r="I1025" s="8">
        <v>2713</v>
      </c>
    </row>
    <row r="1026" spans="1:9" x14ac:dyDescent="0.2">
      <c r="A1026" t="s">
        <v>198</v>
      </c>
      <c r="B1026" t="s">
        <v>227</v>
      </c>
      <c r="C1026" t="str">
        <f t="shared" si="52"/>
        <v>10622650000000</v>
      </c>
      <c r="D1026" t="s">
        <v>2997</v>
      </c>
      <c r="E1026" t="str">
        <f>"10622651030378"</f>
        <v>10622651030378</v>
      </c>
      <c r="F1026" s="8">
        <v>2496</v>
      </c>
      <c r="G1026" s="8">
        <v>7867</v>
      </c>
      <c r="H1026" s="8">
        <v>1171</v>
      </c>
      <c r="I1026" s="8">
        <v>2713</v>
      </c>
    </row>
    <row r="1027" spans="1:9" x14ac:dyDescent="0.2">
      <c r="A1027" t="s">
        <v>198</v>
      </c>
      <c r="B1027" t="s">
        <v>227</v>
      </c>
      <c r="C1027" t="str">
        <f t="shared" si="52"/>
        <v>10622650000000</v>
      </c>
      <c r="D1027" t="s">
        <v>2998</v>
      </c>
      <c r="E1027" t="str">
        <f>"10622656006746"</f>
        <v>10622656006746</v>
      </c>
      <c r="F1027" s="8">
        <v>1915</v>
      </c>
      <c r="G1027" s="8">
        <v>7820</v>
      </c>
      <c r="H1027" s="8">
        <v>1171</v>
      </c>
      <c r="I1027" s="8">
        <v>2713</v>
      </c>
    </row>
    <row r="1028" spans="1:9" x14ac:dyDescent="0.2">
      <c r="A1028" t="s">
        <v>198</v>
      </c>
      <c r="B1028" t="s">
        <v>227</v>
      </c>
      <c r="C1028" t="str">
        <f t="shared" si="52"/>
        <v>10622650000000</v>
      </c>
      <c r="D1028" t="s">
        <v>2999</v>
      </c>
      <c r="E1028" t="str">
        <f>"10622650116640"</f>
        <v>10622650116640</v>
      </c>
      <c r="F1028" s="8">
        <v>503</v>
      </c>
      <c r="G1028" s="8">
        <v>8154</v>
      </c>
      <c r="H1028" s="8">
        <v>1171</v>
      </c>
      <c r="I1028" s="8">
        <v>2713</v>
      </c>
    </row>
    <row r="1029" spans="1:9" x14ac:dyDescent="0.2">
      <c r="A1029" t="s">
        <v>198</v>
      </c>
      <c r="B1029" t="s">
        <v>227</v>
      </c>
      <c r="C1029" t="str">
        <f t="shared" si="52"/>
        <v>10622650000000</v>
      </c>
      <c r="D1029" t="s">
        <v>3000</v>
      </c>
      <c r="E1029" t="str">
        <f>"10622650126292"</f>
        <v>10622650126292</v>
      </c>
      <c r="F1029" s="8">
        <v>480</v>
      </c>
      <c r="G1029" s="8">
        <v>5772</v>
      </c>
      <c r="H1029" s="8">
        <v>1171</v>
      </c>
      <c r="I1029" s="8">
        <v>2713</v>
      </c>
    </row>
    <row r="1030" spans="1:9" x14ac:dyDescent="0.2">
      <c r="A1030" t="s">
        <v>198</v>
      </c>
      <c r="B1030" t="s">
        <v>228</v>
      </c>
      <c r="C1030" t="str">
        <f t="shared" ref="C1030:C1036" si="53">"10622400000000"</f>
        <v>10622400000000</v>
      </c>
      <c r="D1030" t="s">
        <v>3001</v>
      </c>
      <c r="E1030" t="str">
        <f>"10622400114587"</f>
        <v>10622400114587</v>
      </c>
      <c r="F1030" s="8">
        <v>0</v>
      </c>
      <c r="G1030" s="8">
        <v>31386</v>
      </c>
      <c r="H1030" s="8">
        <v>1340</v>
      </c>
      <c r="I1030" s="8">
        <v>5543</v>
      </c>
    </row>
    <row r="1031" spans="1:9" x14ac:dyDescent="0.2">
      <c r="A1031" t="s">
        <v>198</v>
      </c>
      <c r="B1031" t="s">
        <v>228</v>
      </c>
      <c r="C1031" t="str">
        <f t="shared" si="53"/>
        <v>10622400000000</v>
      </c>
      <c r="D1031" t="s">
        <v>3002</v>
      </c>
      <c r="E1031" t="str">
        <f>"10622406114805"</f>
        <v>10622406114805</v>
      </c>
      <c r="F1031" s="8">
        <v>862</v>
      </c>
      <c r="G1031" s="8">
        <v>6525</v>
      </c>
      <c r="H1031" s="8">
        <v>1340</v>
      </c>
      <c r="I1031" s="8">
        <v>5543</v>
      </c>
    </row>
    <row r="1032" spans="1:9" x14ac:dyDescent="0.2">
      <c r="A1032" t="s">
        <v>198</v>
      </c>
      <c r="B1032" t="s">
        <v>228</v>
      </c>
      <c r="C1032" t="str">
        <f t="shared" si="53"/>
        <v>10622400000000</v>
      </c>
      <c r="D1032" t="s">
        <v>2347</v>
      </c>
      <c r="E1032" t="str">
        <f>"10622406006712"</f>
        <v>10622406006712</v>
      </c>
      <c r="F1032" s="8">
        <v>334</v>
      </c>
      <c r="G1032" s="8">
        <v>5932</v>
      </c>
      <c r="H1032" s="8">
        <v>1340</v>
      </c>
      <c r="I1032" s="8">
        <v>5543</v>
      </c>
    </row>
    <row r="1033" spans="1:9" x14ac:dyDescent="0.2">
      <c r="A1033" t="s">
        <v>198</v>
      </c>
      <c r="B1033" t="s">
        <v>228</v>
      </c>
      <c r="C1033" t="str">
        <f t="shared" si="53"/>
        <v>10622400000000</v>
      </c>
      <c r="D1033" t="s">
        <v>3003</v>
      </c>
      <c r="E1033" t="str">
        <f>"10622406108328"</f>
        <v>10622406108328</v>
      </c>
      <c r="F1033" s="8">
        <v>141</v>
      </c>
      <c r="G1033" s="8">
        <v>5897</v>
      </c>
      <c r="H1033" s="8">
        <v>1340</v>
      </c>
      <c r="I1033" s="8">
        <v>5543</v>
      </c>
    </row>
    <row r="1034" spans="1:9" x14ac:dyDescent="0.2">
      <c r="A1034" t="s">
        <v>198</v>
      </c>
      <c r="B1034" t="s">
        <v>228</v>
      </c>
      <c r="C1034" t="str">
        <f t="shared" si="53"/>
        <v>10622400000000</v>
      </c>
      <c r="D1034" t="s">
        <v>2243</v>
      </c>
      <c r="E1034" t="str">
        <f>"10622406006704"</f>
        <v>10622406006704</v>
      </c>
      <c r="F1034" s="8">
        <v>415</v>
      </c>
      <c r="G1034" s="8">
        <v>5546</v>
      </c>
      <c r="H1034" s="8">
        <v>1340</v>
      </c>
      <c r="I1034" s="8">
        <v>5543</v>
      </c>
    </row>
    <row r="1035" spans="1:9" x14ac:dyDescent="0.2">
      <c r="A1035" t="s">
        <v>198</v>
      </c>
      <c r="B1035" t="s">
        <v>228</v>
      </c>
      <c r="C1035" t="str">
        <f t="shared" si="53"/>
        <v>10622400000000</v>
      </c>
      <c r="D1035" t="s">
        <v>2094</v>
      </c>
      <c r="E1035" t="str">
        <f>"10622406006720"</f>
        <v>10622406006720</v>
      </c>
      <c r="F1035" s="8">
        <v>501</v>
      </c>
      <c r="G1035" s="8">
        <v>5424</v>
      </c>
      <c r="H1035" s="8">
        <v>1340</v>
      </c>
      <c r="I1035" s="8">
        <v>5543</v>
      </c>
    </row>
    <row r="1036" spans="1:9" x14ac:dyDescent="0.2">
      <c r="A1036" t="s">
        <v>198</v>
      </c>
      <c r="B1036" t="s">
        <v>228</v>
      </c>
      <c r="C1036" t="str">
        <f t="shared" si="53"/>
        <v>10622400000000</v>
      </c>
      <c r="D1036" t="s">
        <v>3004</v>
      </c>
      <c r="E1036" t="str">
        <f>"10622400113142"</f>
        <v>10622400113142</v>
      </c>
      <c r="F1036" s="8">
        <v>295</v>
      </c>
      <c r="G1036" s="8">
        <v>3745</v>
      </c>
      <c r="H1036" s="8">
        <v>1340</v>
      </c>
      <c r="I1036" s="8">
        <v>5543</v>
      </c>
    </row>
    <row r="1037" spans="1:9" x14ac:dyDescent="0.2">
      <c r="A1037" t="s">
        <v>198</v>
      </c>
      <c r="B1037" t="s">
        <v>229</v>
      </c>
      <c r="C1037" t="str">
        <f>"10622570000000"</f>
        <v>10622570000000</v>
      </c>
      <c r="D1037" t="s">
        <v>3005</v>
      </c>
      <c r="E1037" t="str">
        <f>"10622571033729"</f>
        <v>10622571033729</v>
      </c>
      <c r="F1037" s="8">
        <v>4863</v>
      </c>
      <c r="G1037" s="8">
        <v>13424</v>
      </c>
      <c r="H1037" s="8">
        <v>832</v>
      </c>
      <c r="I1037" s="8">
        <v>3194</v>
      </c>
    </row>
    <row r="1038" spans="1:9" x14ac:dyDescent="0.2">
      <c r="A1038" t="s">
        <v>198</v>
      </c>
      <c r="B1038" t="s">
        <v>229</v>
      </c>
      <c r="C1038" t="str">
        <f>"10622570000000"</f>
        <v>10622570000000</v>
      </c>
      <c r="D1038" t="s">
        <v>3006</v>
      </c>
      <c r="E1038" t="str">
        <f>"10622571033695"</f>
        <v>10622571033695</v>
      </c>
      <c r="F1038" s="8">
        <v>945</v>
      </c>
      <c r="G1038" s="8">
        <v>8691</v>
      </c>
      <c r="H1038" s="8">
        <v>832</v>
      </c>
      <c r="I1038" s="8">
        <v>3194</v>
      </c>
    </row>
    <row r="1039" spans="1:9" x14ac:dyDescent="0.2">
      <c r="A1039" t="s">
        <v>198</v>
      </c>
      <c r="B1039" t="s">
        <v>229</v>
      </c>
      <c r="C1039" t="str">
        <f>"10622570000000"</f>
        <v>10622570000000</v>
      </c>
      <c r="D1039" t="s">
        <v>3007</v>
      </c>
      <c r="E1039" t="str">
        <f>"10622570124727"</f>
        <v>10622570124727</v>
      </c>
      <c r="F1039" s="8">
        <v>437</v>
      </c>
      <c r="G1039" s="8">
        <v>4609</v>
      </c>
      <c r="H1039" s="8">
        <v>832</v>
      </c>
      <c r="I1039" s="8">
        <v>3194</v>
      </c>
    </row>
    <row r="1040" spans="1:9" x14ac:dyDescent="0.2">
      <c r="A1040" t="s">
        <v>198</v>
      </c>
      <c r="B1040" t="s">
        <v>230</v>
      </c>
      <c r="C1040" t="str">
        <f>"10622810000000"</f>
        <v>10622810000000</v>
      </c>
      <c r="D1040" t="s">
        <v>3008</v>
      </c>
      <c r="E1040" t="str">
        <f>"10622811033950"</f>
        <v>10622811033950</v>
      </c>
      <c r="F1040" s="8">
        <v>368</v>
      </c>
      <c r="G1040" s="8">
        <v>4980</v>
      </c>
      <c r="H1040" s="8">
        <v>1501</v>
      </c>
      <c r="I1040" s="8">
        <v>9009</v>
      </c>
    </row>
    <row r="1041" spans="1:9" x14ac:dyDescent="0.2">
      <c r="A1041" t="s">
        <v>198</v>
      </c>
      <c r="B1041" t="s">
        <v>230</v>
      </c>
      <c r="C1041" t="str">
        <f>"10622810000000"</f>
        <v>10622810000000</v>
      </c>
      <c r="D1041" t="s">
        <v>3009</v>
      </c>
      <c r="E1041" t="str">
        <f>"10622816006894"</f>
        <v>10622816006894</v>
      </c>
      <c r="F1041" s="8">
        <v>290</v>
      </c>
      <c r="G1041" s="8">
        <v>2457</v>
      </c>
      <c r="H1041" s="8">
        <v>1501</v>
      </c>
      <c r="I1041" s="8">
        <v>9009</v>
      </c>
    </row>
    <row r="1042" spans="1:9" x14ac:dyDescent="0.2">
      <c r="A1042" t="s">
        <v>198</v>
      </c>
      <c r="B1042" t="s">
        <v>230</v>
      </c>
      <c r="C1042" t="str">
        <f>"10622810000000"</f>
        <v>10622810000000</v>
      </c>
      <c r="D1042" t="s">
        <v>3010</v>
      </c>
      <c r="E1042" t="str">
        <f>"10622816006902"</f>
        <v>10622816006902</v>
      </c>
      <c r="F1042" s="8">
        <v>413</v>
      </c>
      <c r="G1042" s="8">
        <v>1291</v>
      </c>
      <c r="H1042" s="8">
        <v>1501</v>
      </c>
      <c r="I1042" s="8">
        <v>9009</v>
      </c>
    </row>
    <row r="1043" spans="1:9" x14ac:dyDescent="0.2">
      <c r="A1043" t="s">
        <v>198</v>
      </c>
      <c r="B1043" t="s">
        <v>230</v>
      </c>
      <c r="C1043" t="str">
        <f>"10622810000000"</f>
        <v>10622810000000</v>
      </c>
      <c r="D1043" t="s">
        <v>3011</v>
      </c>
      <c r="E1043" t="str">
        <f>"10622810140434"</f>
        <v>10622810140434</v>
      </c>
      <c r="F1043" s="8">
        <v>0</v>
      </c>
      <c r="G1043" s="8">
        <v>0</v>
      </c>
      <c r="H1043" s="8">
        <v>1501</v>
      </c>
      <c r="I1043" s="8">
        <v>9009</v>
      </c>
    </row>
    <row r="1044" spans="1:9" x14ac:dyDescent="0.2">
      <c r="A1044" t="s">
        <v>198</v>
      </c>
      <c r="B1044" t="s">
        <v>231</v>
      </c>
      <c r="C1044" t="str">
        <f t="shared" ref="C1044:C1050" si="54">"10751270000000"</f>
        <v>10751270000000</v>
      </c>
      <c r="D1044" t="s">
        <v>3012</v>
      </c>
      <c r="E1044" t="str">
        <f>"10751271030725"</f>
        <v>10751271030725</v>
      </c>
      <c r="F1044" s="8">
        <v>870</v>
      </c>
      <c r="G1044" s="8">
        <v>42999</v>
      </c>
      <c r="H1044" s="8">
        <v>877</v>
      </c>
      <c r="I1044" s="8">
        <v>3816</v>
      </c>
    </row>
    <row r="1045" spans="1:9" x14ac:dyDescent="0.2">
      <c r="A1045" t="s">
        <v>198</v>
      </c>
      <c r="B1045" t="s">
        <v>231</v>
      </c>
      <c r="C1045" t="str">
        <f t="shared" si="54"/>
        <v>10751270000000</v>
      </c>
      <c r="D1045" t="s">
        <v>3013</v>
      </c>
      <c r="E1045" t="str">
        <f>"10751271030261"</f>
        <v>10751271030261</v>
      </c>
      <c r="F1045" s="8">
        <v>449</v>
      </c>
      <c r="G1045" s="8">
        <v>32411</v>
      </c>
      <c r="H1045" s="8">
        <v>877</v>
      </c>
      <c r="I1045" s="8">
        <v>3822</v>
      </c>
    </row>
    <row r="1046" spans="1:9" x14ac:dyDescent="0.2">
      <c r="A1046" t="s">
        <v>198</v>
      </c>
      <c r="B1046" t="s">
        <v>231</v>
      </c>
      <c r="C1046" t="str">
        <f t="shared" si="54"/>
        <v>10751270000000</v>
      </c>
      <c r="D1046" t="s">
        <v>2094</v>
      </c>
      <c r="E1046" t="str">
        <f>"10751276006985"</f>
        <v>10751276006985</v>
      </c>
      <c r="F1046" s="8">
        <v>574</v>
      </c>
      <c r="G1046" s="8">
        <v>7799</v>
      </c>
      <c r="H1046" s="8">
        <v>877</v>
      </c>
      <c r="I1046" s="8">
        <v>3877</v>
      </c>
    </row>
    <row r="1047" spans="1:9" x14ac:dyDescent="0.2">
      <c r="A1047" t="s">
        <v>198</v>
      </c>
      <c r="B1047" t="s">
        <v>231</v>
      </c>
      <c r="C1047" t="str">
        <f t="shared" si="54"/>
        <v>10751270000000</v>
      </c>
      <c r="D1047" t="s">
        <v>3014</v>
      </c>
      <c r="E1047" t="str">
        <f>"10751271030493"</f>
        <v>10751271030493</v>
      </c>
      <c r="F1047" s="8">
        <v>599</v>
      </c>
      <c r="G1047" s="8">
        <v>7399</v>
      </c>
      <c r="H1047" s="8">
        <v>877</v>
      </c>
      <c r="I1047" s="8">
        <v>3877</v>
      </c>
    </row>
    <row r="1048" spans="1:9" x14ac:dyDescent="0.2">
      <c r="A1048" t="s">
        <v>198</v>
      </c>
      <c r="B1048" t="s">
        <v>231</v>
      </c>
      <c r="C1048" t="str">
        <f t="shared" si="54"/>
        <v>10751270000000</v>
      </c>
      <c r="D1048" t="s">
        <v>3015</v>
      </c>
      <c r="E1048" t="str">
        <f>"10751270129163"</f>
        <v>10751270129163</v>
      </c>
      <c r="F1048" s="8">
        <v>554</v>
      </c>
      <c r="G1048" s="8">
        <v>6258</v>
      </c>
      <c r="H1048" s="8">
        <v>877</v>
      </c>
      <c r="I1048" s="8">
        <v>3877</v>
      </c>
    </row>
    <row r="1049" spans="1:9" x14ac:dyDescent="0.2">
      <c r="A1049" t="s">
        <v>198</v>
      </c>
      <c r="B1049" t="s">
        <v>231</v>
      </c>
      <c r="C1049" t="str">
        <f t="shared" si="54"/>
        <v>10751270000000</v>
      </c>
      <c r="D1049" t="s">
        <v>3016</v>
      </c>
      <c r="E1049" t="str">
        <f>"10751276006977"</f>
        <v>10751276006977</v>
      </c>
      <c r="F1049" s="8">
        <v>522</v>
      </c>
      <c r="G1049" s="8">
        <v>5987</v>
      </c>
      <c r="H1049" s="8">
        <v>877</v>
      </c>
      <c r="I1049" s="8">
        <v>3877</v>
      </c>
    </row>
    <row r="1050" spans="1:9" x14ac:dyDescent="0.2">
      <c r="A1050" t="s">
        <v>198</v>
      </c>
      <c r="B1050" t="s">
        <v>231</v>
      </c>
      <c r="C1050" t="str">
        <f t="shared" si="54"/>
        <v>10751270000000</v>
      </c>
      <c r="D1050" t="s">
        <v>3017</v>
      </c>
      <c r="E1050" t="str">
        <f>"10751276006969"</f>
        <v>10751276006969</v>
      </c>
      <c r="F1050" s="8">
        <v>385</v>
      </c>
      <c r="G1050" s="8">
        <v>4699</v>
      </c>
      <c r="H1050" s="8">
        <v>877</v>
      </c>
      <c r="I1050" s="8">
        <v>3799</v>
      </c>
    </row>
    <row r="1051" spans="1:9" x14ac:dyDescent="0.2">
      <c r="A1051" t="s">
        <v>198</v>
      </c>
      <c r="B1051" t="s">
        <v>232</v>
      </c>
      <c r="C1051" t="str">
        <f>"10623230000000"</f>
        <v>10623230000000</v>
      </c>
      <c r="D1051" t="s">
        <v>232</v>
      </c>
      <c r="E1051" t="str">
        <f>"10623236006993"</f>
        <v>10623236006993</v>
      </c>
      <c r="F1051" s="8">
        <v>0</v>
      </c>
      <c r="G1051" s="8">
        <v>0</v>
      </c>
      <c r="H1051" s="8">
        <v>3349</v>
      </c>
      <c r="I1051" s="8">
        <v>12789</v>
      </c>
    </row>
    <row r="1052" spans="1:9" x14ac:dyDescent="0.2">
      <c r="A1052" t="s">
        <v>198</v>
      </c>
      <c r="B1052" t="s">
        <v>233</v>
      </c>
      <c r="C1052" t="str">
        <f>"10623310000000"</f>
        <v>10623310000000</v>
      </c>
      <c r="D1052" t="s">
        <v>3018</v>
      </c>
      <c r="E1052" t="str">
        <f>"10623316007009"</f>
        <v>10623316007009</v>
      </c>
      <c r="F1052" s="8">
        <v>2555</v>
      </c>
      <c r="G1052" s="8">
        <v>13160</v>
      </c>
      <c r="H1052" s="8">
        <v>2555</v>
      </c>
      <c r="I1052" s="8">
        <v>13160</v>
      </c>
    </row>
    <row r="1053" spans="1:9" x14ac:dyDescent="0.2">
      <c r="A1053" t="s">
        <v>198</v>
      </c>
      <c r="B1053" t="s">
        <v>234</v>
      </c>
      <c r="C1053" t="str">
        <f>"10623560000000"</f>
        <v>10623560000000</v>
      </c>
      <c r="D1053" t="s">
        <v>234</v>
      </c>
      <c r="E1053" t="str">
        <f>"10623566007025"</f>
        <v>10623566007025</v>
      </c>
      <c r="F1053" s="8" t="s">
        <v>30</v>
      </c>
      <c r="G1053" s="8" t="s">
        <v>30</v>
      </c>
      <c r="H1053" s="8" t="s">
        <v>30</v>
      </c>
      <c r="I1053" s="8" t="s">
        <v>30</v>
      </c>
    </row>
    <row r="1054" spans="1:9" x14ac:dyDescent="0.2">
      <c r="A1054" t="s">
        <v>198</v>
      </c>
      <c r="B1054" t="s">
        <v>235</v>
      </c>
      <c r="C1054" t="str">
        <f t="shared" ref="C1054:C1060" si="55">"10623640000000"</f>
        <v>10623640000000</v>
      </c>
      <c r="D1054" t="s">
        <v>3019</v>
      </c>
      <c r="E1054" t="str">
        <f>"10623640126870"</f>
        <v>10623640126870</v>
      </c>
      <c r="F1054" s="8">
        <v>603</v>
      </c>
      <c r="G1054" s="8">
        <v>13764</v>
      </c>
      <c r="H1054" s="8">
        <v>2667</v>
      </c>
      <c r="I1054" s="8">
        <v>5049</v>
      </c>
    </row>
    <row r="1055" spans="1:9" x14ac:dyDescent="0.2">
      <c r="A1055" t="s">
        <v>198</v>
      </c>
      <c r="B1055" t="s">
        <v>235</v>
      </c>
      <c r="C1055" t="str">
        <f t="shared" si="55"/>
        <v>10623640000000</v>
      </c>
      <c r="D1055" t="s">
        <v>3020</v>
      </c>
      <c r="E1055" t="str">
        <f>"10623646115224"</f>
        <v>10623646115224</v>
      </c>
      <c r="F1055" s="8">
        <v>986</v>
      </c>
      <c r="G1055" s="8">
        <v>8770</v>
      </c>
      <c r="H1055" s="8">
        <v>2667</v>
      </c>
      <c r="I1055" s="8">
        <v>5049</v>
      </c>
    </row>
    <row r="1056" spans="1:9" x14ac:dyDescent="0.2">
      <c r="A1056" t="s">
        <v>198</v>
      </c>
      <c r="B1056" t="s">
        <v>235</v>
      </c>
      <c r="C1056" t="str">
        <f t="shared" si="55"/>
        <v>10623640000000</v>
      </c>
      <c r="D1056" t="s">
        <v>3021</v>
      </c>
      <c r="E1056" t="str">
        <f>"10623646007058"</f>
        <v>10623646007058</v>
      </c>
      <c r="F1056" s="8">
        <v>595</v>
      </c>
      <c r="G1056" s="8">
        <v>7860</v>
      </c>
      <c r="H1056" s="8">
        <v>2667</v>
      </c>
      <c r="I1056" s="8">
        <v>5049</v>
      </c>
    </row>
    <row r="1057" spans="1:9" x14ac:dyDescent="0.2">
      <c r="A1057" t="s">
        <v>198</v>
      </c>
      <c r="B1057" t="s">
        <v>235</v>
      </c>
      <c r="C1057" t="str">
        <f t="shared" si="55"/>
        <v>10623640000000</v>
      </c>
      <c r="D1057" t="s">
        <v>3022</v>
      </c>
      <c r="E1057" t="str">
        <f>"10623640107409"</f>
        <v>10623640107409</v>
      </c>
      <c r="F1057" s="8">
        <v>609</v>
      </c>
      <c r="G1057" s="8">
        <v>7617</v>
      </c>
      <c r="H1057" s="8">
        <v>2667</v>
      </c>
      <c r="I1057" s="8">
        <v>5049</v>
      </c>
    </row>
    <row r="1058" spans="1:9" x14ac:dyDescent="0.2">
      <c r="A1058" t="s">
        <v>198</v>
      </c>
      <c r="B1058" t="s">
        <v>235</v>
      </c>
      <c r="C1058" t="str">
        <f t="shared" si="55"/>
        <v>10623640000000</v>
      </c>
      <c r="D1058" t="s">
        <v>3023</v>
      </c>
      <c r="E1058" t="str">
        <f>"10623641034990"</f>
        <v>10623641034990</v>
      </c>
      <c r="F1058" s="8">
        <v>872</v>
      </c>
      <c r="G1058" s="8">
        <v>7048</v>
      </c>
      <c r="H1058" s="8">
        <v>2667</v>
      </c>
      <c r="I1058" s="8">
        <v>5049</v>
      </c>
    </row>
    <row r="1059" spans="1:9" x14ac:dyDescent="0.2">
      <c r="A1059" t="s">
        <v>198</v>
      </c>
      <c r="B1059" t="s">
        <v>235</v>
      </c>
      <c r="C1059" t="str">
        <f t="shared" si="55"/>
        <v>10623640000000</v>
      </c>
      <c r="D1059" t="s">
        <v>3024</v>
      </c>
      <c r="E1059" t="str">
        <f>"10623646007041"</f>
        <v>10623646007041</v>
      </c>
      <c r="F1059" s="8">
        <v>527</v>
      </c>
      <c r="G1059" s="8">
        <v>7265</v>
      </c>
      <c r="H1059" s="8">
        <v>2667</v>
      </c>
      <c r="I1059" s="8">
        <v>5049</v>
      </c>
    </row>
    <row r="1060" spans="1:9" x14ac:dyDescent="0.2">
      <c r="A1060" t="s">
        <v>198</v>
      </c>
      <c r="B1060" t="s">
        <v>235</v>
      </c>
      <c r="C1060" t="str">
        <f t="shared" si="55"/>
        <v>10623640000000</v>
      </c>
      <c r="D1060" t="s">
        <v>3025</v>
      </c>
      <c r="E1060" t="str">
        <f>"10623646007033"</f>
        <v>10623646007033</v>
      </c>
      <c r="F1060" s="8">
        <v>553</v>
      </c>
      <c r="G1060" s="8">
        <v>7162</v>
      </c>
      <c r="H1060" s="8">
        <v>2667</v>
      </c>
      <c r="I1060" s="8">
        <v>5049</v>
      </c>
    </row>
    <row r="1061" spans="1:9" x14ac:dyDescent="0.2">
      <c r="A1061" t="s">
        <v>198</v>
      </c>
      <c r="B1061" t="s">
        <v>236</v>
      </c>
      <c r="C1061" t="str">
        <f>"10623720000000"</f>
        <v>10623720000000</v>
      </c>
      <c r="D1061" t="s">
        <v>236</v>
      </c>
      <c r="E1061" t="str">
        <f>"10623726007066"</f>
        <v>10623726007066</v>
      </c>
      <c r="F1061" s="8">
        <v>1</v>
      </c>
      <c r="G1061" s="8">
        <v>47358</v>
      </c>
      <c r="H1061" s="8">
        <v>0</v>
      </c>
      <c r="I1061" s="8">
        <v>0</v>
      </c>
    </row>
    <row r="1062" spans="1:9" x14ac:dyDescent="0.2">
      <c r="A1062" t="s">
        <v>198</v>
      </c>
      <c r="B1062" t="s">
        <v>237</v>
      </c>
      <c r="C1062" t="str">
        <f>"10623800000000"</f>
        <v>10623800000000</v>
      </c>
      <c r="D1062" t="s">
        <v>237</v>
      </c>
      <c r="E1062" t="str">
        <f>"10623806007074"</f>
        <v>10623806007074</v>
      </c>
      <c r="F1062" s="8">
        <v>4237</v>
      </c>
      <c r="G1062" s="8">
        <v>9907</v>
      </c>
      <c r="H1062" s="8">
        <v>0</v>
      </c>
      <c r="I1062" s="8">
        <v>0</v>
      </c>
    </row>
    <row r="1063" spans="1:9" x14ac:dyDescent="0.2">
      <c r="A1063" t="s">
        <v>198</v>
      </c>
      <c r="B1063" t="s">
        <v>238</v>
      </c>
      <c r="C1063" t="str">
        <f>"10754080000000"</f>
        <v>10754080000000</v>
      </c>
      <c r="D1063" t="s">
        <v>3026</v>
      </c>
      <c r="E1063" t="str">
        <f>"10754086007090"</f>
        <v>10754086007090</v>
      </c>
      <c r="F1063" s="8">
        <v>1635</v>
      </c>
      <c r="G1063" s="8">
        <v>8677</v>
      </c>
      <c r="H1063" s="8">
        <v>1942</v>
      </c>
      <c r="I1063" s="8">
        <v>3780</v>
      </c>
    </row>
    <row r="1064" spans="1:9" x14ac:dyDescent="0.2">
      <c r="A1064" t="s">
        <v>198</v>
      </c>
      <c r="B1064" t="s">
        <v>238</v>
      </c>
      <c r="C1064" t="str">
        <f>"10754080000000"</f>
        <v>10754080000000</v>
      </c>
      <c r="D1064" t="s">
        <v>3027</v>
      </c>
      <c r="E1064" t="str">
        <f>"10754081035575"</f>
        <v>10754081035575</v>
      </c>
      <c r="F1064" s="8">
        <v>866</v>
      </c>
      <c r="G1064" s="8">
        <v>9063</v>
      </c>
      <c r="H1064" s="8">
        <v>1942</v>
      </c>
      <c r="I1064" s="8">
        <v>3780</v>
      </c>
    </row>
    <row r="1065" spans="1:9" x14ac:dyDescent="0.2">
      <c r="A1065" t="s">
        <v>198</v>
      </c>
      <c r="B1065" t="s">
        <v>238</v>
      </c>
      <c r="C1065" t="str">
        <f>"10754080000000"</f>
        <v>10754080000000</v>
      </c>
      <c r="D1065" t="s">
        <v>3028</v>
      </c>
      <c r="E1065" t="str">
        <f>"10754081030253"</f>
        <v>10754081030253</v>
      </c>
      <c r="F1065" s="8">
        <v>1234</v>
      </c>
      <c r="G1065" s="8">
        <v>7432</v>
      </c>
      <c r="H1065" s="8">
        <v>1942</v>
      </c>
      <c r="I1065" s="8">
        <v>3780</v>
      </c>
    </row>
    <row r="1066" spans="1:9" x14ac:dyDescent="0.2">
      <c r="A1066" t="s">
        <v>198</v>
      </c>
      <c r="B1066" t="s">
        <v>238</v>
      </c>
      <c r="C1066" t="str">
        <f>"10754080000000"</f>
        <v>10754080000000</v>
      </c>
      <c r="D1066" t="s">
        <v>3029</v>
      </c>
      <c r="E1066" t="str">
        <f>"10754086007082"</f>
        <v>10754086007082</v>
      </c>
      <c r="F1066" s="8">
        <v>845</v>
      </c>
      <c r="G1066" s="8">
        <v>7025</v>
      </c>
      <c r="H1066" s="8">
        <v>1942</v>
      </c>
      <c r="I1066" s="8">
        <v>3780</v>
      </c>
    </row>
    <row r="1067" spans="1:9" x14ac:dyDescent="0.2">
      <c r="A1067" t="s">
        <v>198</v>
      </c>
      <c r="B1067" t="s">
        <v>239</v>
      </c>
      <c r="C1067" t="str">
        <f t="shared" ref="C1067:C1086" si="56">"10624140000000"</f>
        <v>10624140000000</v>
      </c>
      <c r="D1067" t="s">
        <v>2248</v>
      </c>
      <c r="E1067" t="str">
        <f>"10624141030824"</f>
        <v>10624141030824</v>
      </c>
      <c r="F1067" s="8">
        <v>5553</v>
      </c>
      <c r="G1067" s="8">
        <v>24832</v>
      </c>
      <c r="H1067" s="8">
        <v>1722</v>
      </c>
      <c r="I1067" s="8">
        <v>4418</v>
      </c>
    </row>
    <row r="1068" spans="1:9" x14ac:dyDescent="0.2">
      <c r="A1068" t="s">
        <v>198</v>
      </c>
      <c r="B1068" t="s">
        <v>239</v>
      </c>
      <c r="C1068" t="str">
        <f t="shared" si="56"/>
        <v>10624140000000</v>
      </c>
      <c r="D1068" t="s">
        <v>3030</v>
      </c>
      <c r="E1068" t="str">
        <f>"10624141036086"</f>
        <v>10624141036086</v>
      </c>
      <c r="F1068" s="8">
        <v>25</v>
      </c>
      <c r="G1068" s="8">
        <v>13393</v>
      </c>
      <c r="H1068" s="8">
        <v>1722</v>
      </c>
      <c r="I1068" s="8">
        <v>4418</v>
      </c>
    </row>
    <row r="1069" spans="1:9" x14ac:dyDescent="0.2">
      <c r="A1069" t="s">
        <v>198</v>
      </c>
      <c r="B1069" t="s">
        <v>239</v>
      </c>
      <c r="C1069" t="str">
        <f t="shared" si="56"/>
        <v>10624140000000</v>
      </c>
      <c r="D1069" t="s">
        <v>3031</v>
      </c>
      <c r="E1069" t="str">
        <f>"10624141030451"</f>
        <v>10624141030451</v>
      </c>
      <c r="F1069" s="8">
        <v>25</v>
      </c>
      <c r="G1069" s="8">
        <v>13393</v>
      </c>
      <c r="H1069" s="8">
        <v>1722</v>
      </c>
      <c r="I1069" s="8">
        <v>4418</v>
      </c>
    </row>
    <row r="1070" spans="1:9" x14ac:dyDescent="0.2">
      <c r="A1070" t="s">
        <v>198</v>
      </c>
      <c r="B1070" t="s">
        <v>239</v>
      </c>
      <c r="C1070" t="str">
        <f t="shared" si="56"/>
        <v>10624140000000</v>
      </c>
      <c r="D1070" t="s">
        <v>2361</v>
      </c>
      <c r="E1070" t="str">
        <f>"10624146007116"</f>
        <v>10624146007116</v>
      </c>
      <c r="F1070" s="8">
        <v>344</v>
      </c>
      <c r="G1070" s="8">
        <v>8321</v>
      </c>
      <c r="H1070" s="8">
        <v>1722</v>
      </c>
      <c r="I1070" s="8">
        <v>4418</v>
      </c>
    </row>
    <row r="1071" spans="1:9" x14ac:dyDescent="0.2">
      <c r="A1071" t="s">
        <v>198</v>
      </c>
      <c r="B1071" t="s">
        <v>239</v>
      </c>
      <c r="C1071" t="str">
        <f t="shared" si="56"/>
        <v>10624140000000</v>
      </c>
      <c r="D1071" t="s">
        <v>3032</v>
      </c>
      <c r="E1071" t="str">
        <f>"10624141036094"</f>
        <v>10624141036094</v>
      </c>
      <c r="F1071" s="8">
        <v>360</v>
      </c>
      <c r="G1071" s="8">
        <v>7328</v>
      </c>
      <c r="H1071" s="8">
        <v>1722</v>
      </c>
      <c r="I1071" s="8">
        <v>4418</v>
      </c>
    </row>
    <row r="1072" spans="1:9" x14ac:dyDescent="0.2">
      <c r="A1072" t="s">
        <v>198</v>
      </c>
      <c r="B1072" t="s">
        <v>239</v>
      </c>
      <c r="C1072" t="str">
        <f t="shared" si="56"/>
        <v>10624140000000</v>
      </c>
      <c r="D1072" t="s">
        <v>3033</v>
      </c>
      <c r="E1072" t="str">
        <f>"10624146007108"</f>
        <v>10624146007108</v>
      </c>
      <c r="F1072" s="8">
        <v>280</v>
      </c>
      <c r="G1072" s="8">
        <v>7314</v>
      </c>
      <c r="H1072" s="8">
        <v>1722</v>
      </c>
      <c r="I1072" s="8">
        <v>4418</v>
      </c>
    </row>
    <row r="1073" spans="1:9" x14ac:dyDescent="0.2">
      <c r="A1073" t="s">
        <v>198</v>
      </c>
      <c r="B1073" t="s">
        <v>239</v>
      </c>
      <c r="C1073" t="str">
        <f t="shared" si="56"/>
        <v>10624140000000</v>
      </c>
      <c r="D1073" t="s">
        <v>3034</v>
      </c>
      <c r="E1073" t="str">
        <f>"10624146007173"</f>
        <v>10624146007173</v>
      </c>
      <c r="F1073" s="8">
        <v>249</v>
      </c>
      <c r="G1073" s="8">
        <v>7032</v>
      </c>
      <c r="H1073" s="8">
        <v>1722</v>
      </c>
      <c r="I1073" s="8">
        <v>4418</v>
      </c>
    </row>
    <row r="1074" spans="1:9" x14ac:dyDescent="0.2">
      <c r="A1074" t="s">
        <v>198</v>
      </c>
      <c r="B1074" t="s">
        <v>239</v>
      </c>
      <c r="C1074" t="str">
        <f t="shared" si="56"/>
        <v>10624140000000</v>
      </c>
      <c r="D1074" t="s">
        <v>2348</v>
      </c>
      <c r="E1074" t="str">
        <f>"10624146007215"</f>
        <v>10624146007215</v>
      </c>
      <c r="F1074" s="8">
        <v>337</v>
      </c>
      <c r="G1074" s="8">
        <v>6801</v>
      </c>
      <c r="H1074" s="8">
        <v>1722</v>
      </c>
      <c r="I1074" s="8">
        <v>4418</v>
      </c>
    </row>
    <row r="1075" spans="1:9" x14ac:dyDescent="0.2">
      <c r="A1075" t="s">
        <v>198</v>
      </c>
      <c r="B1075" t="s">
        <v>239</v>
      </c>
      <c r="C1075" t="str">
        <f t="shared" si="56"/>
        <v>10624140000000</v>
      </c>
      <c r="D1075" t="s">
        <v>2383</v>
      </c>
      <c r="E1075" t="str">
        <f>"10624146007132"</f>
        <v>10624146007132</v>
      </c>
      <c r="F1075" s="8">
        <v>304</v>
      </c>
      <c r="G1075" s="8">
        <v>6770</v>
      </c>
      <c r="H1075" s="8">
        <v>1722</v>
      </c>
      <c r="I1075" s="8">
        <v>4418</v>
      </c>
    </row>
    <row r="1076" spans="1:9" x14ac:dyDescent="0.2">
      <c r="A1076" t="s">
        <v>198</v>
      </c>
      <c r="B1076" t="s">
        <v>239</v>
      </c>
      <c r="C1076" t="str">
        <f t="shared" si="56"/>
        <v>10624140000000</v>
      </c>
      <c r="D1076" t="s">
        <v>3035</v>
      </c>
      <c r="E1076" t="str">
        <f>"10624146007207"</f>
        <v>10624146007207</v>
      </c>
      <c r="F1076" s="8">
        <v>348</v>
      </c>
      <c r="G1076" s="8">
        <v>6541</v>
      </c>
      <c r="H1076" s="8">
        <v>1722</v>
      </c>
      <c r="I1076" s="8">
        <v>4418</v>
      </c>
    </row>
    <row r="1077" spans="1:9" x14ac:dyDescent="0.2">
      <c r="A1077" t="s">
        <v>198</v>
      </c>
      <c r="B1077" t="s">
        <v>239</v>
      </c>
      <c r="C1077" t="str">
        <f t="shared" si="56"/>
        <v>10624140000000</v>
      </c>
      <c r="D1077" t="s">
        <v>1194</v>
      </c>
      <c r="E1077" t="str">
        <f>"10624146007140"</f>
        <v>10624146007140</v>
      </c>
      <c r="F1077" s="8">
        <v>253</v>
      </c>
      <c r="G1077" s="8">
        <v>6116</v>
      </c>
      <c r="H1077" s="8">
        <v>1722</v>
      </c>
      <c r="I1077" s="8">
        <v>4418</v>
      </c>
    </row>
    <row r="1078" spans="1:9" x14ac:dyDescent="0.2">
      <c r="A1078" t="s">
        <v>198</v>
      </c>
      <c r="B1078" t="s">
        <v>239</v>
      </c>
      <c r="C1078" t="str">
        <f t="shared" si="56"/>
        <v>10624140000000</v>
      </c>
      <c r="D1078" t="s">
        <v>3004</v>
      </c>
      <c r="E1078" t="str">
        <f>"10624140113043"</f>
        <v>10624140113043</v>
      </c>
      <c r="F1078" s="8">
        <v>176</v>
      </c>
      <c r="G1078" s="8">
        <v>6068</v>
      </c>
      <c r="H1078" s="8">
        <v>1722</v>
      </c>
      <c r="I1078" s="8">
        <v>4418</v>
      </c>
    </row>
    <row r="1079" spans="1:9" x14ac:dyDescent="0.2">
      <c r="A1079" t="s">
        <v>198</v>
      </c>
      <c r="B1079" t="s">
        <v>239</v>
      </c>
      <c r="C1079" t="str">
        <f t="shared" si="56"/>
        <v>10624140000000</v>
      </c>
      <c r="D1079" t="s">
        <v>2243</v>
      </c>
      <c r="E1079" t="str">
        <f>"10624146007165"</f>
        <v>10624146007165</v>
      </c>
      <c r="F1079" s="8">
        <v>383</v>
      </c>
      <c r="G1079" s="8">
        <v>5739</v>
      </c>
      <c r="H1079" s="8">
        <v>1722</v>
      </c>
      <c r="I1079" s="8">
        <v>4418</v>
      </c>
    </row>
    <row r="1080" spans="1:9" x14ac:dyDescent="0.2">
      <c r="A1080" t="s">
        <v>198</v>
      </c>
      <c r="B1080" t="s">
        <v>239</v>
      </c>
      <c r="C1080" t="str">
        <f t="shared" si="56"/>
        <v>10624140000000</v>
      </c>
      <c r="D1080" t="s">
        <v>3036</v>
      </c>
      <c r="E1080" t="str">
        <f>"10624141030766"</f>
        <v>10624141030766</v>
      </c>
      <c r="F1080" s="8">
        <v>66</v>
      </c>
      <c r="G1080" s="8">
        <v>9690</v>
      </c>
      <c r="H1080" s="8">
        <v>0</v>
      </c>
      <c r="I1080" s="8">
        <v>2489</v>
      </c>
    </row>
    <row r="1081" spans="1:9" x14ac:dyDescent="0.2">
      <c r="A1081" t="s">
        <v>198</v>
      </c>
      <c r="B1081" t="s">
        <v>239</v>
      </c>
      <c r="C1081" t="str">
        <f t="shared" si="56"/>
        <v>10624140000000</v>
      </c>
      <c r="D1081" t="s">
        <v>2344</v>
      </c>
      <c r="E1081" t="str">
        <f>"10624146007181"</f>
        <v>10624146007181</v>
      </c>
      <c r="F1081" s="8">
        <v>231</v>
      </c>
      <c r="G1081" s="8">
        <v>5870</v>
      </c>
      <c r="H1081" s="8">
        <v>1722</v>
      </c>
      <c r="I1081" s="8">
        <v>4418</v>
      </c>
    </row>
    <row r="1082" spans="1:9" x14ac:dyDescent="0.2">
      <c r="A1082" t="s">
        <v>198</v>
      </c>
      <c r="B1082" t="s">
        <v>239</v>
      </c>
      <c r="C1082" t="str">
        <f t="shared" si="56"/>
        <v>10624140000000</v>
      </c>
      <c r="D1082" t="s">
        <v>2680</v>
      </c>
      <c r="E1082" t="str">
        <f>"10624146007124"</f>
        <v>10624146007124</v>
      </c>
      <c r="F1082" s="8">
        <v>272</v>
      </c>
      <c r="G1082" s="8">
        <v>5825</v>
      </c>
      <c r="H1082" s="8">
        <v>1722</v>
      </c>
      <c r="I1082" s="8">
        <v>4418</v>
      </c>
    </row>
    <row r="1083" spans="1:9" x14ac:dyDescent="0.2">
      <c r="A1083" t="s">
        <v>198</v>
      </c>
      <c r="B1083" t="s">
        <v>239</v>
      </c>
      <c r="C1083" t="str">
        <f t="shared" si="56"/>
        <v>10624140000000</v>
      </c>
      <c r="D1083" t="s">
        <v>3037</v>
      </c>
      <c r="E1083" t="str">
        <f>"10624146007157"</f>
        <v>10624146007157</v>
      </c>
      <c r="F1083" s="8">
        <v>411</v>
      </c>
      <c r="G1083" s="8">
        <v>5534</v>
      </c>
      <c r="H1083" s="8">
        <v>1722</v>
      </c>
      <c r="I1083" s="8">
        <v>4418</v>
      </c>
    </row>
    <row r="1084" spans="1:9" x14ac:dyDescent="0.2">
      <c r="A1084" t="s">
        <v>198</v>
      </c>
      <c r="B1084" t="s">
        <v>239</v>
      </c>
      <c r="C1084" t="str">
        <f t="shared" si="56"/>
        <v>10624140000000</v>
      </c>
      <c r="D1084" t="s">
        <v>2300</v>
      </c>
      <c r="E1084" t="str">
        <f>"10624140123463"</f>
        <v>10624140123463</v>
      </c>
      <c r="F1084" s="8">
        <v>345</v>
      </c>
      <c r="G1084" s="8">
        <v>5150</v>
      </c>
      <c r="H1084" s="8">
        <v>1722</v>
      </c>
      <c r="I1084" s="8">
        <v>4418</v>
      </c>
    </row>
    <row r="1085" spans="1:9" x14ac:dyDescent="0.2">
      <c r="A1085" t="s">
        <v>198</v>
      </c>
      <c r="B1085" t="s">
        <v>239</v>
      </c>
      <c r="C1085" t="str">
        <f t="shared" si="56"/>
        <v>10624140000000</v>
      </c>
      <c r="D1085" t="s">
        <v>3038</v>
      </c>
      <c r="E1085" t="str">
        <f>"10624146117873"</f>
        <v>10624146117873</v>
      </c>
      <c r="F1085" s="8">
        <v>356</v>
      </c>
      <c r="G1085" s="8">
        <v>6683</v>
      </c>
      <c r="H1085" s="8">
        <v>0</v>
      </c>
      <c r="I1085" s="8">
        <v>2489</v>
      </c>
    </row>
    <row r="1086" spans="1:9" x14ac:dyDescent="0.2">
      <c r="A1086" t="s">
        <v>198</v>
      </c>
      <c r="B1086" t="s">
        <v>239</v>
      </c>
      <c r="C1086" t="str">
        <f t="shared" si="56"/>
        <v>10624140000000</v>
      </c>
      <c r="D1086" t="s">
        <v>3039</v>
      </c>
      <c r="E1086" t="str">
        <f>"10624146117865"</f>
        <v>10624146117865</v>
      </c>
      <c r="F1086" s="8">
        <v>85</v>
      </c>
      <c r="G1086" s="8">
        <v>6572</v>
      </c>
      <c r="H1086" s="8">
        <v>0</v>
      </c>
      <c r="I1086" s="8">
        <v>2489</v>
      </c>
    </row>
    <row r="1087" spans="1:9" x14ac:dyDescent="0.2">
      <c r="A1087" t="s">
        <v>198</v>
      </c>
      <c r="B1087" t="s">
        <v>241</v>
      </c>
      <c r="C1087" t="str">
        <f t="shared" ref="C1087:C1098" si="57">"10624300000000"</f>
        <v>10624300000000</v>
      </c>
      <c r="D1087" t="s">
        <v>3040</v>
      </c>
      <c r="E1087" t="str">
        <f>"10624301036607"</f>
        <v>10624301036607</v>
      </c>
      <c r="F1087" s="8">
        <v>1322</v>
      </c>
      <c r="G1087" s="8">
        <v>49507</v>
      </c>
      <c r="H1087" s="8">
        <v>2164</v>
      </c>
      <c r="I1087" s="8">
        <v>3731</v>
      </c>
    </row>
    <row r="1088" spans="1:9" x14ac:dyDescent="0.2">
      <c r="A1088" t="s">
        <v>198</v>
      </c>
      <c r="B1088" t="s">
        <v>241</v>
      </c>
      <c r="C1088" t="str">
        <f t="shared" si="57"/>
        <v>10624300000000</v>
      </c>
      <c r="D1088" t="s">
        <v>3041</v>
      </c>
      <c r="E1088" t="str">
        <f>"10624306007272"</f>
        <v>10624306007272</v>
      </c>
      <c r="F1088" s="8">
        <v>920</v>
      </c>
      <c r="G1088" s="8">
        <v>10164</v>
      </c>
      <c r="H1088" s="8">
        <v>2164</v>
      </c>
      <c r="I1088" s="8">
        <v>3731</v>
      </c>
    </row>
    <row r="1089" spans="1:9" x14ac:dyDescent="0.2">
      <c r="A1089" t="s">
        <v>198</v>
      </c>
      <c r="B1089" t="s">
        <v>241</v>
      </c>
      <c r="C1089" t="str">
        <f t="shared" si="57"/>
        <v>10624300000000</v>
      </c>
      <c r="D1089" t="s">
        <v>3042</v>
      </c>
      <c r="E1089" t="str">
        <f>"10624306007298"</f>
        <v>10624306007298</v>
      </c>
      <c r="F1089" s="8">
        <v>869</v>
      </c>
      <c r="G1089" s="8">
        <v>8934</v>
      </c>
      <c r="H1089" s="8">
        <v>2164</v>
      </c>
      <c r="I1089" s="8">
        <v>3731</v>
      </c>
    </row>
    <row r="1090" spans="1:9" x14ac:dyDescent="0.2">
      <c r="A1090" t="s">
        <v>198</v>
      </c>
      <c r="B1090" t="s">
        <v>241</v>
      </c>
      <c r="C1090" t="str">
        <f t="shared" si="57"/>
        <v>10624300000000</v>
      </c>
      <c r="D1090" t="s">
        <v>3043</v>
      </c>
      <c r="E1090" t="str">
        <f>"10624306007348"</f>
        <v>10624306007348</v>
      </c>
      <c r="F1090" s="8">
        <v>821</v>
      </c>
      <c r="G1090" s="8">
        <v>8839</v>
      </c>
      <c r="H1090" s="8">
        <v>2164</v>
      </c>
      <c r="I1090" s="8">
        <v>3731</v>
      </c>
    </row>
    <row r="1091" spans="1:9" x14ac:dyDescent="0.2">
      <c r="A1091" t="s">
        <v>198</v>
      </c>
      <c r="B1091" t="s">
        <v>241</v>
      </c>
      <c r="C1091" t="str">
        <f t="shared" si="57"/>
        <v>10624300000000</v>
      </c>
      <c r="D1091" t="s">
        <v>3044</v>
      </c>
      <c r="E1091" t="str">
        <f>"10624306007256"</f>
        <v>10624306007256</v>
      </c>
      <c r="F1091" s="8">
        <v>1137</v>
      </c>
      <c r="G1091" s="8">
        <v>8430</v>
      </c>
      <c r="H1091" s="8">
        <v>2164</v>
      </c>
      <c r="I1091" s="8">
        <v>3731</v>
      </c>
    </row>
    <row r="1092" spans="1:9" x14ac:dyDescent="0.2">
      <c r="A1092" t="s">
        <v>198</v>
      </c>
      <c r="B1092" t="s">
        <v>241</v>
      </c>
      <c r="C1092" t="str">
        <f t="shared" si="57"/>
        <v>10624300000000</v>
      </c>
      <c r="D1092" t="s">
        <v>3045</v>
      </c>
      <c r="E1092" t="str">
        <f>"10624306007280"</f>
        <v>10624306007280</v>
      </c>
      <c r="F1092" s="8">
        <v>887</v>
      </c>
      <c r="G1092" s="8">
        <v>8473</v>
      </c>
      <c r="H1092" s="8">
        <v>2164</v>
      </c>
      <c r="I1092" s="8">
        <v>3731</v>
      </c>
    </row>
    <row r="1093" spans="1:9" x14ac:dyDescent="0.2">
      <c r="A1093" t="s">
        <v>198</v>
      </c>
      <c r="B1093" t="s">
        <v>241</v>
      </c>
      <c r="C1093" t="str">
        <f t="shared" si="57"/>
        <v>10624300000000</v>
      </c>
      <c r="D1093" t="s">
        <v>3046</v>
      </c>
      <c r="E1093" t="str">
        <f>"10624306007322"</f>
        <v>10624306007322</v>
      </c>
      <c r="F1093" s="8">
        <v>623</v>
      </c>
      <c r="G1093" s="8">
        <v>8103</v>
      </c>
      <c r="H1093" s="8">
        <v>2164</v>
      </c>
      <c r="I1093" s="8">
        <v>3731</v>
      </c>
    </row>
    <row r="1094" spans="1:9" x14ac:dyDescent="0.2">
      <c r="A1094" t="s">
        <v>198</v>
      </c>
      <c r="B1094" t="s">
        <v>241</v>
      </c>
      <c r="C1094" t="str">
        <f t="shared" si="57"/>
        <v>10624300000000</v>
      </c>
      <c r="D1094" t="s">
        <v>3047</v>
      </c>
      <c r="E1094" t="str">
        <f>"10624306111124"</f>
        <v>10624306111124</v>
      </c>
      <c r="F1094" s="8">
        <v>635</v>
      </c>
      <c r="G1094" s="8">
        <v>7555</v>
      </c>
      <c r="H1094" s="8">
        <v>2164</v>
      </c>
      <c r="I1094" s="8">
        <v>3731</v>
      </c>
    </row>
    <row r="1095" spans="1:9" x14ac:dyDescent="0.2">
      <c r="A1095" t="s">
        <v>198</v>
      </c>
      <c r="B1095" t="s">
        <v>241</v>
      </c>
      <c r="C1095" t="str">
        <f t="shared" si="57"/>
        <v>10624300000000</v>
      </c>
      <c r="D1095" t="s">
        <v>3048</v>
      </c>
      <c r="E1095" t="str">
        <f>"10624306007314"</f>
        <v>10624306007314</v>
      </c>
      <c r="F1095" s="8">
        <v>552</v>
      </c>
      <c r="G1095" s="8">
        <v>7424</v>
      </c>
      <c r="H1095" s="8">
        <v>2164</v>
      </c>
      <c r="I1095" s="8">
        <v>3731</v>
      </c>
    </row>
    <row r="1096" spans="1:9" x14ac:dyDescent="0.2">
      <c r="A1096" t="s">
        <v>198</v>
      </c>
      <c r="B1096" t="s">
        <v>241</v>
      </c>
      <c r="C1096" t="str">
        <f t="shared" si="57"/>
        <v>10624300000000</v>
      </c>
      <c r="D1096" t="s">
        <v>3049</v>
      </c>
      <c r="E1096" t="str">
        <f>"10624301036672"</f>
        <v>10624301036672</v>
      </c>
      <c r="F1096" s="8">
        <v>531</v>
      </c>
      <c r="G1096" s="8">
        <v>7067</v>
      </c>
      <c r="H1096" s="8">
        <v>2164</v>
      </c>
      <c r="I1096" s="8">
        <v>3731</v>
      </c>
    </row>
    <row r="1097" spans="1:9" x14ac:dyDescent="0.2">
      <c r="A1097" t="s">
        <v>198</v>
      </c>
      <c r="B1097" t="s">
        <v>241</v>
      </c>
      <c r="C1097" t="str">
        <f t="shared" si="57"/>
        <v>10624300000000</v>
      </c>
      <c r="D1097" t="s">
        <v>3050</v>
      </c>
      <c r="E1097" t="str">
        <f>"10624306007231"</f>
        <v>10624306007231</v>
      </c>
      <c r="F1097" s="8">
        <v>457</v>
      </c>
      <c r="G1097" s="8">
        <v>6761</v>
      </c>
      <c r="H1097" s="8">
        <v>2164</v>
      </c>
      <c r="I1097" s="8">
        <v>3731</v>
      </c>
    </row>
    <row r="1098" spans="1:9" x14ac:dyDescent="0.2">
      <c r="A1098" t="s">
        <v>198</v>
      </c>
      <c r="B1098" t="s">
        <v>241</v>
      </c>
      <c r="C1098" t="str">
        <f t="shared" si="57"/>
        <v>10624300000000</v>
      </c>
      <c r="D1098" t="s">
        <v>3051</v>
      </c>
      <c r="E1098" t="str">
        <f>"10624301030758"</f>
        <v>10624301030758</v>
      </c>
      <c r="F1098" s="8">
        <v>153</v>
      </c>
      <c r="G1098" s="8">
        <v>141</v>
      </c>
      <c r="H1098" s="8">
        <v>2164</v>
      </c>
      <c r="I1098" s="8">
        <v>3731</v>
      </c>
    </row>
    <row r="1099" spans="1:9" x14ac:dyDescent="0.2">
      <c r="A1099" t="s">
        <v>198</v>
      </c>
      <c r="B1099" t="s">
        <v>243</v>
      </c>
      <c r="C1099" t="str">
        <f t="shared" ref="C1099:C1104" si="58">"10752750000000"</f>
        <v>10752750000000</v>
      </c>
      <c r="D1099" t="s">
        <v>3052</v>
      </c>
      <c r="E1099" t="str">
        <f>"10752751030139"</f>
        <v>10752751030139</v>
      </c>
      <c r="F1099" s="8">
        <v>0</v>
      </c>
      <c r="G1099" s="8">
        <v>37250</v>
      </c>
      <c r="H1099" s="8">
        <v>778</v>
      </c>
      <c r="I1099" s="8">
        <v>6495</v>
      </c>
    </row>
    <row r="1100" spans="1:9" x14ac:dyDescent="0.2">
      <c r="A1100" t="s">
        <v>198</v>
      </c>
      <c r="B1100" t="s">
        <v>243</v>
      </c>
      <c r="C1100" t="str">
        <f t="shared" si="58"/>
        <v>10752750000000</v>
      </c>
      <c r="D1100" t="s">
        <v>3053</v>
      </c>
      <c r="E1100" t="str">
        <f>"10752751036938"</f>
        <v>10752751036938</v>
      </c>
      <c r="F1100" s="8">
        <v>262</v>
      </c>
      <c r="G1100" s="8">
        <v>11877</v>
      </c>
      <c r="H1100" s="8">
        <v>778</v>
      </c>
      <c r="I1100" s="8">
        <v>6495</v>
      </c>
    </row>
    <row r="1101" spans="1:9" x14ac:dyDescent="0.2">
      <c r="A1101" t="s">
        <v>198</v>
      </c>
      <c r="B1101" t="s">
        <v>243</v>
      </c>
      <c r="C1101" t="str">
        <f t="shared" si="58"/>
        <v>10752750000000</v>
      </c>
      <c r="D1101" t="s">
        <v>2621</v>
      </c>
      <c r="E1101" t="str">
        <f>"10752750124586"</f>
        <v>10752750124586</v>
      </c>
      <c r="F1101" s="8">
        <v>773</v>
      </c>
      <c r="G1101" s="8">
        <v>7766</v>
      </c>
      <c r="H1101" s="8">
        <v>778</v>
      </c>
      <c r="I1101" s="8">
        <v>6495</v>
      </c>
    </row>
    <row r="1102" spans="1:9" x14ac:dyDescent="0.2">
      <c r="A1102" t="s">
        <v>198</v>
      </c>
      <c r="B1102" t="s">
        <v>243</v>
      </c>
      <c r="C1102" t="str">
        <f t="shared" si="58"/>
        <v>10752750000000</v>
      </c>
      <c r="D1102" t="s">
        <v>3054</v>
      </c>
      <c r="E1102" t="str">
        <f>"10752750124123"</f>
        <v>10752750124123</v>
      </c>
      <c r="F1102" s="8">
        <v>784</v>
      </c>
      <c r="G1102" s="8">
        <v>3680</v>
      </c>
      <c r="H1102" s="8">
        <v>778</v>
      </c>
      <c r="I1102" s="8">
        <v>6495</v>
      </c>
    </row>
    <row r="1103" spans="1:9" x14ac:dyDescent="0.2">
      <c r="A1103" t="s">
        <v>198</v>
      </c>
      <c r="B1103" t="s">
        <v>243</v>
      </c>
      <c r="C1103" t="str">
        <f t="shared" si="58"/>
        <v>10752750000000</v>
      </c>
      <c r="D1103" t="s">
        <v>3055</v>
      </c>
      <c r="E1103" t="str">
        <f>"10752756112544"</f>
        <v>10752756112544</v>
      </c>
      <c r="F1103" s="8">
        <v>0</v>
      </c>
      <c r="G1103" s="8">
        <v>2514</v>
      </c>
      <c r="H1103" s="8">
        <v>778</v>
      </c>
      <c r="I1103" s="8">
        <v>6495</v>
      </c>
    </row>
    <row r="1104" spans="1:9" x14ac:dyDescent="0.2">
      <c r="A1104" t="s">
        <v>198</v>
      </c>
      <c r="B1104" t="s">
        <v>243</v>
      </c>
      <c r="C1104" t="str">
        <f t="shared" si="58"/>
        <v>10752750000000</v>
      </c>
      <c r="D1104" t="s">
        <v>3056</v>
      </c>
      <c r="E1104" t="str">
        <f>"10752751030709"</f>
        <v>10752751030709</v>
      </c>
      <c r="F1104" s="8">
        <v>0</v>
      </c>
      <c r="G1104" s="8">
        <v>0</v>
      </c>
      <c r="H1104" s="8">
        <v>778</v>
      </c>
      <c r="I1104" s="8">
        <v>6495</v>
      </c>
    </row>
    <row r="1105" spans="1:9" x14ac:dyDescent="0.2">
      <c r="A1105" t="s">
        <v>198</v>
      </c>
      <c r="B1105" t="s">
        <v>246</v>
      </c>
      <c r="C1105" t="str">
        <f>"10625130000000"</f>
        <v>10625130000000</v>
      </c>
      <c r="D1105" t="s">
        <v>246</v>
      </c>
      <c r="E1105" t="str">
        <f>"10625136007405"</f>
        <v>10625136007405</v>
      </c>
      <c r="F1105" s="8">
        <v>1711</v>
      </c>
      <c r="G1105" s="8">
        <v>10630</v>
      </c>
      <c r="H1105" s="8">
        <v>0</v>
      </c>
      <c r="I1105" s="8">
        <v>0</v>
      </c>
    </row>
    <row r="1106" spans="1:9" x14ac:dyDescent="0.2">
      <c r="A1106" t="s">
        <v>198</v>
      </c>
      <c r="B1106" t="s">
        <v>247</v>
      </c>
      <c r="C1106" t="str">
        <f t="shared" ref="C1106:C1112" si="59">"10767780000000"</f>
        <v>10767780000000</v>
      </c>
      <c r="D1106" t="s">
        <v>3057</v>
      </c>
      <c r="E1106" t="str">
        <f>"10767786005748"</f>
        <v>10767786005748</v>
      </c>
      <c r="F1106" s="8" t="s">
        <v>30</v>
      </c>
      <c r="G1106" s="8" t="s">
        <v>30</v>
      </c>
      <c r="H1106" s="8" t="s">
        <v>30</v>
      </c>
      <c r="I1106" s="8" t="s">
        <v>30</v>
      </c>
    </row>
    <row r="1107" spans="1:9" x14ac:dyDescent="0.2">
      <c r="A1107" t="s">
        <v>198</v>
      </c>
      <c r="B1107" t="s">
        <v>247</v>
      </c>
      <c r="C1107" t="str">
        <f t="shared" si="59"/>
        <v>10767780000000</v>
      </c>
      <c r="D1107" t="s">
        <v>3058</v>
      </c>
      <c r="E1107" t="str">
        <f>"10767780108993"</f>
        <v>10767780108993</v>
      </c>
      <c r="F1107" s="8" t="s">
        <v>30</v>
      </c>
      <c r="G1107" s="8" t="s">
        <v>30</v>
      </c>
      <c r="H1107" s="8" t="s">
        <v>30</v>
      </c>
      <c r="I1107" s="8" t="s">
        <v>30</v>
      </c>
    </row>
    <row r="1108" spans="1:9" x14ac:dyDescent="0.2">
      <c r="A1108" t="s">
        <v>198</v>
      </c>
      <c r="B1108" t="s">
        <v>247</v>
      </c>
      <c r="C1108" t="str">
        <f t="shared" si="59"/>
        <v>10767780000000</v>
      </c>
      <c r="D1108" t="s">
        <v>3059</v>
      </c>
      <c r="E1108" t="str">
        <f>"10767781038298"</f>
        <v>10767781038298</v>
      </c>
      <c r="F1108" s="8" t="s">
        <v>30</v>
      </c>
      <c r="G1108" s="8" t="s">
        <v>30</v>
      </c>
      <c r="H1108" s="8" t="s">
        <v>30</v>
      </c>
      <c r="I1108" s="8" t="s">
        <v>30</v>
      </c>
    </row>
    <row r="1109" spans="1:9" x14ac:dyDescent="0.2">
      <c r="A1109" t="s">
        <v>198</v>
      </c>
      <c r="B1109" t="s">
        <v>247</v>
      </c>
      <c r="C1109" t="str">
        <f t="shared" si="59"/>
        <v>10767780000000</v>
      </c>
      <c r="D1109" t="s">
        <v>3060</v>
      </c>
      <c r="E1109" t="str">
        <f>"10767780122473"</f>
        <v>10767780122473</v>
      </c>
      <c r="F1109" s="8" t="s">
        <v>30</v>
      </c>
      <c r="G1109" s="8" t="s">
        <v>30</v>
      </c>
      <c r="H1109" s="8" t="s">
        <v>30</v>
      </c>
      <c r="I1109" s="8" t="s">
        <v>30</v>
      </c>
    </row>
    <row r="1110" spans="1:9" x14ac:dyDescent="0.2">
      <c r="A1110" t="s">
        <v>198</v>
      </c>
      <c r="B1110" t="s">
        <v>247</v>
      </c>
      <c r="C1110" t="str">
        <f t="shared" si="59"/>
        <v>10767780000000</v>
      </c>
      <c r="D1110" t="s">
        <v>2146</v>
      </c>
      <c r="E1110" t="str">
        <f>"10767781038306"</f>
        <v>10767781038306</v>
      </c>
      <c r="F1110" s="8" t="s">
        <v>30</v>
      </c>
      <c r="G1110" s="8" t="s">
        <v>30</v>
      </c>
      <c r="H1110" s="8" t="s">
        <v>30</v>
      </c>
      <c r="I1110" s="8" t="s">
        <v>30</v>
      </c>
    </row>
    <row r="1111" spans="1:9" x14ac:dyDescent="0.2">
      <c r="A1111" t="s">
        <v>198</v>
      </c>
      <c r="B1111" t="s">
        <v>247</v>
      </c>
      <c r="C1111" t="str">
        <f t="shared" si="59"/>
        <v>10767780000000</v>
      </c>
      <c r="D1111" t="s">
        <v>3061</v>
      </c>
      <c r="E1111" t="str">
        <f>"10767786006605"</f>
        <v>10767786006605</v>
      </c>
      <c r="F1111" s="8" t="s">
        <v>30</v>
      </c>
      <c r="G1111" s="8" t="s">
        <v>30</v>
      </c>
      <c r="H1111" s="8" t="s">
        <v>30</v>
      </c>
      <c r="I1111" s="8" t="s">
        <v>30</v>
      </c>
    </row>
    <row r="1112" spans="1:9" x14ac:dyDescent="0.2">
      <c r="A1112" t="s">
        <v>198</v>
      </c>
      <c r="B1112" t="s">
        <v>247</v>
      </c>
      <c r="C1112" t="str">
        <f t="shared" si="59"/>
        <v>10767780000000</v>
      </c>
      <c r="D1112" t="s">
        <v>3062</v>
      </c>
      <c r="E1112" t="str">
        <f>"10767786006613"</f>
        <v>10767786006613</v>
      </c>
      <c r="F1112" s="8" t="s">
        <v>30</v>
      </c>
      <c r="G1112" s="8" t="s">
        <v>30</v>
      </c>
      <c r="H1112" s="8" t="s">
        <v>30</v>
      </c>
      <c r="I1112" s="8" t="s">
        <v>30</v>
      </c>
    </row>
    <row r="1113" spans="1:9" x14ac:dyDescent="0.2">
      <c r="A1113" t="s">
        <v>198</v>
      </c>
      <c r="B1113" t="s">
        <v>248</v>
      </c>
      <c r="C1113" t="str">
        <f>"10625390000000"</f>
        <v>10625390000000</v>
      </c>
      <c r="D1113" t="s">
        <v>248</v>
      </c>
      <c r="E1113" t="str">
        <f>"10625396007413"</f>
        <v>10625396007413</v>
      </c>
      <c r="F1113" s="8">
        <v>2297</v>
      </c>
      <c r="G1113" s="8">
        <v>11180</v>
      </c>
      <c r="H1113" s="8">
        <v>0</v>
      </c>
      <c r="I1113" s="8">
        <v>0</v>
      </c>
    </row>
    <row r="1114" spans="1:9" x14ac:dyDescent="0.2">
      <c r="A1114" t="s">
        <v>198</v>
      </c>
      <c r="B1114" t="s">
        <v>248</v>
      </c>
      <c r="C1114" t="str">
        <f>"10625390000000"</f>
        <v>10625390000000</v>
      </c>
      <c r="D1114" t="s">
        <v>3063</v>
      </c>
      <c r="E1114" t="str">
        <f>"10625396112387"</f>
        <v>10625396112387</v>
      </c>
      <c r="F1114" s="8">
        <v>689</v>
      </c>
      <c r="G1114" s="8">
        <v>11801</v>
      </c>
      <c r="H1114" s="8">
        <v>0</v>
      </c>
      <c r="I1114" s="8">
        <v>0</v>
      </c>
    </row>
    <row r="1115" spans="1:9" x14ac:dyDescent="0.2">
      <c r="A1115" t="s">
        <v>198</v>
      </c>
      <c r="B1115" t="s">
        <v>249</v>
      </c>
      <c r="C1115" t="str">
        <f>"10625470000000"</f>
        <v>10625470000000</v>
      </c>
      <c r="D1115" t="s">
        <v>249</v>
      </c>
      <c r="E1115" t="str">
        <f>"10625476007421"</f>
        <v>10625476007421</v>
      </c>
      <c r="F1115" s="8">
        <v>3770</v>
      </c>
      <c r="G1115" s="8">
        <v>16861</v>
      </c>
      <c r="H1115" s="8">
        <v>0</v>
      </c>
      <c r="I1115" s="8">
        <v>0</v>
      </c>
    </row>
    <row r="1116" spans="1:9" x14ac:dyDescent="0.2">
      <c r="A1116" t="s">
        <v>251</v>
      </c>
      <c r="B1116" t="s">
        <v>252</v>
      </c>
      <c r="C1116" t="str">
        <f>"11625540000000"</f>
        <v>11625540000000</v>
      </c>
      <c r="D1116" t="s">
        <v>252</v>
      </c>
      <c r="E1116" t="str">
        <f>"11625546007439"</f>
        <v>11625546007439</v>
      </c>
      <c r="F1116" s="8">
        <v>390</v>
      </c>
      <c r="G1116" s="8">
        <v>9433</v>
      </c>
      <c r="H1116" s="8">
        <v>0</v>
      </c>
      <c r="I1116" s="8">
        <v>0</v>
      </c>
    </row>
    <row r="1117" spans="1:9" x14ac:dyDescent="0.2">
      <c r="A1117" t="s">
        <v>251</v>
      </c>
      <c r="B1117" t="s">
        <v>253</v>
      </c>
      <c r="C1117" t="str">
        <f>"11101160000000"</f>
        <v>11101160000000</v>
      </c>
      <c r="D1117" t="s">
        <v>3064</v>
      </c>
      <c r="E1117" t="str">
        <f>"11101166077184"</f>
        <v>11101166077184</v>
      </c>
      <c r="F1117" s="8">
        <v>5516</v>
      </c>
      <c r="G1117" s="8">
        <v>30035</v>
      </c>
      <c r="H1117" s="8">
        <v>0</v>
      </c>
      <c r="I1117" s="8">
        <v>0</v>
      </c>
    </row>
    <row r="1118" spans="1:9" x14ac:dyDescent="0.2">
      <c r="A1118" t="s">
        <v>251</v>
      </c>
      <c r="B1118" t="s">
        <v>253</v>
      </c>
      <c r="C1118" t="str">
        <f>"11101160000000"</f>
        <v>11101160000000</v>
      </c>
      <c r="D1118" t="s">
        <v>3065</v>
      </c>
      <c r="E1118" t="str">
        <f>"11101160130724"</f>
        <v>11101160130724</v>
      </c>
      <c r="F1118" s="8">
        <v>2968</v>
      </c>
      <c r="G1118" s="8">
        <v>14632</v>
      </c>
      <c r="H1118" s="8">
        <v>0</v>
      </c>
      <c r="I1118" s="8">
        <v>0</v>
      </c>
    </row>
    <row r="1119" spans="1:9" x14ac:dyDescent="0.2">
      <c r="A1119" t="s">
        <v>251</v>
      </c>
      <c r="B1119" t="s">
        <v>253</v>
      </c>
      <c r="C1119" t="str">
        <f>"11101160000000"</f>
        <v>11101160000000</v>
      </c>
      <c r="D1119" t="s">
        <v>3066</v>
      </c>
      <c r="E1119" t="str">
        <f>"11101161130103"</f>
        <v>11101161130103</v>
      </c>
      <c r="F1119" s="8">
        <v>168</v>
      </c>
      <c r="G1119" s="8">
        <v>7432</v>
      </c>
      <c r="H1119" s="8">
        <v>0</v>
      </c>
      <c r="I1119" s="8">
        <v>0</v>
      </c>
    </row>
    <row r="1120" spans="1:9" x14ac:dyDescent="0.2">
      <c r="A1120" t="s">
        <v>251</v>
      </c>
      <c r="B1120" t="s">
        <v>254</v>
      </c>
      <c r="C1120" t="str">
        <f>"11765620000000"</f>
        <v>11765620000000</v>
      </c>
      <c r="D1120" t="s">
        <v>3067</v>
      </c>
      <c r="E1120" t="str">
        <f>"11765621130053"</f>
        <v>11765621130053</v>
      </c>
      <c r="F1120" s="8">
        <v>1503</v>
      </c>
      <c r="G1120" s="8">
        <v>10570</v>
      </c>
      <c r="H1120" s="8">
        <v>618</v>
      </c>
      <c r="I1120" s="8">
        <v>2903</v>
      </c>
    </row>
    <row r="1121" spans="1:9" x14ac:dyDescent="0.2">
      <c r="A1121" t="s">
        <v>251</v>
      </c>
      <c r="B1121" t="s">
        <v>254</v>
      </c>
      <c r="C1121" t="str">
        <f>"11765620000000"</f>
        <v>11765620000000</v>
      </c>
      <c r="D1121" t="s">
        <v>3068</v>
      </c>
      <c r="E1121" t="str">
        <f>"11765621133701"</f>
        <v>11765621133701</v>
      </c>
      <c r="F1121" s="8">
        <v>696</v>
      </c>
      <c r="G1121" s="8">
        <v>8730</v>
      </c>
      <c r="H1121" s="8">
        <v>618</v>
      </c>
      <c r="I1121" s="8">
        <v>2903</v>
      </c>
    </row>
    <row r="1122" spans="1:9" x14ac:dyDescent="0.2">
      <c r="A1122" t="s">
        <v>251</v>
      </c>
      <c r="B1122" t="s">
        <v>254</v>
      </c>
      <c r="C1122" t="str">
        <f>"11765620000000"</f>
        <v>11765620000000</v>
      </c>
      <c r="D1122" t="s">
        <v>2908</v>
      </c>
      <c r="E1122" t="str">
        <f>"11765626007447"</f>
        <v>11765626007447</v>
      </c>
      <c r="F1122" s="8">
        <v>1556</v>
      </c>
      <c r="G1122" s="8">
        <v>6127</v>
      </c>
      <c r="H1122" s="8">
        <v>618</v>
      </c>
      <c r="I1122" s="8">
        <v>2903</v>
      </c>
    </row>
    <row r="1123" spans="1:9" x14ac:dyDescent="0.2">
      <c r="A1123" t="s">
        <v>251</v>
      </c>
      <c r="B1123" t="s">
        <v>254</v>
      </c>
      <c r="C1123" t="str">
        <f>"11765620000000"</f>
        <v>11765620000000</v>
      </c>
      <c r="D1123" t="s">
        <v>3069</v>
      </c>
      <c r="E1123" t="str">
        <f>"11765621130111"</f>
        <v>11765621130111</v>
      </c>
      <c r="F1123" s="8" t="s">
        <v>30</v>
      </c>
      <c r="G1123" s="8" t="s">
        <v>30</v>
      </c>
      <c r="H1123" s="8" t="s">
        <v>30</v>
      </c>
      <c r="I1123" s="8" t="s">
        <v>30</v>
      </c>
    </row>
    <row r="1124" spans="1:9" x14ac:dyDescent="0.2">
      <c r="A1124" t="s">
        <v>251</v>
      </c>
      <c r="B1124" t="s">
        <v>255</v>
      </c>
      <c r="C1124" t="str">
        <f>"11625960000000"</f>
        <v>11625960000000</v>
      </c>
      <c r="D1124" t="s">
        <v>255</v>
      </c>
      <c r="E1124" t="str">
        <f>"11625966007454"</f>
        <v>11625966007454</v>
      </c>
      <c r="F1124" s="8">
        <v>1803</v>
      </c>
      <c r="G1124" s="8">
        <v>7748</v>
      </c>
      <c r="H1124" s="8">
        <v>0</v>
      </c>
      <c r="I1124" s="8">
        <v>2319</v>
      </c>
    </row>
    <row r="1125" spans="1:9" x14ac:dyDescent="0.2">
      <c r="A1125" t="s">
        <v>251</v>
      </c>
      <c r="B1125" t="s">
        <v>257</v>
      </c>
      <c r="C1125" t="str">
        <f t="shared" ref="C1125:C1130" si="60">"11754810000000"</f>
        <v>11754810000000</v>
      </c>
      <c r="D1125" t="s">
        <v>3070</v>
      </c>
      <c r="E1125" t="str">
        <f>"11754811130145"</f>
        <v>11754811130145</v>
      </c>
      <c r="F1125" s="8">
        <v>9</v>
      </c>
      <c r="G1125" s="8">
        <v>14558</v>
      </c>
      <c r="H1125" s="8">
        <v>1677</v>
      </c>
      <c r="I1125" s="8">
        <v>4613</v>
      </c>
    </row>
    <row r="1126" spans="1:9" x14ac:dyDescent="0.2">
      <c r="A1126" t="s">
        <v>251</v>
      </c>
      <c r="B1126" t="s">
        <v>257</v>
      </c>
      <c r="C1126" t="str">
        <f t="shared" si="60"/>
        <v>11754810000000</v>
      </c>
      <c r="D1126" t="s">
        <v>3071</v>
      </c>
      <c r="E1126" t="str">
        <f>"11754811130012"</f>
        <v>11754811130012</v>
      </c>
      <c r="F1126" s="8">
        <v>736</v>
      </c>
      <c r="G1126" s="8">
        <v>8855</v>
      </c>
      <c r="H1126" s="8">
        <v>1677</v>
      </c>
      <c r="I1126" s="8">
        <v>4613</v>
      </c>
    </row>
    <row r="1127" spans="1:9" x14ac:dyDescent="0.2">
      <c r="A1127" t="s">
        <v>251</v>
      </c>
      <c r="B1127" t="s">
        <v>257</v>
      </c>
      <c r="C1127" t="str">
        <f t="shared" si="60"/>
        <v>11754810000000</v>
      </c>
      <c r="D1127" t="s">
        <v>2185</v>
      </c>
      <c r="E1127" t="str">
        <f>"11754816007470"</f>
        <v>11754816007470</v>
      </c>
      <c r="F1127" s="8">
        <v>523</v>
      </c>
      <c r="G1127" s="8">
        <v>7994</v>
      </c>
      <c r="H1127" s="8">
        <v>1677</v>
      </c>
      <c r="I1127" s="8">
        <v>4613</v>
      </c>
    </row>
    <row r="1128" spans="1:9" x14ac:dyDescent="0.2">
      <c r="A1128" t="s">
        <v>251</v>
      </c>
      <c r="B1128" t="s">
        <v>257</v>
      </c>
      <c r="C1128" t="str">
        <f t="shared" si="60"/>
        <v>11754810000000</v>
      </c>
      <c r="D1128" t="s">
        <v>3072</v>
      </c>
      <c r="E1128" t="str">
        <f>"11754816007496"</f>
        <v>11754816007496</v>
      </c>
      <c r="F1128" s="8">
        <v>426</v>
      </c>
      <c r="G1128" s="8">
        <v>6782</v>
      </c>
      <c r="H1128" s="8">
        <v>1677</v>
      </c>
      <c r="I1128" s="8">
        <v>4613</v>
      </c>
    </row>
    <row r="1129" spans="1:9" x14ac:dyDescent="0.2">
      <c r="A1129" t="s">
        <v>251</v>
      </c>
      <c r="B1129" t="s">
        <v>257</v>
      </c>
      <c r="C1129" t="str">
        <f t="shared" si="60"/>
        <v>11754810000000</v>
      </c>
      <c r="D1129" t="s">
        <v>3073</v>
      </c>
      <c r="E1129" t="str">
        <f>"11754816007488"</f>
        <v>11754816007488</v>
      </c>
      <c r="F1129" s="8">
        <v>360</v>
      </c>
      <c r="G1129" s="8">
        <v>6762</v>
      </c>
      <c r="H1129" s="8">
        <v>1677</v>
      </c>
      <c r="I1129" s="8">
        <v>4613</v>
      </c>
    </row>
    <row r="1130" spans="1:9" x14ac:dyDescent="0.2">
      <c r="A1130" t="s">
        <v>251</v>
      </c>
      <c r="B1130" t="s">
        <v>257</v>
      </c>
      <c r="C1130" t="str">
        <f t="shared" si="60"/>
        <v>11754810000000</v>
      </c>
      <c r="D1130" t="s">
        <v>3074</v>
      </c>
      <c r="E1130" t="str">
        <f>"11754811135656"</f>
        <v>11754811135656</v>
      </c>
      <c r="F1130" s="8">
        <v>187</v>
      </c>
      <c r="G1130" s="8">
        <v>6759</v>
      </c>
      <c r="H1130" s="8">
        <v>1677</v>
      </c>
      <c r="I1130" s="8">
        <v>4613</v>
      </c>
    </row>
    <row r="1131" spans="1:9" x14ac:dyDescent="0.2">
      <c r="A1131" t="s">
        <v>251</v>
      </c>
      <c r="B1131" t="s">
        <v>258</v>
      </c>
      <c r="C1131" t="str">
        <f>"11626380000000"</f>
        <v>11626380000000</v>
      </c>
      <c r="D1131" t="s">
        <v>258</v>
      </c>
      <c r="E1131" t="str">
        <f>"11626386007504"</f>
        <v>11626386007504</v>
      </c>
      <c r="F1131" s="8">
        <v>1912</v>
      </c>
      <c r="G1131" s="8">
        <v>8161</v>
      </c>
      <c r="H1131" s="8">
        <v>0</v>
      </c>
      <c r="I1131" s="8">
        <v>2047</v>
      </c>
    </row>
    <row r="1132" spans="1:9" x14ac:dyDescent="0.2">
      <c r="A1132" t="s">
        <v>251</v>
      </c>
      <c r="B1132" t="s">
        <v>259</v>
      </c>
      <c r="C1132" t="str">
        <f>"11626460000000"</f>
        <v>11626460000000</v>
      </c>
      <c r="D1132" t="s">
        <v>3075</v>
      </c>
      <c r="E1132" t="str">
        <f>"11626466089262"</f>
        <v>11626466089262</v>
      </c>
      <c r="F1132" s="8">
        <v>1486</v>
      </c>
      <c r="G1132" s="8">
        <v>8038</v>
      </c>
      <c r="H1132" s="8">
        <v>1270</v>
      </c>
      <c r="I1132" s="8">
        <v>9567</v>
      </c>
    </row>
    <row r="1133" spans="1:9" x14ac:dyDescent="0.2">
      <c r="A1133" t="s">
        <v>251</v>
      </c>
      <c r="B1133" t="s">
        <v>259</v>
      </c>
      <c r="C1133" t="str">
        <f>"11626460000000"</f>
        <v>11626460000000</v>
      </c>
      <c r="D1133" t="s">
        <v>3076</v>
      </c>
      <c r="E1133" t="str">
        <f>"11626461136209"</f>
        <v>11626461136209</v>
      </c>
      <c r="F1133" s="8">
        <v>41</v>
      </c>
      <c r="G1133" s="8">
        <v>8685</v>
      </c>
      <c r="H1133" s="8">
        <v>1270</v>
      </c>
      <c r="I1133" s="8">
        <v>9567</v>
      </c>
    </row>
    <row r="1134" spans="1:9" x14ac:dyDescent="0.2">
      <c r="A1134" t="s">
        <v>251</v>
      </c>
      <c r="B1134" t="s">
        <v>259</v>
      </c>
      <c r="C1134" t="str">
        <f>"11626460000000"</f>
        <v>11626460000000</v>
      </c>
      <c r="D1134" t="s">
        <v>3077</v>
      </c>
      <c r="E1134" t="str">
        <f>"11626461130095"</f>
        <v>11626461130095</v>
      </c>
      <c r="F1134" s="8" t="s">
        <v>30</v>
      </c>
      <c r="G1134" s="8" t="s">
        <v>30</v>
      </c>
      <c r="H1134" s="8" t="s">
        <v>30</v>
      </c>
      <c r="I1134" s="8" t="s">
        <v>30</v>
      </c>
    </row>
    <row r="1135" spans="1:9" x14ac:dyDescent="0.2">
      <c r="A1135" t="s">
        <v>251</v>
      </c>
      <c r="B1135" t="s">
        <v>260</v>
      </c>
      <c r="C1135" t="str">
        <f>"11626530000000"</f>
        <v>11626530000000</v>
      </c>
      <c r="D1135" t="s">
        <v>3078</v>
      </c>
      <c r="E1135" t="str">
        <f>"11626531132109"</f>
        <v>11626531132109</v>
      </c>
      <c r="F1135" s="8">
        <v>8664</v>
      </c>
      <c r="G1135" s="8">
        <v>16879</v>
      </c>
      <c r="H1135" s="8">
        <v>0</v>
      </c>
      <c r="I1135" s="8">
        <v>4352</v>
      </c>
    </row>
    <row r="1136" spans="1:9" x14ac:dyDescent="0.2">
      <c r="A1136" t="s">
        <v>251</v>
      </c>
      <c r="B1136" t="s">
        <v>260</v>
      </c>
      <c r="C1136" t="str">
        <f>"11626530000000"</f>
        <v>11626530000000</v>
      </c>
      <c r="D1136" t="s">
        <v>3079</v>
      </c>
      <c r="E1136" t="str">
        <f>"11626531130046"</f>
        <v>11626531130046</v>
      </c>
      <c r="F1136" s="8">
        <v>8654</v>
      </c>
      <c r="G1136" s="8">
        <v>16879</v>
      </c>
      <c r="H1136" s="8">
        <v>0</v>
      </c>
      <c r="I1136" s="8">
        <v>4352</v>
      </c>
    </row>
    <row r="1137" spans="1:9" x14ac:dyDescent="0.2">
      <c r="A1137" t="s">
        <v>251</v>
      </c>
      <c r="B1137" t="s">
        <v>260</v>
      </c>
      <c r="C1137" t="str">
        <f>"11626530000000"</f>
        <v>11626530000000</v>
      </c>
      <c r="D1137" t="s">
        <v>3080</v>
      </c>
      <c r="E1137" t="str">
        <f>"11626536007553"</f>
        <v>11626536007553</v>
      </c>
      <c r="F1137" s="8">
        <v>8654</v>
      </c>
      <c r="G1137" s="8">
        <v>16850</v>
      </c>
      <c r="H1137" s="8">
        <v>0</v>
      </c>
      <c r="I1137" s="8">
        <v>4352</v>
      </c>
    </row>
    <row r="1138" spans="1:9" x14ac:dyDescent="0.2">
      <c r="A1138" t="s">
        <v>251</v>
      </c>
      <c r="B1138" t="s">
        <v>260</v>
      </c>
      <c r="C1138" t="str">
        <f>"11626530000000"</f>
        <v>11626530000000</v>
      </c>
      <c r="D1138" t="s">
        <v>3081</v>
      </c>
      <c r="E1138" t="str">
        <f>"11626536007546"</f>
        <v>11626536007546</v>
      </c>
      <c r="F1138" s="8">
        <v>8654</v>
      </c>
      <c r="G1138" s="8">
        <v>16751</v>
      </c>
      <c r="H1138" s="8">
        <v>0</v>
      </c>
      <c r="I1138" s="8">
        <v>4352</v>
      </c>
    </row>
    <row r="1139" spans="1:9" x14ac:dyDescent="0.2">
      <c r="A1139" t="s">
        <v>251</v>
      </c>
      <c r="B1139" t="s">
        <v>262</v>
      </c>
      <c r="C1139" t="str">
        <f>"11626610000000"</f>
        <v>11626610000000</v>
      </c>
      <c r="D1139" t="s">
        <v>3082</v>
      </c>
      <c r="E1139" t="str">
        <f>"11626611130038"</f>
        <v>11626611130038</v>
      </c>
      <c r="F1139" s="8">
        <v>1154</v>
      </c>
      <c r="G1139" s="8">
        <v>14233</v>
      </c>
      <c r="H1139" s="8">
        <v>706</v>
      </c>
      <c r="I1139" s="8">
        <v>4864</v>
      </c>
    </row>
    <row r="1140" spans="1:9" x14ac:dyDescent="0.2">
      <c r="A1140" t="s">
        <v>251</v>
      </c>
      <c r="B1140" t="s">
        <v>262</v>
      </c>
      <c r="C1140" t="str">
        <f>"11626610000000"</f>
        <v>11626610000000</v>
      </c>
      <c r="D1140" t="s">
        <v>3083</v>
      </c>
      <c r="E1140" t="str">
        <f>"11626616007611"</f>
        <v>11626616007611</v>
      </c>
      <c r="F1140" s="8">
        <v>1385</v>
      </c>
      <c r="G1140" s="8">
        <v>8632</v>
      </c>
      <c r="H1140" s="8">
        <v>607</v>
      </c>
      <c r="I1140" s="8">
        <v>4182</v>
      </c>
    </row>
    <row r="1141" spans="1:9" x14ac:dyDescent="0.2">
      <c r="A1141" t="s">
        <v>251</v>
      </c>
      <c r="B1141" t="s">
        <v>262</v>
      </c>
      <c r="C1141" t="str">
        <f>"11626610000000"</f>
        <v>11626610000000</v>
      </c>
      <c r="D1141" t="s">
        <v>3084</v>
      </c>
      <c r="E1141" t="str">
        <f>"11626611132851"</f>
        <v>11626611132851</v>
      </c>
      <c r="F1141" s="8">
        <v>1181</v>
      </c>
      <c r="G1141" s="8">
        <v>8217</v>
      </c>
      <c r="H1141" s="8">
        <v>619</v>
      </c>
      <c r="I1141" s="8">
        <v>4266</v>
      </c>
    </row>
    <row r="1142" spans="1:9" x14ac:dyDescent="0.2">
      <c r="A1142" t="s">
        <v>251</v>
      </c>
      <c r="B1142" t="s">
        <v>262</v>
      </c>
      <c r="C1142" t="str">
        <f>"11626610000000"</f>
        <v>11626610000000</v>
      </c>
      <c r="D1142" t="s">
        <v>3085</v>
      </c>
      <c r="E1142" t="str">
        <f>"11626616007603"</f>
        <v>11626616007603</v>
      </c>
      <c r="F1142" s="8">
        <v>1443</v>
      </c>
      <c r="G1142" s="8">
        <v>7615</v>
      </c>
      <c r="H1142" s="8">
        <v>627</v>
      </c>
      <c r="I1142" s="8">
        <v>4319</v>
      </c>
    </row>
    <row r="1143" spans="1:9" x14ac:dyDescent="0.2">
      <c r="A1143" t="s">
        <v>263</v>
      </c>
      <c r="B1143" t="s">
        <v>266</v>
      </c>
      <c r="C1143" t="str">
        <f>"12626790000000"</f>
        <v>12626790000000</v>
      </c>
      <c r="D1143" t="s">
        <v>266</v>
      </c>
      <c r="E1143" t="str">
        <f>"12626796007678"</f>
        <v>12626796007678</v>
      </c>
      <c r="F1143" s="8">
        <v>1177</v>
      </c>
      <c r="G1143" s="8">
        <v>7045</v>
      </c>
      <c r="H1143" s="8">
        <v>1062</v>
      </c>
      <c r="I1143" s="8">
        <v>4646</v>
      </c>
    </row>
    <row r="1144" spans="1:9" x14ac:dyDescent="0.2">
      <c r="A1144" t="s">
        <v>263</v>
      </c>
      <c r="B1144" t="s">
        <v>266</v>
      </c>
      <c r="C1144" t="str">
        <f>"12626790000000"</f>
        <v>12626790000000</v>
      </c>
      <c r="D1144" t="s">
        <v>3086</v>
      </c>
      <c r="E1144" t="str">
        <f>"12626796007660"</f>
        <v>12626796007660</v>
      </c>
      <c r="F1144" s="8">
        <v>1592</v>
      </c>
      <c r="G1144" s="8">
        <v>6540</v>
      </c>
      <c r="H1144" s="8">
        <v>1011</v>
      </c>
      <c r="I1144" s="8">
        <v>4424</v>
      </c>
    </row>
    <row r="1145" spans="1:9" x14ac:dyDescent="0.2">
      <c r="A1145" t="s">
        <v>263</v>
      </c>
      <c r="B1145" t="s">
        <v>267</v>
      </c>
      <c r="C1145" t="str">
        <f>"12626950000000"</f>
        <v>12626950000000</v>
      </c>
      <c r="D1145" t="s">
        <v>3087</v>
      </c>
      <c r="E1145" t="str">
        <f>"12626956007686"</f>
        <v>12626956007686</v>
      </c>
      <c r="F1145" s="8">
        <v>1720</v>
      </c>
      <c r="G1145" s="8">
        <v>11266</v>
      </c>
      <c r="H1145" s="8">
        <v>42</v>
      </c>
      <c r="I1145" s="8">
        <v>4701</v>
      </c>
    </row>
    <row r="1146" spans="1:9" x14ac:dyDescent="0.2">
      <c r="A1146" t="s">
        <v>263</v>
      </c>
      <c r="B1146" t="s">
        <v>268</v>
      </c>
      <c r="C1146" t="str">
        <f>"12627030000000"</f>
        <v>12627030000000</v>
      </c>
      <c r="D1146" t="s">
        <v>268</v>
      </c>
      <c r="E1146" t="str">
        <f>"12627036007694"</f>
        <v>12627036007694</v>
      </c>
      <c r="F1146" s="8">
        <v>3284</v>
      </c>
      <c r="G1146" s="8">
        <v>10795</v>
      </c>
      <c r="H1146" s="8">
        <v>0</v>
      </c>
      <c r="I1146" s="8">
        <v>436</v>
      </c>
    </row>
    <row r="1147" spans="1:9" x14ac:dyDescent="0.2">
      <c r="A1147" t="s">
        <v>263</v>
      </c>
      <c r="B1147" t="s">
        <v>269</v>
      </c>
      <c r="C1147" t="str">
        <f>"12627290000000"</f>
        <v>12627290000000</v>
      </c>
      <c r="D1147" t="s">
        <v>269</v>
      </c>
      <c r="E1147" t="str">
        <f>"12627296007710"</f>
        <v>12627296007710</v>
      </c>
      <c r="F1147" s="8">
        <v>3929</v>
      </c>
      <c r="G1147" s="8">
        <v>10852</v>
      </c>
      <c r="H1147" s="8">
        <v>0</v>
      </c>
      <c r="I1147" s="8">
        <v>1318</v>
      </c>
    </row>
    <row r="1148" spans="1:9" x14ac:dyDescent="0.2">
      <c r="A1148" t="s">
        <v>263</v>
      </c>
      <c r="B1148" t="s">
        <v>271</v>
      </c>
      <c r="C1148" t="str">
        <f>"12627370000000"</f>
        <v>12627370000000</v>
      </c>
      <c r="D1148" t="s">
        <v>3088</v>
      </c>
      <c r="E1148" t="str">
        <f>"12627376007728"</f>
        <v>12627376007728</v>
      </c>
      <c r="F1148" s="8">
        <v>1817</v>
      </c>
      <c r="G1148" s="8">
        <v>7489</v>
      </c>
      <c r="H1148" s="8">
        <v>417</v>
      </c>
      <c r="I1148" s="8">
        <v>3640</v>
      </c>
    </row>
    <row r="1149" spans="1:9" x14ac:dyDescent="0.2">
      <c r="A1149" t="s">
        <v>263</v>
      </c>
      <c r="B1149" t="s">
        <v>272</v>
      </c>
      <c r="C1149" t="str">
        <f>"12627450000000"</f>
        <v>12627450000000</v>
      </c>
      <c r="D1149" t="s">
        <v>3089</v>
      </c>
      <c r="E1149" t="str">
        <f>"12627456007744"</f>
        <v>12627456007744</v>
      </c>
      <c r="F1149" s="8">
        <v>1101</v>
      </c>
      <c r="G1149" s="8">
        <v>6544</v>
      </c>
      <c r="H1149" s="8">
        <v>560</v>
      </c>
      <c r="I1149" s="8">
        <v>3409</v>
      </c>
    </row>
    <row r="1150" spans="1:9" x14ac:dyDescent="0.2">
      <c r="A1150" t="s">
        <v>263</v>
      </c>
      <c r="B1150" t="s">
        <v>272</v>
      </c>
      <c r="C1150" t="str">
        <f>"12627450000000"</f>
        <v>12627450000000</v>
      </c>
      <c r="D1150" t="s">
        <v>272</v>
      </c>
      <c r="E1150" t="str">
        <f>"12627456007736"</f>
        <v>12627456007736</v>
      </c>
      <c r="F1150" s="8">
        <v>616</v>
      </c>
      <c r="G1150" s="8">
        <v>5823</v>
      </c>
      <c r="H1150" s="8">
        <v>560</v>
      </c>
      <c r="I1150" s="8">
        <v>3396</v>
      </c>
    </row>
    <row r="1151" spans="1:9" x14ac:dyDescent="0.2">
      <c r="A1151" t="s">
        <v>263</v>
      </c>
      <c r="B1151" t="s">
        <v>273</v>
      </c>
      <c r="C1151" t="str">
        <f t="shared" ref="C1151:C1158" si="61">"12755150000000"</f>
        <v>12755150000000</v>
      </c>
      <c r="D1151" t="s">
        <v>3090</v>
      </c>
      <c r="E1151" t="str">
        <f>"12755151232057"</f>
        <v>12755151232057</v>
      </c>
      <c r="F1151" s="8">
        <v>1963</v>
      </c>
      <c r="G1151" s="8">
        <v>8348</v>
      </c>
      <c r="H1151" s="8">
        <v>2116</v>
      </c>
      <c r="I1151" s="8">
        <v>4645</v>
      </c>
    </row>
    <row r="1152" spans="1:9" x14ac:dyDescent="0.2">
      <c r="A1152" t="s">
        <v>263</v>
      </c>
      <c r="B1152" t="s">
        <v>273</v>
      </c>
      <c r="C1152" t="str">
        <f t="shared" si="61"/>
        <v>12755150000000</v>
      </c>
      <c r="D1152" t="s">
        <v>1715</v>
      </c>
      <c r="E1152" t="str">
        <f>"12755156007777"</f>
        <v>12755156007777</v>
      </c>
      <c r="F1152" s="8">
        <v>878</v>
      </c>
      <c r="G1152" s="8">
        <v>7216</v>
      </c>
      <c r="H1152" s="8">
        <v>2085</v>
      </c>
      <c r="I1152" s="8">
        <v>4730</v>
      </c>
    </row>
    <row r="1153" spans="1:9" x14ac:dyDescent="0.2">
      <c r="A1153" t="s">
        <v>263</v>
      </c>
      <c r="B1153" t="s">
        <v>273</v>
      </c>
      <c r="C1153" t="str">
        <f t="shared" si="61"/>
        <v>12755150000000</v>
      </c>
      <c r="D1153" t="s">
        <v>3091</v>
      </c>
      <c r="E1153" t="str">
        <f>"12755151232206"</f>
        <v>12755151232206</v>
      </c>
      <c r="F1153" s="8">
        <v>273</v>
      </c>
      <c r="G1153" s="8">
        <v>7575</v>
      </c>
      <c r="H1153" s="8">
        <v>2116</v>
      </c>
      <c r="I1153" s="8">
        <v>4645</v>
      </c>
    </row>
    <row r="1154" spans="1:9" x14ac:dyDescent="0.2">
      <c r="A1154" t="s">
        <v>263</v>
      </c>
      <c r="B1154" t="s">
        <v>273</v>
      </c>
      <c r="C1154" t="str">
        <f t="shared" si="61"/>
        <v>12755150000000</v>
      </c>
      <c r="D1154" t="s">
        <v>149</v>
      </c>
      <c r="E1154" t="str">
        <f>"12755156007793"</f>
        <v>12755156007793</v>
      </c>
      <c r="F1154" s="8">
        <v>1025</v>
      </c>
      <c r="G1154" s="8">
        <v>6381</v>
      </c>
      <c r="H1154" s="8">
        <v>2085</v>
      </c>
      <c r="I1154" s="8">
        <v>4730</v>
      </c>
    </row>
    <row r="1155" spans="1:9" x14ac:dyDescent="0.2">
      <c r="A1155" t="s">
        <v>263</v>
      </c>
      <c r="B1155" t="s">
        <v>273</v>
      </c>
      <c r="C1155" t="str">
        <f t="shared" si="61"/>
        <v>12755150000000</v>
      </c>
      <c r="D1155" t="s">
        <v>3092</v>
      </c>
      <c r="E1155" t="str">
        <f>"12755156007751"</f>
        <v>12755156007751</v>
      </c>
      <c r="F1155" s="8">
        <v>751</v>
      </c>
      <c r="G1155" s="8">
        <v>6318</v>
      </c>
      <c r="H1155" s="8">
        <v>2085</v>
      </c>
      <c r="I1155" s="8">
        <v>4730</v>
      </c>
    </row>
    <row r="1156" spans="1:9" x14ac:dyDescent="0.2">
      <c r="A1156" t="s">
        <v>263</v>
      </c>
      <c r="B1156" t="s">
        <v>273</v>
      </c>
      <c r="C1156" t="str">
        <f t="shared" si="61"/>
        <v>12755150000000</v>
      </c>
      <c r="D1156" t="s">
        <v>3093</v>
      </c>
      <c r="E1156" t="str">
        <f>"12755150127407"</f>
        <v>12755150127407</v>
      </c>
      <c r="F1156" s="8">
        <v>342</v>
      </c>
      <c r="G1156" s="8">
        <v>6517</v>
      </c>
      <c r="H1156" s="8">
        <v>2085</v>
      </c>
      <c r="I1156" s="8">
        <v>4655</v>
      </c>
    </row>
    <row r="1157" spans="1:9" x14ac:dyDescent="0.2">
      <c r="A1157" t="s">
        <v>263</v>
      </c>
      <c r="B1157" t="s">
        <v>273</v>
      </c>
      <c r="C1157" t="str">
        <f t="shared" si="61"/>
        <v>12755150000000</v>
      </c>
      <c r="D1157" t="s">
        <v>2094</v>
      </c>
      <c r="E1157" t="str">
        <f>"12755156007827"</f>
        <v>12755156007827</v>
      </c>
      <c r="F1157" s="8">
        <v>665</v>
      </c>
      <c r="G1157" s="8">
        <v>5816</v>
      </c>
      <c r="H1157" s="8">
        <v>2085</v>
      </c>
      <c r="I1157" s="8">
        <v>4730</v>
      </c>
    </row>
    <row r="1158" spans="1:9" x14ac:dyDescent="0.2">
      <c r="A1158" t="s">
        <v>263</v>
      </c>
      <c r="B1158" t="s">
        <v>273</v>
      </c>
      <c r="C1158" t="str">
        <f t="shared" si="61"/>
        <v>12755150000000</v>
      </c>
      <c r="D1158" t="s">
        <v>3094</v>
      </c>
      <c r="E1158" t="str">
        <f>"12755156057376"</f>
        <v>12755156057376</v>
      </c>
      <c r="F1158" s="8">
        <v>589</v>
      </c>
      <c r="G1158" s="8">
        <v>5927</v>
      </c>
      <c r="H1158" s="8">
        <v>2085</v>
      </c>
      <c r="I1158" s="8">
        <v>4655</v>
      </c>
    </row>
    <row r="1159" spans="1:9" x14ac:dyDescent="0.2">
      <c r="A1159" t="s">
        <v>263</v>
      </c>
      <c r="B1159" t="s">
        <v>274</v>
      </c>
      <c r="C1159" t="str">
        <f>"12753740000000"</f>
        <v>12753740000000</v>
      </c>
      <c r="D1159" t="s">
        <v>3095</v>
      </c>
      <c r="E1159" t="str">
        <f>"12753741232909"</f>
        <v>12753741232909</v>
      </c>
      <c r="F1159" s="8">
        <v>1464</v>
      </c>
      <c r="G1159" s="8">
        <v>12293</v>
      </c>
      <c r="H1159" s="8">
        <v>0</v>
      </c>
      <c r="I1159" s="8">
        <v>674</v>
      </c>
    </row>
    <row r="1160" spans="1:9" x14ac:dyDescent="0.2">
      <c r="A1160" t="s">
        <v>263</v>
      </c>
      <c r="B1160" t="s">
        <v>274</v>
      </c>
      <c r="C1160" t="str">
        <f>"12753740000000"</f>
        <v>12753740000000</v>
      </c>
      <c r="D1160" t="s">
        <v>3096</v>
      </c>
      <c r="E1160" t="str">
        <f>"12753746007843"</f>
        <v>12753746007843</v>
      </c>
      <c r="F1160" s="8">
        <v>2850</v>
      </c>
      <c r="G1160" s="8">
        <v>1803</v>
      </c>
      <c r="H1160" s="8">
        <v>0</v>
      </c>
      <c r="I1160" s="8">
        <v>672</v>
      </c>
    </row>
    <row r="1161" spans="1:9" x14ac:dyDescent="0.2">
      <c r="A1161" t="s">
        <v>263</v>
      </c>
      <c r="B1161" t="s">
        <v>275</v>
      </c>
      <c r="C1161" t="str">
        <f>"12627940000000"</f>
        <v>12627940000000</v>
      </c>
      <c r="D1161" t="s">
        <v>275</v>
      </c>
      <c r="E1161" t="str">
        <f>"12627946007850"</f>
        <v>12627946007850</v>
      </c>
      <c r="F1161" s="8">
        <v>1808</v>
      </c>
      <c r="G1161" s="8">
        <v>8544</v>
      </c>
      <c r="H1161" s="8">
        <v>18</v>
      </c>
      <c r="I1161" s="8">
        <v>1509</v>
      </c>
    </row>
    <row r="1162" spans="1:9" x14ac:dyDescent="0.2">
      <c r="A1162" t="s">
        <v>263</v>
      </c>
      <c r="B1162" t="s">
        <v>276</v>
      </c>
      <c r="C1162" t="str">
        <f>"12768020000000"</f>
        <v>12768020000000</v>
      </c>
      <c r="D1162" t="s">
        <v>3097</v>
      </c>
      <c r="E1162" t="str">
        <f>"12768026007876"</f>
        <v>12768026007876</v>
      </c>
      <c r="F1162" s="8">
        <v>2879</v>
      </c>
      <c r="G1162" s="8">
        <v>9488</v>
      </c>
      <c r="H1162" s="8">
        <v>889</v>
      </c>
      <c r="I1162" s="8">
        <v>74</v>
      </c>
    </row>
    <row r="1163" spans="1:9" x14ac:dyDescent="0.2">
      <c r="A1163" t="s">
        <v>263</v>
      </c>
      <c r="B1163" t="s">
        <v>276</v>
      </c>
      <c r="C1163" t="str">
        <f>"12768020000000"</f>
        <v>12768020000000</v>
      </c>
      <c r="D1163" t="s">
        <v>3098</v>
      </c>
      <c r="E1163" t="str">
        <f>"12768026008130"</f>
        <v>12768026008130</v>
      </c>
      <c r="F1163" s="8">
        <v>2444</v>
      </c>
      <c r="G1163" s="8">
        <v>7892</v>
      </c>
      <c r="H1163" s="8">
        <v>889</v>
      </c>
      <c r="I1163" s="8">
        <v>74</v>
      </c>
    </row>
    <row r="1164" spans="1:9" x14ac:dyDescent="0.2">
      <c r="A1164" t="s">
        <v>263</v>
      </c>
      <c r="B1164" t="s">
        <v>276</v>
      </c>
      <c r="C1164" t="str">
        <f>"12768020000000"</f>
        <v>12768020000000</v>
      </c>
      <c r="D1164" t="s">
        <v>3099</v>
      </c>
      <c r="E1164" t="str">
        <f>"12768026008148"</f>
        <v>12768026008148</v>
      </c>
      <c r="F1164" s="8">
        <v>2601</v>
      </c>
      <c r="G1164" s="8">
        <v>7579</v>
      </c>
      <c r="H1164" s="8">
        <v>889</v>
      </c>
      <c r="I1164" s="8">
        <v>74</v>
      </c>
    </row>
    <row r="1165" spans="1:9" x14ac:dyDescent="0.2">
      <c r="A1165" t="s">
        <v>263</v>
      </c>
      <c r="B1165" t="s">
        <v>276</v>
      </c>
      <c r="C1165" t="str">
        <f>"12768020000000"</f>
        <v>12768020000000</v>
      </c>
      <c r="D1165" t="s">
        <v>3100</v>
      </c>
      <c r="E1165" t="str">
        <f>"12768026007868"</f>
        <v>12768026007868</v>
      </c>
      <c r="F1165" s="8">
        <v>2641</v>
      </c>
      <c r="G1165" s="8">
        <v>6950</v>
      </c>
      <c r="H1165" s="8">
        <v>889</v>
      </c>
      <c r="I1165" s="8">
        <v>74</v>
      </c>
    </row>
    <row r="1166" spans="1:9" x14ac:dyDescent="0.2">
      <c r="A1166" t="s">
        <v>263</v>
      </c>
      <c r="B1166" t="s">
        <v>277</v>
      </c>
      <c r="C1166" t="str">
        <f>"12628100000000"</f>
        <v>12628100000000</v>
      </c>
      <c r="D1166" t="s">
        <v>3101</v>
      </c>
      <c r="E1166" t="str">
        <f>"12628101233352"</f>
        <v>12628101233352</v>
      </c>
      <c r="F1166" s="8">
        <v>2638</v>
      </c>
      <c r="G1166" s="8">
        <v>13140</v>
      </c>
      <c r="H1166" s="8">
        <v>937</v>
      </c>
      <c r="I1166" s="8">
        <v>3009</v>
      </c>
    </row>
    <row r="1167" spans="1:9" x14ac:dyDescent="0.2">
      <c r="A1167" t="s">
        <v>263</v>
      </c>
      <c r="B1167" t="s">
        <v>277</v>
      </c>
      <c r="C1167" t="str">
        <f>"12628100000000"</f>
        <v>12628100000000</v>
      </c>
      <c r="D1167" t="s">
        <v>277</v>
      </c>
      <c r="E1167" t="str">
        <f>"12628101233402"</f>
        <v>12628101233402</v>
      </c>
      <c r="F1167" s="8">
        <v>912</v>
      </c>
      <c r="G1167" s="8">
        <v>6979</v>
      </c>
      <c r="H1167" s="8">
        <v>937</v>
      </c>
      <c r="I1167" s="8">
        <v>3009</v>
      </c>
    </row>
    <row r="1168" spans="1:9" x14ac:dyDescent="0.2">
      <c r="A1168" t="s">
        <v>263</v>
      </c>
      <c r="B1168" t="s">
        <v>277</v>
      </c>
      <c r="C1168" t="str">
        <f>"12628100000000"</f>
        <v>12628100000000</v>
      </c>
      <c r="D1168" t="s">
        <v>3102</v>
      </c>
      <c r="E1168" t="str">
        <f>"12628100108688"</f>
        <v>12628100108688</v>
      </c>
      <c r="F1168" s="8">
        <v>413</v>
      </c>
      <c r="G1168" s="8">
        <v>5326</v>
      </c>
      <c r="H1168" s="8">
        <v>937</v>
      </c>
      <c r="I1168" s="8">
        <v>3009</v>
      </c>
    </row>
    <row r="1169" spans="1:9" x14ac:dyDescent="0.2">
      <c r="A1169" t="s">
        <v>263</v>
      </c>
      <c r="B1169" t="s">
        <v>278</v>
      </c>
      <c r="C1169" t="str">
        <f>"12628280000000"</f>
        <v>12628280000000</v>
      </c>
      <c r="D1169" t="s">
        <v>278</v>
      </c>
      <c r="E1169" t="str">
        <f>"12628286007884"</f>
        <v>12628286007884</v>
      </c>
      <c r="F1169" s="8">
        <v>937</v>
      </c>
      <c r="G1169" s="8">
        <v>8775</v>
      </c>
      <c r="H1169" s="8">
        <v>280</v>
      </c>
      <c r="I1169" s="8">
        <v>1821</v>
      </c>
    </row>
    <row r="1170" spans="1:9" x14ac:dyDescent="0.2">
      <c r="A1170" t="s">
        <v>263</v>
      </c>
      <c r="B1170" t="s">
        <v>278</v>
      </c>
      <c r="C1170" t="str">
        <f>"12628280000000"</f>
        <v>12628280000000</v>
      </c>
      <c r="D1170" t="s">
        <v>3103</v>
      </c>
      <c r="E1170" t="str">
        <f>"12628286116289"</f>
        <v>12628286116289</v>
      </c>
      <c r="F1170" s="8">
        <v>454</v>
      </c>
      <c r="G1170" s="8">
        <v>7031</v>
      </c>
      <c r="H1170" s="8">
        <v>6</v>
      </c>
      <c r="I1170" s="8">
        <v>1507</v>
      </c>
    </row>
    <row r="1171" spans="1:9" x14ac:dyDescent="0.2">
      <c r="A1171" t="s">
        <v>263</v>
      </c>
      <c r="B1171" t="s">
        <v>280</v>
      </c>
      <c r="C1171" t="str">
        <f>"12628360000000"</f>
        <v>12628360000000</v>
      </c>
      <c r="D1171" t="s">
        <v>280</v>
      </c>
      <c r="E1171" t="str">
        <f>"12628366007892"</f>
        <v>12628366007892</v>
      </c>
      <c r="F1171" s="8">
        <v>1067</v>
      </c>
      <c r="G1171" s="8">
        <v>9357</v>
      </c>
      <c r="H1171" s="8">
        <v>93</v>
      </c>
      <c r="I1171" s="8">
        <v>2537</v>
      </c>
    </row>
    <row r="1172" spans="1:9" x14ac:dyDescent="0.2">
      <c r="A1172" t="s">
        <v>263</v>
      </c>
      <c r="B1172" t="s">
        <v>281</v>
      </c>
      <c r="C1172" t="str">
        <f>"12628510000000"</f>
        <v>12628510000000</v>
      </c>
      <c r="D1172" t="s">
        <v>281</v>
      </c>
      <c r="E1172" t="str">
        <f>"12628516007918"</f>
        <v>12628516007918</v>
      </c>
      <c r="F1172" s="8">
        <v>4664</v>
      </c>
      <c r="G1172" s="8">
        <v>13025</v>
      </c>
      <c r="H1172" s="8">
        <v>10</v>
      </c>
      <c r="I1172" s="8">
        <v>9773</v>
      </c>
    </row>
    <row r="1173" spans="1:9" x14ac:dyDescent="0.2">
      <c r="A1173" t="s">
        <v>263</v>
      </c>
      <c r="B1173" t="s">
        <v>282</v>
      </c>
      <c r="C1173" t="str">
        <f>"12101240000000"</f>
        <v>12101240000000</v>
      </c>
      <c r="D1173" t="s">
        <v>3104</v>
      </c>
      <c r="E1173" t="str">
        <f>"12101246077192"</f>
        <v>12101246077192</v>
      </c>
      <c r="F1173" s="8">
        <v>3096</v>
      </c>
      <c r="G1173" s="8">
        <v>49077</v>
      </c>
      <c r="H1173" s="8">
        <v>361</v>
      </c>
      <c r="I1173" s="8">
        <v>4186</v>
      </c>
    </row>
    <row r="1174" spans="1:9" x14ac:dyDescent="0.2">
      <c r="A1174" t="s">
        <v>263</v>
      </c>
      <c r="B1174" t="s">
        <v>282</v>
      </c>
      <c r="C1174" t="str">
        <f>"12101240000000"</f>
        <v>12101240000000</v>
      </c>
      <c r="D1174" t="s">
        <v>3105</v>
      </c>
      <c r="E1174" t="str">
        <f>"12101240106203"</f>
        <v>12101240106203</v>
      </c>
      <c r="F1174" s="8">
        <v>9767</v>
      </c>
      <c r="G1174" s="8">
        <v>23485</v>
      </c>
      <c r="H1174" s="8">
        <v>791</v>
      </c>
      <c r="I1174" s="8">
        <v>20296</v>
      </c>
    </row>
    <row r="1175" spans="1:9" x14ac:dyDescent="0.2">
      <c r="A1175" t="s">
        <v>263</v>
      </c>
      <c r="B1175" t="s">
        <v>282</v>
      </c>
      <c r="C1175" t="str">
        <f>"12101240000000"</f>
        <v>12101240000000</v>
      </c>
      <c r="D1175" t="s">
        <v>3106</v>
      </c>
      <c r="E1175" t="str">
        <f>"12101240106153"</f>
        <v>12101240106153</v>
      </c>
      <c r="F1175" s="8">
        <v>2035</v>
      </c>
      <c r="G1175" s="8">
        <v>9237</v>
      </c>
      <c r="H1175" s="8">
        <v>1327</v>
      </c>
      <c r="I1175" s="8">
        <v>10330</v>
      </c>
    </row>
    <row r="1176" spans="1:9" x14ac:dyDescent="0.2">
      <c r="A1176" t="s">
        <v>263</v>
      </c>
      <c r="B1176" t="s">
        <v>282</v>
      </c>
      <c r="C1176" t="str">
        <f>"12101240000000"</f>
        <v>12101240000000</v>
      </c>
      <c r="D1176" t="s">
        <v>3107</v>
      </c>
      <c r="E1176" t="str">
        <f>"12101240106161"</f>
        <v>12101240106161</v>
      </c>
      <c r="F1176" s="8">
        <v>2035</v>
      </c>
      <c r="G1176" s="8">
        <v>9237</v>
      </c>
      <c r="H1176" s="8">
        <v>1327</v>
      </c>
      <c r="I1176" s="8">
        <v>10330</v>
      </c>
    </row>
    <row r="1177" spans="1:9" x14ac:dyDescent="0.2">
      <c r="A1177" t="s">
        <v>263</v>
      </c>
      <c r="B1177" t="s">
        <v>282</v>
      </c>
      <c r="C1177" t="str">
        <f>"12101240000000"</f>
        <v>12101240000000</v>
      </c>
      <c r="D1177" t="s">
        <v>3108</v>
      </c>
      <c r="E1177" t="str">
        <f>"12101240106179"</f>
        <v>12101240106179</v>
      </c>
      <c r="F1177" s="8">
        <v>2035</v>
      </c>
      <c r="G1177" s="8">
        <v>9237</v>
      </c>
      <c r="H1177" s="8">
        <v>1327</v>
      </c>
      <c r="I1177" s="8">
        <v>10330</v>
      </c>
    </row>
    <row r="1178" spans="1:9" x14ac:dyDescent="0.2">
      <c r="A1178" t="s">
        <v>263</v>
      </c>
      <c r="B1178" t="s">
        <v>283</v>
      </c>
      <c r="C1178" t="str">
        <f>"12628850000000"</f>
        <v>12628850000000</v>
      </c>
      <c r="D1178" t="s">
        <v>283</v>
      </c>
      <c r="E1178" t="str">
        <f>"12628856007942"</f>
        <v>12628856007942</v>
      </c>
      <c r="F1178" s="8">
        <v>1180</v>
      </c>
      <c r="G1178" s="8">
        <v>8700</v>
      </c>
      <c r="H1178" s="8">
        <v>32</v>
      </c>
      <c r="I1178" s="8">
        <v>1201</v>
      </c>
    </row>
    <row r="1179" spans="1:9" x14ac:dyDescent="0.2">
      <c r="A1179" t="s">
        <v>263</v>
      </c>
      <c r="B1179" t="s">
        <v>284</v>
      </c>
      <c r="C1179" t="str">
        <f>"12628930000000"</f>
        <v>12628930000000</v>
      </c>
      <c r="D1179" t="s">
        <v>3109</v>
      </c>
      <c r="E1179" t="str">
        <f>"12628936007959"</f>
        <v>12628936007959</v>
      </c>
      <c r="F1179" s="8">
        <v>719</v>
      </c>
      <c r="G1179" s="8">
        <v>7170</v>
      </c>
      <c r="H1179" s="8">
        <v>207</v>
      </c>
      <c r="I1179" s="8">
        <v>1048</v>
      </c>
    </row>
    <row r="1180" spans="1:9" x14ac:dyDescent="0.2">
      <c r="A1180" t="s">
        <v>263</v>
      </c>
      <c r="B1180" t="s">
        <v>285</v>
      </c>
      <c r="C1180" t="str">
        <f t="shared" ref="C1180:C1186" si="62">"12629010000000"</f>
        <v>12629010000000</v>
      </c>
      <c r="D1180" t="s">
        <v>3110</v>
      </c>
      <c r="E1180" t="str">
        <f>"12629016008007"</f>
        <v>12629016008007</v>
      </c>
      <c r="F1180" s="8">
        <v>11718</v>
      </c>
      <c r="G1180" s="8">
        <v>11643</v>
      </c>
      <c r="H1180" s="8">
        <v>3829</v>
      </c>
      <c r="I1180" s="8">
        <v>1635</v>
      </c>
    </row>
    <row r="1181" spans="1:9" x14ac:dyDescent="0.2">
      <c r="A1181" t="s">
        <v>263</v>
      </c>
      <c r="B1181" t="s">
        <v>285</v>
      </c>
      <c r="C1181" t="str">
        <f t="shared" si="62"/>
        <v>12629010000000</v>
      </c>
      <c r="D1181" t="s">
        <v>3111</v>
      </c>
      <c r="E1181" t="str">
        <f>"12629011234004"</f>
        <v>12629011234004</v>
      </c>
      <c r="F1181" s="8">
        <v>8135</v>
      </c>
      <c r="G1181" s="8">
        <v>1475</v>
      </c>
      <c r="H1181" s="8">
        <v>3829</v>
      </c>
      <c r="I1181" s="8">
        <v>1635</v>
      </c>
    </row>
    <row r="1182" spans="1:9" x14ac:dyDescent="0.2">
      <c r="A1182" t="s">
        <v>263</v>
      </c>
      <c r="B1182" t="s">
        <v>285</v>
      </c>
      <c r="C1182" t="str">
        <f t="shared" si="62"/>
        <v>12629010000000</v>
      </c>
      <c r="D1182" t="s">
        <v>3112</v>
      </c>
      <c r="E1182" t="str">
        <f>"12629016007991"</f>
        <v>12629016007991</v>
      </c>
      <c r="F1182" s="8">
        <v>6646</v>
      </c>
      <c r="G1182" s="8">
        <v>2512</v>
      </c>
      <c r="H1182" s="8">
        <v>3829</v>
      </c>
      <c r="I1182" s="8">
        <v>1635</v>
      </c>
    </row>
    <row r="1183" spans="1:9" x14ac:dyDescent="0.2">
      <c r="A1183" t="s">
        <v>263</v>
      </c>
      <c r="B1183" t="s">
        <v>285</v>
      </c>
      <c r="C1183" t="str">
        <f t="shared" si="62"/>
        <v>12629010000000</v>
      </c>
      <c r="D1183" t="s">
        <v>3113</v>
      </c>
      <c r="E1183" t="str">
        <f>"12629011230028"</f>
        <v>12629011230028</v>
      </c>
      <c r="F1183" s="8">
        <v>6382</v>
      </c>
      <c r="G1183" s="8">
        <v>115</v>
      </c>
      <c r="H1183" s="8">
        <v>3829</v>
      </c>
      <c r="I1183" s="8">
        <v>1635</v>
      </c>
    </row>
    <row r="1184" spans="1:9" x14ac:dyDescent="0.2">
      <c r="A1184" t="s">
        <v>263</v>
      </c>
      <c r="B1184" t="s">
        <v>285</v>
      </c>
      <c r="C1184" t="str">
        <f t="shared" si="62"/>
        <v>12629010000000</v>
      </c>
      <c r="D1184" t="s">
        <v>3114</v>
      </c>
      <c r="E1184" t="str">
        <f>"12629016007967"</f>
        <v>12629016007967</v>
      </c>
      <c r="F1184" s="8">
        <v>4487</v>
      </c>
      <c r="G1184" s="8">
        <v>1406</v>
      </c>
      <c r="H1184" s="8">
        <v>3829</v>
      </c>
      <c r="I1184" s="8">
        <v>1635</v>
      </c>
    </row>
    <row r="1185" spans="1:9" x14ac:dyDescent="0.2">
      <c r="A1185" t="s">
        <v>263</v>
      </c>
      <c r="B1185" t="s">
        <v>285</v>
      </c>
      <c r="C1185" t="str">
        <f t="shared" si="62"/>
        <v>12629010000000</v>
      </c>
      <c r="D1185" t="s">
        <v>3115</v>
      </c>
      <c r="E1185" t="str">
        <f>"12629016007975"</f>
        <v>12629016007975</v>
      </c>
      <c r="F1185" s="8">
        <v>3016</v>
      </c>
      <c r="G1185" s="8">
        <v>968</v>
      </c>
      <c r="H1185" s="8">
        <v>3829</v>
      </c>
      <c r="I1185" s="8">
        <v>1635</v>
      </c>
    </row>
    <row r="1186" spans="1:9" x14ac:dyDescent="0.2">
      <c r="A1186" t="s">
        <v>263</v>
      </c>
      <c r="B1186" t="s">
        <v>285</v>
      </c>
      <c r="C1186" t="str">
        <f t="shared" si="62"/>
        <v>12629010000000</v>
      </c>
      <c r="D1186" t="s">
        <v>3116</v>
      </c>
      <c r="E1186" t="str">
        <f>"12629016007983"</f>
        <v>12629016007983</v>
      </c>
      <c r="F1186" s="8">
        <v>2913</v>
      </c>
      <c r="G1186" s="8">
        <v>237</v>
      </c>
      <c r="H1186" s="8">
        <v>3829</v>
      </c>
      <c r="I1186" s="8">
        <v>1635</v>
      </c>
    </row>
    <row r="1187" spans="1:9" x14ac:dyDescent="0.2">
      <c r="A1187" t="s">
        <v>263</v>
      </c>
      <c r="B1187" t="s">
        <v>286</v>
      </c>
      <c r="C1187" t="str">
        <f>"12629190000000"</f>
        <v>12629190000000</v>
      </c>
      <c r="D1187" t="s">
        <v>286</v>
      </c>
      <c r="E1187" t="str">
        <f>"12629196008015"</f>
        <v>12629196008015</v>
      </c>
      <c r="F1187" s="8">
        <v>1783</v>
      </c>
      <c r="G1187" s="8">
        <v>9786</v>
      </c>
      <c r="H1187" s="8">
        <v>0</v>
      </c>
      <c r="I1187" s="8">
        <v>2577</v>
      </c>
    </row>
    <row r="1188" spans="1:9" x14ac:dyDescent="0.2">
      <c r="A1188" t="s">
        <v>263</v>
      </c>
      <c r="B1188" t="s">
        <v>288</v>
      </c>
      <c r="C1188" t="str">
        <f>"12629270000000"</f>
        <v>12629270000000</v>
      </c>
      <c r="D1188" t="s">
        <v>3117</v>
      </c>
      <c r="E1188" t="str">
        <f>"12629276008023"</f>
        <v>12629276008023</v>
      </c>
      <c r="F1188" s="8" t="s">
        <v>30</v>
      </c>
      <c r="G1188" s="8" t="s">
        <v>30</v>
      </c>
      <c r="H1188" s="8" t="s">
        <v>30</v>
      </c>
      <c r="I1188" s="8" t="s">
        <v>30</v>
      </c>
    </row>
    <row r="1189" spans="1:9" x14ac:dyDescent="0.2">
      <c r="A1189" t="s">
        <v>263</v>
      </c>
      <c r="B1189" t="s">
        <v>289</v>
      </c>
      <c r="C1189" t="str">
        <f>"12629350000000"</f>
        <v>12629350000000</v>
      </c>
      <c r="D1189" t="s">
        <v>289</v>
      </c>
      <c r="E1189" t="str">
        <f>"12629356008031"</f>
        <v>12629356008031</v>
      </c>
      <c r="F1189" s="8">
        <v>3389</v>
      </c>
      <c r="G1189" s="8">
        <v>20049</v>
      </c>
      <c r="H1189" s="8">
        <v>0</v>
      </c>
      <c r="I1189" s="8">
        <v>7432</v>
      </c>
    </row>
    <row r="1190" spans="1:9" x14ac:dyDescent="0.2">
      <c r="A1190" t="s">
        <v>263</v>
      </c>
      <c r="B1190" t="s">
        <v>290</v>
      </c>
      <c r="C1190" t="str">
        <f>"12753820000000"</f>
        <v>12753820000000</v>
      </c>
      <c r="D1190" t="s">
        <v>3118</v>
      </c>
      <c r="E1190" t="str">
        <f>"12753826008049"</f>
        <v>12753826008049</v>
      </c>
      <c r="F1190" s="8">
        <v>2313</v>
      </c>
      <c r="G1190" s="8">
        <v>8914</v>
      </c>
      <c r="H1190" s="8">
        <v>20606</v>
      </c>
      <c r="I1190" s="8">
        <v>329545</v>
      </c>
    </row>
    <row r="1191" spans="1:9" x14ac:dyDescent="0.2">
      <c r="A1191" t="s">
        <v>263</v>
      </c>
      <c r="B1191" t="s">
        <v>290</v>
      </c>
      <c r="C1191" t="str">
        <f>"12753820000000"</f>
        <v>12753820000000</v>
      </c>
      <c r="D1191" t="s">
        <v>3119</v>
      </c>
      <c r="E1191" t="str">
        <f>"12753821230085"</f>
        <v>12753821230085</v>
      </c>
      <c r="F1191" s="8">
        <v>23</v>
      </c>
      <c r="G1191" s="8">
        <v>17521</v>
      </c>
      <c r="H1191" s="8">
        <v>10303</v>
      </c>
      <c r="I1191" s="8">
        <v>164772</v>
      </c>
    </row>
    <row r="1192" spans="1:9" x14ac:dyDescent="0.2">
      <c r="A1192" t="s">
        <v>263</v>
      </c>
      <c r="B1192" t="s">
        <v>290</v>
      </c>
      <c r="C1192" t="str">
        <f>"12753820000000"</f>
        <v>12753820000000</v>
      </c>
      <c r="D1192" t="s">
        <v>3120</v>
      </c>
      <c r="E1192" t="str">
        <f>"12753826107874"</f>
        <v>12753826107874</v>
      </c>
      <c r="F1192" s="8">
        <v>78</v>
      </c>
      <c r="G1192" s="8">
        <v>13040</v>
      </c>
      <c r="H1192" s="8">
        <v>4618</v>
      </c>
      <c r="I1192" s="8">
        <v>73863</v>
      </c>
    </row>
    <row r="1193" spans="1:9" x14ac:dyDescent="0.2">
      <c r="A1193" t="s">
        <v>263</v>
      </c>
      <c r="B1193" t="s">
        <v>291</v>
      </c>
      <c r="C1193" t="str">
        <f>"12629500000000"</f>
        <v>12629500000000</v>
      </c>
      <c r="D1193" t="s">
        <v>3121</v>
      </c>
      <c r="E1193" t="str">
        <f>"12629506008056"</f>
        <v>12629506008056</v>
      </c>
      <c r="F1193" s="8">
        <v>826</v>
      </c>
      <c r="G1193" s="8">
        <v>8506</v>
      </c>
      <c r="H1193" s="8">
        <v>1882</v>
      </c>
      <c r="I1193" s="8">
        <v>2980</v>
      </c>
    </row>
    <row r="1194" spans="1:9" x14ac:dyDescent="0.2">
      <c r="A1194" t="s">
        <v>263</v>
      </c>
      <c r="B1194" t="s">
        <v>291</v>
      </c>
      <c r="C1194" t="str">
        <f>"12629500000000"</f>
        <v>12629500000000</v>
      </c>
      <c r="D1194" t="s">
        <v>3122</v>
      </c>
      <c r="E1194" t="str">
        <f>"12629506008064"</f>
        <v>12629506008064</v>
      </c>
      <c r="F1194" s="8">
        <v>573</v>
      </c>
      <c r="G1194" s="8">
        <v>7326</v>
      </c>
      <c r="H1194" s="8">
        <v>3070</v>
      </c>
      <c r="I1194" s="8">
        <v>1878</v>
      </c>
    </row>
    <row r="1195" spans="1:9" x14ac:dyDescent="0.2">
      <c r="A1195" t="s">
        <v>263</v>
      </c>
      <c r="B1195" t="s">
        <v>291</v>
      </c>
      <c r="C1195" t="str">
        <f>"12629500000000"</f>
        <v>12629500000000</v>
      </c>
      <c r="D1195" t="s">
        <v>3123</v>
      </c>
      <c r="E1195" t="str">
        <f>"12629506008072"</f>
        <v>12629506008072</v>
      </c>
      <c r="F1195" s="8">
        <v>580</v>
      </c>
      <c r="G1195" s="8">
        <v>6881</v>
      </c>
      <c r="H1195" s="8">
        <v>1878</v>
      </c>
      <c r="I1195" s="8">
        <v>2894</v>
      </c>
    </row>
    <row r="1196" spans="1:9" x14ac:dyDescent="0.2">
      <c r="A1196" t="s">
        <v>263</v>
      </c>
      <c r="B1196" t="s">
        <v>293</v>
      </c>
      <c r="C1196" t="str">
        <f>"12626870000000"</f>
        <v>12626870000000</v>
      </c>
      <c r="D1196" t="s">
        <v>3124</v>
      </c>
      <c r="E1196" t="str">
        <f>"12626871230051"</f>
        <v>12626871230051</v>
      </c>
      <c r="F1196" s="8">
        <v>190</v>
      </c>
      <c r="G1196" s="8">
        <v>12452</v>
      </c>
      <c r="H1196" s="8">
        <v>1268</v>
      </c>
      <c r="I1196" s="8">
        <v>3347</v>
      </c>
    </row>
    <row r="1197" spans="1:9" x14ac:dyDescent="0.2">
      <c r="A1197" t="s">
        <v>263</v>
      </c>
      <c r="B1197" t="s">
        <v>293</v>
      </c>
      <c r="C1197" t="str">
        <f>"12626870000000"</f>
        <v>12626870000000</v>
      </c>
      <c r="D1197" t="s">
        <v>3125</v>
      </c>
      <c r="E1197" t="str">
        <f>"12626871235209"</f>
        <v>12626871235209</v>
      </c>
      <c r="F1197" s="8">
        <v>753</v>
      </c>
      <c r="G1197" s="8">
        <v>9486</v>
      </c>
      <c r="H1197" s="8">
        <v>1268</v>
      </c>
      <c r="I1197" s="8">
        <v>3347</v>
      </c>
    </row>
    <row r="1198" spans="1:9" x14ac:dyDescent="0.2">
      <c r="A1198" t="s">
        <v>263</v>
      </c>
      <c r="B1198" t="s">
        <v>293</v>
      </c>
      <c r="C1198" t="str">
        <f>"12626870000000"</f>
        <v>12626870000000</v>
      </c>
      <c r="D1198" t="s">
        <v>3126</v>
      </c>
      <c r="E1198" t="str">
        <f>"12626870107110"</f>
        <v>12626870107110</v>
      </c>
      <c r="F1198" s="8">
        <v>620</v>
      </c>
      <c r="G1198" s="8">
        <v>7797</v>
      </c>
      <c r="H1198" s="8">
        <v>1268</v>
      </c>
      <c r="I1198" s="8">
        <v>3347</v>
      </c>
    </row>
    <row r="1199" spans="1:9" x14ac:dyDescent="0.2">
      <c r="A1199" t="s">
        <v>263</v>
      </c>
      <c r="B1199" t="s">
        <v>293</v>
      </c>
      <c r="C1199" t="str">
        <f>"12626870000000"</f>
        <v>12626870000000</v>
      </c>
      <c r="D1199" t="s">
        <v>3127</v>
      </c>
      <c r="E1199" t="str">
        <f>"12626871230705"</f>
        <v>12626871230705</v>
      </c>
      <c r="F1199" s="8">
        <v>475</v>
      </c>
      <c r="G1199" s="8">
        <v>7770</v>
      </c>
      <c r="H1199" s="8">
        <v>1268</v>
      </c>
      <c r="I1199" s="8">
        <v>3347</v>
      </c>
    </row>
    <row r="1200" spans="1:9" x14ac:dyDescent="0.2">
      <c r="A1200" t="s">
        <v>263</v>
      </c>
      <c r="B1200" t="s">
        <v>293</v>
      </c>
      <c r="C1200" t="str">
        <f>"12626870000000"</f>
        <v>12626870000000</v>
      </c>
      <c r="D1200" t="s">
        <v>3128</v>
      </c>
      <c r="E1200" t="str">
        <f>"12626871230044"</f>
        <v>12626871230044</v>
      </c>
      <c r="F1200" s="8">
        <v>53</v>
      </c>
      <c r="G1200" s="8">
        <v>5812</v>
      </c>
      <c r="H1200" s="8">
        <v>1268</v>
      </c>
      <c r="I1200" s="8">
        <v>3347</v>
      </c>
    </row>
    <row r="1201" spans="1:9" x14ac:dyDescent="0.2">
      <c r="A1201" t="s">
        <v>263</v>
      </c>
      <c r="B1201" t="s">
        <v>295</v>
      </c>
      <c r="C1201" t="str">
        <f>"12629680000000"</f>
        <v>12629680000000</v>
      </c>
      <c r="D1201" t="s">
        <v>295</v>
      </c>
      <c r="E1201" t="str">
        <f>"12629686008080"</f>
        <v>12629686008080</v>
      </c>
      <c r="F1201" s="8">
        <v>4264</v>
      </c>
      <c r="G1201" s="8">
        <v>15324</v>
      </c>
      <c r="H1201" s="8">
        <v>0</v>
      </c>
      <c r="I1201" s="8">
        <v>6676</v>
      </c>
    </row>
    <row r="1202" spans="1:9" x14ac:dyDescent="0.2">
      <c r="A1202" t="s">
        <v>263</v>
      </c>
      <c r="B1202" t="s">
        <v>234</v>
      </c>
      <c r="C1202" t="str">
        <f>"12629760000000"</f>
        <v>12629760000000</v>
      </c>
      <c r="D1202" t="s">
        <v>3129</v>
      </c>
      <c r="E1202" t="str">
        <f>"12629760115154"</f>
        <v>12629760115154</v>
      </c>
      <c r="F1202" s="8">
        <v>2119</v>
      </c>
      <c r="G1202" s="8">
        <v>10291</v>
      </c>
      <c r="H1202" s="8">
        <v>299</v>
      </c>
      <c r="I1202" s="8">
        <v>728</v>
      </c>
    </row>
    <row r="1203" spans="1:9" x14ac:dyDescent="0.2">
      <c r="A1203" t="s">
        <v>263</v>
      </c>
      <c r="B1203" t="s">
        <v>234</v>
      </c>
      <c r="C1203" t="str">
        <f>"12629760000000"</f>
        <v>12629760000000</v>
      </c>
      <c r="D1203" t="s">
        <v>234</v>
      </c>
      <c r="E1203" t="str">
        <f>"12629766008098"</f>
        <v>12629766008098</v>
      </c>
      <c r="F1203" s="8">
        <v>1254</v>
      </c>
      <c r="G1203" s="8">
        <v>8201</v>
      </c>
      <c r="H1203" s="8">
        <v>299</v>
      </c>
      <c r="I1203" s="8">
        <v>728</v>
      </c>
    </row>
    <row r="1204" spans="1:9" x14ac:dyDescent="0.2">
      <c r="A1204" t="s">
        <v>263</v>
      </c>
      <c r="B1204" t="s">
        <v>297</v>
      </c>
      <c r="C1204" t="str">
        <f>"12629840000000"</f>
        <v>12629840000000</v>
      </c>
      <c r="D1204" t="s">
        <v>297</v>
      </c>
      <c r="E1204" t="str">
        <f>"12629846008106"</f>
        <v>12629846008106</v>
      </c>
      <c r="F1204" s="8">
        <v>7868</v>
      </c>
      <c r="G1204" s="8">
        <v>19512</v>
      </c>
      <c r="H1204" s="8">
        <v>523</v>
      </c>
      <c r="I1204" s="8">
        <v>872</v>
      </c>
    </row>
    <row r="1205" spans="1:9" x14ac:dyDescent="0.2">
      <c r="A1205" t="s">
        <v>263</v>
      </c>
      <c r="B1205" t="s">
        <v>300</v>
      </c>
      <c r="C1205" t="str">
        <f>"12630080000000"</f>
        <v>12630080000000</v>
      </c>
      <c r="D1205" t="s">
        <v>3130</v>
      </c>
      <c r="E1205" t="str">
        <f>"12630086008114"</f>
        <v>12630086008114</v>
      </c>
      <c r="F1205" s="8">
        <v>42</v>
      </c>
      <c r="G1205" s="8">
        <v>6995</v>
      </c>
      <c r="H1205" s="8">
        <v>2308</v>
      </c>
      <c r="I1205" s="8">
        <v>3581</v>
      </c>
    </row>
    <row r="1206" spans="1:9" x14ac:dyDescent="0.2">
      <c r="A1206" t="s">
        <v>263</v>
      </c>
      <c r="B1206" t="s">
        <v>300</v>
      </c>
      <c r="C1206" t="str">
        <f>"12630080000000"</f>
        <v>12630080000000</v>
      </c>
      <c r="D1206" t="s">
        <v>3131</v>
      </c>
      <c r="E1206" t="str">
        <f>"12630086008122"</f>
        <v>12630086008122</v>
      </c>
      <c r="F1206" s="8">
        <v>0</v>
      </c>
      <c r="G1206" s="8">
        <v>4233</v>
      </c>
      <c r="H1206" s="8">
        <v>2308</v>
      </c>
      <c r="I1206" s="8">
        <v>3581</v>
      </c>
    </row>
    <row r="1207" spans="1:9" x14ac:dyDescent="0.2">
      <c r="A1207" t="s">
        <v>263</v>
      </c>
      <c r="B1207" t="s">
        <v>301</v>
      </c>
      <c r="C1207" t="str">
        <f>"12630240000000"</f>
        <v>12630240000000</v>
      </c>
      <c r="D1207" t="s">
        <v>3132</v>
      </c>
      <c r="E1207" t="str">
        <f>"12630246008155"</f>
        <v>12630246008155</v>
      </c>
      <c r="F1207" s="8">
        <v>1703</v>
      </c>
      <c r="G1207" s="8">
        <v>10332</v>
      </c>
      <c r="H1207" s="8">
        <v>0</v>
      </c>
      <c r="I1207" s="8">
        <v>0</v>
      </c>
    </row>
    <row r="1208" spans="1:9" x14ac:dyDescent="0.2">
      <c r="A1208" t="s">
        <v>263</v>
      </c>
      <c r="B1208" t="s">
        <v>302</v>
      </c>
      <c r="C1208" t="str">
        <f>"12630320000000"</f>
        <v>12630320000000</v>
      </c>
      <c r="D1208" t="s">
        <v>3133</v>
      </c>
      <c r="E1208" t="str">
        <f>"12630326008171"</f>
        <v>12630326008171</v>
      </c>
      <c r="F1208" s="8">
        <v>2372</v>
      </c>
      <c r="G1208" s="8">
        <v>7043</v>
      </c>
      <c r="H1208" s="8">
        <v>962</v>
      </c>
      <c r="I1208" s="8">
        <v>1829</v>
      </c>
    </row>
    <row r="1209" spans="1:9" x14ac:dyDescent="0.2">
      <c r="A1209" t="s">
        <v>263</v>
      </c>
      <c r="B1209" t="s">
        <v>302</v>
      </c>
      <c r="C1209" t="str">
        <f>"12630320000000"</f>
        <v>12630320000000</v>
      </c>
      <c r="D1209" t="s">
        <v>3134</v>
      </c>
      <c r="E1209" t="str">
        <f>"12630326008163"</f>
        <v>12630326008163</v>
      </c>
      <c r="F1209" s="8">
        <v>1911</v>
      </c>
      <c r="G1209" s="8">
        <v>7444</v>
      </c>
      <c r="H1209" s="8">
        <v>962</v>
      </c>
      <c r="I1209" s="8">
        <v>1829</v>
      </c>
    </row>
    <row r="1210" spans="1:9" x14ac:dyDescent="0.2">
      <c r="A1210" t="s">
        <v>263</v>
      </c>
      <c r="B1210" t="s">
        <v>302</v>
      </c>
      <c r="C1210" t="str">
        <f>"12630320000000"</f>
        <v>12630320000000</v>
      </c>
      <c r="D1210" t="s">
        <v>3135</v>
      </c>
      <c r="E1210" t="str">
        <f>"12630320124289"</f>
        <v>12630320124289</v>
      </c>
      <c r="F1210" s="8">
        <v>43</v>
      </c>
      <c r="G1210" s="8">
        <v>6675</v>
      </c>
      <c r="H1210" s="8">
        <v>962</v>
      </c>
      <c r="I1210" s="8">
        <v>1829</v>
      </c>
    </row>
    <row r="1211" spans="1:9" x14ac:dyDescent="0.2">
      <c r="A1211" t="s">
        <v>263</v>
      </c>
      <c r="B1211" t="s">
        <v>303</v>
      </c>
      <c r="C1211" t="str">
        <f t="shared" ref="C1211:C1218" si="63">"12630400000000"</f>
        <v>12630400000000</v>
      </c>
      <c r="D1211" t="s">
        <v>3136</v>
      </c>
      <c r="E1211" t="str">
        <f>"12630400140376"</f>
        <v>12630400140376</v>
      </c>
      <c r="F1211" s="8">
        <v>15608</v>
      </c>
      <c r="G1211" s="8">
        <v>12462</v>
      </c>
      <c r="H1211" s="8">
        <v>1406</v>
      </c>
      <c r="I1211" s="8">
        <v>5826</v>
      </c>
    </row>
    <row r="1212" spans="1:9" x14ac:dyDescent="0.2">
      <c r="A1212" t="s">
        <v>263</v>
      </c>
      <c r="B1212" t="s">
        <v>303</v>
      </c>
      <c r="C1212" t="str">
        <f t="shared" si="63"/>
        <v>12630400000000</v>
      </c>
      <c r="D1212" t="s">
        <v>3137</v>
      </c>
      <c r="E1212" t="str">
        <f>"12630401230010"</f>
        <v>12630401230010</v>
      </c>
      <c r="F1212" s="8">
        <v>397</v>
      </c>
      <c r="G1212" s="8">
        <v>18419</v>
      </c>
      <c r="H1212" s="8">
        <v>1406</v>
      </c>
      <c r="I1212" s="8">
        <v>5826</v>
      </c>
    </row>
    <row r="1213" spans="1:9" x14ac:dyDescent="0.2">
      <c r="A1213" t="s">
        <v>263</v>
      </c>
      <c r="B1213" t="s">
        <v>303</v>
      </c>
      <c r="C1213" t="str">
        <f t="shared" si="63"/>
        <v>12630400000000</v>
      </c>
      <c r="D1213" t="s">
        <v>3138</v>
      </c>
      <c r="E1213" t="str">
        <f>"12630401230069"</f>
        <v>12630401230069</v>
      </c>
      <c r="F1213" s="8">
        <v>397</v>
      </c>
      <c r="G1213" s="8">
        <v>18419</v>
      </c>
      <c r="H1213" s="8">
        <v>1406</v>
      </c>
      <c r="I1213" s="8">
        <v>5826</v>
      </c>
    </row>
    <row r="1214" spans="1:9" x14ac:dyDescent="0.2">
      <c r="A1214" t="s">
        <v>263</v>
      </c>
      <c r="B1214" t="s">
        <v>303</v>
      </c>
      <c r="C1214" t="str">
        <f t="shared" si="63"/>
        <v>12630400000000</v>
      </c>
      <c r="D1214" t="s">
        <v>3139</v>
      </c>
      <c r="E1214" t="str">
        <f>"12630406008239"</f>
        <v>12630406008239</v>
      </c>
      <c r="F1214" s="8">
        <v>4339</v>
      </c>
      <c r="G1214" s="8">
        <v>9152</v>
      </c>
      <c r="H1214" s="8">
        <v>1406</v>
      </c>
      <c r="I1214" s="8">
        <v>5826</v>
      </c>
    </row>
    <row r="1215" spans="1:9" x14ac:dyDescent="0.2">
      <c r="A1215" t="s">
        <v>263</v>
      </c>
      <c r="B1215" t="s">
        <v>303</v>
      </c>
      <c r="C1215" t="str">
        <f t="shared" si="63"/>
        <v>12630400000000</v>
      </c>
      <c r="D1215" t="s">
        <v>3140</v>
      </c>
      <c r="E1215" t="str">
        <f>"12630406008197"</f>
        <v>12630406008197</v>
      </c>
      <c r="F1215" s="8">
        <v>3867</v>
      </c>
      <c r="G1215" s="8">
        <v>9196</v>
      </c>
      <c r="H1215" s="8">
        <v>1406</v>
      </c>
      <c r="I1215" s="8">
        <v>5826</v>
      </c>
    </row>
    <row r="1216" spans="1:9" x14ac:dyDescent="0.2">
      <c r="A1216" t="s">
        <v>263</v>
      </c>
      <c r="B1216" t="s">
        <v>303</v>
      </c>
      <c r="C1216" t="str">
        <f t="shared" si="63"/>
        <v>12630400000000</v>
      </c>
      <c r="D1216" t="s">
        <v>3141</v>
      </c>
      <c r="E1216" t="str">
        <f>"12630401237007"</f>
        <v>12630401237007</v>
      </c>
      <c r="F1216" s="8">
        <v>903</v>
      </c>
      <c r="G1216" s="8">
        <v>6250</v>
      </c>
      <c r="H1216" s="8">
        <v>1406</v>
      </c>
      <c r="I1216" s="8">
        <v>5826</v>
      </c>
    </row>
    <row r="1217" spans="1:9" x14ac:dyDescent="0.2">
      <c r="A1217" t="s">
        <v>263</v>
      </c>
      <c r="B1217" t="s">
        <v>303</v>
      </c>
      <c r="C1217" t="str">
        <f t="shared" si="63"/>
        <v>12630400000000</v>
      </c>
      <c r="D1217" t="s">
        <v>3142</v>
      </c>
      <c r="E1217" t="str">
        <f>"12630406008213"</f>
        <v>12630406008213</v>
      </c>
      <c r="F1217" s="8">
        <v>448</v>
      </c>
      <c r="G1217" s="8">
        <v>5878</v>
      </c>
      <c r="H1217" s="8">
        <v>1406</v>
      </c>
      <c r="I1217" s="8">
        <v>5826</v>
      </c>
    </row>
    <row r="1218" spans="1:9" x14ac:dyDescent="0.2">
      <c r="A1218" t="s">
        <v>263</v>
      </c>
      <c r="B1218" t="s">
        <v>303</v>
      </c>
      <c r="C1218" t="str">
        <f t="shared" si="63"/>
        <v>12630400000000</v>
      </c>
      <c r="D1218" t="s">
        <v>3143</v>
      </c>
      <c r="E1218" t="str">
        <f>"12630400129114"</f>
        <v>12630400129114</v>
      </c>
      <c r="F1218" s="8">
        <v>317</v>
      </c>
      <c r="G1218" s="8">
        <v>5816</v>
      </c>
      <c r="H1218" s="8">
        <v>1406</v>
      </c>
      <c r="I1218" s="8">
        <v>5826</v>
      </c>
    </row>
    <row r="1219" spans="1:9" x14ac:dyDescent="0.2">
      <c r="A1219" t="s">
        <v>263</v>
      </c>
      <c r="B1219" t="s">
        <v>304</v>
      </c>
      <c r="C1219" t="str">
        <f>"12630570000000"</f>
        <v>12630570000000</v>
      </c>
      <c r="D1219" t="s">
        <v>3144</v>
      </c>
      <c r="E1219" t="str">
        <f>"12630576008247"</f>
        <v>12630576008247</v>
      </c>
      <c r="F1219" s="8">
        <v>2151</v>
      </c>
      <c r="G1219" s="8">
        <v>10304</v>
      </c>
      <c r="H1219" s="8">
        <v>0</v>
      </c>
      <c r="I1219" s="8">
        <v>0</v>
      </c>
    </row>
    <row r="1220" spans="1:9" x14ac:dyDescent="0.2">
      <c r="A1220" t="s">
        <v>306</v>
      </c>
      <c r="B1220" t="s">
        <v>308</v>
      </c>
      <c r="C1220" t="str">
        <f>"13630730000000"</f>
        <v>13630730000000</v>
      </c>
      <c r="D1220" t="s">
        <v>3145</v>
      </c>
      <c r="E1220" t="str">
        <f>"13630736008288"</f>
        <v>13630736008288</v>
      </c>
      <c r="F1220" s="8">
        <v>1645</v>
      </c>
      <c r="G1220" s="8">
        <v>9443</v>
      </c>
      <c r="H1220" s="8">
        <v>2553</v>
      </c>
      <c r="I1220" s="8">
        <v>13140</v>
      </c>
    </row>
    <row r="1221" spans="1:9" x14ac:dyDescent="0.2">
      <c r="A1221" t="s">
        <v>306</v>
      </c>
      <c r="B1221" t="s">
        <v>308</v>
      </c>
      <c r="C1221" t="str">
        <f>"13630730000000"</f>
        <v>13630730000000</v>
      </c>
      <c r="D1221" t="s">
        <v>3146</v>
      </c>
      <c r="E1221" t="str">
        <f>"13630736008296"</f>
        <v>13630736008296</v>
      </c>
      <c r="F1221" s="8">
        <v>1327</v>
      </c>
      <c r="G1221" s="8">
        <v>8749</v>
      </c>
      <c r="H1221" s="8">
        <v>2553</v>
      </c>
      <c r="I1221" s="8">
        <v>13140</v>
      </c>
    </row>
    <row r="1222" spans="1:9" x14ac:dyDescent="0.2">
      <c r="A1222" t="s">
        <v>306</v>
      </c>
      <c r="B1222" t="s">
        <v>308</v>
      </c>
      <c r="C1222" t="str">
        <f>"13630730000000"</f>
        <v>13630730000000</v>
      </c>
      <c r="D1222" t="s">
        <v>3147</v>
      </c>
      <c r="E1222" t="str">
        <f>"13630736008262"</f>
        <v>13630736008262</v>
      </c>
      <c r="F1222" s="8">
        <v>1330</v>
      </c>
      <c r="G1222" s="8">
        <v>8623</v>
      </c>
      <c r="H1222" s="8">
        <v>2553</v>
      </c>
      <c r="I1222" s="8">
        <v>13140</v>
      </c>
    </row>
    <row r="1223" spans="1:9" x14ac:dyDescent="0.2">
      <c r="A1223" t="s">
        <v>306</v>
      </c>
      <c r="B1223" t="s">
        <v>308</v>
      </c>
      <c r="C1223" t="str">
        <f>"13630730000000"</f>
        <v>13630730000000</v>
      </c>
      <c r="D1223" t="s">
        <v>2919</v>
      </c>
      <c r="E1223" t="str">
        <f>"13630736008270"</f>
        <v>13630736008270</v>
      </c>
      <c r="F1223" s="8">
        <v>1231</v>
      </c>
      <c r="G1223" s="8">
        <v>8144</v>
      </c>
      <c r="H1223" s="8">
        <v>2553</v>
      </c>
      <c r="I1223" s="8">
        <v>13140</v>
      </c>
    </row>
    <row r="1224" spans="1:9" x14ac:dyDescent="0.2">
      <c r="A1224" t="s">
        <v>306</v>
      </c>
      <c r="B1224" t="s">
        <v>308</v>
      </c>
      <c r="C1224" t="str">
        <f>"13630730000000"</f>
        <v>13630730000000</v>
      </c>
      <c r="D1224" t="s">
        <v>3148</v>
      </c>
      <c r="E1224" t="str">
        <f>"13630736008304"</f>
        <v>13630736008304</v>
      </c>
      <c r="F1224" s="8">
        <v>1078</v>
      </c>
      <c r="G1224" s="8">
        <v>7914</v>
      </c>
      <c r="H1224" s="8">
        <v>2553</v>
      </c>
      <c r="I1224" s="8">
        <v>13140</v>
      </c>
    </row>
    <row r="1225" spans="1:9" x14ac:dyDescent="0.2">
      <c r="A1225" t="s">
        <v>306</v>
      </c>
      <c r="B1225" t="s">
        <v>309</v>
      </c>
      <c r="C1225" t="str">
        <f>"13630810000000"</f>
        <v>13630810000000</v>
      </c>
      <c r="D1225" t="s">
        <v>3149</v>
      </c>
      <c r="E1225" t="str">
        <f>"13630811331354"</f>
        <v>13630811331354</v>
      </c>
      <c r="F1225" s="8">
        <v>465</v>
      </c>
      <c r="G1225" s="8">
        <v>12872</v>
      </c>
      <c r="H1225" s="8">
        <v>1677</v>
      </c>
      <c r="I1225" s="8">
        <v>4231</v>
      </c>
    </row>
    <row r="1226" spans="1:9" x14ac:dyDescent="0.2">
      <c r="A1226" t="s">
        <v>306</v>
      </c>
      <c r="B1226" t="s">
        <v>309</v>
      </c>
      <c r="C1226" t="str">
        <f>"13630810000000"</f>
        <v>13630810000000</v>
      </c>
      <c r="D1226" t="s">
        <v>3150</v>
      </c>
      <c r="E1226" t="str">
        <f>"13630811330141"</f>
        <v>13630811330141</v>
      </c>
      <c r="F1226" s="8">
        <v>535</v>
      </c>
      <c r="G1226" s="8">
        <v>13623</v>
      </c>
      <c r="H1226" s="8">
        <v>1015</v>
      </c>
      <c r="I1226" s="8">
        <v>2560</v>
      </c>
    </row>
    <row r="1227" spans="1:9" x14ac:dyDescent="0.2">
      <c r="A1227" t="s">
        <v>306</v>
      </c>
      <c r="B1227" t="s">
        <v>309</v>
      </c>
      <c r="C1227" t="str">
        <f>"13630810000000"</f>
        <v>13630810000000</v>
      </c>
      <c r="D1227" t="s">
        <v>309</v>
      </c>
      <c r="E1227" t="str">
        <f>"13630811331404"</f>
        <v>13630811331404</v>
      </c>
      <c r="F1227" s="8">
        <v>718</v>
      </c>
      <c r="G1227" s="8">
        <v>7444</v>
      </c>
      <c r="H1227" s="8">
        <v>1426</v>
      </c>
      <c r="I1227" s="8">
        <v>3596</v>
      </c>
    </row>
    <row r="1228" spans="1:9" x14ac:dyDescent="0.2">
      <c r="A1228" t="s">
        <v>306</v>
      </c>
      <c r="B1228" t="s">
        <v>310</v>
      </c>
      <c r="C1228" t="str">
        <f t="shared" ref="C1228:C1239" si="64">"13630990000000"</f>
        <v>13630990000000</v>
      </c>
      <c r="D1228" t="s">
        <v>3151</v>
      </c>
      <c r="E1228" t="str">
        <f>"13630990118364"</f>
        <v>13630990118364</v>
      </c>
      <c r="F1228" s="8">
        <v>304</v>
      </c>
      <c r="G1228" s="8">
        <v>63154</v>
      </c>
      <c r="H1228" s="8">
        <v>2639</v>
      </c>
      <c r="I1228" s="8">
        <v>5062</v>
      </c>
    </row>
    <row r="1229" spans="1:9" x14ac:dyDescent="0.2">
      <c r="A1229" t="s">
        <v>306</v>
      </c>
      <c r="B1229" t="s">
        <v>310</v>
      </c>
      <c r="C1229" t="str">
        <f t="shared" si="64"/>
        <v>13630990000000</v>
      </c>
      <c r="D1229" t="s">
        <v>3152</v>
      </c>
      <c r="E1229" t="str">
        <f>"13630991332154"</f>
        <v>13630991332154</v>
      </c>
      <c r="F1229" s="8">
        <v>1451</v>
      </c>
      <c r="G1229" s="8">
        <v>17602</v>
      </c>
      <c r="H1229" s="8">
        <v>2639</v>
      </c>
      <c r="I1229" s="8">
        <v>5064</v>
      </c>
    </row>
    <row r="1230" spans="1:9" x14ac:dyDescent="0.2">
      <c r="A1230" t="s">
        <v>306</v>
      </c>
      <c r="B1230" t="s">
        <v>310</v>
      </c>
      <c r="C1230" t="str">
        <f t="shared" si="64"/>
        <v>13630990000000</v>
      </c>
      <c r="D1230" t="s">
        <v>3153</v>
      </c>
      <c r="E1230" t="str">
        <f>"13630996111587"</f>
        <v>13630996111587</v>
      </c>
      <c r="F1230" s="8">
        <v>596</v>
      </c>
      <c r="G1230" s="8">
        <v>8728</v>
      </c>
      <c r="H1230" s="8">
        <v>2639</v>
      </c>
      <c r="I1230" s="8">
        <v>5063</v>
      </c>
    </row>
    <row r="1231" spans="1:9" x14ac:dyDescent="0.2">
      <c r="A1231" t="s">
        <v>306</v>
      </c>
      <c r="B1231" t="s">
        <v>310</v>
      </c>
      <c r="C1231" t="str">
        <f t="shared" si="64"/>
        <v>13630990000000</v>
      </c>
      <c r="D1231" t="s">
        <v>3154</v>
      </c>
      <c r="E1231" t="str">
        <f>"13630990112318"</f>
        <v>13630990112318</v>
      </c>
      <c r="F1231" s="8">
        <v>394</v>
      </c>
      <c r="G1231" s="8">
        <v>7462</v>
      </c>
      <c r="H1231" s="8">
        <v>2639</v>
      </c>
      <c r="I1231" s="8">
        <v>5063</v>
      </c>
    </row>
    <row r="1232" spans="1:9" x14ac:dyDescent="0.2">
      <c r="A1232" t="s">
        <v>306</v>
      </c>
      <c r="B1232" t="s">
        <v>310</v>
      </c>
      <c r="C1232" t="str">
        <f t="shared" si="64"/>
        <v>13630990000000</v>
      </c>
      <c r="D1232" t="s">
        <v>3155</v>
      </c>
      <c r="E1232" t="str">
        <f>"13630991332204"</f>
        <v>13630991332204</v>
      </c>
      <c r="F1232" s="8">
        <v>365</v>
      </c>
      <c r="G1232" s="8">
        <v>6971</v>
      </c>
      <c r="H1232" s="8">
        <v>2639</v>
      </c>
      <c r="I1232" s="8">
        <v>5063</v>
      </c>
    </row>
    <row r="1233" spans="1:9" x14ac:dyDescent="0.2">
      <c r="A1233" t="s">
        <v>306</v>
      </c>
      <c r="B1233" t="s">
        <v>310</v>
      </c>
      <c r="C1233" t="str">
        <f t="shared" si="64"/>
        <v>13630990000000</v>
      </c>
      <c r="D1233" t="s">
        <v>3156</v>
      </c>
      <c r="E1233" t="str">
        <f>"13630996008387"</f>
        <v>13630996008387</v>
      </c>
      <c r="F1233" s="8">
        <v>583</v>
      </c>
      <c r="G1233" s="8">
        <v>6746</v>
      </c>
      <c r="H1233" s="8">
        <v>2639</v>
      </c>
      <c r="I1233" s="8">
        <v>5063</v>
      </c>
    </row>
    <row r="1234" spans="1:9" x14ac:dyDescent="0.2">
      <c r="A1234" t="s">
        <v>306</v>
      </c>
      <c r="B1234" t="s">
        <v>310</v>
      </c>
      <c r="C1234" t="str">
        <f t="shared" si="64"/>
        <v>13630990000000</v>
      </c>
      <c r="D1234" t="s">
        <v>3157</v>
      </c>
      <c r="E1234" t="str">
        <f>"13630996106975"</f>
        <v>13630996106975</v>
      </c>
      <c r="F1234" s="8">
        <v>579</v>
      </c>
      <c r="G1234" s="8">
        <v>6546</v>
      </c>
      <c r="H1234" s="8">
        <v>2639</v>
      </c>
      <c r="I1234" s="8">
        <v>5063</v>
      </c>
    </row>
    <row r="1235" spans="1:9" x14ac:dyDescent="0.2">
      <c r="A1235" t="s">
        <v>306</v>
      </c>
      <c r="B1235" t="s">
        <v>310</v>
      </c>
      <c r="C1235" t="str">
        <f t="shared" si="64"/>
        <v>13630990000000</v>
      </c>
      <c r="D1235" t="s">
        <v>3158</v>
      </c>
      <c r="E1235" t="str">
        <f>"13630990113985"</f>
        <v>13630990113985</v>
      </c>
      <c r="F1235" s="8">
        <v>459</v>
      </c>
      <c r="G1235" s="8">
        <v>6483</v>
      </c>
      <c r="H1235" s="8">
        <v>2639</v>
      </c>
      <c r="I1235" s="8">
        <v>5062</v>
      </c>
    </row>
    <row r="1236" spans="1:9" x14ac:dyDescent="0.2">
      <c r="A1236" t="s">
        <v>306</v>
      </c>
      <c r="B1236" t="s">
        <v>310</v>
      </c>
      <c r="C1236" t="str">
        <f t="shared" si="64"/>
        <v>13630990000000</v>
      </c>
      <c r="D1236" t="s">
        <v>3159</v>
      </c>
      <c r="E1236" t="str">
        <f>"13630996099485"</f>
        <v>13630996099485</v>
      </c>
      <c r="F1236" s="8">
        <v>412</v>
      </c>
      <c r="G1236" s="8">
        <v>6525</v>
      </c>
      <c r="H1236" s="8">
        <v>2639</v>
      </c>
      <c r="I1236" s="8">
        <v>5063</v>
      </c>
    </row>
    <row r="1237" spans="1:9" x14ac:dyDescent="0.2">
      <c r="A1237" t="s">
        <v>306</v>
      </c>
      <c r="B1237" t="s">
        <v>310</v>
      </c>
      <c r="C1237" t="str">
        <f t="shared" si="64"/>
        <v>13630990000000</v>
      </c>
      <c r="D1237" t="s">
        <v>3160</v>
      </c>
      <c r="E1237" t="str">
        <f>"13630996008346"</f>
        <v>13630996008346</v>
      </c>
      <c r="F1237" s="8">
        <v>653</v>
      </c>
      <c r="G1237" s="8">
        <v>6270</v>
      </c>
      <c r="H1237" s="8">
        <v>2639</v>
      </c>
      <c r="I1237" s="8">
        <v>5063</v>
      </c>
    </row>
    <row r="1238" spans="1:9" x14ac:dyDescent="0.2">
      <c r="A1238" t="s">
        <v>306</v>
      </c>
      <c r="B1238" t="s">
        <v>310</v>
      </c>
      <c r="C1238" t="str">
        <f t="shared" si="64"/>
        <v>13630990000000</v>
      </c>
      <c r="D1238" t="s">
        <v>3161</v>
      </c>
      <c r="E1238" t="str">
        <f>"13630996008379"</f>
        <v>13630996008379</v>
      </c>
      <c r="F1238" s="8">
        <v>559</v>
      </c>
      <c r="G1238" s="8">
        <v>6220</v>
      </c>
      <c r="H1238" s="8">
        <v>2639</v>
      </c>
      <c r="I1238" s="8">
        <v>5063</v>
      </c>
    </row>
    <row r="1239" spans="1:9" x14ac:dyDescent="0.2">
      <c r="A1239" t="s">
        <v>306</v>
      </c>
      <c r="B1239" t="s">
        <v>310</v>
      </c>
      <c r="C1239" t="str">
        <f t="shared" si="64"/>
        <v>13630990000000</v>
      </c>
      <c r="D1239" t="s">
        <v>1194</v>
      </c>
      <c r="E1239" t="str">
        <f>"13630996008361"</f>
        <v>13630996008361</v>
      </c>
      <c r="F1239" s="8">
        <v>500</v>
      </c>
      <c r="G1239" s="8">
        <v>6075</v>
      </c>
      <c r="H1239" s="8">
        <v>2639</v>
      </c>
      <c r="I1239" s="8">
        <v>5063</v>
      </c>
    </row>
    <row r="1240" spans="1:9" x14ac:dyDescent="0.2">
      <c r="A1240" t="s">
        <v>306</v>
      </c>
      <c r="B1240" t="s">
        <v>311</v>
      </c>
      <c r="C1240" t="str">
        <f>"13631070000000"</f>
        <v>13631070000000</v>
      </c>
      <c r="D1240" t="s">
        <v>3162</v>
      </c>
      <c r="E1240" t="str">
        <f>"13631076008403"</f>
        <v>13631076008403</v>
      </c>
      <c r="F1240" s="8">
        <v>564</v>
      </c>
      <c r="G1240" s="8">
        <v>10633</v>
      </c>
      <c r="H1240" s="8">
        <v>2468</v>
      </c>
      <c r="I1240" s="8">
        <v>3851</v>
      </c>
    </row>
    <row r="1241" spans="1:9" x14ac:dyDescent="0.2">
      <c r="A1241" t="s">
        <v>306</v>
      </c>
      <c r="B1241" t="s">
        <v>311</v>
      </c>
      <c r="C1241" t="str">
        <f>"13631070000000"</f>
        <v>13631070000000</v>
      </c>
      <c r="D1241" t="s">
        <v>3163</v>
      </c>
      <c r="E1241" t="str">
        <f>"13631071332501"</f>
        <v>13631071332501</v>
      </c>
      <c r="F1241" s="8">
        <v>402</v>
      </c>
      <c r="G1241" s="8">
        <v>9051</v>
      </c>
      <c r="H1241" s="8">
        <v>2468</v>
      </c>
      <c r="I1241" s="8">
        <v>3851</v>
      </c>
    </row>
    <row r="1242" spans="1:9" x14ac:dyDescent="0.2">
      <c r="A1242" t="s">
        <v>306</v>
      </c>
      <c r="B1242" t="s">
        <v>311</v>
      </c>
      <c r="C1242" t="str">
        <f>"13631070000000"</f>
        <v>13631070000000</v>
      </c>
      <c r="D1242" t="s">
        <v>3164</v>
      </c>
      <c r="E1242" t="str">
        <f>"13631076103535"</f>
        <v>13631076103535</v>
      </c>
      <c r="F1242" s="8">
        <v>844</v>
      </c>
      <c r="G1242" s="8">
        <v>7504</v>
      </c>
      <c r="H1242" s="8">
        <v>2468</v>
      </c>
      <c r="I1242" s="8">
        <v>3851</v>
      </c>
    </row>
    <row r="1243" spans="1:9" x14ac:dyDescent="0.2">
      <c r="A1243" t="s">
        <v>306</v>
      </c>
      <c r="B1243" t="s">
        <v>311</v>
      </c>
      <c r="C1243" t="str">
        <f>"13631070000000"</f>
        <v>13631070000000</v>
      </c>
      <c r="D1243" t="s">
        <v>3165</v>
      </c>
      <c r="E1243" t="str">
        <f>"13631076008395"</f>
        <v>13631076008395</v>
      </c>
      <c r="F1243" s="8">
        <v>498</v>
      </c>
      <c r="G1243" s="8">
        <v>6599</v>
      </c>
      <c r="H1243" s="8">
        <v>2468</v>
      </c>
      <c r="I1243" s="8">
        <v>3851</v>
      </c>
    </row>
    <row r="1244" spans="1:9" x14ac:dyDescent="0.2">
      <c r="A1244" t="s">
        <v>306</v>
      </c>
      <c r="B1244" t="s">
        <v>312</v>
      </c>
      <c r="C1244" t="str">
        <f>"13631150000000"</f>
        <v>13631150000000</v>
      </c>
      <c r="D1244" t="s">
        <v>3166</v>
      </c>
      <c r="E1244" t="str">
        <f>"13631151333558"</f>
        <v>13631151333558</v>
      </c>
      <c r="F1244" s="8">
        <v>1182</v>
      </c>
      <c r="G1244" s="8">
        <v>14075</v>
      </c>
      <c r="H1244" s="8">
        <v>1588</v>
      </c>
      <c r="I1244" s="8">
        <v>3861</v>
      </c>
    </row>
    <row r="1245" spans="1:9" x14ac:dyDescent="0.2">
      <c r="A1245" t="s">
        <v>306</v>
      </c>
      <c r="B1245" t="s">
        <v>312</v>
      </c>
      <c r="C1245" t="str">
        <f>"13631150000000"</f>
        <v>13631150000000</v>
      </c>
      <c r="D1245" t="s">
        <v>3167</v>
      </c>
      <c r="E1245" t="str">
        <f>"13631150131243"</f>
        <v>13631150131243</v>
      </c>
      <c r="F1245" s="8">
        <v>442</v>
      </c>
      <c r="G1245" s="8">
        <v>11176</v>
      </c>
      <c r="H1245" s="8">
        <v>1588</v>
      </c>
      <c r="I1245" s="8">
        <v>3861</v>
      </c>
    </row>
    <row r="1246" spans="1:9" x14ac:dyDescent="0.2">
      <c r="A1246" t="s">
        <v>306</v>
      </c>
      <c r="B1246" t="s">
        <v>312</v>
      </c>
      <c r="C1246" t="str">
        <f>"13631150000000"</f>
        <v>13631150000000</v>
      </c>
      <c r="D1246" t="s">
        <v>3168</v>
      </c>
      <c r="E1246" t="str">
        <f>"13631151330133"</f>
        <v>13631151330133</v>
      </c>
      <c r="F1246" s="8">
        <v>961</v>
      </c>
      <c r="G1246" s="8">
        <v>8542</v>
      </c>
      <c r="H1246" s="8">
        <v>1588</v>
      </c>
      <c r="I1246" s="8">
        <v>3861</v>
      </c>
    </row>
    <row r="1247" spans="1:9" x14ac:dyDescent="0.2">
      <c r="A1247" t="s">
        <v>306</v>
      </c>
      <c r="B1247" t="s">
        <v>312</v>
      </c>
      <c r="C1247" t="str">
        <f>"13631150000000"</f>
        <v>13631150000000</v>
      </c>
      <c r="D1247" t="s">
        <v>312</v>
      </c>
      <c r="E1247" t="str">
        <f>"13631151333004"</f>
        <v>13631151333004</v>
      </c>
      <c r="F1247" s="8">
        <v>774</v>
      </c>
      <c r="G1247" s="8">
        <v>8353</v>
      </c>
      <c r="H1247" s="8">
        <v>1588</v>
      </c>
      <c r="I1247" s="8">
        <v>3861</v>
      </c>
    </row>
    <row r="1248" spans="1:9" x14ac:dyDescent="0.2">
      <c r="A1248" t="s">
        <v>306</v>
      </c>
      <c r="B1248" t="s">
        <v>313</v>
      </c>
      <c r="C1248" t="str">
        <f t="shared" ref="C1248:C1259" si="65">"13631230000000"</f>
        <v>13631230000000</v>
      </c>
      <c r="D1248" t="s">
        <v>2094</v>
      </c>
      <c r="E1248" t="str">
        <f>"13631236008486"</f>
        <v>13631236008486</v>
      </c>
      <c r="F1248" s="8">
        <v>545</v>
      </c>
      <c r="G1248" s="8">
        <v>7743</v>
      </c>
      <c r="H1248" s="8">
        <v>3526</v>
      </c>
      <c r="I1248" s="8">
        <v>5225</v>
      </c>
    </row>
    <row r="1249" spans="1:9" x14ac:dyDescent="0.2">
      <c r="A1249" t="s">
        <v>306</v>
      </c>
      <c r="B1249" t="s">
        <v>313</v>
      </c>
      <c r="C1249" t="str">
        <f t="shared" si="65"/>
        <v>13631230000000</v>
      </c>
      <c r="D1249" t="s">
        <v>3169</v>
      </c>
      <c r="E1249" t="str">
        <f>"13631236008445"</f>
        <v>13631236008445</v>
      </c>
      <c r="F1249" s="8">
        <v>542</v>
      </c>
      <c r="G1249" s="8">
        <v>7704</v>
      </c>
      <c r="H1249" s="8">
        <v>3508</v>
      </c>
      <c r="I1249" s="8">
        <v>5199</v>
      </c>
    </row>
    <row r="1250" spans="1:9" x14ac:dyDescent="0.2">
      <c r="A1250" t="s">
        <v>306</v>
      </c>
      <c r="B1250" t="s">
        <v>313</v>
      </c>
      <c r="C1250" t="str">
        <f t="shared" si="65"/>
        <v>13631230000000</v>
      </c>
      <c r="D1250" t="s">
        <v>2243</v>
      </c>
      <c r="E1250" t="str">
        <f>"13631236008452"</f>
        <v>13631236008452</v>
      </c>
      <c r="F1250" s="8">
        <v>537</v>
      </c>
      <c r="G1250" s="8">
        <v>7627</v>
      </c>
      <c r="H1250" s="8">
        <v>3473</v>
      </c>
      <c r="I1250" s="8">
        <v>5147</v>
      </c>
    </row>
    <row r="1251" spans="1:9" x14ac:dyDescent="0.2">
      <c r="A1251" t="s">
        <v>306</v>
      </c>
      <c r="B1251" t="s">
        <v>313</v>
      </c>
      <c r="C1251" t="str">
        <f t="shared" si="65"/>
        <v>13631230000000</v>
      </c>
      <c r="D1251" t="s">
        <v>3170</v>
      </c>
      <c r="E1251" t="str">
        <f>"13631236113658"</f>
        <v>13631236113658</v>
      </c>
      <c r="F1251" s="8">
        <v>517</v>
      </c>
      <c r="G1251" s="8">
        <v>7352</v>
      </c>
      <c r="H1251" s="8">
        <v>3348</v>
      </c>
      <c r="I1251" s="8">
        <v>4961</v>
      </c>
    </row>
    <row r="1252" spans="1:9" x14ac:dyDescent="0.2">
      <c r="A1252" t="s">
        <v>306</v>
      </c>
      <c r="B1252" t="s">
        <v>313</v>
      </c>
      <c r="C1252" t="str">
        <f t="shared" si="65"/>
        <v>13631230000000</v>
      </c>
      <c r="D1252" t="s">
        <v>3171</v>
      </c>
      <c r="E1252" t="str">
        <f>"13631236008429"</f>
        <v>13631236008429</v>
      </c>
      <c r="F1252" s="8">
        <v>495</v>
      </c>
      <c r="G1252" s="8">
        <v>7031</v>
      </c>
      <c r="H1252" s="8">
        <v>3201</v>
      </c>
      <c r="I1252" s="8">
        <v>4745</v>
      </c>
    </row>
    <row r="1253" spans="1:9" x14ac:dyDescent="0.2">
      <c r="A1253" t="s">
        <v>306</v>
      </c>
      <c r="B1253" t="s">
        <v>313</v>
      </c>
      <c r="C1253" t="str">
        <f t="shared" si="65"/>
        <v>13631230000000</v>
      </c>
      <c r="D1253" t="s">
        <v>3172</v>
      </c>
      <c r="E1253" t="str">
        <f>"13631236108823"</f>
        <v>13631236108823</v>
      </c>
      <c r="F1253" s="8">
        <v>486</v>
      </c>
      <c r="G1253" s="8">
        <v>6904</v>
      </c>
      <c r="H1253" s="8">
        <v>3144</v>
      </c>
      <c r="I1253" s="8">
        <v>4659</v>
      </c>
    </row>
    <row r="1254" spans="1:9" x14ac:dyDescent="0.2">
      <c r="A1254" t="s">
        <v>306</v>
      </c>
      <c r="B1254" t="s">
        <v>313</v>
      </c>
      <c r="C1254" t="str">
        <f t="shared" si="65"/>
        <v>13631230000000</v>
      </c>
      <c r="D1254" t="s">
        <v>2349</v>
      </c>
      <c r="E1254" t="str">
        <f>"13631236008478"</f>
        <v>13631236008478</v>
      </c>
      <c r="F1254" s="8">
        <v>473</v>
      </c>
      <c r="G1254" s="8">
        <v>6722</v>
      </c>
      <c r="H1254" s="8">
        <v>3061</v>
      </c>
      <c r="I1254" s="8">
        <v>4536</v>
      </c>
    </row>
    <row r="1255" spans="1:9" x14ac:dyDescent="0.2">
      <c r="A1255" t="s">
        <v>306</v>
      </c>
      <c r="B1255" t="s">
        <v>313</v>
      </c>
      <c r="C1255" t="str">
        <f t="shared" si="65"/>
        <v>13631230000000</v>
      </c>
      <c r="D1255" t="s">
        <v>3173</v>
      </c>
      <c r="E1255" t="str">
        <f>"13631230122663"</f>
        <v>13631230122663</v>
      </c>
      <c r="F1255" s="8">
        <v>469</v>
      </c>
      <c r="G1255" s="8">
        <v>6673</v>
      </c>
      <c r="H1255" s="8">
        <v>3039</v>
      </c>
      <c r="I1255" s="8">
        <v>4503</v>
      </c>
    </row>
    <row r="1256" spans="1:9" x14ac:dyDescent="0.2">
      <c r="A1256" t="s">
        <v>306</v>
      </c>
      <c r="B1256" t="s">
        <v>313</v>
      </c>
      <c r="C1256" t="str">
        <f t="shared" si="65"/>
        <v>13631230000000</v>
      </c>
      <c r="D1256" t="s">
        <v>3174</v>
      </c>
      <c r="E1256" t="str">
        <f>"13631236008411"</f>
        <v>13631236008411</v>
      </c>
      <c r="F1256" s="8">
        <v>432</v>
      </c>
      <c r="G1256" s="8">
        <v>6142</v>
      </c>
      <c r="H1256" s="8">
        <v>2796</v>
      </c>
      <c r="I1256" s="8">
        <v>4144</v>
      </c>
    </row>
    <row r="1257" spans="1:9" x14ac:dyDescent="0.2">
      <c r="A1257" t="s">
        <v>306</v>
      </c>
      <c r="B1257" t="s">
        <v>313</v>
      </c>
      <c r="C1257" t="str">
        <f t="shared" si="65"/>
        <v>13631230000000</v>
      </c>
      <c r="D1257" t="s">
        <v>3175</v>
      </c>
      <c r="E1257" t="str">
        <f>"13631236008460"</f>
        <v>13631236008460</v>
      </c>
      <c r="F1257" s="8">
        <v>429</v>
      </c>
      <c r="G1257" s="8">
        <v>6093</v>
      </c>
      <c r="H1257" s="8">
        <v>2774</v>
      </c>
      <c r="I1257" s="8">
        <v>4111</v>
      </c>
    </row>
    <row r="1258" spans="1:9" x14ac:dyDescent="0.2">
      <c r="A1258" t="s">
        <v>306</v>
      </c>
      <c r="B1258" t="s">
        <v>313</v>
      </c>
      <c r="C1258" t="str">
        <f t="shared" si="65"/>
        <v>13631230000000</v>
      </c>
      <c r="D1258" t="s">
        <v>2703</v>
      </c>
      <c r="E1258" t="str">
        <f>"13631236008437"</f>
        <v>13631236008437</v>
      </c>
      <c r="F1258" s="8">
        <v>377</v>
      </c>
      <c r="G1258" s="8">
        <v>5356</v>
      </c>
      <c r="H1258" s="8">
        <v>2439</v>
      </c>
      <c r="I1258" s="8">
        <v>3615</v>
      </c>
    </row>
    <row r="1259" spans="1:9" x14ac:dyDescent="0.2">
      <c r="A1259" t="s">
        <v>306</v>
      </c>
      <c r="B1259" t="s">
        <v>313</v>
      </c>
      <c r="C1259" t="str">
        <f t="shared" si="65"/>
        <v>13631230000000</v>
      </c>
      <c r="D1259" t="s">
        <v>3176</v>
      </c>
      <c r="E1259" t="str">
        <f>"13631236008494"</f>
        <v>13631236008494</v>
      </c>
      <c r="F1259" s="8">
        <v>333</v>
      </c>
      <c r="G1259" s="8">
        <v>4734</v>
      </c>
      <c r="H1259" s="8">
        <v>2156</v>
      </c>
      <c r="I1259" s="8">
        <v>3195</v>
      </c>
    </row>
    <row r="1260" spans="1:9" x14ac:dyDescent="0.2">
      <c r="A1260" t="s">
        <v>306</v>
      </c>
      <c r="B1260" t="s">
        <v>314</v>
      </c>
      <c r="C1260" t="str">
        <f>"13631310000000"</f>
        <v>13631310000000</v>
      </c>
      <c r="D1260" t="s">
        <v>3177</v>
      </c>
      <c r="E1260" t="str">
        <f>"13631310135657"</f>
        <v>13631310135657</v>
      </c>
      <c r="F1260" s="8">
        <v>760</v>
      </c>
      <c r="G1260" s="8">
        <v>8093</v>
      </c>
      <c r="H1260" s="8">
        <v>547</v>
      </c>
      <c r="I1260" s="8">
        <v>2914</v>
      </c>
    </row>
    <row r="1261" spans="1:9" x14ac:dyDescent="0.2">
      <c r="A1261" t="s">
        <v>306</v>
      </c>
      <c r="B1261" t="s">
        <v>314</v>
      </c>
      <c r="C1261" t="str">
        <f>"13631310000000"</f>
        <v>13631310000000</v>
      </c>
      <c r="D1261" t="s">
        <v>314</v>
      </c>
      <c r="E1261" t="str">
        <f>"13631316008502"</f>
        <v>13631316008502</v>
      </c>
      <c r="F1261" s="8">
        <v>762</v>
      </c>
      <c r="G1261" s="8">
        <v>6106</v>
      </c>
      <c r="H1261" s="8">
        <v>735</v>
      </c>
      <c r="I1261" s="8">
        <v>3915</v>
      </c>
    </row>
    <row r="1262" spans="1:9" x14ac:dyDescent="0.2">
      <c r="A1262" t="s">
        <v>306</v>
      </c>
      <c r="B1262" t="s">
        <v>315</v>
      </c>
      <c r="C1262" t="str">
        <f t="shared" ref="C1262:C1267" si="66">"13631490000000"</f>
        <v>13631490000000</v>
      </c>
      <c r="D1262" t="s">
        <v>3178</v>
      </c>
      <c r="E1262" t="str">
        <f>"13631491337138"</f>
        <v>13631491337138</v>
      </c>
      <c r="F1262" s="8">
        <v>2535</v>
      </c>
      <c r="G1262" s="8">
        <v>9748</v>
      </c>
      <c r="H1262" s="8">
        <v>759</v>
      </c>
      <c r="I1262" s="8">
        <v>4329</v>
      </c>
    </row>
    <row r="1263" spans="1:9" x14ac:dyDescent="0.2">
      <c r="A1263" t="s">
        <v>306</v>
      </c>
      <c r="B1263" t="s">
        <v>315</v>
      </c>
      <c r="C1263" t="str">
        <f t="shared" si="66"/>
        <v>13631490000000</v>
      </c>
      <c r="D1263" t="s">
        <v>3179</v>
      </c>
      <c r="E1263" t="str">
        <f>"13631496008536"</f>
        <v>13631496008536</v>
      </c>
      <c r="F1263" s="8">
        <v>1402</v>
      </c>
      <c r="G1263" s="8">
        <v>9155</v>
      </c>
      <c r="H1263" s="8">
        <v>759</v>
      </c>
      <c r="I1263" s="8">
        <v>4329</v>
      </c>
    </row>
    <row r="1264" spans="1:9" x14ac:dyDescent="0.2">
      <c r="A1264" t="s">
        <v>306</v>
      </c>
      <c r="B1264" t="s">
        <v>315</v>
      </c>
      <c r="C1264" t="str">
        <f t="shared" si="66"/>
        <v>13631490000000</v>
      </c>
      <c r="D1264" t="s">
        <v>3180</v>
      </c>
      <c r="E1264" t="str">
        <f>"13631496008528"</f>
        <v>13631496008528</v>
      </c>
      <c r="F1264" s="8">
        <v>1343</v>
      </c>
      <c r="G1264" s="8">
        <v>8587</v>
      </c>
      <c r="H1264" s="8">
        <v>759</v>
      </c>
      <c r="I1264" s="8">
        <v>4329</v>
      </c>
    </row>
    <row r="1265" spans="1:9" x14ac:dyDescent="0.2">
      <c r="A1265" t="s">
        <v>306</v>
      </c>
      <c r="B1265" t="s">
        <v>315</v>
      </c>
      <c r="C1265" t="str">
        <f t="shared" si="66"/>
        <v>13631490000000</v>
      </c>
      <c r="D1265" t="s">
        <v>3181</v>
      </c>
      <c r="E1265" t="str">
        <f>"13631496008510"</f>
        <v>13631496008510</v>
      </c>
      <c r="F1265" s="8">
        <v>1495</v>
      </c>
      <c r="G1265" s="8">
        <v>7763</v>
      </c>
      <c r="H1265" s="8">
        <v>759</v>
      </c>
      <c r="I1265" s="8">
        <v>4329</v>
      </c>
    </row>
    <row r="1266" spans="1:9" x14ac:dyDescent="0.2">
      <c r="A1266" t="s">
        <v>306</v>
      </c>
      <c r="B1266" t="s">
        <v>315</v>
      </c>
      <c r="C1266" t="str">
        <f t="shared" si="66"/>
        <v>13631490000000</v>
      </c>
      <c r="D1266" t="s">
        <v>3182</v>
      </c>
      <c r="E1266" t="str">
        <f>"13631491335306"</f>
        <v>13631491335306</v>
      </c>
      <c r="F1266" s="8">
        <v>945</v>
      </c>
      <c r="G1266" s="8">
        <v>8280</v>
      </c>
      <c r="H1266" s="8">
        <v>759</v>
      </c>
      <c r="I1266" s="8">
        <v>4329</v>
      </c>
    </row>
    <row r="1267" spans="1:9" x14ac:dyDescent="0.2">
      <c r="A1267" t="s">
        <v>306</v>
      </c>
      <c r="B1267" t="s">
        <v>315</v>
      </c>
      <c r="C1267" t="str">
        <f t="shared" si="66"/>
        <v>13631490000000</v>
      </c>
      <c r="D1267" t="s">
        <v>3183</v>
      </c>
      <c r="E1267" t="str">
        <f>"13631490125922"</f>
        <v>13631490125922</v>
      </c>
      <c r="F1267" s="8">
        <v>589</v>
      </c>
      <c r="G1267" s="8">
        <v>6998</v>
      </c>
      <c r="H1267" s="8">
        <v>759</v>
      </c>
      <c r="I1267" s="8">
        <v>4329</v>
      </c>
    </row>
    <row r="1268" spans="1:9" x14ac:dyDescent="0.2">
      <c r="A1268" t="s">
        <v>306</v>
      </c>
      <c r="B1268" t="s">
        <v>316</v>
      </c>
      <c r="C1268" t="str">
        <f>"13101320000000"</f>
        <v>13101320000000</v>
      </c>
      <c r="D1268" t="s">
        <v>3184</v>
      </c>
      <c r="E1268" t="str">
        <f>"13101326069272"</f>
        <v>13101326069272</v>
      </c>
      <c r="F1268" s="8">
        <v>6327</v>
      </c>
      <c r="G1268" s="8">
        <v>34917</v>
      </c>
      <c r="H1268" s="8">
        <v>0</v>
      </c>
      <c r="I1268" s="8">
        <v>156</v>
      </c>
    </row>
    <row r="1269" spans="1:9" x14ac:dyDescent="0.2">
      <c r="A1269" t="s">
        <v>306</v>
      </c>
      <c r="B1269" t="s">
        <v>316</v>
      </c>
      <c r="C1269" t="str">
        <f>"13101320000000"</f>
        <v>13101320000000</v>
      </c>
      <c r="D1269" t="s">
        <v>3185</v>
      </c>
      <c r="E1269" t="str">
        <f>"13101321330117"</f>
        <v>13101321330117</v>
      </c>
      <c r="F1269" s="8">
        <v>4277</v>
      </c>
      <c r="G1269" s="8">
        <v>32729</v>
      </c>
      <c r="H1269" s="8">
        <v>0</v>
      </c>
      <c r="I1269" s="8">
        <v>216</v>
      </c>
    </row>
    <row r="1270" spans="1:9" x14ac:dyDescent="0.2">
      <c r="A1270" t="s">
        <v>306</v>
      </c>
      <c r="B1270" t="s">
        <v>316</v>
      </c>
      <c r="C1270" t="str">
        <f>"13101320000000"</f>
        <v>13101320000000</v>
      </c>
      <c r="D1270" t="s">
        <v>3186</v>
      </c>
      <c r="E1270" t="str">
        <f>"13101320131094"</f>
        <v>13101320131094</v>
      </c>
      <c r="F1270" s="8">
        <v>4277</v>
      </c>
      <c r="G1270" s="8">
        <v>20088</v>
      </c>
      <c r="H1270" s="8">
        <v>0</v>
      </c>
      <c r="I1270" s="8">
        <v>216</v>
      </c>
    </row>
    <row r="1271" spans="1:9" x14ac:dyDescent="0.2">
      <c r="A1271" t="s">
        <v>306</v>
      </c>
      <c r="B1271" t="s">
        <v>316</v>
      </c>
      <c r="C1271" t="str">
        <f>"13101320000000"</f>
        <v>13101320000000</v>
      </c>
      <c r="D1271" t="s">
        <v>3187</v>
      </c>
      <c r="E1271" t="str">
        <f>"13101320134379"</f>
        <v>13101320134379</v>
      </c>
      <c r="F1271" s="8">
        <v>2299</v>
      </c>
      <c r="G1271" s="8">
        <v>14244</v>
      </c>
      <c r="H1271" s="8">
        <v>0</v>
      </c>
      <c r="I1271" s="8">
        <v>216</v>
      </c>
    </row>
    <row r="1272" spans="1:9" x14ac:dyDescent="0.2">
      <c r="A1272" t="s">
        <v>306</v>
      </c>
      <c r="B1272" t="s">
        <v>317</v>
      </c>
      <c r="C1272" t="str">
        <f t="shared" ref="C1272:C1277" si="67">"13631640000000"</f>
        <v>13631640000000</v>
      </c>
      <c r="D1272" t="s">
        <v>3188</v>
      </c>
      <c r="E1272" t="str">
        <f>"13631646008551"</f>
        <v>13631646008551</v>
      </c>
      <c r="F1272" s="8">
        <v>516</v>
      </c>
      <c r="G1272" s="8">
        <v>7855</v>
      </c>
      <c r="H1272" s="8">
        <v>1023</v>
      </c>
      <c r="I1272" s="8">
        <v>3579</v>
      </c>
    </row>
    <row r="1273" spans="1:9" x14ac:dyDescent="0.2">
      <c r="A1273" t="s">
        <v>306</v>
      </c>
      <c r="B1273" t="s">
        <v>317</v>
      </c>
      <c r="C1273" t="str">
        <f t="shared" si="67"/>
        <v>13631640000000</v>
      </c>
      <c r="D1273" t="s">
        <v>3189</v>
      </c>
      <c r="E1273" t="str">
        <f>"13631646008569"</f>
        <v>13631646008569</v>
      </c>
      <c r="F1273" s="8">
        <v>723</v>
      </c>
      <c r="G1273" s="8">
        <v>7244</v>
      </c>
      <c r="H1273" s="8">
        <v>1023</v>
      </c>
      <c r="I1273" s="8">
        <v>3579</v>
      </c>
    </row>
    <row r="1274" spans="1:9" x14ac:dyDescent="0.2">
      <c r="A1274" t="s">
        <v>306</v>
      </c>
      <c r="B1274" t="s">
        <v>317</v>
      </c>
      <c r="C1274" t="str">
        <f t="shared" si="67"/>
        <v>13631640000000</v>
      </c>
      <c r="D1274" t="s">
        <v>3190</v>
      </c>
      <c r="E1274" t="str">
        <f>"13631641335900"</f>
        <v>13631641335900</v>
      </c>
      <c r="F1274" s="8">
        <v>660</v>
      </c>
      <c r="G1274" s="8">
        <v>7246</v>
      </c>
      <c r="H1274" s="8">
        <v>1023</v>
      </c>
      <c r="I1274" s="8">
        <v>3579</v>
      </c>
    </row>
    <row r="1275" spans="1:9" x14ac:dyDescent="0.2">
      <c r="A1275" t="s">
        <v>306</v>
      </c>
      <c r="B1275" t="s">
        <v>317</v>
      </c>
      <c r="C1275" t="str">
        <f t="shared" si="67"/>
        <v>13631640000000</v>
      </c>
      <c r="D1275" t="s">
        <v>3191</v>
      </c>
      <c r="E1275" t="str">
        <f>"13631646117808"</f>
        <v>13631646117808</v>
      </c>
      <c r="F1275" s="8">
        <v>623</v>
      </c>
      <c r="G1275" s="8">
        <v>6792</v>
      </c>
      <c r="H1275" s="8">
        <v>1023</v>
      </c>
      <c r="I1275" s="8">
        <v>3579</v>
      </c>
    </row>
    <row r="1276" spans="1:9" x14ac:dyDescent="0.2">
      <c r="A1276" t="s">
        <v>306</v>
      </c>
      <c r="B1276" t="s">
        <v>317</v>
      </c>
      <c r="C1276" t="str">
        <f t="shared" si="67"/>
        <v>13631640000000</v>
      </c>
      <c r="D1276" t="s">
        <v>3192</v>
      </c>
      <c r="E1276" t="str">
        <f>"13631640138917"</f>
        <v>13631640138917</v>
      </c>
      <c r="F1276" s="8">
        <v>435</v>
      </c>
      <c r="G1276" s="8">
        <v>6617</v>
      </c>
      <c r="H1276" s="8">
        <v>1023</v>
      </c>
      <c r="I1276" s="8">
        <v>3579</v>
      </c>
    </row>
    <row r="1277" spans="1:9" x14ac:dyDescent="0.2">
      <c r="A1277" t="s">
        <v>306</v>
      </c>
      <c r="B1277" t="s">
        <v>317</v>
      </c>
      <c r="C1277" t="str">
        <f t="shared" si="67"/>
        <v>13631640000000</v>
      </c>
      <c r="D1277" t="s">
        <v>3193</v>
      </c>
      <c r="E1277" t="str">
        <f>"13631641331115"</f>
        <v>13631641331115</v>
      </c>
      <c r="F1277" s="8">
        <v>4</v>
      </c>
      <c r="G1277" s="8">
        <v>4249</v>
      </c>
      <c r="H1277" s="8">
        <v>1023</v>
      </c>
      <c r="I1277" s="8">
        <v>3579</v>
      </c>
    </row>
    <row r="1278" spans="1:9" x14ac:dyDescent="0.2">
      <c r="A1278" t="s">
        <v>306</v>
      </c>
      <c r="B1278" t="s">
        <v>318</v>
      </c>
      <c r="C1278" t="str">
        <f>"13631720000000"</f>
        <v>13631720000000</v>
      </c>
      <c r="D1278" t="s">
        <v>1025</v>
      </c>
      <c r="E1278" t="str">
        <f>"13631726008585"</f>
        <v>13631726008585</v>
      </c>
      <c r="F1278" s="8">
        <v>1165</v>
      </c>
      <c r="G1278" s="8">
        <v>9631</v>
      </c>
      <c r="H1278" s="8">
        <v>0</v>
      </c>
      <c r="I1278" s="8">
        <v>601</v>
      </c>
    </row>
    <row r="1279" spans="1:9" x14ac:dyDescent="0.2">
      <c r="A1279" t="s">
        <v>306</v>
      </c>
      <c r="B1279" t="s">
        <v>319</v>
      </c>
      <c r="C1279" t="str">
        <f>"13631800000000"</f>
        <v>13631800000000</v>
      </c>
      <c r="D1279" t="s">
        <v>3017</v>
      </c>
      <c r="E1279" t="str">
        <f>"13631806008593"</f>
        <v>13631806008593</v>
      </c>
      <c r="F1279" s="8">
        <v>693</v>
      </c>
      <c r="G1279" s="8">
        <v>7100</v>
      </c>
      <c r="H1279" s="8">
        <v>385</v>
      </c>
      <c r="I1279" s="8">
        <v>2902</v>
      </c>
    </row>
    <row r="1280" spans="1:9" x14ac:dyDescent="0.2">
      <c r="A1280" t="s">
        <v>306</v>
      </c>
      <c r="B1280" t="s">
        <v>320</v>
      </c>
      <c r="C1280" t="str">
        <f>"13631980000000"</f>
        <v>13631980000000</v>
      </c>
      <c r="D1280" t="s">
        <v>3194</v>
      </c>
      <c r="E1280" t="str">
        <f>"13631986008619"</f>
        <v>13631986008619</v>
      </c>
      <c r="F1280" s="8">
        <v>1197</v>
      </c>
      <c r="G1280" s="8">
        <v>17760</v>
      </c>
      <c r="H1280" s="8">
        <v>0</v>
      </c>
      <c r="I1280" s="8">
        <v>0</v>
      </c>
    </row>
    <row r="1281" spans="1:9" x14ac:dyDescent="0.2">
      <c r="A1281" t="s">
        <v>306</v>
      </c>
      <c r="B1281" t="s">
        <v>321</v>
      </c>
      <c r="C1281" t="str">
        <f>"13632060000000"</f>
        <v>13632060000000</v>
      </c>
      <c r="D1281" t="s">
        <v>321</v>
      </c>
      <c r="E1281" t="str">
        <f>"13632066008627"</f>
        <v>13632066008627</v>
      </c>
      <c r="F1281" s="8">
        <v>1992</v>
      </c>
      <c r="G1281" s="8">
        <v>10562</v>
      </c>
      <c r="H1281" s="8">
        <v>0</v>
      </c>
      <c r="I1281" s="8">
        <v>0</v>
      </c>
    </row>
    <row r="1282" spans="1:9" x14ac:dyDescent="0.2">
      <c r="A1282" t="s">
        <v>306</v>
      </c>
      <c r="B1282" t="s">
        <v>322</v>
      </c>
      <c r="C1282" t="str">
        <f>"13632140000000"</f>
        <v>13632140000000</v>
      </c>
      <c r="D1282" t="s">
        <v>3195</v>
      </c>
      <c r="E1282" t="str">
        <f>"13632140120881"</f>
        <v>13632140120881</v>
      </c>
      <c r="F1282" s="8">
        <v>898</v>
      </c>
      <c r="G1282" s="8">
        <v>30762</v>
      </c>
      <c r="H1282" s="8">
        <v>2930</v>
      </c>
      <c r="I1282" s="8">
        <v>9267</v>
      </c>
    </row>
    <row r="1283" spans="1:9" x14ac:dyDescent="0.2">
      <c r="A1283" t="s">
        <v>306</v>
      </c>
      <c r="B1283" t="s">
        <v>322</v>
      </c>
      <c r="C1283" t="str">
        <f>"13632140000000"</f>
        <v>13632140000000</v>
      </c>
      <c r="D1283" t="s">
        <v>3196</v>
      </c>
      <c r="E1283" t="str">
        <f>"13632141330018"</f>
        <v>13632141330018</v>
      </c>
      <c r="F1283" s="8">
        <v>1366</v>
      </c>
      <c r="G1283" s="8">
        <v>16144</v>
      </c>
      <c r="H1283" s="8">
        <v>2930</v>
      </c>
      <c r="I1283" s="8">
        <v>9267</v>
      </c>
    </row>
    <row r="1284" spans="1:9" x14ac:dyDescent="0.2">
      <c r="A1284" t="s">
        <v>306</v>
      </c>
      <c r="B1284" t="s">
        <v>322</v>
      </c>
      <c r="C1284" t="str">
        <f>"13632140000000"</f>
        <v>13632140000000</v>
      </c>
      <c r="D1284" t="s">
        <v>3197</v>
      </c>
      <c r="E1284" t="str">
        <f>"13632141337609"</f>
        <v>13632141337609</v>
      </c>
      <c r="F1284" s="8">
        <v>1281</v>
      </c>
      <c r="G1284" s="8">
        <v>12060</v>
      </c>
      <c r="H1284" s="8">
        <v>2930</v>
      </c>
      <c r="I1284" s="8">
        <v>9267</v>
      </c>
    </row>
    <row r="1285" spans="1:9" x14ac:dyDescent="0.2">
      <c r="A1285" t="s">
        <v>306</v>
      </c>
      <c r="B1285" t="s">
        <v>322</v>
      </c>
      <c r="C1285" t="str">
        <f>"13632140000000"</f>
        <v>13632140000000</v>
      </c>
      <c r="D1285" t="s">
        <v>3198</v>
      </c>
      <c r="E1285" t="str">
        <f>"13632146008635"</f>
        <v>13632146008635</v>
      </c>
      <c r="F1285" s="8">
        <v>1156</v>
      </c>
      <c r="G1285" s="8">
        <v>10542</v>
      </c>
      <c r="H1285" s="8">
        <v>2930</v>
      </c>
      <c r="I1285" s="8">
        <v>9267</v>
      </c>
    </row>
    <row r="1286" spans="1:9" x14ac:dyDescent="0.2">
      <c r="A1286" t="s">
        <v>306</v>
      </c>
      <c r="B1286" t="s">
        <v>322</v>
      </c>
      <c r="C1286" t="str">
        <f>"13632140000000"</f>
        <v>13632140000000</v>
      </c>
      <c r="D1286" t="s">
        <v>3199</v>
      </c>
      <c r="E1286" t="str">
        <f>"13632146106298"</f>
        <v>13632146106298</v>
      </c>
      <c r="F1286" s="8">
        <v>911</v>
      </c>
      <c r="G1286" s="8">
        <v>10115</v>
      </c>
      <c r="H1286" s="8">
        <v>2930</v>
      </c>
      <c r="I1286" s="8">
        <v>9267</v>
      </c>
    </row>
    <row r="1287" spans="1:9" x14ac:dyDescent="0.2">
      <c r="A1287" t="s">
        <v>306</v>
      </c>
      <c r="B1287" t="s">
        <v>323</v>
      </c>
      <c r="C1287" t="str">
        <f>"13632220000000"</f>
        <v>13632220000000</v>
      </c>
      <c r="D1287" t="s">
        <v>3200</v>
      </c>
      <c r="E1287" t="str">
        <f>"13632226008643"</f>
        <v>13632226008643</v>
      </c>
      <c r="F1287" s="8">
        <v>2282</v>
      </c>
      <c r="G1287" s="8">
        <v>12180</v>
      </c>
      <c r="H1287" s="8">
        <v>0</v>
      </c>
      <c r="I1287" s="8">
        <v>0</v>
      </c>
    </row>
    <row r="1288" spans="1:9" x14ac:dyDescent="0.2">
      <c r="A1288" t="s">
        <v>306</v>
      </c>
      <c r="B1288" t="s">
        <v>324</v>
      </c>
      <c r="C1288" t="str">
        <f>"13632300000000"</f>
        <v>13632300000000</v>
      </c>
      <c r="D1288" t="s">
        <v>3201</v>
      </c>
      <c r="E1288" t="str">
        <f>"13632306008650"</f>
        <v>13632306008650</v>
      </c>
      <c r="F1288" s="8">
        <v>3346</v>
      </c>
      <c r="G1288" s="8">
        <v>12431</v>
      </c>
      <c r="H1288" s="8">
        <v>0</v>
      </c>
      <c r="I1288" s="8">
        <v>0</v>
      </c>
    </row>
    <row r="1289" spans="1:9" x14ac:dyDescent="0.2">
      <c r="A1289" t="s">
        <v>325</v>
      </c>
      <c r="B1289" t="s">
        <v>326</v>
      </c>
      <c r="C1289" t="str">
        <f>"14632480000000"</f>
        <v>14632480000000</v>
      </c>
      <c r="D1289" t="s">
        <v>3202</v>
      </c>
      <c r="E1289" t="str">
        <f>"14632486008692"</f>
        <v>14632486008692</v>
      </c>
      <c r="F1289" s="8">
        <v>1275</v>
      </c>
      <c r="G1289" s="8">
        <v>16857</v>
      </c>
      <c r="H1289" s="8">
        <v>3516</v>
      </c>
      <c r="I1289" s="8">
        <v>16608</v>
      </c>
    </row>
    <row r="1290" spans="1:9" x14ac:dyDescent="0.2">
      <c r="A1290" t="s">
        <v>325</v>
      </c>
      <c r="B1290" t="s">
        <v>326</v>
      </c>
      <c r="C1290" t="str">
        <f>"14632480000000"</f>
        <v>14632480000000</v>
      </c>
      <c r="D1290" t="s">
        <v>3203</v>
      </c>
      <c r="E1290" t="str">
        <f>"14632481431352"</f>
        <v>14632481431352</v>
      </c>
      <c r="F1290" s="8">
        <v>0</v>
      </c>
      <c r="G1290" s="8">
        <v>12620</v>
      </c>
      <c r="H1290" s="8">
        <v>3240</v>
      </c>
      <c r="I1290" s="8">
        <v>14808</v>
      </c>
    </row>
    <row r="1291" spans="1:9" x14ac:dyDescent="0.2">
      <c r="A1291" t="s">
        <v>325</v>
      </c>
      <c r="B1291" t="s">
        <v>327</v>
      </c>
      <c r="C1291" t="str">
        <f t="shared" ref="C1291:C1299" si="68">"14766870000000"</f>
        <v>14766870000000</v>
      </c>
      <c r="D1291" t="s">
        <v>3204</v>
      </c>
      <c r="E1291" t="str">
        <f>"14766870125047"</f>
        <v>14766870125047</v>
      </c>
      <c r="F1291" s="8">
        <v>0</v>
      </c>
      <c r="G1291" s="8">
        <v>186373</v>
      </c>
      <c r="H1291" s="8">
        <v>367</v>
      </c>
      <c r="I1291" s="8">
        <v>2757</v>
      </c>
    </row>
    <row r="1292" spans="1:9" x14ac:dyDescent="0.2">
      <c r="A1292" t="s">
        <v>325</v>
      </c>
      <c r="B1292" t="s">
        <v>327</v>
      </c>
      <c r="C1292" t="str">
        <f t="shared" si="68"/>
        <v>14766870000000</v>
      </c>
      <c r="D1292" t="s">
        <v>3205</v>
      </c>
      <c r="E1292" t="str">
        <f>"14766871430107"</f>
        <v>14766871430107</v>
      </c>
      <c r="F1292" s="8">
        <v>0</v>
      </c>
      <c r="G1292" s="8">
        <v>137901</v>
      </c>
      <c r="H1292" s="8">
        <v>367</v>
      </c>
      <c r="I1292" s="8">
        <v>2757</v>
      </c>
    </row>
    <row r="1293" spans="1:9" x14ac:dyDescent="0.2">
      <c r="A1293" t="s">
        <v>325</v>
      </c>
      <c r="B1293" t="s">
        <v>327</v>
      </c>
      <c r="C1293" t="str">
        <f t="shared" si="68"/>
        <v>14766870000000</v>
      </c>
      <c r="D1293" t="s">
        <v>3206</v>
      </c>
      <c r="E1293" t="str">
        <f>"14766870110031"</f>
        <v>14766870110031</v>
      </c>
      <c r="F1293" s="8">
        <v>0</v>
      </c>
      <c r="G1293" s="8">
        <v>126276</v>
      </c>
      <c r="H1293" s="8">
        <v>367</v>
      </c>
      <c r="I1293" s="8">
        <v>2757</v>
      </c>
    </row>
    <row r="1294" spans="1:9" x14ac:dyDescent="0.2">
      <c r="A1294" t="s">
        <v>325</v>
      </c>
      <c r="B1294" t="s">
        <v>327</v>
      </c>
      <c r="C1294" t="str">
        <f t="shared" si="68"/>
        <v>14766870000000</v>
      </c>
      <c r="D1294" t="s">
        <v>3207</v>
      </c>
      <c r="E1294" t="str">
        <f>"14766870118299"</f>
        <v>14766870118299</v>
      </c>
      <c r="F1294" s="8">
        <v>0</v>
      </c>
      <c r="G1294" s="8">
        <v>58849</v>
      </c>
      <c r="H1294" s="8">
        <v>367</v>
      </c>
      <c r="I1294" s="8">
        <v>2757</v>
      </c>
    </row>
    <row r="1295" spans="1:9" x14ac:dyDescent="0.2">
      <c r="A1295" t="s">
        <v>325</v>
      </c>
      <c r="B1295" t="s">
        <v>327</v>
      </c>
      <c r="C1295" t="str">
        <f t="shared" si="68"/>
        <v>14766870000000</v>
      </c>
      <c r="D1295" t="s">
        <v>3208</v>
      </c>
      <c r="E1295" t="str">
        <f>"14766871430057"</f>
        <v>14766871430057</v>
      </c>
      <c r="F1295" s="8">
        <v>957</v>
      </c>
      <c r="G1295" s="8">
        <v>18484</v>
      </c>
      <c r="H1295" s="8">
        <v>367</v>
      </c>
      <c r="I1295" s="8">
        <v>2757</v>
      </c>
    </row>
    <row r="1296" spans="1:9" x14ac:dyDescent="0.2">
      <c r="A1296" t="s">
        <v>325</v>
      </c>
      <c r="B1296" t="s">
        <v>327</v>
      </c>
      <c r="C1296" t="str">
        <f t="shared" si="68"/>
        <v>14766870000000</v>
      </c>
      <c r="D1296" t="s">
        <v>3209</v>
      </c>
      <c r="E1296" t="str">
        <f>"14766871431600"</f>
        <v>14766871431600</v>
      </c>
      <c r="F1296" s="8">
        <v>265</v>
      </c>
      <c r="G1296" s="8">
        <v>8280</v>
      </c>
      <c r="H1296" s="8">
        <v>367</v>
      </c>
      <c r="I1296" s="8">
        <v>2757</v>
      </c>
    </row>
    <row r="1297" spans="1:9" x14ac:dyDescent="0.2">
      <c r="A1297" t="s">
        <v>325</v>
      </c>
      <c r="B1297" t="s">
        <v>327</v>
      </c>
      <c r="C1297" t="str">
        <f t="shared" si="68"/>
        <v>14766870000000</v>
      </c>
      <c r="D1297" t="s">
        <v>3210</v>
      </c>
      <c r="E1297" t="str">
        <f>"14766876008726"</f>
        <v>14766876008726</v>
      </c>
      <c r="F1297" s="8">
        <v>751</v>
      </c>
      <c r="G1297" s="8">
        <v>7437</v>
      </c>
      <c r="H1297" s="8">
        <v>367</v>
      </c>
      <c r="I1297" s="8">
        <v>2757</v>
      </c>
    </row>
    <row r="1298" spans="1:9" x14ac:dyDescent="0.2">
      <c r="A1298" t="s">
        <v>325</v>
      </c>
      <c r="B1298" t="s">
        <v>327</v>
      </c>
      <c r="C1298" t="str">
        <f t="shared" si="68"/>
        <v>14766870000000</v>
      </c>
      <c r="D1298" t="s">
        <v>3211</v>
      </c>
      <c r="E1298" t="str">
        <f>"14766876008700"</f>
        <v>14766876008700</v>
      </c>
      <c r="F1298" s="8">
        <v>571</v>
      </c>
      <c r="G1298" s="8">
        <v>7492</v>
      </c>
      <c r="H1298" s="8">
        <v>367</v>
      </c>
      <c r="I1298" s="8">
        <v>2757</v>
      </c>
    </row>
    <row r="1299" spans="1:9" x14ac:dyDescent="0.2">
      <c r="A1299" t="s">
        <v>325</v>
      </c>
      <c r="B1299" t="s">
        <v>327</v>
      </c>
      <c r="C1299" t="str">
        <f t="shared" si="68"/>
        <v>14766870000000</v>
      </c>
      <c r="D1299" t="s">
        <v>3212</v>
      </c>
      <c r="E1299" t="str">
        <f>"14766870119081"</f>
        <v>14766870119081</v>
      </c>
      <c r="F1299" s="8">
        <v>0</v>
      </c>
      <c r="G1299" s="8">
        <v>4417</v>
      </c>
      <c r="H1299" s="8">
        <v>367</v>
      </c>
      <c r="I1299" s="8">
        <v>2757</v>
      </c>
    </row>
    <row r="1300" spans="1:9" x14ac:dyDescent="0.2">
      <c r="A1300" t="s">
        <v>325</v>
      </c>
      <c r="B1300" t="s">
        <v>329</v>
      </c>
      <c r="C1300" t="str">
        <f>"14632710000000"</f>
        <v>14632710000000</v>
      </c>
      <c r="D1300" t="s">
        <v>3213</v>
      </c>
      <c r="E1300" t="str">
        <f>"14632711438308"</f>
        <v>14632711438308</v>
      </c>
      <c r="F1300" s="8">
        <v>2113</v>
      </c>
      <c r="G1300" s="8">
        <v>21903</v>
      </c>
      <c r="H1300" s="8">
        <v>3103</v>
      </c>
      <c r="I1300" s="8">
        <v>32163</v>
      </c>
    </row>
    <row r="1301" spans="1:9" x14ac:dyDescent="0.2">
      <c r="A1301" t="s">
        <v>325</v>
      </c>
      <c r="B1301" t="s">
        <v>329</v>
      </c>
      <c r="C1301" t="str">
        <f>"14632710000000"</f>
        <v>14632710000000</v>
      </c>
      <c r="D1301" t="s">
        <v>3214</v>
      </c>
      <c r="E1301" t="str">
        <f>"14632716008742"</f>
        <v>14632716008742</v>
      </c>
      <c r="F1301" s="8">
        <v>1545</v>
      </c>
      <c r="G1301" s="8">
        <v>16008</v>
      </c>
      <c r="H1301" s="8">
        <v>4562</v>
      </c>
      <c r="I1301" s="8">
        <v>32166</v>
      </c>
    </row>
    <row r="1302" spans="1:9" x14ac:dyDescent="0.2">
      <c r="A1302" t="s">
        <v>325</v>
      </c>
      <c r="B1302" t="s">
        <v>329</v>
      </c>
      <c r="C1302" t="str">
        <f>"14632710000000"</f>
        <v>14632710000000</v>
      </c>
      <c r="D1302" t="s">
        <v>3215</v>
      </c>
      <c r="E1302" t="str">
        <f>"14632711430065"</f>
        <v>14632711430065</v>
      </c>
      <c r="F1302" s="8" t="s">
        <v>30</v>
      </c>
      <c r="G1302" s="8" t="s">
        <v>30</v>
      </c>
      <c r="H1302" s="8" t="s">
        <v>30</v>
      </c>
      <c r="I1302" s="8" t="s">
        <v>30</v>
      </c>
    </row>
    <row r="1303" spans="1:9" x14ac:dyDescent="0.2">
      <c r="A1303" t="s">
        <v>325</v>
      </c>
      <c r="B1303" t="s">
        <v>329</v>
      </c>
      <c r="C1303" t="str">
        <f>"14632710000000"</f>
        <v>14632710000000</v>
      </c>
      <c r="D1303" t="s">
        <v>3216</v>
      </c>
      <c r="E1303" t="str">
        <f>"14632716008759"</f>
        <v>14632716008759</v>
      </c>
      <c r="F1303" s="8" t="s">
        <v>30</v>
      </c>
      <c r="G1303" s="8" t="s">
        <v>30</v>
      </c>
      <c r="H1303" s="8" t="s">
        <v>30</v>
      </c>
      <c r="I1303" s="8" t="s">
        <v>30</v>
      </c>
    </row>
    <row r="1304" spans="1:9" x14ac:dyDescent="0.2">
      <c r="A1304" t="s">
        <v>325</v>
      </c>
      <c r="B1304" t="s">
        <v>330</v>
      </c>
      <c r="C1304" t="str">
        <f>"14101400000000"</f>
        <v>14101400000000</v>
      </c>
      <c r="D1304" t="s">
        <v>3217</v>
      </c>
      <c r="E1304" t="str">
        <f>"14101401430073"</f>
        <v>14101401430073</v>
      </c>
      <c r="F1304" s="8">
        <v>9970</v>
      </c>
      <c r="G1304" s="8">
        <v>15767</v>
      </c>
      <c r="H1304" s="8">
        <v>1219</v>
      </c>
      <c r="I1304" s="8">
        <v>10078</v>
      </c>
    </row>
    <row r="1305" spans="1:9" x14ac:dyDescent="0.2">
      <c r="A1305" t="s">
        <v>325</v>
      </c>
      <c r="B1305" t="s">
        <v>331</v>
      </c>
      <c r="C1305" t="str">
        <f>"14632890000000"</f>
        <v>14632890000000</v>
      </c>
      <c r="D1305" t="s">
        <v>3218</v>
      </c>
      <c r="E1305" t="str">
        <f>"14632896008775"</f>
        <v>14632896008775</v>
      </c>
      <c r="F1305" s="8">
        <v>564</v>
      </c>
      <c r="G1305" s="8">
        <v>506</v>
      </c>
      <c r="H1305" s="8">
        <v>1170</v>
      </c>
      <c r="I1305" s="8">
        <v>929</v>
      </c>
    </row>
    <row r="1306" spans="1:9" x14ac:dyDescent="0.2">
      <c r="A1306" t="s">
        <v>325</v>
      </c>
      <c r="B1306" t="s">
        <v>331</v>
      </c>
      <c r="C1306" t="str">
        <f>"14632890000000"</f>
        <v>14632890000000</v>
      </c>
      <c r="D1306" t="s">
        <v>3219</v>
      </c>
      <c r="E1306" t="str">
        <f>"14632891434901"</f>
        <v>14632891434901</v>
      </c>
      <c r="F1306" s="8">
        <v>0</v>
      </c>
      <c r="G1306" s="8">
        <v>665</v>
      </c>
      <c r="H1306" s="8">
        <v>593</v>
      </c>
      <c r="I1306" s="8">
        <v>471</v>
      </c>
    </row>
    <row r="1307" spans="1:9" x14ac:dyDescent="0.2">
      <c r="A1307" t="s">
        <v>325</v>
      </c>
      <c r="B1307" t="s">
        <v>331</v>
      </c>
      <c r="C1307" t="str">
        <f>"14632890000000"</f>
        <v>14632890000000</v>
      </c>
      <c r="D1307" t="s">
        <v>3220</v>
      </c>
      <c r="E1307" t="str">
        <f>"14632890113241"</f>
        <v>14632890113241</v>
      </c>
      <c r="F1307" s="8" t="s">
        <v>30</v>
      </c>
      <c r="G1307" s="8" t="s">
        <v>30</v>
      </c>
      <c r="H1307" s="8" t="s">
        <v>30</v>
      </c>
      <c r="I1307" s="8" t="s">
        <v>30</v>
      </c>
    </row>
    <row r="1308" spans="1:9" x14ac:dyDescent="0.2">
      <c r="A1308" t="s">
        <v>325</v>
      </c>
      <c r="B1308" t="s">
        <v>332</v>
      </c>
      <c r="C1308" t="str">
        <f>"14632970000000"</f>
        <v>14632970000000</v>
      </c>
      <c r="D1308" t="s">
        <v>3221</v>
      </c>
      <c r="E1308" t="str">
        <f>"14632971436203"</f>
        <v>14632971436203</v>
      </c>
      <c r="F1308" s="8">
        <v>0</v>
      </c>
      <c r="G1308" s="8">
        <v>23759</v>
      </c>
      <c r="H1308" s="8">
        <v>852</v>
      </c>
      <c r="I1308" s="8">
        <v>13428</v>
      </c>
    </row>
    <row r="1309" spans="1:9" x14ac:dyDescent="0.2">
      <c r="A1309" t="s">
        <v>325</v>
      </c>
      <c r="B1309" t="s">
        <v>332</v>
      </c>
      <c r="C1309" t="str">
        <f>"14632970000000"</f>
        <v>14632970000000</v>
      </c>
      <c r="D1309" t="s">
        <v>3222</v>
      </c>
      <c r="E1309" t="str">
        <f>"14632976008791"</f>
        <v>14632976008791</v>
      </c>
      <c r="F1309" s="8">
        <v>0</v>
      </c>
      <c r="G1309" s="8">
        <v>14030</v>
      </c>
      <c r="H1309" s="8">
        <v>852</v>
      </c>
      <c r="I1309" s="8">
        <v>13428</v>
      </c>
    </row>
    <row r="1310" spans="1:9" x14ac:dyDescent="0.2">
      <c r="A1310" t="s">
        <v>325</v>
      </c>
      <c r="B1310" t="s">
        <v>333</v>
      </c>
      <c r="C1310" t="str">
        <f>"14633050000000"</f>
        <v>14633050000000</v>
      </c>
      <c r="D1310" t="s">
        <v>3223</v>
      </c>
      <c r="E1310" t="str">
        <f>"14633056008809"</f>
        <v>14633056008809</v>
      </c>
      <c r="F1310" s="8">
        <v>1803</v>
      </c>
      <c r="G1310" s="8">
        <v>17523</v>
      </c>
      <c r="H1310" s="8">
        <v>0</v>
      </c>
      <c r="I1310" s="8">
        <v>0</v>
      </c>
    </row>
    <row r="1311" spans="1:9" x14ac:dyDescent="0.2">
      <c r="A1311" t="s">
        <v>336</v>
      </c>
      <c r="B1311" t="s">
        <v>337</v>
      </c>
      <c r="C1311" t="str">
        <f>"15633130000000"</f>
        <v>15633130000000</v>
      </c>
      <c r="D1311" t="s">
        <v>3224</v>
      </c>
      <c r="E1311" t="str">
        <f>"15633136110464"</f>
        <v>15633136110464</v>
      </c>
      <c r="F1311" s="8">
        <v>1277</v>
      </c>
      <c r="G1311" s="8">
        <v>8631</v>
      </c>
      <c r="H1311" s="8">
        <v>2482</v>
      </c>
      <c r="I1311" s="8">
        <v>3694</v>
      </c>
    </row>
    <row r="1312" spans="1:9" x14ac:dyDescent="0.2">
      <c r="A1312" t="s">
        <v>336</v>
      </c>
      <c r="B1312" t="s">
        <v>337</v>
      </c>
      <c r="C1312" t="str">
        <f>"15633130000000"</f>
        <v>15633130000000</v>
      </c>
      <c r="D1312" t="s">
        <v>3225</v>
      </c>
      <c r="E1312" t="str">
        <f>"15633136008817"</f>
        <v>15633136008817</v>
      </c>
      <c r="F1312" s="8">
        <v>1301</v>
      </c>
      <c r="G1312" s="8">
        <v>8454</v>
      </c>
      <c r="H1312" s="8">
        <v>2482</v>
      </c>
      <c r="I1312" s="8">
        <v>3694</v>
      </c>
    </row>
    <row r="1313" spans="1:9" x14ac:dyDescent="0.2">
      <c r="A1313" t="s">
        <v>336</v>
      </c>
      <c r="B1313" t="s">
        <v>337</v>
      </c>
      <c r="C1313" t="str">
        <f>"15633130000000"</f>
        <v>15633130000000</v>
      </c>
      <c r="D1313" t="s">
        <v>2824</v>
      </c>
      <c r="E1313" t="str">
        <f>"15633136008833"</f>
        <v>15633136008833</v>
      </c>
      <c r="F1313" s="8">
        <v>1174</v>
      </c>
      <c r="G1313" s="8">
        <v>7712</v>
      </c>
      <c r="H1313" s="8">
        <v>2482</v>
      </c>
      <c r="I1313" s="8">
        <v>3694</v>
      </c>
    </row>
    <row r="1314" spans="1:9" x14ac:dyDescent="0.2">
      <c r="A1314" t="s">
        <v>336</v>
      </c>
      <c r="B1314" t="s">
        <v>337</v>
      </c>
      <c r="C1314" t="str">
        <f>"15633130000000"</f>
        <v>15633130000000</v>
      </c>
      <c r="D1314" t="s">
        <v>3226</v>
      </c>
      <c r="E1314" t="str">
        <f>"15633130113027"</f>
        <v>15633130113027</v>
      </c>
      <c r="F1314" s="8">
        <v>839</v>
      </c>
      <c r="G1314" s="8">
        <v>6964</v>
      </c>
      <c r="H1314" s="8">
        <v>2482</v>
      </c>
      <c r="I1314" s="8">
        <v>3694</v>
      </c>
    </row>
    <row r="1315" spans="1:9" x14ac:dyDescent="0.2">
      <c r="A1315" t="s">
        <v>336</v>
      </c>
      <c r="B1315" t="s">
        <v>338</v>
      </c>
      <c r="C1315" t="str">
        <f t="shared" ref="C1315:C1358" si="69">"15633210000000"</f>
        <v>15633210000000</v>
      </c>
      <c r="D1315" t="s">
        <v>3227</v>
      </c>
      <c r="E1315" t="str">
        <f>"15633210138149"</f>
        <v>15633210138149</v>
      </c>
      <c r="F1315" s="8">
        <v>2305</v>
      </c>
      <c r="G1315" s="8">
        <v>59166</v>
      </c>
      <c r="H1315" s="8">
        <v>3757</v>
      </c>
      <c r="I1315" s="8">
        <v>8628</v>
      </c>
    </row>
    <row r="1316" spans="1:9" x14ac:dyDescent="0.2">
      <c r="A1316" t="s">
        <v>336</v>
      </c>
      <c r="B1316" t="s">
        <v>338</v>
      </c>
      <c r="C1316" t="str">
        <f t="shared" si="69"/>
        <v>15633210000000</v>
      </c>
      <c r="D1316" t="s">
        <v>2698</v>
      </c>
      <c r="E1316" t="str">
        <f>"15633216111900"</f>
        <v>15633216111900</v>
      </c>
      <c r="F1316" s="8">
        <v>663</v>
      </c>
      <c r="G1316" s="8">
        <v>11164</v>
      </c>
      <c r="H1316" s="8">
        <v>2196</v>
      </c>
      <c r="I1316" s="8">
        <v>3431</v>
      </c>
    </row>
    <row r="1317" spans="1:9" x14ac:dyDescent="0.2">
      <c r="A1317" t="s">
        <v>336</v>
      </c>
      <c r="B1317" t="s">
        <v>338</v>
      </c>
      <c r="C1317" t="str">
        <f t="shared" si="69"/>
        <v>15633210000000</v>
      </c>
      <c r="D1317" t="s">
        <v>3228</v>
      </c>
      <c r="E1317" t="str">
        <f>"15633216008866"</f>
        <v>15633216008866</v>
      </c>
      <c r="F1317" s="8">
        <v>1165</v>
      </c>
      <c r="G1317" s="8">
        <v>10160</v>
      </c>
      <c r="H1317" s="8">
        <v>2176</v>
      </c>
      <c r="I1317" s="8">
        <v>3185</v>
      </c>
    </row>
    <row r="1318" spans="1:9" x14ac:dyDescent="0.2">
      <c r="A1318" t="s">
        <v>336</v>
      </c>
      <c r="B1318" t="s">
        <v>338</v>
      </c>
      <c r="C1318" t="str">
        <f t="shared" si="69"/>
        <v>15633210000000</v>
      </c>
      <c r="D1318" t="s">
        <v>3229</v>
      </c>
      <c r="E1318" t="str">
        <f>"15633216008858"</f>
        <v>15633216008858</v>
      </c>
      <c r="F1318" s="8">
        <v>998</v>
      </c>
      <c r="G1318" s="8">
        <v>9589</v>
      </c>
      <c r="H1318" s="8">
        <v>2292</v>
      </c>
      <c r="I1318" s="8">
        <v>3743</v>
      </c>
    </row>
    <row r="1319" spans="1:9" x14ac:dyDescent="0.2">
      <c r="A1319" t="s">
        <v>336</v>
      </c>
      <c r="B1319" t="s">
        <v>338</v>
      </c>
      <c r="C1319" t="str">
        <f t="shared" si="69"/>
        <v>15633210000000</v>
      </c>
      <c r="D1319" t="s">
        <v>2349</v>
      </c>
      <c r="E1319" t="str">
        <f>"15633216009070"</f>
        <v>15633216009070</v>
      </c>
      <c r="F1319" s="8">
        <v>1101</v>
      </c>
      <c r="G1319" s="8">
        <v>10241</v>
      </c>
      <c r="H1319" s="8">
        <v>2127</v>
      </c>
      <c r="I1319" s="8">
        <v>3034</v>
      </c>
    </row>
    <row r="1320" spans="1:9" x14ac:dyDescent="0.2">
      <c r="A1320" t="s">
        <v>336</v>
      </c>
      <c r="B1320" t="s">
        <v>338</v>
      </c>
      <c r="C1320" t="str">
        <f t="shared" si="69"/>
        <v>15633210000000</v>
      </c>
      <c r="D1320" t="s">
        <v>3230</v>
      </c>
      <c r="E1320" t="str">
        <f>"15633216009138"</f>
        <v>15633216009138</v>
      </c>
      <c r="F1320" s="8">
        <v>1108</v>
      </c>
      <c r="G1320" s="8">
        <v>9494</v>
      </c>
      <c r="H1320" s="8">
        <v>2305</v>
      </c>
      <c r="I1320" s="8">
        <v>3303</v>
      </c>
    </row>
    <row r="1321" spans="1:9" x14ac:dyDescent="0.2">
      <c r="A1321" t="s">
        <v>336</v>
      </c>
      <c r="B1321" t="s">
        <v>338</v>
      </c>
      <c r="C1321" t="str">
        <f t="shared" si="69"/>
        <v>15633210000000</v>
      </c>
      <c r="D1321" t="s">
        <v>3231</v>
      </c>
      <c r="E1321" t="str">
        <f>"15633216109060"</f>
        <v>15633216109060</v>
      </c>
      <c r="F1321" s="8">
        <v>1114</v>
      </c>
      <c r="G1321" s="8">
        <v>9514</v>
      </c>
      <c r="H1321" s="8">
        <v>2189</v>
      </c>
      <c r="I1321" s="8">
        <v>3322</v>
      </c>
    </row>
    <row r="1322" spans="1:9" x14ac:dyDescent="0.2">
      <c r="A1322" t="s">
        <v>336</v>
      </c>
      <c r="B1322" t="s">
        <v>338</v>
      </c>
      <c r="C1322" t="str">
        <f t="shared" si="69"/>
        <v>15633210000000</v>
      </c>
      <c r="D1322" t="s">
        <v>3232</v>
      </c>
      <c r="E1322" t="str">
        <f>"15633216009120"</f>
        <v>15633216009120</v>
      </c>
      <c r="F1322" s="8">
        <v>1334</v>
      </c>
      <c r="G1322" s="8">
        <v>9157</v>
      </c>
      <c r="H1322" s="8">
        <v>2291</v>
      </c>
      <c r="I1322" s="8">
        <v>3283</v>
      </c>
    </row>
    <row r="1323" spans="1:9" x14ac:dyDescent="0.2">
      <c r="A1323" t="s">
        <v>336</v>
      </c>
      <c r="B1323" t="s">
        <v>338</v>
      </c>
      <c r="C1323" t="str">
        <f t="shared" si="69"/>
        <v>15633210000000</v>
      </c>
      <c r="D1323" t="s">
        <v>3233</v>
      </c>
      <c r="E1323" t="str">
        <f>"15633216116719"</f>
        <v>15633216116719</v>
      </c>
      <c r="F1323" s="8">
        <v>903</v>
      </c>
      <c r="G1323" s="8">
        <v>8840</v>
      </c>
      <c r="H1323" s="8">
        <v>2402</v>
      </c>
      <c r="I1323" s="8">
        <v>3866</v>
      </c>
    </row>
    <row r="1324" spans="1:9" x14ac:dyDescent="0.2">
      <c r="A1324" t="s">
        <v>336</v>
      </c>
      <c r="B1324" t="s">
        <v>338</v>
      </c>
      <c r="C1324" t="str">
        <f t="shared" si="69"/>
        <v>15633210000000</v>
      </c>
      <c r="D1324" t="s">
        <v>3234</v>
      </c>
      <c r="E1324" t="str">
        <f>"15633216009195"</f>
        <v>15633216009195</v>
      </c>
      <c r="F1324" s="8">
        <v>1275</v>
      </c>
      <c r="G1324" s="8">
        <v>9613</v>
      </c>
      <c r="H1324" s="8">
        <v>2058</v>
      </c>
      <c r="I1324" s="8">
        <v>2903</v>
      </c>
    </row>
    <row r="1325" spans="1:9" x14ac:dyDescent="0.2">
      <c r="A1325" t="s">
        <v>336</v>
      </c>
      <c r="B1325" t="s">
        <v>338</v>
      </c>
      <c r="C1325" t="str">
        <f t="shared" si="69"/>
        <v>15633210000000</v>
      </c>
      <c r="D1325" t="s">
        <v>3235</v>
      </c>
      <c r="E1325" t="str">
        <f>"15633216009096"</f>
        <v>15633216009096</v>
      </c>
      <c r="F1325" s="8">
        <v>1242</v>
      </c>
      <c r="G1325" s="8">
        <v>8711</v>
      </c>
      <c r="H1325" s="8">
        <v>2222</v>
      </c>
      <c r="I1325" s="8">
        <v>3534</v>
      </c>
    </row>
    <row r="1326" spans="1:9" x14ac:dyDescent="0.2">
      <c r="A1326" t="s">
        <v>336</v>
      </c>
      <c r="B1326" t="s">
        <v>338</v>
      </c>
      <c r="C1326" t="str">
        <f t="shared" si="69"/>
        <v>15633210000000</v>
      </c>
      <c r="D1326" t="s">
        <v>3236</v>
      </c>
      <c r="E1326" t="str">
        <f>"15633216009088"</f>
        <v>15633216009088</v>
      </c>
      <c r="F1326" s="8">
        <v>1128</v>
      </c>
      <c r="G1326" s="8">
        <v>9306</v>
      </c>
      <c r="H1326" s="8">
        <v>2149</v>
      </c>
      <c r="I1326" s="8">
        <v>3071</v>
      </c>
    </row>
    <row r="1327" spans="1:9" x14ac:dyDescent="0.2">
      <c r="A1327" t="s">
        <v>336</v>
      </c>
      <c r="B1327" t="s">
        <v>338</v>
      </c>
      <c r="C1327" t="str">
        <f t="shared" si="69"/>
        <v>15633210000000</v>
      </c>
      <c r="D1327" t="s">
        <v>3237</v>
      </c>
      <c r="E1327" t="str">
        <f>"15633216008882"</f>
        <v>15633216008882</v>
      </c>
      <c r="F1327" s="8">
        <v>1049</v>
      </c>
      <c r="G1327" s="8">
        <v>8916</v>
      </c>
      <c r="H1327" s="8">
        <v>2285</v>
      </c>
      <c r="I1327" s="8">
        <v>3306</v>
      </c>
    </row>
    <row r="1328" spans="1:9" x14ac:dyDescent="0.2">
      <c r="A1328" t="s">
        <v>336</v>
      </c>
      <c r="B1328" t="s">
        <v>338</v>
      </c>
      <c r="C1328" t="str">
        <f t="shared" si="69"/>
        <v>15633210000000</v>
      </c>
      <c r="D1328" t="s">
        <v>3238</v>
      </c>
      <c r="E1328" t="str">
        <f>"15633216009203"</f>
        <v>15633216009203</v>
      </c>
      <c r="F1328" s="8">
        <v>1342</v>
      </c>
      <c r="G1328" s="8">
        <v>9036</v>
      </c>
      <c r="H1328" s="8">
        <v>2141</v>
      </c>
      <c r="I1328" s="8">
        <v>2724</v>
      </c>
    </row>
    <row r="1329" spans="1:9" x14ac:dyDescent="0.2">
      <c r="A1329" t="s">
        <v>336</v>
      </c>
      <c r="B1329" t="s">
        <v>338</v>
      </c>
      <c r="C1329" t="str">
        <f t="shared" si="69"/>
        <v>15633210000000</v>
      </c>
      <c r="D1329" t="s">
        <v>2500</v>
      </c>
      <c r="E1329" t="str">
        <f>"15633216008940"</f>
        <v>15633216008940</v>
      </c>
      <c r="F1329" s="8">
        <v>1035</v>
      </c>
      <c r="G1329" s="8">
        <v>8902</v>
      </c>
      <c r="H1329" s="8">
        <v>2186</v>
      </c>
      <c r="I1329" s="8">
        <v>2941</v>
      </c>
    </row>
    <row r="1330" spans="1:9" x14ac:dyDescent="0.2">
      <c r="A1330" t="s">
        <v>336</v>
      </c>
      <c r="B1330" t="s">
        <v>338</v>
      </c>
      <c r="C1330" t="str">
        <f t="shared" si="69"/>
        <v>15633210000000</v>
      </c>
      <c r="D1330" t="s">
        <v>1629</v>
      </c>
      <c r="E1330" t="str">
        <f>"15633216008874"</f>
        <v>15633216008874</v>
      </c>
      <c r="F1330" s="8">
        <v>918</v>
      </c>
      <c r="G1330" s="8">
        <v>8511</v>
      </c>
      <c r="H1330" s="8">
        <v>2221</v>
      </c>
      <c r="I1330" s="8">
        <v>3305</v>
      </c>
    </row>
    <row r="1331" spans="1:9" x14ac:dyDescent="0.2">
      <c r="A1331" t="s">
        <v>336</v>
      </c>
      <c r="B1331" t="s">
        <v>338</v>
      </c>
      <c r="C1331" t="str">
        <f t="shared" si="69"/>
        <v>15633210000000</v>
      </c>
      <c r="D1331" t="s">
        <v>3239</v>
      </c>
      <c r="E1331" t="str">
        <f>"15633216008924"</f>
        <v>15633216008924</v>
      </c>
      <c r="F1331" s="8">
        <v>966</v>
      </c>
      <c r="G1331" s="8">
        <v>8395</v>
      </c>
      <c r="H1331" s="8">
        <v>2218</v>
      </c>
      <c r="I1331" s="8">
        <v>3323</v>
      </c>
    </row>
    <row r="1332" spans="1:9" x14ac:dyDescent="0.2">
      <c r="A1332" t="s">
        <v>336</v>
      </c>
      <c r="B1332" t="s">
        <v>338</v>
      </c>
      <c r="C1332" t="str">
        <f t="shared" si="69"/>
        <v>15633210000000</v>
      </c>
      <c r="D1332" t="s">
        <v>3240</v>
      </c>
      <c r="E1332" t="str">
        <f>"15633216008999"</f>
        <v>15633216008999</v>
      </c>
      <c r="F1332" s="8">
        <v>1047</v>
      </c>
      <c r="G1332" s="8">
        <v>8466</v>
      </c>
      <c r="H1332" s="8">
        <v>2131</v>
      </c>
      <c r="I1332" s="8">
        <v>3127</v>
      </c>
    </row>
    <row r="1333" spans="1:9" x14ac:dyDescent="0.2">
      <c r="A1333" t="s">
        <v>336</v>
      </c>
      <c r="B1333" t="s">
        <v>338</v>
      </c>
      <c r="C1333" t="str">
        <f t="shared" si="69"/>
        <v>15633210000000</v>
      </c>
      <c r="D1333" t="s">
        <v>3241</v>
      </c>
      <c r="E1333" t="str">
        <f>"15633210129171"</f>
        <v>15633210129171</v>
      </c>
      <c r="F1333" s="8">
        <v>727</v>
      </c>
      <c r="G1333" s="8">
        <v>8769</v>
      </c>
      <c r="H1333" s="8">
        <v>2045</v>
      </c>
      <c r="I1333" s="8">
        <v>2876</v>
      </c>
    </row>
    <row r="1334" spans="1:9" x14ac:dyDescent="0.2">
      <c r="A1334" t="s">
        <v>336</v>
      </c>
      <c r="B1334" t="s">
        <v>338</v>
      </c>
      <c r="C1334" t="str">
        <f t="shared" si="69"/>
        <v>15633210000000</v>
      </c>
      <c r="D1334" t="s">
        <v>3242</v>
      </c>
      <c r="E1334" t="str">
        <f>"15633216114284"</f>
        <v>15633216114284</v>
      </c>
      <c r="F1334" s="8">
        <v>525</v>
      </c>
      <c r="G1334" s="8">
        <v>8952</v>
      </c>
      <c r="H1334" s="8">
        <v>2007</v>
      </c>
      <c r="I1334" s="8">
        <v>2814</v>
      </c>
    </row>
    <row r="1335" spans="1:9" x14ac:dyDescent="0.2">
      <c r="A1335" t="s">
        <v>336</v>
      </c>
      <c r="B1335" t="s">
        <v>338</v>
      </c>
      <c r="C1335" t="str">
        <f t="shared" si="69"/>
        <v>15633210000000</v>
      </c>
      <c r="D1335" t="s">
        <v>3243</v>
      </c>
      <c r="E1335" t="str">
        <f>"15633216009021"</f>
        <v>15633216009021</v>
      </c>
      <c r="F1335" s="8">
        <v>1068</v>
      </c>
      <c r="G1335" s="8">
        <v>7561</v>
      </c>
      <c r="H1335" s="8">
        <v>2221</v>
      </c>
      <c r="I1335" s="8">
        <v>3369</v>
      </c>
    </row>
    <row r="1336" spans="1:9" x14ac:dyDescent="0.2">
      <c r="A1336" t="s">
        <v>336</v>
      </c>
      <c r="B1336" t="s">
        <v>338</v>
      </c>
      <c r="C1336" t="str">
        <f t="shared" si="69"/>
        <v>15633210000000</v>
      </c>
      <c r="D1336" t="s">
        <v>3244</v>
      </c>
      <c r="E1336" t="str">
        <f>"15633216111264"</f>
        <v>15633216111264</v>
      </c>
      <c r="F1336" s="8">
        <v>636</v>
      </c>
      <c r="G1336" s="8">
        <v>7811</v>
      </c>
      <c r="H1336" s="8">
        <v>2272</v>
      </c>
      <c r="I1336" s="8">
        <v>3496</v>
      </c>
    </row>
    <row r="1337" spans="1:9" x14ac:dyDescent="0.2">
      <c r="A1337" t="s">
        <v>336</v>
      </c>
      <c r="B1337" t="s">
        <v>338</v>
      </c>
      <c r="C1337" t="str">
        <f t="shared" si="69"/>
        <v>15633210000000</v>
      </c>
      <c r="D1337" t="s">
        <v>2347</v>
      </c>
      <c r="E1337" t="str">
        <f>"15633216009146"</f>
        <v>15633216009146</v>
      </c>
      <c r="F1337" s="8">
        <v>1122</v>
      </c>
      <c r="G1337" s="8">
        <v>8176</v>
      </c>
      <c r="H1337" s="8">
        <v>2085</v>
      </c>
      <c r="I1337" s="8">
        <v>2799</v>
      </c>
    </row>
    <row r="1338" spans="1:9" x14ac:dyDescent="0.2">
      <c r="A1338" t="s">
        <v>336</v>
      </c>
      <c r="B1338" t="s">
        <v>338</v>
      </c>
      <c r="C1338" t="str">
        <f t="shared" si="69"/>
        <v>15633210000000</v>
      </c>
      <c r="D1338" t="s">
        <v>3245</v>
      </c>
      <c r="E1338" t="str">
        <f>"15633210139808"</f>
        <v>15633210139808</v>
      </c>
      <c r="F1338" s="8">
        <v>705</v>
      </c>
      <c r="G1338" s="8">
        <v>8082</v>
      </c>
      <c r="H1338" s="8">
        <v>2180</v>
      </c>
      <c r="I1338" s="8">
        <v>3186</v>
      </c>
    </row>
    <row r="1339" spans="1:9" x14ac:dyDescent="0.2">
      <c r="A1339" t="s">
        <v>336</v>
      </c>
      <c r="B1339" t="s">
        <v>338</v>
      </c>
      <c r="C1339" t="str">
        <f t="shared" si="69"/>
        <v>15633210000000</v>
      </c>
      <c r="D1339" t="s">
        <v>3246</v>
      </c>
      <c r="E1339" t="str">
        <f>"15633216009062"</f>
        <v>15633216009062</v>
      </c>
      <c r="F1339" s="8">
        <v>1011</v>
      </c>
      <c r="G1339" s="8">
        <v>7283</v>
      </c>
      <c r="H1339" s="8">
        <v>2295</v>
      </c>
      <c r="I1339" s="8">
        <v>3524</v>
      </c>
    </row>
    <row r="1340" spans="1:9" x14ac:dyDescent="0.2">
      <c r="A1340" t="s">
        <v>336</v>
      </c>
      <c r="B1340" t="s">
        <v>338</v>
      </c>
      <c r="C1340" t="str">
        <f t="shared" si="69"/>
        <v>15633210000000</v>
      </c>
      <c r="D1340" t="s">
        <v>3247</v>
      </c>
      <c r="E1340" t="str">
        <f>"15633216009005"</f>
        <v>15633216009005</v>
      </c>
      <c r="F1340" s="8">
        <v>659</v>
      </c>
      <c r="G1340" s="8">
        <v>7550</v>
      </c>
      <c r="H1340" s="8">
        <v>2277</v>
      </c>
      <c r="I1340" s="8">
        <v>3607</v>
      </c>
    </row>
    <row r="1341" spans="1:9" x14ac:dyDescent="0.2">
      <c r="A1341" t="s">
        <v>336</v>
      </c>
      <c r="B1341" t="s">
        <v>338</v>
      </c>
      <c r="C1341" t="str">
        <f t="shared" si="69"/>
        <v>15633210000000</v>
      </c>
      <c r="D1341" t="s">
        <v>3248</v>
      </c>
      <c r="E1341" t="str">
        <f>"15633216009161"</f>
        <v>15633216009161</v>
      </c>
      <c r="F1341" s="8">
        <v>809</v>
      </c>
      <c r="G1341" s="8">
        <v>7818</v>
      </c>
      <c r="H1341" s="8">
        <v>2249</v>
      </c>
      <c r="I1341" s="8">
        <v>3078</v>
      </c>
    </row>
    <row r="1342" spans="1:9" x14ac:dyDescent="0.2">
      <c r="A1342" t="s">
        <v>336</v>
      </c>
      <c r="B1342" t="s">
        <v>338</v>
      </c>
      <c r="C1342" t="str">
        <f t="shared" si="69"/>
        <v>15633210000000</v>
      </c>
      <c r="D1342" t="s">
        <v>3249</v>
      </c>
      <c r="E1342" t="str">
        <f>"15633216009153"</f>
        <v>15633216009153</v>
      </c>
      <c r="F1342" s="8">
        <v>785</v>
      </c>
      <c r="G1342" s="8">
        <v>7854</v>
      </c>
      <c r="H1342" s="8">
        <v>2197</v>
      </c>
      <c r="I1342" s="8">
        <v>3116</v>
      </c>
    </row>
    <row r="1343" spans="1:9" x14ac:dyDescent="0.2">
      <c r="A1343" t="s">
        <v>336</v>
      </c>
      <c r="B1343" t="s">
        <v>338</v>
      </c>
      <c r="C1343" t="str">
        <f t="shared" si="69"/>
        <v>15633210000000</v>
      </c>
      <c r="D1343" t="s">
        <v>3250</v>
      </c>
      <c r="E1343" t="str">
        <f>"15633216009179"</f>
        <v>15633216009179</v>
      </c>
      <c r="F1343" s="8">
        <v>1063</v>
      </c>
      <c r="G1343" s="8">
        <v>7358</v>
      </c>
      <c r="H1343" s="8">
        <v>2246</v>
      </c>
      <c r="I1343" s="8">
        <v>3267</v>
      </c>
    </row>
    <row r="1344" spans="1:9" x14ac:dyDescent="0.2">
      <c r="A1344" t="s">
        <v>336</v>
      </c>
      <c r="B1344" t="s">
        <v>338</v>
      </c>
      <c r="C1344" t="str">
        <f t="shared" si="69"/>
        <v>15633210000000</v>
      </c>
      <c r="D1344" t="s">
        <v>3251</v>
      </c>
      <c r="E1344" t="str">
        <f>"15633216008973"</f>
        <v>15633216008973</v>
      </c>
      <c r="F1344" s="8">
        <v>1856</v>
      </c>
      <c r="G1344" s="8">
        <v>6872</v>
      </c>
      <c r="H1344" s="8">
        <v>2098</v>
      </c>
      <c r="I1344" s="8">
        <v>3083</v>
      </c>
    </row>
    <row r="1345" spans="1:9" x14ac:dyDescent="0.2">
      <c r="A1345" t="s">
        <v>336</v>
      </c>
      <c r="B1345" t="s">
        <v>338</v>
      </c>
      <c r="C1345" t="str">
        <f t="shared" si="69"/>
        <v>15633210000000</v>
      </c>
      <c r="D1345" t="s">
        <v>3252</v>
      </c>
      <c r="E1345" t="str">
        <f>"15633216009047"</f>
        <v>15633216009047</v>
      </c>
      <c r="F1345" s="8">
        <v>977</v>
      </c>
      <c r="G1345" s="8">
        <v>7535</v>
      </c>
      <c r="H1345" s="8">
        <v>2213</v>
      </c>
      <c r="I1345" s="8">
        <v>3181</v>
      </c>
    </row>
    <row r="1346" spans="1:9" x14ac:dyDescent="0.2">
      <c r="A1346" t="s">
        <v>336</v>
      </c>
      <c r="B1346" t="s">
        <v>338</v>
      </c>
      <c r="C1346" t="str">
        <f t="shared" si="69"/>
        <v>15633210000000</v>
      </c>
      <c r="D1346" t="s">
        <v>2703</v>
      </c>
      <c r="E1346" t="str">
        <f>"15633216008965"</f>
        <v>15633216008965</v>
      </c>
      <c r="F1346" s="8">
        <v>1030</v>
      </c>
      <c r="G1346" s="8">
        <v>8046</v>
      </c>
      <c r="H1346" s="8">
        <v>2034</v>
      </c>
      <c r="I1346" s="8">
        <v>2734</v>
      </c>
    </row>
    <row r="1347" spans="1:9" x14ac:dyDescent="0.2">
      <c r="A1347" t="s">
        <v>336</v>
      </c>
      <c r="B1347" t="s">
        <v>338</v>
      </c>
      <c r="C1347" t="str">
        <f t="shared" si="69"/>
        <v>15633210000000</v>
      </c>
      <c r="D1347" t="s">
        <v>1194</v>
      </c>
      <c r="E1347" t="str">
        <f>"15633216009013"</f>
        <v>15633216009013</v>
      </c>
      <c r="F1347" s="8">
        <v>1171</v>
      </c>
      <c r="G1347" s="8">
        <v>7703</v>
      </c>
      <c r="H1347" s="8">
        <v>2096</v>
      </c>
      <c r="I1347" s="8">
        <v>2782</v>
      </c>
    </row>
    <row r="1348" spans="1:9" x14ac:dyDescent="0.2">
      <c r="A1348" t="s">
        <v>336</v>
      </c>
      <c r="B1348" t="s">
        <v>338</v>
      </c>
      <c r="C1348" t="str">
        <f t="shared" si="69"/>
        <v>15633210000000</v>
      </c>
      <c r="D1348" t="s">
        <v>2288</v>
      </c>
      <c r="E1348" t="str">
        <f>"15633216008981"</f>
        <v>15633216008981</v>
      </c>
      <c r="F1348" s="8">
        <v>913</v>
      </c>
      <c r="G1348" s="8">
        <v>7582</v>
      </c>
      <c r="H1348" s="8">
        <v>2217</v>
      </c>
      <c r="I1348" s="8">
        <v>3009</v>
      </c>
    </row>
    <row r="1349" spans="1:9" x14ac:dyDescent="0.2">
      <c r="A1349" t="s">
        <v>336</v>
      </c>
      <c r="B1349" t="s">
        <v>338</v>
      </c>
      <c r="C1349" t="str">
        <f t="shared" si="69"/>
        <v>15633210000000</v>
      </c>
      <c r="D1349" t="s">
        <v>3253</v>
      </c>
      <c r="E1349" t="str">
        <f>"15633216109078"</f>
        <v>15633216109078</v>
      </c>
      <c r="F1349" s="8">
        <v>653</v>
      </c>
      <c r="G1349" s="8">
        <v>8196</v>
      </c>
      <c r="H1349" s="8">
        <v>2015</v>
      </c>
      <c r="I1349" s="8">
        <v>2823</v>
      </c>
    </row>
    <row r="1350" spans="1:9" x14ac:dyDescent="0.2">
      <c r="A1350" t="s">
        <v>336</v>
      </c>
      <c r="B1350" t="s">
        <v>338</v>
      </c>
      <c r="C1350" t="str">
        <f t="shared" si="69"/>
        <v>15633210000000</v>
      </c>
      <c r="D1350" t="s">
        <v>3254</v>
      </c>
      <c r="E1350" t="str">
        <f>"15633216009104"</f>
        <v>15633216009104</v>
      </c>
      <c r="F1350" s="8">
        <v>889</v>
      </c>
      <c r="G1350" s="8">
        <v>7550</v>
      </c>
      <c r="H1350" s="8">
        <v>2203</v>
      </c>
      <c r="I1350" s="8">
        <v>3015</v>
      </c>
    </row>
    <row r="1351" spans="1:9" x14ac:dyDescent="0.2">
      <c r="A1351" t="s">
        <v>336</v>
      </c>
      <c r="B1351" t="s">
        <v>338</v>
      </c>
      <c r="C1351" t="str">
        <f t="shared" si="69"/>
        <v>15633210000000</v>
      </c>
      <c r="D1351" t="s">
        <v>3255</v>
      </c>
      <c r="E1351" t="str">
        <f>"15633216008916"</f>
        <v>15633216008916</v>
      </c>
      <c r="F1351" s="8">
        <v>844</v>
      </c>
      <c r="G1351" s="8">
        <v>7738</v>
      </c>
      <c r="H1351" s="8">
        <v>2109</v>
      </c>
      <c r="I1351" s="8">
        <v>2961</v>
      </c>
    </row>
    <row r="1352" spans="1:9" x14ac:dyDescent="0.2">
      <c r="A1352" t="s">
        <v>336</v>
      </c>
      <c r="B1352" t="s">
        <v>338</v>
      </c>
      <c r="C1352" t="str">
        <f t="shared" si="69"/>
        <v>15633210000000</v>
      </c>
      <c r="D1352" t="s">
        <v>1894</v>
      </c>
      <c r="E1352" t="str">
        <f>"15633216008932"</f>
        <v>15633216008932</v>
      </c>
      <c r="F1352" s="8">
        <v>807</v>
      </c>
      <c r="G1352" s="8">
        <v>8078</v>
      </c>
      <c r="H1352" s="8">
        <v>1997</v>
      </c>
      <c r="I1352" s="8">
        <v>2734</v>
      </c>
    </row>
    <row r="1353" spans="1:9" x14ac:dyDescent="0.2">
      <c r="A1353" t="s">
        <v>336</v>
      </c>
      <c r="B1353" t="s">
        <v>338</v>
      </c>
      <c r="C1353" t="str">
        <f t="shared" si="69"/>
        <v>15633210000000</v>
      </c>
      <c r="D1353" t="s">
        <v>3256</v>
      </c>
      <c r="E1353" t="str">
        <f>"15633216009187"</f>
        <v>15633216009187</v>
      </c>
      <c r="F1353" s="8">
        <v>995</v>
      </c>
      <c r="G1353" s="8">
        <v>7727</v>
      </c>
      <c r="H1353" s="8">
        <v>2044</v>
      </c>
      <c r="I1353" s="8">
        <v>2759</v>
      </c>
    </row>
    <row r="1354" spans="1:9" x14ac:dyDescent="0.2">
      <c r="A1354" t="s">
        <v>336</v>
      </c>
      <c r="B1354" t="s">
        <v>338</v>
      </c>
      <c r="C1354" t="str">
        <f t="shared" si="69"/>
        <v>15633210000000</v>
      </c>
      <c r="D1354" t="s">
        <v>2605</v>
      </c>
      <c r="E1354" t="str">
        <f>"15633216008957"</f>
        <v>15633216008957</v>
      </c>
      <c r="F1354" s="8">
        <v>929</v>
      </c>
      <c r="G1354" s="8">
        <v>7165</v>
      </c>
      <c r="H1354" s="8">
        <v>2194</v>
      </c>
      <c r="I1354" s="8">
        <v>3236</v>
      </c>
    </row>
    <row r="1355" spans="1:9" x14ac:dyDescent="0.2">
      <c r="A1355" t="s">
        <v>336</v>
      </c>
      <c r="B1355" t="s">
        <v>338</v>
      </c>
      <c r="C1355" t="str">
        <f t="shared" si="69"/>
        <v>15633210000000</v>
      </c>
      <c r="D1355" t="s">
        <v>3257</v>
      </c>
      <c r="E1355" t="str">
        <f>"15633216008890"</f>
        <v>15633216008890</v>
      </c>
      <c r="F1355" s="8">
        <v>882</v>
      </c>
      <c r="G1355" s="8">
        <v>7342</v>
      </c>
      <c r="H1355" s="8">
        <v>2100</v>
      </c>
      <c r="I1355" s="8">
        <v>3077</v>
      </c>
    </row>
    <row r="1356" spans="1:9" x14ac:dyDescent="0.2">
      <c r="A1356" t="s">
        <v>336</v>
      </c>
      <c r="B1356" t="s">
        <v>338</v>
      </c>
      <c r="C1356" t="str">
        <f t="shared" si="69"/>
        <v>15633210000000</v>
      </c>
      <c r="D1356" t="s">
        <v>3258</v>
      </c>
      <c r="E1356" t="str">
        <f>"15633216109052"</f>
        <v>15633216109052</v>
      </c>
      <c r="F1356" s="8">
        <v>910</v>
      </c>
      <c r="G1356" s="8">
        <v>7314</v>
      </c>
      <c r="H1356" s="8">
        <v>2180</v>
      </c>
      <c r="I1356" s="8">
        <v>2988</v>
      </c>
    </row>
    <row r="1357" spans="1:9" x14ac:dyDescent="0.2">
      <c r="A1357" t="s">
        <v>336</v>
      </c>
      <c r="B1357" t="s">
        <v>338</v>
      </c>
      <c r="C1357" t="str">
        <f t="shared" si="69"/>
        <v>15633210000000</v>
      </c>
      <c r="D1357" t="s">
        <v>3259</v>
      </c>
      <c r="E1357" t="str">
        <f>"15633210129189"</f>
        <v>15633210129189</v>
      </c>
      <c r="F1357" s="8">
        <v>430</v>
      </c>
      <c r="G1357" s="8">
        <v>7327</v>
      </c>
      <c r="H1357" s="8">
        <v>2118</v>
      </c>
      <c r="I1357" s="8">
        <v>3044</v>
      </c>
    </row>
    <row r="1358" spans="1:9" x14ac:dyDescent="0.2">
      <c r="A1358" t="s">
        <v>336</v>
      </c>
      <c r="B1358" t="s">
        <v>338</v>
      </c>
      <c r="C1358" t="str">
        <f t="shared" si="69"/>
        <v>15633210000000</v>
      </c>
      <c r="D1358" t="s">
        <v>3260</v>
      </c>
      <c r="E1358" t="str">
        <f>"15633216008841"</f>
        <v>15633216008841</v>
      </c>
      <c r="F1358" s="8">
        <v>638</v>
      </c>
      <c r="G1358" s="8">
        <v>6572</v>
      </c>
      <c r="H1358" s="8">
        <v>2135</v>
      </c>
      <c r="I1358" s="8">
        <v>3201</v>
      </c>
    </row>
    <row r="1359" spans="1:9" x14ac:dyDescent="0.2">
      <c r="A1359" t="s">
        <v>336</v>
      </c>
      <c r="B1359" t="s">
        <v>339</v>
      </c>
      <c r="C1359" t="str">
        <f>"15633390000000"</f>
        <v>15633390000000</v>
      </c>
      <c r="D1359" t="s">
        <v>339</v>
      </c>
      <c r="E1359" t="str">
        <f>"15633396009211"</f>
        <v>15633396009211</v>
      </c>
      <c r="F1359" s="8">
        <v>1479</v>
      </c>
      <c r="G1359" s="8">
        <v>8781</v>
      </c>
      <c r="H1359" s="8">
        <v>2949</v>
      </c>
      <c r="I1359" s="8">
        <v>5845</v>
      </c>
    </row>
    <row r="1360" spans="1:9" x14ac:dyDescent="0.2">
      <c r="A1360" t="s">
        <v>336</v>
      </c>
      <c r="B1360" t="s">
        <v>339</v>
      </c>
      <c r="C1360" t="str">
        <f>"15633390000000"</f>
        <v>15633390000000</v>
      </c>
      <c r="D1360" t="s">
        <v>3261</v>
      </c>
      <c r="E1360" t="str">
        <f>"15633390108589"</f>
        <v>15633390108589</v>
      </c>
      <c r="F1360" s="8">
        <v>1964</v>
      </c>
      <c r="G1360" s="8">
        <v>8444</v>
      </c>
      <c r="H1360" s="8">
        <v>2213</v>
      </c>
      <c r="I1360" s="8">
        <v>5037</v>
      </c>
    </row>
    <row r="1361" spans="1:9" x14ac:dyDescent="0.2">
      <c r="A1361" t="s">
        <v>336</v>
      </c>
      <c r="B1361" t="s">
        <v>339</v>
      </c>
      <c r="C1361" t="str">
        <f>"15633390000000"</f>
        <v>15633390000000</v>
      </c>
      <c r="D1361" t="s">
        <v>3262</v>
      </c>
      <c r="E1361" t="str">
        <f>"15633396009237"</f>
        <v>15633396009237</v>
      </c>
      <c r="F1361" s="8">
        <v>1702</v>
      </c>
      <c r="G1361" s="8">
        <v>7327</v>
      </c>
      <c r="H1361" s="8">
        <v>2546</v>
      </c>
      <c r="I1361" s="8">
        <v>5636</v>
      </c>
    </row>
    <row r="1362" spans="1:9" x14ac:dyDescent="0.2">
      <c r="A1362" t="s">
        <v>336</v>
      </c>
      <c r="B1362" t="s">
        <v>339</v>
      </c>
      <c r="C1362" t="str">
        <f>"15633390000000"</f>
        <v>15633390000000</v>
      </c>
      <c r="D1362" t="s">
        <v>3263</v>
      </c>
      <c r="E1362" t="str">
        <f>"15633396009229"</f>
        <v>15633396009229</v>
      </c>
      <c r="F1362" s="8">
        <v>950</v>
      </c>
      <c r="G1362" s="8">
        <v>6072</v>
      </c>
      <c r="H1362" s="8">
        <v>2924</v>
      </c>
      <c r="I1362" s="8">
        <v>5259</v>
      </c>
    </row>
    <row r="1363" spans="1:9" x14ac:dyDescent="0.2">
      <c r="A1363" t="s">
        <v>336</v>
      </c>
      <c r="B1363" t="s">
        <v>340</v>
      </c>
      <c r="C1363" t="str">
        <f>"15633540000000"</f>
        <v>15633540000000</v>
      </c>
      <c r="D1363" t="s">
        <v>340</v>
      </c>
      <c r="E1363" t="str">
        <f>"15633546009252"</f>
        <v>15633546009252</v>
      </c>
      <c r="F1363" s="8">
        <v>1264</v>
      </c>
      <c r="G1363" s="8">
        <v>8855</v>
      </c>
      <c r="H1363" s="8">
        <v>0</v>
      </c>
      <c r="I1363" s="8">
        <v>0</v>
      </c>
    </row>
    <row r="1364" spans="1:9" x14ac:dyDescent="0.2">
      <c r="A1364" t="s">
        <v>336</v>
      </c>
      <c r="B1364" t="s">
        <v>342</v>
      </c>
      <c r="C1364" t="str">
        <f>"15633700000000"</f>
        <v>15633700000000</v>
      </c>
      <c r="D1364" t="s">
        <v>3264</v>
      </c>
      <c r="E1364" t="str">
        <f>"15633706009278"</f>
        <v>15633706009278</v>
      </c>
      <c r="F1364" s="8">
        <v>2696</v>
      </c>
      <c r="G1364" s="8">
        <v>13159</v>
      </c>
      <c r="H1364" s="8">
        <v>0</v>
      </c>
      <c r="I1364" s="8">
        <v>0</v>
      </c>
    </row>
    <row r="1365" spans="1:9" x14ac:dyDescent="0.2">
      <c r="A1365" t="s">
        <v>336</v>
      </c>
      <c r="B1365" t="s">
        <v>343</v>
      </c>
      <c r="C1365" t="str">
        <f>"15633880000000"</f>
        <v>15633880000000</v>
      </c>
      <c r="D1365" t="s">
        <v>3265</v>
      </c>
      <c r="E1365" t="str">
        <f>"15633886104772"</f>
        <v>15633886104772</v>
      </c>
      <c r="F1365" s="8">
        <v>2347</v>
      </c>
      <c r="G1365" s="8">
        <v>8773</v>
      </c>
      <c r="H1365" s="8">
        <v>1415</v>
      </c>
      <c r="I1365" s="8">
        <v>4557</v>
      </c>
    </row>
    <row r="1366" spans="1:9" x14ac:dyDescent="0.2">
      <c r="A1366" t="s">
        <v>336</v>
      </c>
      <c r="B1366" t="s">
        <v>345</v>
      </c>
      <c r="C1366" t="str">
        <f>"15634120000000"</f>
        <v>15634120000000</v>
      </c>
      <c r="D1366" t="s">
        <v>3266</v>
      </c>
      <c r="E1366" t="str">
        <f>"15634121531656"</f>
        <v>15634121531656</v>
      </c>
      <c r="F1366" s="8">
        <v>3532</v>
      </c>
      <c r="G1366" s="8">
        <v>18428</v>
      </c>
      <c r="H1366" s="8">
        <v>1333</v>
      </c>
      <c r="I1366" s="8">
        <v>3077</v>
      </c>
    </row>
    <row r="1367" spans="1:9" x14ac:dyDescent="0.2">
      <c r="A1367" t="s">
        <v>336</v>
      </c>
      <c r="B1367" t="s">
        <v>345</v>
      </c>
      <c r="C1367" t="str">
        <f>"15634120000000"</f>
        <v>15634120000000</v>
      </c>
      <c r="D1367" t="s">
        <v>3267</v>
      </c>
      <c r="E1367" t="str">
        <f>"15634121531672"</f>
        <v>15634121531672</v>
      </c>
      <c r="F1367" s="8">
        <v>1532</v>
      </c>
      <c r="G1367" s="8">
        <v>8642</v>
      </c>
      <c r="H1367" s="8">
        <v>1333</v>
      </c>
      <c r="I1367" s="8">
        <v>3077</v>
      </c>
    </row>
    <row r="1368" spans="1:9" x14ac:dyDescent="0.2">
      <c r="A1368" t="s">
        <v>336</v>
      </c>
      <c r="B1368" t="s">
        <v>345</v>
      </c>
      <c r="C1368" t="str">
        <f>"15634120000000"</f>
        <v>15634120000000</v>
      </c>
      <c r="D1368" t="s">
        <v>3268</v>
      </c>
      <c r="E1368" t="str">
        <f>"15634120116384"</f>
        <v>15634120116384</v>
      </c>
      <c r="F1368" s="8">
        <v>1169</v>
      </c>
      <c r="G1368" s="8">
        <v>8327</v>
      </c>
      <c r="H1368" s="8">
        <v>1333</v>
      </c>
      <c r="I1368" s="8">
        <v>3077</v>
      </c>
    </row>
    <row r="1369" spans="1:9" x14ac:dyDescent="0.2">
      <c r="A1369" t="s">
        <v>336</v>
      </c>
      <c r="B1369" t="s">
        <v>345</v>
      </c>
      <c r="C1369" t="str">
        <f>"15634120000000"</f>
        <v>15634120000000</v>
      </c>
      <c r="D1369" t="s">
        <v>3269</v>
      </c>
      <c r="E1369" t="str">
        <f>"15634120100529"</f>
        <v>15634120100529</v>
      </c>
      <c r="F1369" s="8">
        <v>1109</v>
      </c>
      <c r="G1369" s="8">
        <v>7821</v>
      </c>
      <c r="H1369" s="8">
        <v>1333</v>
      </c>
      <c r="I1369" s="8">
        <v>3077</v>
      </c>
    </row>
    <row r="1370" spans="1:9" x14ac:dyDescent="0.2">
      <c r="A1370" t="s">
        <v>336</v>
      </c>
      <c r="B1370" t="s">
        <v>346</v>
      </c>
      <c r="C1370" t="str">
        <f t="shared" ref="C1370:C1381" si="70">"15634040000000"</f>
        <v>15634040000000</v>
      </c>
      <c r="D1370" t="s">
        <v>3270</v>
      </c>
      <c r="E1370" t="str">
        <f>"15634040127712"</f>
        <v>15634040127712</v>
      </c>
      <c r="F1370" s="8">
        <v>964</v>
      </c>
      <c r="G1370" s="8">
        <v>6325</v>
      </c>
      <c r="H1370" s="8">
        <v>3244</v>
      </c>
      <c r="I1370" s="8">
        <v>8869</v>
      </c>
    </row>
    <row r="1371" spans="1:9" x14ac:dyDescent="0.2">
      <c r="A1371" t="s">
        <v>336</v>
      </c>
      <c r="B1371" t="s">
        <v>346</v>
      </c>
      <c r="C1371" t="str">
        <f t="shared" si="70"/>
        <v>15634040000000</v>
      </c>
      <c r="D1371" t="s">
        <v>3271</v>
      </c>
      <c r="E1371" t="str">
        <f>"15634046009369"</f>
        <v>15634046009369</v>
      </c>
      <c r="F1371" s="8">
        <v>1796</v>
      </c>
      <c r="G1371" s="8">
        <v>10577</v>
      </c>
      <c r="H1371" s="8">
        <v>1728</v>
      </c>
      <c r="I1371" s="8">
        <v>4724</v>
      </c>
    </row>
    <row r="1372" spans="1:9" x14ac:dyDescent="0.2">
      <c r="A1372" t="s">
        <v>336</v>
      </c>
      <c r="B1372" t="s">
        <v>346</v>
      </c>
      <c r="C1372" t="str">
        <f t="shared" si="70"/>
        <v>15634040000000</v>
      </c>
      <c r="D1372" t="s">
        <v>3272</v>
      </c>
      <c r="E1372" t="str">
        <f>"15634046009351"</f>
        <v>15634046009351</v>
      </c>
      <c r="F1372" s="8">
        <v>1621</v>
      </c>
      <c r="G1372" s="8">
        <v>9341</v>
      </c>
      <c r="H1372" s="8">
        <v>2073</v>
      </c>
      <c r="I1372" s="8">
        <v>5668</v>
      </c>
    </row>
    <row r="1373" spans="1:9" x14ac:dyDescent="0.2">
      <c r="A1373" t="s">
        <v>336</v>
      </c>
      <c r="B1373" t="s">
        <v>346</v>
      </c>
      <c r="C1373" t="str">
        <f t="shared" si="70"/>
        <v>15634040000000</v>
      </c>
      <c r="D1373" t="s">
        <v>3273</v>
      </c>
      <c r="E1373" t="str">
        <f>"15634040120139"</f>
        <v>15634040120139</v>
      </c>
      <c r="F1373" s="8">
        <v>944</v>
      </c>
      <c r="G1373" s="8">
        <v>9866</v>
      </c>
      <c r="H1373" s="8">
        <v>1980</v>
      </c>
      <c r="I1373" s="8">
        <v>5411</v>
      </c>
    </row>
    <row r="1374" spans="1:9" x14ac:dyDescent="0.2">
      <c r="A1374" t="s">
        <v>336</v>
      </c>
      <c r="B1374" t="s">
        <v>346</v>
      </c>
      <c r="C1374" t="str">
        <f t="shared" si="70"/>
        <v>15634040000000</v>
      </c>
      <c r="D1374" t="s">
        <v>3274</v>
      </c>
      <c r="E1374" t="str">
        <f>"15634040112185"</f>
        <v>15634040112185</v>
      </c>
      <c r="F1374" s="8">
        <v>565</v>
      </c>
      <c r="G1374" s="8">
        <v>7097</v>
      </c>
      <c r="H1374" s="8">
        <v>1886</v>
      </c>
      <c r="I1374" s="8">
        <v>5155</v>
      </c>
    </row>
    <row r="1375" spans="1:9" x14ac:dyDescent="0.2">
      <c r="A1375" t="s">
        <v>336</v>
      </c>
      <c r="B1375" t="s">
        <v>346</v>
      </c>
      <c r="C1375" t="str">
        <f t="shared" si="70"/>
        <v>15634040000000</v>
      </c>
      <c r="D1375" t="s">
        <v>3275</v>
      </c>
      <c r="E1375" t="str">
        <f>"15634046117915"</f>
        <v>15634046117915</v>
      </c>
      <c r="F1375" s="8">
        <v>585</v>
      </c>
      <c r="G1375" s="8">
        <v>7268</v>
      </c>
      <c r="H1375" s="8">
        <v>1822</v>
      </c>
      <c r="I1375" s="8">
        <v>4980</v>
      </c>
    </row>
    <row r="1376" spans="1:9" x14ac:dyDescent="0.2">
      <c r="A1376" t="s">
        <v>336</v>
      </c>
      <c r="B1376" t="s">
        <v>346</v>
      </c>
      <c r="C1376" t="str">
        <f t="shared" si="70"/>
        <v>15634040000000</v>
      </c>
      <c r="D1376" t="s">
        <v>3276</v>
      </c>
      <c r="E1376" t="str">
        <f>"15634046115471"</f>
        <v>15634046115471</v>
      </c>
      <c r="F1376" s="8">
        <v>740</v>
      </c>
      <c r="G1376" s="8">
        <v>7456</v>
      </c>
      <c r="H1376" s="8">
        <v>1701</v>
      </c>
      <c r="I1376" s="8">
        <v>4650</v>
      </c>
    </row>
    <row r="1377" spans="1:9" x14ac:dyDescent="0.2">
      <c r="A1377" t="s">
        <v>336</v>
      </c>
      <c r="B1377" t="s">
        <v>346</v>
      </c>
      <c r="C1377" t="str">
        <f t="shared" si="70"/>
        <v>15634040000000</v>
      </c>
      <c r="D1377" t="s">
        <v>2500</v>
      </c>
      <c r="E1377" t="str">
        <f>"15634046009377"</f>
        <v>15634046009377</v>
      </c>
      <c r="F1377" s="8">
        <v>843</v>
      </c>
      <c r="G1377" s="8">
        <v>7073</v>
      </c>
      <c r="H1377" s="8">
        <v>1567</v>
      </c>
      <c r="I1377" s="8">
        <v>4283</v>
      </c>
    </row>
    <row r="1378" spans="1:9" x14ac:dyDescent="0.2">
      <c r="A1378" t="s">
        <v>336</v>
      </c>
      <c r="B1378" t="s">
        <v>346</v>
      </c>
      <c r="C1378" t="str">
        <f t="shared" si="70"/>
        <v>15634040000000</v>
      </c>
      <c r="D1378" t="s">
        <v>3277</v>
      </c>
      <c r="E1378" t="str">
        <f>"15634046111355"</f>
        <v>15634046111355</v>
      </c>
      <c r="F1378" s="8">
        <v>709</v>
      </c>
      <c r="G1378" s="8">
        <v>7874</v>
      </c>
      <c r="H1378" s="8">
        <v>1359</v>
      </c>
      <c r="I1378" s="8">
        <v>3715</v>
      </c>
    </row>
    <row r="1379" spans="1:9" x14ac:dyDescent="0.2">
      <c r="A1379" t="s">
        <v>336</v>
      </c>
      <c r="B1379" t="s">
        <v>346</v>
      </c>
      <c r="C1379" t="str">
        <f t="shared" si="70"/>
        <v>15634040000000</v>
      </c>
      <c r="D1379" t="s">
        <v>2808</v>
      </c>
      <c r="E1379" t="str">
        <f>"15634040106575"</f>
        <v>15634040106575</v>
      </c>
      <c r="F1379" s="8">
        <v>1313</v>
      </c>
      <c r="G1379" s="8">
        <v>7431</v>
      </c>
      <c r="H1379" s="8">
        <v>1298</v>
      </c>
      <c r="I1379" s="8">
        <v>3550</v>
      </c>
    </row>
    <row r="1380" spans="1:9" x14ac:dyDescent="0.2">
      <c r="A1380" t="s">
        <v>336</v>
      </c>
      <c r="B1380" t="s">
        <v>346</v>
      </c>
      <c r="C1380" t="str">
        <f t="shared" si="70"/>
        <v>15634040000000</v>
      </c>
      <c r="D1380" t="s">
        <v>3278</v>
      </c>
      <c r="E1380" t="str">
        <f>"15634046009393"</f>
        <v>15634046009393</v>
      </c>
      <c r="F1380" s="8">
        <v>680</v>
      </c>
      <c r="G1380" s="8">
        <v>6759</v>
      </c>
      <c r="H1380" s="8">
        <v>1634</v>
      </c>
      <c r="I1380" s="8">
        <v>4467</v>
      </c>
    </row>
    <row r="1381" spans="1:9" x14ac:dyDescent="0.2">
      <c r="A1381" t="s">
        <v>336</v>
      </c>
      <c r="B1381" t="s">
        <v>346</v>
      </c>
      <c r="C1381" t="str">
        <f t="shared" si="70"/>
        <v>15634040000000</v>
      </c>
      <c r="D1381" t="s">
        <v>3279</v>
      </c>
      <c r="E1381" t="str">
        <f>"15634046009344"</f>
        <v>15634046009344</v>
      </c>
      <c r="F1381" s="8">
        <v>663</v>
      </c>
      <c r="G1381" s="8">
        <v>7209</v>
      </c>
      <c r="H1381" s="8">
        <v>1154</v>
      </c>
      <c r="I1381" s="8">
        <v>3155</v>
      </c>
    </row>
    <row r="1382" spans="1:9" x14ac:dyDescent="0.2">
      <c r="A1382" t="s">
        <v>336</v>
      </c>
      <c r="B1382" t="s">
        <v>347</v>
      </c>
      <c r="C1382" t="str">
        <f>"15634200000000"</f>
        <v>15634200000000</v>
      </c>
      <c r="D1382" t="s">
        <v>347</v>
      </c>
      <c r="E1382" t="str">
        <f>"15634206009419"</f>
        <v>15634206009419</v>
      </c>
      <c r="F1382" s="8">
        <v>6409</v>
      </c>
      <c r="G1382" s="8">
        <v>7970</v>
      </c>
      <c r="H1382" s="8">
        <v>0</v>
      </c>
      <c r="I1382" s="8">
        <v>0</v>
      </c>
    </row>
    <row r="1383" spans="1:9" x14ac:dyDescent="0.2">
      <c r="A1383" t="s">
        <v>336</v>
      </c>
      <c r="B1383" t="s">
        <v>348</v>
      </c>
      <c r="C1383" t="str">
        <f>"15634380000000"</f>
        <v>15634380000000</v>
      </c>
      <c r="D1383" t="s">
        <v>3280</v>
      </c>
      <c r="E1383" t="str">
        <f>"15634386009435"</f>
        <v>15634386009435</v>
      </c>
      <c r="F1383" s="8">
        <v>1876</v>
      </c>
      <c r="G1383" s="8">
        <v>10110</v>
      </c>
      <c r="H1383" s="8">
        <v>301</v>
      </c>
      <c r="I1383" s="8">
        <v>1601</v>
      </c>
    </row>
    <row r="1384" spans="1:9" x14ac:dyDescent="0.2">
      <c r="A1384" t="s">
        <v>336</v>
      </c>
      <c r="B1384" t="s">
        <v>348</v>
      </c>
      <c r="C1384" t="str">
        <f>"15634380000000"</f>
        <v>15634380000000</v>
      </c>
      <c r="D1384" t="s">
        <v>3281</v>
      </c>
      <c r="E1384" t="str">
        <f>"15634386009443"</f>
        <v>15634386009443</v>
      </c>
      <c r="F1384" s="8">
        <v>1344</v>
      </c>
      <c r="G1384" s="8">
        <v>7358</v>
      </c>
      <c r="H1384" s="8">
        <v>301</v>
      </c>
      <c r="I1384" s="8">
        <v>1601</v>
      </c>
    </row>
    <row r="1385" spans="1:9" x14ac:dyDescent="0.2">
      <c r="A1385" t="s">
        <v>336</v>
      </c>
      <c r="B1385" t="s">
        <v>349</v>
      </c>
      <c r="C1385" t="str">
        <f>"15751680000000"</f>
        <v>15751680000000</v>
      </c>
      <c r="D1385" t="s">
        <v>3282</v>
      </c>
      <c r="E1385" t="str">
        <f>"15751681530401"</f>
        <v>15751681530401</v>
      </c>
      <c r="F1385" s="8">
        <v>1813</v>
      </c>
      <c r="G1385" s="8">
        <v>8283</v>
      </c>
      <c r="H1385" s="8">
        <v>834</v>
      </c>
      <c r="I1385" s="8">
        <v>3621</v>
      </c>
    </row>
    <row r="1386" spans="1:9" x14ac:dyDescent="0.2">
      <c r="A1386" t="s">
        <v>336</v>
      </c>
      <c r="B1386" t="s">
        <v>349</v>
      </c>
      <c r="C1386" t="str">
        <f>"15751680000000"</f>
        <v>15751680000000</v>
      </c>
      <c r="D1386" t="s">
        <v>3283</v>
      </c>
      <c r="E1386" t="str">
        <f>"15751686009468"</f>
        <v>15751686009468</v>
      </c>
      <c r="F1386" s="8">
        <v>2524</v>
      </c>
      <c r="G1386" s="8">
        <v>6633</v>
      </c>
      <c r="H1386" s="8">
        <v>834</v>
      </c>
      <c r="I1386" s="8">
        <v>3621</v>
      </c>
    </row>
    <row r="1387" spans="1:9" x14ac:dyDescent="0.2">
      <c r="A1387" t="s">
        <v>336</v>
      </c>
      <c r="B1387" t="s">
        <v>349</v>
      </c>
      <c r="C1387" t="str">
        <f>"15751680000000"</f>
        <v>15751680000000</v>
      </c>
      <c r="D1387" t="s">
        <v>3284</v>
      </c>
      <c r="E1387" t="str">
        <f>"15751686009476"</f>
        <v>15751686009476</v>
      </c>
      <c r="F1387" s="8">
        <v>2029</v>
      </c>
      <c r="G1387" s="8">
        <v>5595</v>
      </c>
      <c r="H1387" s="8">
        <v>834</v>
      </c>
      <c r="I1387" s="8">
        <v>3621</v>
      </c>
    </row>
    <row r="1388" spans="1:9" x14ac:dyDescent="0.2">
      <c r="A1388" t="s">
        <v>336</v>
      </c>
      <c r="B1388" t="s">
        <v>350</v>
      </c>
      <c r="C1388" t="str">
        <f>"15634460000000"</f>
        <v>15634460000000</v>
      </c>
      <c r="D1388" t="s">
        <v>350</v>
      </c>
      <c r="E1388" t="str">
        <f>"15634466009450"</f>
        <v>15634466009450</v>
      </c>
      <c r="F1388" s="8">
        <v>1298</v>
      </c>
      <c r="G1388" s="8">
        <v>11395</v>
      </c>
      <c r="H1388" s="8">
        <v>0</v>
      </c>
      <c r="I1388" s="8">
        <v>0</v>
      </c>
    </row>
    <row r="1389" spans="1:9" x14ac:dyDescent="0.2">
      <c r="A1389" t="s">
        <v>336</v>
      </c>
      <c r="B1389" t="s">
        <v>351</v>
      </c>
      <c r="C1389" t="str">
        <f>"15634610000000"</f>
        <v>15634610000000</v>
      </c>
      <c r="D1389" t="s">
        <v>3285</v>
      </c>
      <c r="E1389" t="str">
        <f>"15634610107987"</f>
        <v>15634610107987</v>
      </c>
      <c r="F1389" s="8">
        <v>1819</v>
      </c>
      <c r="G1389" s="8">
        <v>7919</v>
      </c>
      <c r="H1389" s="8">
        <v>2049</v>
      </c>
      <c r="I1389" s="8">
        <v>5590</v>
      </c>
    </row>
    <row r="1390" spans="1:9" x14ac:dyDescent="0.2">
      <c r="A1390" t="s">
        <v>336</v>
      </c>
      <c r="B1390" t="s">
        <v>351</v>
      </c>
      <c r="C1390" t="str">
        <f>"15634610000000"</f>
        <v>15634610000000</v>
      </c>
      <c r="D1390" t="s">
        <v>3286</v>
      </c>
      <c r="E1390" t="str">
        <f>"15634616009500"</f>
        <v>15634616009500</v>
      </c>
      <c r="F1390" s="8">
        <v>1849</v>
      </c>
      <c r="G1390" s="8">
        <v>7713</v>
      </c>
      <c r="H1390" s="8">
        <v>2049</v>
      </c>
      <c r="I1390" s="8">
        <v>5590</v>
      </c>
    </row>
    <row r="1391" spans="1:9" x14ac:dyDescent="0.2">
      <c r="A1391" t="s">
        <v>336</v>
      </c>
      <c r="B1391" t="s">
        <v>351</v>
      </c>
      <c r="C1391" t="str">
        <f>"15634610000000"</f>
        <v>15634610000000</v>
      </c>
      <c r="D1391" t="s">
        <v>3287</v>
      </c>
      <c r="E1391" t="str">
        <f>"15634610106690"</f>
        <v>15634610106690</v>
      </c>
      <c r="F1391" s="8">
        <v>1816</v>
      </c>
      <c r="G1391" s="8">
        <v>6937</v>
      </c>
      <c r="H1391" s="8">
        <v>2049</v>
      </c>
      <c r="I1391" s="8">
        <v>5590</v>
      </c>
    </row>
    <row r="1392" spans="1:9" x14ac:dyDescent="0.2">
      <c r="A1392" t="s">
        <v>336</v>
      </c>
      <c r="B1392" t="s">
        <v>351</v>
      </c>
      <c r="C1392" t="str">
        <f>"15634610000000"</f>
        <v>15634610000000</v>
      </c>
      <c r="D1392" t="s">
        <v>3288</v>
      </c>
      <c r="E1392" t="str">
        <f>"15634610129130"</f>
        <v>15634610129130</v>
      </c>
      <c r="F1392" s="8">
        <v>1529</v>
      </c>
      <c r="G1392" s="8">
        <v>6618</v>
      </c>
      <c r="H1392" s="8">
        <v>2049</v>
      </c>
      <c r="I1392" s="8">
        <v>5590</v>
      </c>
    </row>
    <row r="1393" spans="1:9" x14ac:dyDescent="0.2">
      <c r="A1393" t="s">
        <v>336</v>
      </c>
      <c r="B1393" t="s">
        <v>352</v>
      </c>
      <c r="C1393" t="str">
        <f>"15634790000000"</f>
        <v>15634790000000</v>
      </c>
      <c r="D1393" t="s">
        <v>3289</v>
      </c>
      <c r="E1393" t="str">
        <f>"15634796109987"</f>
        <v>15634796109987</v>
      </c>
      <c r="F1393" s="8">
        <v>241</v>
      </c>
      <c r="G1393" s="8">
        <v>8628</v>
      </c>
      <c r="H1393" s="8">
        <v>758</v>
      </c>
      <c r="I1393" s="8">
        <v>2772</v>
      </c>
    </row>
    <row r="1394" spans="1:9" x14ac:dyDescent="0.2">
      <c r="A1394" t="s">
        <v>336</v>
      </c>
      <c r="B1394" t="s">
        <v>352</v>
      </c>
      <c r="C1394" t="str">
        <f>"15634790000000"</f>
        <v>15634790000000</v>
      </c>
      <c r="D1394" t="s">
        <v>1708</v>
      </c>
      <c r="E1394" t="str">
        <f>"15634796112783"</f>
        <v>15634796112783</v>
      </c>
      <c r="F1394" s="8">
        <v>166</v>
      </c>
      <c r="G1394" s="8">
        <v>8492</v>
      </c>
      <c r="H1394" s="8">
        <v>758</v>
      </c>
      <c r="I1394" s="8">
        <v>2771</v>
      </c>
    </row>
    <row r="1395" spans="1:9" x14ac:dyDescent="0.2">
      <c r="A1395" t="s">
        <v>336</v>
      </c>
      <c r="B1395" t="s">
        <v>352</v>
      </c>
      <c r="C1395" t="str">
        <f>"15634790000000"</f>
        <v>15634790000000</v>
      </c>
      <c r="D1395" t="s">
        <v>3290</v>
      </c>
      <c r="E1395" t="str">
        <f>"15634796101588"</f>
        <v>15634796101588</v>
      </c>
      <c r="F1395" s="8">
        <v>374</v>
      </c>
      <c r="G1395" s="8">
        <v>7572</v>
      </c>
      <c r="H1395" s="8">
        <v>758</v>
      </c>
      <c r="I1395" s="8">
        <v>2771</v>
      </c>
    </row>
    <row r="1396" spans="1:9" x14ac:dyDescent="0.2">
      <c r="A1396" t="s">
        <v>336</v>
      </c>
      <c r="B1396" t="s">
        <v>352</v>
      </c>
      <c r="C1396" t="str">
        <f>"15634790000000"</f>
        <v>15634790000000</v>
      </c>
      <c r="D1396" t="s">
        <v>3291</v>
      </c>
      <c r="E1396" t="str">
        <f>"15634796112791"</f>
        <v>15634796112791</v>
      </c>
      <c r="F1396" s="8">
        <v>300</v>
      </c>
      <c r="G1396" s="8">
        <v>7418</v>
      </c>
      <c r="H1396" s="8">
        <v>758</v>
      </c>
      <c r="I1396" s="8">
        <v>2772</v>
      </c>
    </row>
    <row r="1397" spans="1:9" x14ac:dyDescent="0.2">
      <c r="A1397" t="s">
        <v>336</v>
      </c>
      <c r="B1397" t="s">
        <v>352</v>
      </c>
      <c r="C1397" t="str">
        <f>"15634790000000"</f>
        <v>15634790000000</v>
      </c>
      <c r="D1397" t="s">
        <v>3292</v>
      </c>
      <c r="E1397" t="str">
        <f>"15634796104004"</f>
        <v>15634796104004</v>
      </c>
      <c r="F1397" s="8">
        <v>101</v>
      </c>
      <c r="G1397" s="8">
        <v>7565</v>
      </c>
      <c r="H1397" s="8">
        <v>758</v>
      </c>
      <c r="I1397" s="8">
        <v>2771</v>
      </c>
    </row>
    <row r="1398" spans="1:9" x14ac:dyDescent="0.2">
      <c r="A1398" t="s">
        <v>336</v>
      </c>
      <c r="B1398" t="s">
        <v>353</v>
      </c>
      <c r="C1398" t="str">
        <f>"15634870000000"</f>
        <v>15634870000000</v>
      </c>
      <c r="D1398" t="s">
        <v>353</v>
      </c>
      <c r="E1398" t="str">
        <f>"15634876009534"</f>
        <v>15634876009534</v>
      </c>
      <c r="F1398" s="8">
        <v>1106</v>
      </c>
      <c r="G1398" s="8">
        <v>10531</v>
      </c>
      <c r="H1398" s="8">
        <v>323</v>
      </c>
      <c r="I1398" s="8">
        <v>2817</v>
      </c>
    </row>
    <row r="1399" spans="1:9" x14ac:dyDescent="0.2">
      <c r="A1399" t="s">
        <v>336</v>
      </c>
      <c r="B1399" t="s">
        <v>354</v>
      </c>
      <c r="C1399" t="str">
        <f t="shared" ref="C1399:C1410" si="71">"15635030000000"</f>
        <v>15635030000000</v>
      </c>
      <c r="D1399" t="s">
        <v>3293</v>
      </c>
      <c r="E1399" t="str">
        <f>"15635030120865"</f>
        <v>15635030120865</v>
      </c>
      <c r="F1399" s="8">
        <v>533</v>
      </c>
      <c r="G1399" s="8">
        <v>57591</v>
      </c>
      <c r="H1399" s="8">
        <v>1555</v>
      </c>
      <c r="I1399" s="8">
        <v>2501</v>
      </c>
    </row>
    <row r="1400" spans="1:9" x14ac:dyDescent="0.2">
      <c r="A1400" t="s">
        <v>336</v>
      </c>
      <c r="B1400" t="s">
        <v>354</v>
      </c>
      <c r="C1400" t="str">
        <f t="shared" si="71"/>
        <v>15635030000000</v>
      </c>
      <c r="D1400" t="s">
        <v>2185</v>
      </c>
      <c r="E1400" t="str">
        <f>"15635036009559"</f>
        <v>15635036009559</v>
      </c>
      <c r="F1400" s="8">
        <v>817</v>
      </c>
      <c r="G1400" s="8">
        <v>9105</v>
      </c>
      <c r="H1400" s="8">
        <v>1555</v>
      </c>
      <c r="I1400" s="8">
        <v>2501</v>
      </c>
    </row>
    <row r="1401" spans="1:9" x14ac:dyDescent="0.2">
      <c r="A1401" t="s">
        <v>336</v>
      </c>
      <c r="B1401" t="s">
        <v>354</v>
      </c>
      <c r="C1401" t="str">
        <f t="shared" si="71"/>
        <v>15635030000000</v>
      </c>
      <c r="D1401" t="s">
        <v>3294</v>
      </c>
      <c r="E1401" t="str">
        <f>"15635036009583"</f>
        <v>15635036009583</v>
      </c>
      <c r="F1401" s="8">
        <v>1089</v>
      </c>
      <c r="G1401" s="8">
        <v>8718</v>
      </c>
      <c r="H1401" s="8">
        <v>1555</v>
      </c>
      <c r="I1401" s="8">
        <v>2501</v>
      </c>
    </row>
    <row r="1402" spans="1:9" x14ac:dyDescent="0.2">
      <c r="A1402" t="s">
        <v>336</v>
      </c>
      <c r="B1402" t="s">
        <v>354</v>
      </c>
      <c r="C1402" t="str">
        <f t="shared" si="71"/>
        <v>15635030000000</v>
      </c>
      <c r="D1402" t="s">
        <v>3295</v>
      </c>
      <c r="E1402" t="str">
        <f>"15635036111157"</f>
        <v>15635036111157</v>
      </c>
      <c r="F1402" s="8">
        <v>1197</v>
      </c>
      <c r="G1402" s="8">
        <v>8434</v>
      </c>
      <c r="H1402" s="8">
        <v>1555</v>
      </c>
      <c r="I1402" s="8">
        <v>2501</v>
      </c>
    </row>
    <row r="1403" spans="1:9" x14ac:dyDescent="0.2">
      <c r="A1403" t="s">
        <v>336</v>
      </c>
      <c r="B1403" t="s">
        <v>354</v>
      </c>
      <c r="C1403" t="str">
        <f t="shared" si="71"/>
        <v>15635030000000</v>
      </c>
      <c r="D1403" t="s">
        <v>3296</v>
      </c>
      <c r="E1403" t="str">
        <f>"15635030110767"</f>
        <v>15635030110767</v>
      </c>
      <c r="F1403" s="8">
        <v>1391</v>
      </c>
      <c r="G1403" s="8">
        <v>7650</v>
      </c>
      <c r="H1403" s="8">
        <v>1555</v>
      </c>
      <c r="I1403" s="8">
        <v>2501</v>
      </c>
    </row>
    <row r="1404" spans="1:9" x14ac:dyDescent="0.2">
      <c r="A1404" t="s">
        <v>336</v>
      </c>
      <c r="B1404" t="s">
        <v>354</v>
      </c>
      <c r="C1404" t="str">
        <f t="shared" si="71"/>
        <v>15635030000000</v>
      </c>
      <c r="D1404" t="s">
        <v>3297</v>
      </c>
      <c r="E1404" t="str">
        <f>"15635036108468"</f>
        <v>15635036108468</v>
      </c>
      <c r="F1404" s="8">
        <v>754</v>
      </c>
      <c r="G1404" s="8">
        <v>8214</v>
      </c>
      <c r="H1404" s="8">
        <v>1555</v>
      </c>
      <c r="I1404" s="8">
        <v>2501</v>
      </c>
    </row>
    <row r="1405" spans="1:9" x14ac:dyDescent="0.2">
      <c r="A1405" t="s">
        <v>336</v>
      </c>
      <c r="B1405" t="s">
        <v>354</v>
      </c>
      <c r="C1405" t="str">
        <f t="shared" si="71"/>
        <v>15635030000000</v>
      </c>
      <c r="D1405" t="s">
        <v>3298</v>
      </c>
      <c r="E1405" t="str">
        <f>"15635036009591"</f>
        <v>15635036009591</v>
      </c>
      <c r="F1405" s="8">
        <v>749</v>
      </c>
      <c r="G1405" s="8">
        <v>7765</v>
      </c>
      <c r="H1405" s="8">
        <v>1555</v>
      </c>
      <c r="I1405" s="8">
        <v>2501</v>
      </c>
    </row>
    <row r="1406" spans="1:9" x14ac:dyDescent="0.2">
      <c r="A1406" t="s">
        <v>336</v>
      </c>
      <c r="B1406" t="s">
        <v>354</v>
      </c>
      <c r="C1406" t="str">
        <f t="shared" si="71"/>
        <v>15635030000000</v>
      </c>
      <c r="D1406" t="s">
        <v>3299</v>
      </c>
      <c r="E1406" t="str">
        <f>"15635036009567"</f>
        <v>15635036009567</v>
      </c>
      <c r="F1406" s="8">
        <v>583</v>
      </c>
      <c r="G1406" s="8">
        <v>7889</v>
      </c>
      <c r="H1406" s="8">
        <v>1555</v>
      </c>
      <c r="I1406" s="8">
        <v>2501</v>
      </c>
    </row>
    <row r="1407" spans="1:9" x14ac:dyDescent="0.2">
      <c r="A1407" t="s">
        <v>336</v>
      </c>
      <c r="B1407" t="s">
        <v>354</v>
      </c>
      <c r="C1407" t="str">
        <f t="shared" si="71"/>
        <v>15635030000000</v>
      </c>
      <c r="D1407" t="s">
        <v>3300</v>
      </c>
      <c r="E1407" t="str">
        <f>"15635036112270"</f>
        <v>15635036112270</v>
      </c>
      <c r="F1407" s="8">
        <v>788</v>
      </c>
      <c r="G1407" s="8">
        <v>7626</v>
      </c>
      <c r="H1407" s="8">
        <v>1555</v>
      </c>
      <c r="I1407" s="8">
        <v>2501</v>
      </c>
    </row>
    <row r="1408" spans="1:9" x14ac:dyDescent="0.2">
      <c r="A1408" t="s">
        <v>336</v>
      </c>
      <c r="B1408" t="s">
        <v>354</v>
      </c>
      <c r="C1408" t="str">
        <f t="shared" si="71"/>
        <v>15635030000000</v>
      </c>
      <c r="D1408" t="s">
        <v>3301</v>
      </c>
      <c r="E1408" t="str">
        <f>"15635030101014"</f>
        <v>15635030101014</v>
      </c>
      <c r="F1408" s="8">
        <v>787</v>
      </c>
      <c r="G1408" s="8">
        <v>7556</v>
      </c>
      <c r="H1408" s="8">
        <v>1555</v>
      </c>
      <c r="I1408" s="8">
        <v>2501</v>
      </c>
    </row>
    <row r="1409" spans="1:9" x14ac:dyDescent="0.2">
      <c r="A1409" t="s">
        <v>336</v>
      </c>
      <c r="B1409" t="s">
        <v>354</v>
      </c>
      <c r="C1409" t="str">
        <f t="shared" si="71"/>
        <v>15635030000000</v>
      </c>
      <c r="D1409" t="s">
        <v>3302</v>
      </c>
      <c r="E1409" t="str">
        <f>"15635030116715"</f>
        <v>15635030116715</v>
      </c>
      <c r="F1409" s="8">
        <v>608</v>
      </c>
      <c r="G1409" s="8">
        <v>7553</v>
      </c>
      <c r="H1409" s="8">
        <v>1555</v>
      </c>
      <c r="I1409" s="8">
        <v>2501</v>
      </c>
    </row>
    <row r="1410" spans="1:9" x14ac:dyDescent="0.2">
      <c r="A1410" t="s">
        <v>336</v>
      </c>
      <c r="B1410" t="s">
        <v>354</v>
      </c>
      <c r="C1410" t="str">
        <f t="shared" si="71"/>
        <v>15635030000000</v>
      </c>
      <c r="D1410" t="s">
        <v>2595</v>
      </c>
      <c r="E1410" t="str">
        <f>"15635030100685"</f>
        <v>15635030100685</v>
      </c>
      <c r="F1410" s="8">
        <v>1206</v>
      </c>
      <c r="G1410" s="8">
        <v>6763</v>
      </c>
      <c r="H1410" s="8">
        <v>1555</v>
      </c>
      <c r="I1410" s="8">
        <v>2501</v>
      </c>
    </row>
    <row r="1411" spans="1:9" x14ac:dyDescent="0.2">
      <c r="A1411" t="s">
        <v>336</v>
      </c>
      <c r="B1411" t="s">
        <v>359</v>
      </c>
      <c r="C1411" t="str">
        <f>"15101570000000"</f>
        <v>15101570000000</v>
      </c>
      <c r="D1411" t="s">
        <v>3303</v>
      </c>
      <c r="E1411" t="str">
        <f>"15101576069496"</f>
        <v>15101576069496</v>
      </c>
      <c r="F1411" s="8">
        <v>1665</v>
      </c>
      <c r="G1411" s="8">
        <v>37959</v>
      </c>
      <c r="H1411" s="8">
        <v>0</v>
      </c>
      <c r="I1411" s="8">
        <v>5712</v>
      </c>
    </row>
    <row r="1412" spans="1:9" x14ac:dyDescent="0.2">
      <c r="A1412" t="s">
        <v>336</v>
      </c>
      <c r="B1412" t="s">
        <v>359</v>
      </c>
      <c r="C1412" t="str">
        <f>"15101570000000"</f>
        <v>15101570000000</v>
      </c>
      <c r="D1412" t="s">
        <v>3304</v>
      </c>
      <c r="E1412" t="str">
        <f>"15101571530302"</f>
        <v>15101571530302</v>
      </c>
      <c r="F1412" s="8">
        <v>2414</v>
      </c>
      <c r="G1412" s="8">
        <v>17817</v>
      </c>
      <c r="H1412" s="8">
        <v>292</v>
      </c>
      <c r="I1412" s="8">
        <v>2759</v>
      </c>
    </row>
    <row r="1413" spans="1:9" x14ac:dyDescent="0.2">
      <c r="A1413" t="s">
        <v>336</v>
      </c>
      <c r="B1413" t="s">
        <v>359</v>
      </c>
      <c r="C1413" t="str">
        <f>"15101570000000"</f>
        <v>15101570000000</v>
      </c>
      <c r="D1413" t="s">
        <v>3305</v>
      </c>
      <c r="E1413" t="str">
        <f>"15101571530310"</f>
        <v>15101571530310</v>
      </c>
      <c r="F1413" s="8">
        <v>2648</v>
      </c>
      <c r="G1413" s="8">
        <v>17678</v>
      </c>
      <c r="H1413" s="8">
        <v>324</v>
      </c>
      <c r="I1413" s="8">
        <v>1516</v>
      </c>
    </row>
    <row r="1414" spans="1:9" x14ac:dyDescent="0.2">
      <c r="A1414" t="s">
        <v>336</v>
      </c>
      <c r="B1414" t="s">
        <v>359</v>
      </c>
      <c r="C1414" t="str">
        <f>"15101570000000"</f>
        <v>15101570000000</v>
      </c>
      <c r="D1414" t="s">
        <v>3306</v>
      </c>
      <c r="E1414" t="str">
        <f>"15101571530492"</f>
        <v>15101571530492</v>
      </c>
      <c r="F1414" s="8">
        <v>63</v>
      </c>
      <c r="G1414" s="8">
        <v>9104</v>
      </c>
      <c r="H1414" s="8">
        <v>0</v>
      </c>
      <c r="I1414" s="8">
        <v>59</v>
      </c>
    </row>
    <row r="1415" spans="1:9" x14ac:dyDescent="0.2">
      <c r="A1415" t="s">
        <v>336</v>
      </c>
      <c r="B1415" t="s">
        <v>360</v>
      </c>
      <c r="C1415" t="str">
        <f t="shared" ref="C1415:C1438" si="72">"15635290000000"</f>
        <v>15635290000000</v>
      </c>
      <c r="D1415" t="s">
        <v>3307</v>
      </c>
      <c r="E1415" t="str">
        <f>"15635291536325"</f>
        <v>15635291536325</v>
      </c>
      <c r="F1415" s="8">
        <v>1566</v>
      </c>
      <c r="G1415" s="8">
        <v>20365</v>
      </c>
      <c r="H1415" s="8">
        <v>1588</v>
      </c>
      <c r="I1415" s="8">
        <v>5147</v>
      </c>
    </row>
    <row r="1416" spans="1:9" x14ac:dyDescent="0.2">
      <c r="A1416" t="s">
        <v>336</v>
      </c>
      <c r="B1416" t="s">
        <v>360</v>
      </c>
      <c r="C1416" t="str">
        <f t="shared" si="72"/>
        <v>15635290000000</v>
      </c>
      <c r="D1416" t="s">
        <v>3308</v>
      </c>
      <c r="E1416" t="str">
        <f>"15635291530047"</f>
        <v>15635291530047</v>
      </c>
      <c r="F1416" s="8">
        <v>1270</v>
      </c>
      <c r="G1416" s="8">
        <v>19092</v>
      </c>
      <c r="H1416" s="8">
        <v>1680</v>
      </c>
      <c r="I1416" s="8">
        <v>3367</v>
      </c>
    </row>
    <row r="1417" spans="1:9" x14ac:dyDescent="0.2">
      <c r="A1417" t="s">
        <v>336</v>
      </c>
      <c r="B1417" t="s">
        <v>360</v>
      </c>
      <c r="C1417" t="str">
        <f t="shared" si="72"/>
        <v>15635290000000</v>
      </c>
      <c r="D1417" t="s">
        <v>3309</v>
      </c>
      <c r="E1417" t="str">
        <f>"15635290125062"</f>
        <v>15635290125062</v>
      </c>
      <c r="F1417" s="8">
        <v>1351</v>
      </c>
      <c r="G1417" s="8">
        <v>16523</v>
      </c>
      <c r="H1417" s="8">
        <v>1528</v>
      </c>
      <c r="I1417" s="8">
        <v>4243</v>
      </c>
    </row>
    <row r="1418" spans="1:9" x14ac:dyDescent="0.2">
      <c r="A1418" t="s">
        <v>336</v>
      </c>
      <c r="B1418" t="s">
        <v>360</v>
      </c>
      <c r="C1418" t="str">
        <f t="shared" si="72"/>
        <v>15635290000000</v>
      </c>
      <c r="D1418" t="s">
        <v>3310</v>
      </c>
      <c r="E1418" t="str">
        <f>"15635291530112"</f>
        <v>15635291530112</v>
      </c>
      <c r="F1418" s="8">
        <v>937</v>
      </c>
      <c r="G1418" s="8">
        <v>15909</v>
      </c>
      <c r="H1418" s="8">
        <v>1333</v>
      </c>
      <c r="I1418" s="8">
        <v>5364</v>
      </c>
    </row>
    <row r="1419" spans="1:9" x14ac:dyDescent="0.2">
      <c r="A1419" t="s">
        <v>336</v>
      </c>
      <c r="B1419" t="s">
        <v>360</v>
      </c>
      <c r="C1419" t="str">
        <f t="shared" si="72"/>
        <v>15635290000000</v>
      </c>
      <c r="D1419" t="s">
        <v>3311</v>
      </c>
      <c r="E1419" t="str">
        <f>"15635291533538"</f>
        <v>15635291533538</v>
      </c>
      <c r="F1419" s="8">
        <v>1493</v>
      </c>
      <c r="G1419" s="8">
        <v>15213</v>
      </c>
      <c r="H1419" s="8">
        <v>1649</v>
      </c>
      <c r="I1419" s="8">
        <v>4967</v>
      </c>
    </row>
    <row r="1420" spans="1:9" x14ac:dyDescent="0.2">
      <c r="A1420" t="s">
        <v>336</v>
      </c>
      <c r="B1420" t="s">
        <v>360</v>
      </c>
      <c r="C1420" t="str">
        <f t="shared" si="72"/>
        <v>15635290000000</v>
      </c>
      <c r="D1420" t="s">
        <v>3312</v>
      </c>
      <c r="E1420" t="str">
        <f>"15635291530021"</f>
        <v>15635291530021</v>
      </c>
      <c r="F1420" s="8">
        <v>395</v>
      </c>
      <c r="G1420" s="8">
        <v>15499</v>
      </c>
      <c r="H1420" s="8">
        <v>1338</v>
      </c>
      <c r="I1420" s="8">
        <v>3938</v>
      </c>
    </row>
    <row r="1421" spans="1:9" x14ac:dyDescent="0.2">
      <c r="A1421" t="s">
        <v>336</v>
      </c>
      <c r="B1421" t="s">
        <v>360</v>
      </c>
      <c r="C1421" t="str">
        <f t="shared" si="72"/>
        <v>15635290000000</v>
      </c>
      <c r="D1421" t="s">
        <v>3313</v>
      </c>
      <c r="E1421" t="str">
        <f>"15635291535087"</f>
        <v>15635291535087</v>
      </c>
      <c r="F1421" s="8">
        <v>1289</v>
      </c>
      <c r="G1421" s="8">
        <v>8813</v>
      </c>
      <c r="H1421" s="8">
        <v>1844</v>
      </c>
      <c r="I1421" s="8">
        <v>3637</v>
      </c>
    </row>
    <row r="1422" spans="1:9" x14ac:dyDescent="0.2">
      <c r="A1422" t="s">
        <v>336</v>
      </c>
      <c r="B1422" t="s">
        <v>360</v>
      </c>
      <c r="C1422" t="str">
        <f t="shared" si="72"/>
        <v>15635290000000</v>
      </c>
      <c r="D1422" t="s">
        <v>3314</v>
      </c>
      <c r="E1422" t="str">
        <f>"15635291536606"</f>
        <v>15635291536606</v>
      </c>
      <c r="F1422" s="8">
        <v>896</v>
      </c>
      <c r="G1422" s="8">
        <v>8058</v>
      </c>
      <c r="H1422" s="8">
        <v>1433</v>
      </c>
      <c r="I1422" s="8">
        <v>3674</v>
      </c>
    </row>
    <row r="1423" spans="1:9" x14ac:dyDescent="0.2">
      <c r="A1423" t="s">
        <v>336</v>
      </c>
      <c r="B1423" t="s">
        <v>360</v>
      </c>
      <c r="C1423" t="str">
        <f t="shared" si="72"/>
        <v>15635290000000</v>
      </c>
      <c r="D1423" t="s">
        <v>2331</v>
      </c>
      <c r="E1423" t="str">
        <f>"15635291532605"</f>
        <v>15635291532605</v>
      </c>
      <c r="F1423" s="8">
        <v>819</v>
      </c>
      <c r="G1423" s="8">
        <v>7746</v>
      </c>
      <c r="H1423" s="8">
        <v>1343</v>
      </c>
      <c r="I1423" s="8">
        <v>3445</v>
      </c>
    </row>
    <row r="1424" spans="1:9" x14ac:dyDescent="0.2">
      <c r="A1424" t="s">
        <v>336</v>
      </c>
      <c r="B1424" t="s">
        <v>360</v>
      </c>
      <c r="C1424" t="str">
        <f t="shared" si="72"/>
        <v>15635290000000</v>
      </c>
      <c r="D1424" t="s">
        <v>3315</v>
      </c>
      <c r="E1424" t="str">
        <f>"15635291532290"</f>
        <v>15635291532290</v>
      </c>
      <c r="F1424" s="8">
        <v>886</v>
      </c>
      <c r="G1424" s="8">
        <v>7713</v>
      </c>
      <c r="H1424" s="8">
        <v>1399</v>
      </c>
      <c r="I1424" s="8">
        <v>3301</v>
      </c>
    </row>
    <row r="1425" spans="1:9" x14ac:dyDescent="0.2">
      <c r="A1425" t="s">
        <v>336</v>
      </c>
      <c r="B1425" t="s">
        <v>360</v>
      </c>
      <c r="C1425" t="str">
        <f t="shared" si="72"/>
        <v>15635290000000</v>
      </c>
      <c r="D1425" t="s">
        <v>3316</v>
      </c>
      <c r="E1425" t="str">
        <f>"15635291530252"</f>
        <v>15635291530252</v>
      </c>
      <c r="F1425" s="8">
        <v>965</v>
      </c>
      <c r="G1425" s="8">
        <v>7317</v>
      </c>
      <c r="H1425" s="8">
        <v>1452</v>
      </c>
      <c r="I1425" s="8">
        <v>3434</v>
      </c>
    </row>
    <row r="1426" spans="1:9" x14ac:dyDescent="0.2">
      <c r="A1426" t="s">
        <v>336</v>
      </c>
      <c r="B1426" t="s">
        <v>360</v>
      </c>
      <c r="C1426" t="str">
        <f t="shared" si="72"/>
        <v>15635290000000</v>
      </c>
      <c r="D1426" t="s">
        <v>3317</v>
      </c>
      <c r="E1426" t="str">
        <f>"15635291534775"</f>
        <v>15635291534775</v>
      </c>
      <c r="F1426" s="8">
        <v>814</v>
      </c>
      <c r="G1426" s="8">
        <v>7345</v>
      </c>
      <c r="H1426" s="8">
        <v>1360</v>
      </c>
      <c r="I1426" s="8">
        <v>3596</v>
      </c>
    </row>
    <row r="1427" spans="1:9" x14ac:dyDescent="0.2">
      <c r="A1427" t="s">
        <v>336</v>
      </c>
      <c r="B1427" t="s">
        <v>360</v>
      </c>
      <c r="C1427" t="str">
        <f t="shared" si="72"/>
        <v>15635290000000</v>
      </c>
      <c r="D1427" t="s">
        <v>3318</v>
      </c>
      <c r="E1427" t="str">
        <f>"15635291535392"</f>
        <v>15635291535392</v>
      </c>
      <c r="F1427" s="8">
        <v>910</v>
      </c>
      <c r="G1427" s="8">
        <v>7221</v>
      </c>
      <c r="H1427" s="8">
        <v>1451</v>
      </c>
      <c r="I1427" s="8">
        <v>3430</v>
      </c>
    </row>
    <row r="1428" spans="1:9" x14ac:dyDescent="0.2">
      <c r="A1428" t="s">
        <v>336</v>
      </c>
      <c r="B1428" t="s">
        <v>360</v>
      </c>
      <c r="C1428" t="str">
        <f t="shared" si="72"/>
        <v>15635290000000</v>
      </c>
      <c r="D1428" t="s">
        <v>3319</v>
      </c>
      <c r="E1428" t="str">
        <f>"15635290116400"</f>
        <v>15635290116400</v>
      </c>
      <c r="F1428" s="8">
        <v>831</v>
      </c>
      <c r="G1428" s="8">
        <v>6751</v>
      </c>
      <c r="H1428" s="8">
        <v>1375</v>
      </c>
      <c r="I1428" s="8">
        <v>4027</v>
      </c>
    </row>
    <row r="1429" spans="1:9" x14ac:dyDescent="0.2">
      <c r="A1429" t="s">
        <v>336</v>
      </c>
      <c r="B1429" t="s">
        <v>360</v>
      </c>
      <c r="C1429" t="str">
        <f t="shared" si="72"/>
        <v>15635290000000</v>
      </c>
      <c r="D1429" t="s">
        <v>2545</v>
      </c>
      <c r="E1429" t="str">
        <f>"15635290116392"</f>
        <v>15635290116392</v>
      </c>
      <c r="F1429" s="8">
        <v>787</v>
      </c>
      <c r="G1429" s="8">
        <v>7019</v>
      </c>
      <c r="H1429" s="8">
        <v>1377</v>
      </c>
      <c r="I1429" s="8">
        <v>3717</v>
      </c>
    </row>
    <row r="1430" spans="1:9" x14ac:dyDescent="0.2">
      <c r="A1430" t="s">
        <v>336</v>
      </c>
      <c r="B1430" t="s">
        <v>360</v>
      </c>
      <c r="C1430" t="str">
        <f t="shared" si="72"/>
        <v>15635290000000</v>
      </c>
      <c r="D1430" t="s">
        <v>3320</v>
      </c>
      <c r="E1430" t="str">
        <f>"15635291530435"</f>
        <v>15635291530435</v>
      </c>
      <c r="F1430" s="8">
        <v>1398</v>
      </c>
      <c r="G1430" s="8">
        <v>7417</v>
      </c>
      <c r="H1430" s="8">
        <v>1211</v>
      </c>
      <c r="I1430" s="8">
        <v>2848</v>
      </c>
    </row>
    <row r="1431" spans="1:9" x14ac:dyDescent="0.2">
      <c r="A1431" t="s">
        <v>336</v>
      </c>
      <c r="B1431" t="s">
        <v>360</v>
      </c>
      <c r="C1431" t="str">
        <f t="shared" si="72"/>
        <v>15635290000000</v>
      </c>
      <c r="D1431" t="s">
        <v>3321</v>
      </c>
      <c r="E1431" t="str">
        <f>"15635291530708"</f>
        <v>15635291530708</v>
      </c>
      <c r="F1431" s="8">
        <v>848</v>
      </c>
      <c r="G1431" s="8">
        <v>7352</v>
      </c>
      <c r="H1431" s="8">
        <v>1246</v>
      </c>
      <c r="I1431" s="8">
        <v>3176</v>
      </c>
    </row>
    <row r="1432" spans="1:9" x14ac:dyDescent="0.2">
      <c r="A1432" t="s">
        <v>336</v>
      </c>
      <c r="B1432" t="s">
        <v>360</v>
      </c>
      <c r="C1432" t="str">
        <f t="shared" si="72"/>
        <v>15635290000000</v>
      </c>
      <c r="D1432" t="s">
        <v>3322</v>
      </c>
      <c r="E1432" t="str">
        <f>"15635290100198"</f>
        <v>15635290100198</v>
      </c>
      <c r="F1432" s="8">
        <v>737</v>
      </c>
      <c r="G1432" s="8">
        <v>6930</v>
      </c>
      <c r="H1432" s="8">
        <v>1339</v>
      </c>
      <c r="I1432" s="8">
        <v>3438</v>
      </c>
    </row>
    <row r="1433" spans="1:9" x14ac:dyDescent="0.2">
      <c r="A1433" t="s">
        <v>336</v>
      </c>
      <c r="B1433" t="s">
        <v>360</v>
      </c>
      <c r="C1433" t="str">
        <f t="shared" si="72"/>
        <v>15635290000000</v>
      </c>
      <c r="D1433" t="s">
        <v>3323</v>
      </c>
      <c r="E1433" t="str">
        <f>"15635291533330"</f>
        <v>15635291533330</v>
      </c>
      <c r="F1433" s="8">
        <v>690</v>
      </c>
      <c r="G1433" s="8">
        <v>6725</v>
      </c>
      <c r="H1433" s="8">
        <v>1289</v>
      </c>
      <c r="I1433" s="8">
        <v>3459</v>
      </c>
    </row>
    <row r="1434" spans="1:9" x14ac:dyDescent="0.2">
      <c r="A1434" t="s">
        <v>336</v>
      </c>
      <c r="B1434" t="s">
        <v>360</v>
      </c>
      <c r="C1434" t="str">
        <f t="shared" si="72"/>
        <v>15635290000000</v>
      </c>
      <c r="D1434" t="s">
        <v>3324</v>
      </c>
      <c r="E1434" t="str">
        <f>"15635290110999"</f>
        <v>15635290110999</v>
      </c>
      <c r="F1434" s="8">
        <v>411</v>
      </c>
      <c r="G1434" s="8">
        <v>7708</v>
      </c>
      <c r="H1434" s="8">
        <v>800</v>
      </c>
      <c r="I1434" s="8">
        <v>3064</v>
      </c>
    </row>
    <row r="1435" spans="1:9" x14ac:dyDescent="0.2">
      <c r="A1435" t="s">
        <v>336</v>
      </c>
      <c r="B1435" t="s">
        <v>360</v>
      </c>
      <c r="C1435" t="str">
        <f t="shared" si="72"/>
        <v>15635290000000</v>
      </c>
      <c r="D1435" t="s">
        <v>3325</v>
      </c>
      <c r="E1435" t="str">
        <f>"15635291530369"</f>
        <v>15635291530369</v>
      </c>
      <c r="F1435" s="8">
        <v>518</v>
      </c>
      <c r="G1435" s="8">
        <v>7352</v>
      </c>
      <c r="H1435" s="8">
        <v>893</v>
      </c>
      <c r="I1435" s="8">
        <v>3206</v>
      </c>
    </row>
    <row r="1436" spans="1:9" x14ac:dyDescent="0.2">
      <c r="A1436" t="s">
        <v>336</v>
      </c>
      <c r="B1436" t="s">
        <v>360</v>
      </c>
      <c r="C1436" t="str">
        <f t="shared" si="72"/>
        <v>15635290000000</v>
      </c>
      <c r="D1436" t="s">
        <v>3326</v>
      </c>
      <c r="E1436" t="str">
        <f>"15635291530385"</f>
        <v>15635291530385</v>
      </c>
      <c r="F1436" s="8">
        <v>707</v>
      </c>
      <c r="G1436" s="8">
        <v>6609</v>
      </c>
      <c r="H1436" s="8">
        <v>1310</v>
      </c>
      <c r="I1436" s="8">
        <v>3279</v>
      </c>
    </row>
    <row r="1437" spans="1:9" x14ac:dyDescent="0.2">
      <c r="A1437" t="s">
        <v>336</v>
      </c>
      <c r="B1437" t="s">
        <v>360</v>
      </c>
      <c r="C1437" t="str">
        <f t="shared" si="72"/>
        <v>15635290000000</v>
      </c>
      <c r="D1437" t="s">
        <v>3327</v>
      </c>
      <c r="E1437" t="str">
        <f>"15635291530344"</f>
        <v>15635291530344</v>
      </c>
      <c r="F1437" s="8">
        <v>525</v>
      </c>
      <c r="G1437" s="8">
        <v>7140</v>
      </c>
      <c r="H1437" s="8">
        <v>860</v>
      </c>
      <c r="I1437" s="8">
        <v>3020</v>
      </c>
    </row>
    <row r="1438" spans="1:9" x14ac:dyDescent="0.2">
      <c r="A1438" t="s">
        <v>336</v>
      </c>
      <c r="B1438" t="s">
        <v>360</v>
      </c>
      <c r="C1438" t="str">
        <f t="shared" si="72"/>
        <v>15635290000000</v>
      </c>
      <c r="D1438" t="s">
        <v>2546</v>
      </c>
      <c r="E1438" t="str">
        <f>"15635291530476"</f>
        <v>15635291530476</v>
      </c>
      <c r="F1438" s="8">
        <v>300</v>
      </c>
      <c r="G1438" s="8">
        <v>6704</v>
      </c>
      <c r="H1438" s="8">
        <v>775</v>
      </c>
      <c r="I1438" s="8">
        <v>3144</v>
      </c>
    </row>
    <row r="1439" spans="1:9" x14ac:dyDescent="0.2">
      <c r="A1439" t="s">
        <v>336</v>
      </c>
      <c r="B1439" t="s">
        <v>361</v>
      </c>
      <c r="C1439" t="str">
        <f>"15748070000000"</f>
        <v>15748070000000</v>
      </c>
      <c r="D1439" t="s">
        <v>361</v>
      </c>
      <c r="E1439" t="str">
        <f>"15748071595149"</f>
        <v>15748071595149</v>
      </c>
      <c r="F1439" s="8" t="s">
        <v>30</v>
      </c>
      <c r="G1439" s="8" t="s">
        <v>30</v>
      </c>
      <c r="H1439" s="8" t="s">
        <v>30</v>
      </c>
      <c r="I1439" s="8" t="s">
        <v>30</v>
      </c>
    </row>
    <row r="1440" spans="1:9" x14ac:dyDescent="0.2">
      <c r="A1440" t="s">
        <v>336</v>
      </c>
      <c r="B1440" t="s">
        <v>362</v>
      </c>
      <c r="C1440" t="str">
        <f>"15635450000000"</f>
        <v>15635450000000</v>
      </c>
      <c r="D1440" t="s">
        <v>3328</v>
      </c>
      <c r="E1440" t="str">
        <f>"15635456009641"</f>
        <v>15635456009641</v>
      </c>
      <c r="F1440" s="8">
        <v>1239</v>
      </c>
      <c r="G1440" s="8">
        <v>7289</v>
      </c>
      <c r="H1440" s="8">
        <v>3423</v>
      </c>
      <c r="I1440" s="8">
        <v>3774</v>
      </c>
    </row>
    <row r="1441" spans="1:9" x14ac:dyDescent="0.2">
      <c r="A1441" t="s">
        <v>336</v>
      </c>
      <c r="B1441" t="s">
        <v>362</v>
      </c>
      <c r="C1441" t="str">
        <f>"15635450000000"</f>
        <v>15635450000000</v>
      </c>
      <c r="D1441" t="s">
        <v>3329</v>
      </c>
      <c r="E1441" t="str">
        <f>"15635450122887"</f>
        <v>15635450122887</v>
      </c>
      <c r="F1441" s="8">
        <v>1186</v>
      </c>
      <c r="G1441" s="8">
        <v>6475</v>
      </c>
      <c r="H1441" s="8">
        <v>3423</v>
      </c>
      <c r="I1441" s="8">
        <v>3774</v>
      </c>
    </row>
    <row r="1442" spans="1:9" x14ac:dyDescent="0.2">
      <c r="A1442" t="s">
        <v>336</v>
      </c>
      <c r="B1442" t="s">
        <v>362</v>
      </c>
      <c r="C1442" t="str">
        <f>"15635450000000"</f>
        <v>15635450000000</v>
      </c>
      <c r="D1442" t="s">
        <v>3330</v>
      </c>
      <c r="E1442" t="str">
        <f>"15635456009658"</f>
        <v>15635456009658</v>
      </c>
      <c r="F1442" s="8">
        <v>1099</v>
      </c>
      <c r="G1442" s="8">
        <v>6284</v>
      </c>
      <c r="H1442" s="8">
        <v>3423</v>
      </c>
      <c r="I1442" s="8">
        <v>3774</v>
      </c>
    </row>
    <row r="1443" spans="1:9" x14ac:dyDescent="0.2">
      <c r="A1443" t="s">
        <v>336</v>
      </c>
      <c r="B1443" t="s">
        <v>363</v>
      </c>
      <c r="C1443" t="str">
        <f>"15635520000000"</f>
        <v>15635520000000</v>
      </c>
      <c r="D1443" t="s">
        <v>3331</v>
      </c>
      <c r="E1443" t="str">
        <f>"15635526115042"</f>
        <v>15635526115042</v>
      </c>
      <c r="F1443" s="8" t="s">
        <v>30</v>
      </c>
      <c r="G1443" s="8" t="s">
        <v>30</v>
      </c>
      <c r="H1443" s="8" t="s">
        <v>30</v>
      </c>
      <c r="I1443" s="8" t="s">
        <v>30</v>
      </c>
    </row>
    <row r="1444" spans="1:9" x14ac:dyDescent="0.2">
      <c r="A1444" t="s">
        <v>336</v>
      </c>
      <c r="B1444" t="s">
        <v>363</v>
      </c>
      <c r="C1444" t="str">
        <f>"15635520000000"</f>
        <v>15635520000000</v>
      </c>
      <c r="D1444" t="s">
        <v>3332</v>
      </c>
      <c r="E1444" t="str">
        <f>"15635526009666"</f>
        <v>15635526009666</v>
      </c>
      <c r="F1444" s="8" t="s">
        <v>30</v>
      </c>
      <c r="G1444" s="8" t="s">
        <v>30</v>
      </c>
      <c r="H1444" s="8" t="s">
        <v>30</v>
      </c>
      <c r="I1444" s="8" t="s">
        <v>30</v>
      </c>
    </row>
    <row r="1445" spans="1:9" x14ac:dyDescent="0.2">
      <c r="A1445" t="s">
        <v>336</v>
      </c>
      <c r="B1445" t="s">
        <v>364</v>
      </c>
      <c r="C1445" t="str">
        <f>"15635600000000"</f>
        <v>15635600000000</v>
      </c>
      <c r="D1445" t="s">
        <v>364</v>
      </c>
      <c r="E1445" t="str">
        <f>"15635606009682"</f>
        <v>15635606009682</v>
      </c>
      <c r="F1445" s="8">
        <v>2754</v>
      </c>
      <c r="G1445" s="8">
        <v>4978</v>
      </c>
      <c r="H1445" s="8">
        <v>2725</v>
      </c>
      <c r="I1445" s="8">
        <v>3172</v>
      </c>
    </row>
    <row r="1446" spans="1:9" x14ac:dyDescent="0.2">
      <c r="A1446" t="s">
        <v>336</v>
      </c>
      <c r="B1446" t="s">
        <v>364</v>
      </c>
      <c r="C1446" t="str">
        <f>"15635600000000"</f>
        <v>15635600000000</v>
      </c>
      <c r="D1446" t="s">
        <v>3333</v>
      </c>
      <c r="E1446" t="str">
        <f>"15635606009674"</f>
        <v>15635606009674</v>
      </c>
      <c r="F1446" s="8">
        <v>1533</v>
      </c>
      <c r="G1446" s="8">
        <v>5604</v>
      </c>
      <c r="H1446" s="8">
        <v>2725</v>
      </c>
      <c r="I1446" s="8">
        <v>3172</v>
      </c>
    </row>
    <row r="1447" spans="1:9" x14ac:dyDescent="0.2">
      <c r="A1447" t="s">
        <v>336</v>
      </c>
      <c r="B1447" t="s">
        <v>364</v>
      </c>
      <c r="C1447" t="str">
        <f>"15635600000000"</f>
        <v>15635600000000</v>
      </c>
      <c r="D1447" t="s">
        <v>3334</v>
      </c>
      <c r="E1447" t="str">
        <f>"15635606009708"</f>
        <v>15635606009708</v>
      </c>
      <c r="F1447" s="8">
        <v>1848</v>
      </c>
      <c r="G1447" s="8">
        <v>4380</v>
      </c>
      <c r="H1447" s="8">
        <v>2725</v>
      </c>
      <c r="I1447" s="8">
        <v>3172</v>
      </c>
    </row>
    <row r="1448" spans="1:9" x14ac:dyDescent="0.2">
      <c r="A1448" t="s">
        <v>336</v>
      </c>
      <c r="B1448" t="s">
        <v>364</v>
      </c>
      <c r="C1448" t="str">
        <f>"15635600000000"</f>
        <v>15635600000000</v>
      </c>
      <c r="D1448" t="s">
        <v>3335</v>
      </c>
      <c r="E1448" t="str">
        <f>"15635606009690"</f>
        <v>15635606009690</v>
      </c>
      <c r="F1448" s="8">
        <v>1510</v>
      </c>
      <c r="G1448" s="8">
        <v>4419</v>
      </c>
      <c r="H1448" s="8">
        <v>2725</v>
      </c>
      <c r="I1448" s="8">
        <v>3172</v>
      </c>
    </row>
    <row r="1449" spans="1:9" x14ac:dyDescent="0.2">
      <c r="A1449" t="s">
        <v>336</v>
      </c>
      <c r="B1449" t="s">
        <v>365</v>
      </c>
      <c r="C1449" t="str">
        <f>"15635860000000"</f>
        <v>15635860000000</v>
      </c>
      <c r="D1449" t="s">
        <v>3336</v>
      </c>
      <c r="E1449" t="str">
        <f>"15635866009724"</f>
        <v>15635866009724</v>
      </c>
      <c r="F1449" s="8">
        <v>7524</v>
      </c>
      <c r="G1449" s="8">
        <v>24723</v>
      </c>
      <c r="H1449" s="8">
        <v>0</v>
      </c>
      <c r="I1449" s="8">
        <v>7562</v>
      </c>
    </row>
    <row r="1450" spans="1:9" x14ac:dyDescent="0.2">
      <c r="A1450" t="s">
        <v>336</v>
      </c>
      <c r="B1450" t="s">
        <v>366</v>
      </c>
      <c r="C1450" t="str">
        <f>"15635940000000"</f>
        <v>15635940000000</v>
      </c>
      <c r="D1450" t="s">
        <v>3337</v>
      </c>
      <c r="E1450" t="str">
        <f>"15635946060420"</f>
        <v>15635946060420</v>
      </c>
      <c r="F1450" s="8">
        <v>5077</v>
      </c>
      <c r="G1450" s="8">
        <v>19182</v>
      </c>
      <c r="H1450" s="8">
        <v>435</v>
      </c>
      <c r="I1450" s="8">
        <v>1985</v>
      </c>
    </row>
    <row r="1451" spans="1:9" x14ac:dyDescent="0.2">
      <c r="A1451" t="s">
        <v>336</v>
      </c>
      <c r="B1451" t="s">
        <v>366</v>
      </c>
      <c r="C1451" t="str">
        <f>"15635940000000"</f>
        <v>15635940000000</v>
      </c>
      <c r="D1451" t="s">
        <v>3338</v>
      </c>
      <c r="E1451" t="str">
        <f>"15635946102792"</f>
        <v>15635946102792</v>
      </c>
      <c r="F1451" s="8">
        <v>5078</v>
      </c>
      <c r="G1451" s="8">
        <v>10044</v>
      </c>
      <c r="H1451" s="8">
        <v>435</v>
      </c>
      <c r="I1451" s="8">
        <v>1986</v>
      </c>
    </row>
    <row r="1452" spans="1:9" x14ac:dyDescent="0.2">
      <c r="A1452" t="s">
        <v>336</v>
      </c>
      <c r="B1452" t="s">
        <v>367</v>
      </c>
      <c r="C1452" t="str">
        <f>"15636100000000"</f>
        <v>15636100000000</v>
      </c>
      <c r="D1452" t="s">
        <v>367</v>
      </c>
      <c r="E1452" t="str">
        <f>"15636106009732"</f>
        <v>15636106009732</v>
      </c>
      <c r="F1452" s="8">
        <v>1244</v>
      </c>
      <c r="G1452" s="8">
        <v>9619</v>
      </c>
      <c r="H1452" s="8">
        <v>0</v>
      </c>
      <c r="I1452" s="8">
        <v>0</v>
      </c>
    </row>
    <row r="1453" spans="1:9" x14ac:dyDescent="0.2">
      <c r="A1453" t="s">
        <v>336</v>
      </c>
      <c r="B1453" t="s">
        <v>368</v>
      </c>
      <c r="C1453" t="str">
        <f>"15636280000000"</f>
        <v>15636280000000</v>
      </c>
      <c r="D1453" t="s">
        <v>3339</v>
      </c>
      <c r="E1453" t="str">
        <f>"15636280122853"</f>
        <v>15636280122853</v>
      </c>
      <c r="F1453" s="8">
        <v>694</v>
      </c>
      <c r="G1453" s="8">
        <v>945</v>
      </c>
      <c r="H1453" s="8">
        <v>2980</v>
      </c>
      <c r="I1453" s="8">
        <v>3383</v>
      </c>
    </row>
    <row r="1454" spans="1:9" x14ac:dyDescent="0.2">
      <c r="A1454" t="s">
        <v>336</v>
      </c>
      <c r="B1454" t="s">
        <v>368</v>
      </c>
      <c r="C1454" t="str">
        <f>"15636280000000"</f>
        <v>15636280000000</v>
      </c>
      <c r="D1454" t="s">
        <v>3340</v>
      </c>
      <c r="E1454" t="str">
        <f>"15636286009740"</f>
        <v>15636286009740</v>
      </c>
      <c r="F1454" s="8">
        <v>1156</v>
      </c>
      <c r="G1454" s="8">
        <v>1563</v>
      </c>
      <c r="H1454" s="8">
        <v>3410</v>
      </c>
      <c r="I1454" s="8">
        <v>1788</v>
      </c>
    </row>
    <row r="1455" spans="1:9" x14ac:dyDescent="0.2">
      <c r="A1455" t="s">
        <v>336</v>
      </c>
      <c r="B1455" t="s">
        <v>368</v>
      </c>
      <c r="C1455" t="str">
        <f>"15636280000000"</f>
        <v>15636280000000</v>
      </c>
      <c r="D1455" t="s">
        <v>3341</v>
      </c>
      <c r="E1455" t="str">
        <f>"15636281533843"</f>
        <v>15636281533843</v>
      </c>
      <c r="F1455" s="8">
        <v>983</v>
      </c>
      <c r="G1455" s="8">
        <v>1137</v>
      </c>
      <c r="H1455" s="8">
        <v>3169</v>
      </c>
      <c r="I1455" s="8">
        <v>2484</v>
      </c>
    </row>
    <row r="1456" spans="1:9" x14ac:dyDescent="0.2">
      <c r="A1456" t="s">
        <v>336</v>
      </c>
      <c r="B1456" t="s">
        <v>369</v>
      </c>
      <c r="C1456" t="str">
        <f t="shared" ref="C1456:C1462" si="73">"15739080000000"</f>
        <v>15739080000000</v>
      </c>
      <c r="D1456" t="s">
        <v>3342</v>
      </c>
      <c r="E1456" t="str">
        <f>"15739081530229"</f>
        <v>15739081530229</v>
      </c>
      <c r="F1456" s="8">
        <v>0</v>
      </c>
      <c r="G1456" s="8">
        <v>18306</v>
      </c>
      <c r="H1456" s="8">
        <v>2069</v>
      </c>
      <c r="I1456" s="8">
        <v>4654</v>
      </c>
    </row>
    <row r="1457" spans="1:9" x14ac:dyDescent="0.2">
      <c r="A1457" t="s">
        <v>336</v>
      </c>
      <c r="B1457" t="s">
        <v>369</v>
      </c>
      <c r="C1457" t="str">
        <f t="shared" si="73"/>
        <v>15739080000000</v>
      </c>
      <c r="D1457" t="s">
        <v>3343</v>
      </c>
      <c r="E1457" t="str">
        <f>"15739081534155"</f>
        <v>15739081534155</v>
      </c>
      <c r="F1457" s="8">
        <v>360</v>
      </c>
      <c r="G1457" s="8">
        <v>12364</v>
      </c>
      <c r="H1457" s="8">
        <v>2069</v>
      </c>
      <c r="I1457" s="8">
        <v>4654</v>
      </c>
    </row>
    <row r="1458" spans="1:9" x14ac:dyDescent="0.2">
      <c r="A1458" t="s">
        <v>336</v>
      </c>
      <c r="B1458" t="s">
        <v>369</v>
      </c>
      <c r="C1458" t="str">
        <f t="shared" si="73"/>
        <v>15739080000000</v>
      </c>
      <c r="D1458" t="s">
        <v>3344</v>
      </c>
      <c r="E1458" t="str">
        <f>"15739081530146"</f>
        <v>15739081530146</v>
      </c>
      <c r="F1458" s="8">
        <v>116</v>
      </c>
      <c r="G1458" s="8">
        <v>12404</v>
      </c>
      <c r="H1458" s="8">
        <v>2069</v>
      </c>
      <c r="I1458" s="8">
        <v>4654</v>
      </c>
    </row>
    <row r="1459" spans="1:9" x14ac:dyDescent="0.2">
      <c r="A1459" t="s">
        <v>336</v>
      </c>
      <c r="B1459" t="s">
        <v>369</v>
      </c>
      <c r="C1459" t="str">
        <f t="shared" si="73"/>
        <v>15739080000000</v>
      </c>
      <c r="D1459" t="s">
        <v>3345</v>
      </c>
      <c r="E1459" t="str">
        <f>"15739086009757"</f>
        <v>15739086009757</v>
      </c>
      <c r="F1459" s="8">
        <v>431</v>
      </c>
      <c r="G1459" s="8">
        <v>6331</v>
      </c>
      <c r="H1459" s="8">
        <v>2069</v>
      </c>
      <c r="I1459" s="8">
        <v>4654</v>
      </c>
    </row>
    <row r="1460" spans="1:9" x14ac:dyDescent="0.2">
      <c r="A1460" t="s">
        <v>336</v>
      </c>
      <c r="B1460" t="s">
        <v>369</v>
      </c>
      <c r="C1460" t="str">
        <f t="shared" si="73"/>
        <v>15739080000000</v>
      </c>
      <c r="D1460" t="s">
        <v>3296</v>
      </c>
      <c r="E1460" t="str">
        <f>"15739080133504"</f>
        <v>15739080133504</v>
      </c>
      <c r="F1460" s="8">
        <v>514</v>
      </c>
      <c r="G1460" s="8">
        <v>6228</v>
      </c>
      <c r="H1460" s="8">
        <v>2069</v>
      </c>
      <c r="I1460" s="8">
        <v>4654</v>
      </c>
    </row>
    <row r="1461" spans="1:9" x14ac:dyDescent="0.2">
      <c r="A1461" t="s">
        <v>336</v>
      </c>
      <c r="B1461" t="s">
        <v>369</v>
      </c>
      <c r="C1461" t="str">
        <f t="shared" si="73"/>
        <v>15739080000000</v>
      </c>
      <c r="D1461" t="s">
        <v>3346</v>
      </c>
      <c r="E1461" t="str">
        <f>"15739086106306"</f>
        <v>15739086106306</v>
      </c>
      <c r="F1461" s="8">
        <v>473</v>
      </c>
      <c r="G1461" s="8">
        <v>5480</v>
      </c>
      <c r="H1461" s="8">
        <v>2069</v>
      </c>
      <c r="I1461" s="8">
        <v>4654</v>
      </c>
    </row>
    <row r="1462" spans="1:9" x14ac:dyDescent="0.2">
      <c r="A1462" t="s">
        <v>336</v>
      </c>
      <c r="B1462" t="s">
        <v>369</v>
      </c>
      <c r="C1462" t="str">
        <f t="shared" si="73"/>
        <v>15739080000000</v>
      </c>
      <c r="D1462" t="s">
        <v>3347</v>
      </c>
      <c r="E1462" t="str">
        <f>"15739086009765"</f>
        <v>15739086009765</v>
      </c>
      <c r="F1462" s="8">
        <v>323</v>
      </c>
      <c r="G1462" s="8">
        <v>5488</v>
      </c>
      <c r="H1462" s="8">
        <v>2069</v>
      </c>
      <c r="I1462" s="8">
        <v>4654</v>
      </c>
    </row>
    <row r="1463" spans="1:9" x14ac:dyDescent="0.2">
      <c r="A1463" t="s">
        <v>336</v>
      </c>
      <c r="B1463" t="s">
        <v>370</v>
      </c>
      <c r="C1463" t="str">
        <f>"15636510000000"</f>
        <v>15636510000000</v>
      </c>
      <c r="D1463" t="s">
        <v>3348</v>
      </c>
      <c r="E1463" t="str">
        <f>"15636516009245"</f>
        <v>15636516009245</v>
      </c>
      <c r="F1463" s="8" t="s">
        <v>30</v>
      </c>
      <c r="G1463" s="8" t="s">
        <v>30</v>
      </c>
      <c r="H1463" s="8" t="s">
        <v>30</v>
      </c>
      <c r="I1463" s="8" t="s">
        <v>30</v>
      </c>
    </row>
    <row r="1464" spans="1:9" x14ac:dyDescent="0.2">
      <c r="A1464" t="s">
        <v>336</v>
      </c>
      <c r="B1464" t="s">
        <v>370</v>
      </c>
      <c r="C1464" t="str">
        <f>"15636510000000"</f>
        <v>15636510000000</v>
      </c>
      <c r="D1464" t="s">
        <v>370</v>
      </c>
      <c r="E1464" t="str">
        <f>"15636516009773"</f>
        <v>15636516009773</v>
      </c>
      <c r="F1464" s="8" t="s">
        <v>30</v>
      </c>
      <c r="G1464" s="8" t="s">
        <v>30</v>
      </c>
      <c r="H1464" s="8" t="s">
        <v>30</v>
      </c>
      <c r="I1464" s="8" t="s">
        <v>30</v>
      </c>
    </row>
    <row r="1465" spans="1:9" x14ac:dyDescent="0.2">
      <c r="A1465" t="s">
        <v>336</v>
      </c>
      <c r="B1465" t="s">
        <v>371</v>
      </c>
      <c r="C1465" t="str">
        <f>"15636690000000"</f>
        <v>15636690000000</v>
      </c>
      <c r="D1465" t="s">
        <v>371</v>
      </c>
      <c r="E1465" t="str">
        <f>"15636696009781"</f>
        <v>15636696009781</v>
      </c>
      <c r="F1465" s="8">
        <v>2611</v>
      </c>
      <c r="G1465" s="8">
        <v>23509</v>
      </c>
      <c r="H1465" s="8">
        <v>0</v>
      </c>
      <c r="I1465" s="8">
        <v>0</v>
      </c>
    </row>
    <row r="1466" spans="1:9" x14ac:dyDescent="0.2">
      <c r="A1466" t="s">
        <v>336</v>
      </c>
      <c r="B1466" t="s">
        <v>372</v>
      </c>
      <c r="C1466" t="str">
        <f t="shared" ref="C1466:C1471" si="74">"15636770000000"</f>
        <v>15636770000000</v>
      </c>
      <c r="D1466" t="s">
        <v>3349</v>
      </c>
      <c r="E1466" t="str">
        <f>"15636770136259"</f>
        <v>15636770136259</v>
      </c>
      <c r="F1466" s="8">
        <v>653</v>
      </c>
      <c r="G1466" s="8">
        <v>9074</v>
      </c>
      <c r="H1466" s="8">
        <v>135</v>
      </c>
      <c r="I1466" s="8">
        <v>1584</v>
      </c>
    </row>
    <row r="1467" spans="1:9" x14ac:dyDescent="0.2">
      <c r="A1467" t="s">
        <v>336</v>
      </c>
      <c r="B1467" t="s">
        <v>372</v>
      </c>
      <c r="C1467" t="str">
        <f t="shared" si="74"/>
        <v>15636770000000</v>
      </c>
      <c r="D1467" t="s">
        <v>3350</v>
      </c>
      <c r="E1467" t="str">
        <f>"15636776009799"</f>
        <v>15636776009799</v>
      </c>
      <c r="F1467" s="8">
        <v>928</v>
      </c>
      <c r="G1467" s="8">
        <v>8220</v>
      </c>
      <c r="H1467" s="8">
        <v>135</v>
      </c>
      <c r="I1467" s="8">
        <v>1584</v>
      </c>
    </row>
    <row r="1468" spans="1:9" x14ac:dyDescent="0.2">
      <c r="A1468" t="s">
        <v>336</v>
      </c>
      <c r="B1468" t="s">
        <v>372</v>
      </c>
      <c r="C1468" t="str">
        <f t="shared" si="74"/>
        <v>15636770000000</v>
      </c>
      <c r="D1468" t="s">
        <v>3351</v>
      </c>
      <c r="E1468" t="str">
        <f>"15636770114512"</f>
        <v>15636770114512</v>
      </c>
      <c r="F1468" s="8">
        <v>215</v>
      </c>
      <c r="G1468" s="8">
        <v>8351</v>
      </c>
      <c r="H1468" s="8">
        <v>135</v>
      </c>
      <c r="I1468" s="8">
        <v>1584</v>
      </c>
    </row>
    <row r="1469" spans="1:9" x14ac:dyDescent="0.2">
      <c r="A1469" t="s">
        <v>336</v>
      </c>
      <c r="B1469" t="s">
        <v>372</v>
      </c>
      <c r="C1469" t="str">
        <f t="shared" si="74"/>
        <v>15636770000000</v>
      </c>
      <c r="D1469" t="s">
        <v>3352</v>
      </c>
      <c r="E1469" t="str">
        <f>"15636776111272"</f>
        <v>15636776111272</v>
      </c>
      <c r="F1469" s="8">
        <v>463</v>
      </c>
      <c r="G1469" s="8">
        <v>6113</v>
      </c>
      <c r="H1469" s="8">
        <v>135</v>
      </c>
      <c r="I1469" s="8">
        <v>1584</v>
      </c>
    </row>
    <row r="1470" spans="1:9" x14ac:dyDescent="0.2">
      <c r="A1470" t="s">
        <v>336</v>
      </c>
      <c r="B1470" t="s">
        <v>372</v>
      </c>
      <c r="C1470" t="str">
        <f t="shared" si="74"/>
        <v>15636770000000</v>
      </c>
      <c r="D1470" t="s">
        <v>3353</v>
      </c>
      <c r="E1470" t="str">
        <f>"15636776009823"</f>
        <v>15636776009823</v>
      </c>
      <c r="F1470" s="8">
        <v>623</v>
      </c>
      <c r="G1470" s="8">
        <v>5556</v>
      </c>
      <c r="H1470" s="8">
        <v>135</v>
      </c>
      <c r="I1470" s="8">
        <v>1584</v>
      </c>
    </row>
    <row r="1471" spans="1:9" x14ac:dyDescent="0.2">
      <c r="A1471" t="s">
        <v>336</v>
      </c>
      <c r="B1471" t="s">
        <v>372</v>
      </c>
      <c r="C1471" t="str">
        <f t="shared" si="74"/>
        <v>15636770000000</v>
      </c>
      <c r="D1471" t="s">
        <v>3354</v>
      </c>
      <c r="E1471" t="str">
        <f>"15636770113837"</f>
        <v>15636770113837</v>
      </c>
      <c r="F1471" s="8">
        <v>455</v>
      </c>
      <c r="G1471" s="8">
        <v>5694</v>
      </c>
      <c r="H1471" s="8">
        <v>135</v>
      </c>
      <c r="I1471" s="8">
        <v>1584</v>
      </c>
    </row>
    <row r="1472" spans="1:9" x14ac:dyDescent="0.2">
      <c r="A1472" t="s">
        <v>336</v>
      </c>
      <c r="B1472" t="s">
        <v>373</v>
      </c>
      <c r="C1472" t="str">
        <f>"15636850000000"</f>
        <v>15636850000000</v>
      </c>
      <c r="D1472" t="s">
        <v>3355</v>
      </c>
      <c r="E1472" t="str">
        <f>"15636851530997"</f>
        <v>15636851530997</v>
      </c>
      <c r="F1472" s="8">
        <v>464</v>
      </c>
      <c r="G1472" s="8">
        <v>10963</v>
      </c>
      <c r="H1472" s="8">
        <v>894</v>
      </c>
      <c r="I1472" s="8">
        <v>4264</v>
      </c>
    </row>
    <row r="1473" spans="1:9" x14ac:dyDescent="0.2">
      <c r="A1473" t="s">
        <v>336</v>
      </c>
      <c r="B1473" t="s">
        <v>373</v>
      </c>
      <c r="C1473" t="str">
        <f>"15636850000000"</f>
        <v>15636850000000</v>
      </c>
      <c r="D1473" t="s">
        <v>3356</v>
      </c>
      <c r="E1473" t="str">
        <f>"15636851531987"</f>
        <v>15636851531987</v>
      </c>
      <c r="F1473" s="8">
        <v>41</v>
      </c>
      <c r="G1473" s="8">
        <v>7521</v>
      </c>
      <c r="H1473" s="8">
        <v>894</v>
      </c>
      <c r="I1473" s="8">
        <v>4264</v>
      </c>
    </row>
    <row r="1474" spans="1:9" x14ac:dyDescent="0.2">
      <c r="A1474" t="s">
        <v>336</v>
      </c>
      <c r="B1474" t="s">
        <v>373</v>
      </c>
      <c r="C1474" t="str">
        <f>"15636850000000"</f>
        <v>15636850000000</v>
      </c>
      <c r="D1474" t="s">
        <v>3357</v>
      </c>
      <c r="E1474" t="str">
        <f>"15636856009906"</f>
        <v>15636856009906</v>
      </c>
      <c r="F1474" s="8">
        <v>616</v>
      </c>
      <c r="G1474" s="8">
        <v>6930</v>
      </c>
      <c r="H1474" s="8">
        <v>894</v>
      </c>
      <c r="I1474" s="8">
        <v>4264</v>
      </c>
    </row>
    <row r="1475" spans="1:9" x14ac:dyDescent="0.2">
      <c r="A1475" t="s">
        <v>336</v>
      </c>
      <c r="B1475" t="s">
        <v>373</v>
      </c>
      <c r="C1475" t="str">
        <f>"15636850000000"</f>
        <v>15636850000000</v>
      </c>
      <c r="D1475" t="s">
        <v>3358</v>
      </c>
      <c r="E1475" t="str">
        <f>"15636856009880"</f>
        <v>15636856009880</v>
      </c>
      <c r="F1475" s="8">
        <v>15</v>
      </c>
      <c r="G1475" s="8">
        <v>6033</v>
      </c>
      <c r="H1475" s="8">
        <v>894</v>
      </c>
      <c r="I1475" s="8">
        <v>4264</v>
      </c>
    </row>
    <row r="1476" spans="1:9" x14ac:dyDescent="0.2">
      <c r="A1476" t="s">
        <v>336</v>
      </c>
      <c r="B1476" t="s">
        <v>374</v>
      </c>
      <c r="C1476" t="str">
        <f>"15636930000000"</f>
        <v>15636930000000</v>
      </c>
      <c r="D1476" t="s">
        <v>3359</v>
      </c>
      <c r="E1476" t="str">
        <f>"15636936118681"</f>
        <v>15636936118681</v>
      </c>
      <c r="F1476" s="8">
        <v>618</v>
      </c>
      <c r="G1476" s="8">
        <v>8302</v>
      </c>
      <c r="H1476" s="8">
        <v>155</v>
      </c>
      <c r="I1476" s="8">
        <v>2333</v>
      </c>
    </row>
    <row r="1477" spans="1:9" x14ac:dyDescent="0.2">
      <c r="A1477" t="s">
        <v>336</v>
      </c>
      <c r="B1477" t="s">
        <v>374</v>
      </c>
      <c r="C1477" t="str">
        <f>"15636930000000"</f>
        <v>15636930000000</v>
      </c>
      <c r="D1477" t="s">
        <v>3360</v>
      </c>
      <c r="E1477" t="str">
        <f>"15636930113738"</f>
        <v>15636930113738</v>
      </c>
      <c r="F1477" s="8">
        <v>480</v>
      </c>
      <c r="G1477" s="8">
        <v>6809</v>
      </c>
      <c r="H1477" s="8">
        <v>155</v>
      </c>
      <c r="I1477" s="8">
        <v>2333</v>
      </c>
    </row>
    <row r="1478" spans="1:9" x14ac:dyDescent="0.2">
      <c r="A1478" t="s">
        <v>336</v>
      </c>
      <c r="B1478" t="s">
        <v>374</v>
      </c>
      <c r="C1478" t="str">
        <f>"15636930000000"</f>
        <v>15636930000000</v>
      </c>
      <c r="D1478" t="s">
        <v>374</v>
      </c>
      <c r="E1478" t="str">
        <f>"15636936009914"</f>
        <v>15636936009914</v>
      </c>
      <c r="F1478" s="8">
        <v>458</v>
      </c>
      <c r="G1478" s="8">
        <v>6612</v>
      </c>
      <c r="H1478" s="8">
        <v>155</v>
      </c>
      <c r="I1478" s="8">
        <v>2333</v>
      </c>
    </row>
    <row r="1479" spans="1:9" x14ac:dyDescent="0.2">
      <c r="A1479" t="s">
        <v>336</v>
      </c>
      <c r="B1479" t="s">
        <v>374</v>
      </c>
      <c r="C1479" t="str">
        <f>"15636930000000"</f>
        <v>15636930000000</v>
      </c>
      <c r="D1479" t="s">
        <v>3361</v>
      </c>
      <c r="E1479" t="str">
        <f>"15636936103493"</f>
        <v>15636936103493</v>
      </c>
      <c r="F1479" s="8">
        <v>471</v>
      </c>
      <c r="G1479" s="8">
        <v>6472</v>
      </c>
      <c r="H1479" s="8">
        <v>155</v>
      </c>
      <c r="I1479" s="8">
        <v>2333</v>
      </c>
    </row>
    <row r="1480" spans="1:9" x14ac:dyDescent="0.2">
      <c r="A1480" t="s">
        <v>336</v>
      </c>
      <c r="B1480" t="s">
        <v>374</v>
      </c>
      <c r="C1480" t="str">
        <f>"15636930000000"</f>
        <v>15636930000000</v>
      </c>
      <c r="D1480" t="s">
        <v>3362</v>
      </c>
      <c r="E1480" t="str">
        <f>"15636936108575"</f>
        <v>15636936108575</v>
      </c>
      <c r="F1480" s="8">
        <v>623</v>
      </c>
      <c r="G1480" s="8">
        <v>5702</v>
      </c>
      <c r="H1480" s="8">
        <v>155</v>
      </c>
      <c r="I1480" s="8">
        <v>2333</v>
      </c>
    </row>
    <row r="1481" spans="1:9" x14ac:dyDescent="0.2">
      <c r="A1481" t="s">
        <v>336</v>
      </c>
      <c r="B1481" t="s">
        <v>375</v>
      </c>
      <c r="C1481" t="str">
        <f t="shared" ref="C1481:C1504" si="75">"15633620000000"</f>
        <v>15633620000000</v>
      </c>
      <c r="D1481" t="s">
        <v>3363</v>
      </c>
      <c r="E1481" t="str">
        <f>"15633620119099"</f>
        <v>15633620119099</v>
      </c>
      <c r="F1481" s="8">
        <v>1107</v>
      </c>
      <c r="G1481" s="8">
        <v>11581</v>
      </c>
      <c r="H1481" s="8">
        <v>1490</v>
      </c>
      <c r="I1481" s="8">
        <v>2890</v>
      </c>
    </row>
    <row r="1482" spans="1:9" x14ac:dyDescent="0.2">
      <c r="A1482" t="s">
        <v>336</v>
      </c>
      <c r="B1482" t="s">
        <v>375</v>
      </c>
      <c r="C1482" t="str">
        <f t="shared" si="75"/>
        <v>15633620000000</v>
      </c>
      <c r="D1482" t="s">
        <v>3364</v>
      </c>
      <c r="E1482" t="str">
        <f>"15633626009922"</f>
        <v>15633626009922</v>
      </c>
      <c r="F1482" s="8">
        <v>921</v>
      </c>
      <c r="G1482" s="8">
        <v>10107</v>
      </c>
      <c r="H1482" s="8">
        <v>1490</v>
      </c>
      <c r="I1482" s="8">
        <v>2890</v>
      </c>
    </row>
    <row r="1483" spans="1:9" x14ac:dyDescent="0.2">
      <c r="A1483" t="s">
        <v>336</v>
      </c>
      <c r="B1483" t="s">
        <v>375</v>
      </c>
      <c r="C1483" t="str">
        <f t="shared" si="75"/>
        <v>15633620000000</v>
      </c>
      <c r="D1483" t="s">
        <v>3365</v>
      </c>
      <c r="E1483" t="str">
        <f>"15633626099428"</f>
        <v>15633626099428</v>
      </c>
      <c r="F1483" s="8">
        <v>936</v>
      </c>
      <c r="G1483" s="8">
        <v>10037</v>
      </c>
      <c r="H1483" s="8">
        <v>1490</v>
      </c>
      <c r="I1483" s="8">
        <v>2890</v>
      </c>
    </row>
    <row r="1484" spans="1:9" x14ac:dyDescent="0.2">
      <c r="A1484" t="s">
        <v>336</v>
      </c>
      <c r="B1484" t="s">
        <v>375</v>
      </c>
      <c r="C1484" t="str">
        <f t="shared" si="75"/>
        <v>15633620000000</v>
      </c>
      <c r="D1484" t="s">
        <v>3366</v>
      </c>
      <c r="E1484" t="str">
        <f>"15633626066674"</f>
        <v>15633626066674</v>
      </c>
      <c r="F1484" s="8">
        <v>1088</v>
      </c>
      <c r="G1484" s="8">
        <v>9236</v>
      </c>
      <c r="H1484" s="8">
        <v>1490</v>
      </c>
      <c r="I1484" s="8">
        <v>2890</v>
      </c>
    </row>
    <row r="1485" spans="1:9" x14ac:dyDescent="0.2">
      <c r="A1485" t="s">
        <v>336</v>
      </c>
      <c r="B1485" t="s">
        <v>375</v>
      </c>
      <c r="C1485" t="str">
        <f t="shared" si="75"/>
        <v>15633620000000</v>
      </c>
      <c r="D1485" t="s">
        <v>3367</v>
      </c>
      <c r="E1485" t="str">
        <f>"15633626105423"</f>
        <v>15633626105423</v>
      </c>
      <c r="F1485" s="8">
        <v>731</v>
      </c>
      <c r="G1485" s="8">
        <v>9557</v>
      </c>
      <c r="H1485" s="8">
        <v>1490</v>
      </c>
      <c r="I1485" s="8">
        <v>2890</v>
      </c>
    </row>
    <row r="1486" spans="1:9" x14ac:dyDescent="0.2">
      <c r="A1486" t="s">
        <v>336</v>
      </c>
      <c r="B1486" t="s">
        <v>375</v>
      </c>
      <c r="C1486" t="str">
        <f t="shared" si="75"/>
        <v>15633620000000</v>
      </c>
      <c r="D1486" t="s">
        <v>3368</v>
      </c>
      <c r="E1486" t="str">
        <f>"15633626110001"</f>
        <v>15633626110001</v>
      </c>
      <c r="F1486" s="8">
        <v>497</v>
      </c>
      <c r="G1486" s="8">
        <v>9573</v>
      </c>
      <c r="H1486" s="8">
        <v>1490</v>
      </c>
      <c r="I1486" s="8">
        <v>2890</v>
      </c>
    </row>
    <row r="1487" spans="1:9" x14ac:dyDescent="0.2">
      <c r="A1487" t="s">
        <v>336</v>
      </c>
      <c r="B1487" t="s">
        <v>375</v>
      </c>
      <c r="C1487" t="str">
        <f t="shared" si="75"/>
        <v>15633620000000</v>
      </c>
      <c r="D1487" t="s">
        <v>3369</v>
      </c>
      <c r="E1487" t="str">
        <f>"15633626096986"</f>
        <v>15633626096986</v>
      </c>
      <c r="F1487" s="8">
        <v>437</v>
      </c>
      <c r="G1487" s="8">
        <v>9229</v>
      </c>
      <c r="H1487" s="8">
        <v>1490</v>
      </c>
      <c r="I1487" s="8">
        <v>2890</v>
      </c>
    </row>
    <row r="1488" spans="1:9" x14ac:dyDescent="0.2">
      <c r="A1488" t="s">
        <v>336</v>
      </c>
      <c r="B1488" t="s">
        <v>375</v>
      </c>
      <c r="C1488" t="str">
        <f t="shared" si="75"/>
        <v>15633620000000</v>
      </c>
      <c r="D1488" t="s">
        <v>3370</v>
      </c>
      <c r="E1488" t="str">
        <f>"15633626095012"</f>
        <v>15633626095012</v>
      </c>
      <c r="F1488" s="8">
        <v>2548</v>
      </c>
      <c r="G1488" s="8">
        <v>6892</v>
      </c>
      <c r="H1488" s="8">
        <v>1490</v>
      </c>
      <c r="I1488" s="8">
        <v>2890</v>
      </c>
    </row>
    <row r="1489" spans="1:9" x14ac:dyDescent="0.2">
      <c r="A1489" t="s">
        <v>336</v>
      </c>
      <c r="B1489" t="s">
        <v>375</v>
      </c>
      <c r="C1489" t="str">
        <f t="shared" si="75"/>
        <v>15633620000000</v>
      </c>
      <c r="D1489" t="s">
        <v>3371</v>
      </c>
      <c r="E1489" t="str">
        <f>"15633626009930"</f>
        <v>15633626009930</v>
      </c>
      <c r="F1489" s="8">
        <v>893</v>
      </c>
      <c r="G1489" s="8">
        <v>8458</v>
      </c>
      <c r="H1489" s="8">
        <v>1490</v>
      </c>
      <c r="I1489" s="8">
        <v>2890</v>
      </c>
    </row>
    <row r="1490" spans="1:9" x14ac:dyDescent="0.2">
      <c r="A1490" t="s">
        <v>336</v>
      </c>
      <c r="B1490" t="s">
        <v>375</v>
      </c>
      <c r="C1490" t="str">
        <f t="shared" si="75"/>
        <v>15633620000000</v>
      </c>
      <c r="D1490" t="s">
        <v>3372</v>
      </c>
      <c r="E1490" t="str">
        <f>"15633626099436"</f>
        <v>15633626099436</v>
      </c>
      <c r="F1490" s="8">
        <v>1164</v>
      </c>
      <c r="G1490" s="8">
        <v>8039</v>
      </c>
      <c r="H1490" s="8">
        <v>1490</v>
      </c>
      <c r="I1490" s="8">
        <v>2890</v>
      </c>
    </row>
    <row r="1491" spans="1:9" x14ac:dyDescent="0.2">
      <c r="A1491" t="s">
        <v>336</v>
      </c>
      <c r="B1491" t="s">
        <v>375</v>
      </c>
      <c r="C1491" t="str">
        <f t="shared" si="75"/>
        <v>15633620000000</v>
      </c>
      <c r="D1491" t="s">
        <v>3373</v>
      </c>
      <c r="E1491" t="str">
        <f>"15633626009955"</f>
        <v>15633626009955</v>
      </c>
      <c r="F1491" s="8">
        <v>994</v>
      </c>
      <c r="G1491" s="8">
        <v>8182</v>
      </c>
      <c r="H1491" s="8">
        <v>1490</v>
      </c>
      <c r="I1491" s="8">
        <v>2890</v>
      </c>
    </row>
    <row r="1492" spans="1:9" x14ac:dyDescent="0.2">
      <c r="A1492" t="s">
        <v>336</v>
      </c>
      <c r="B1492" t="s">
        <v>375</v>
      </c>
      <c r="C1492" t="str">
        <f t="shared" si="75"/>
        <v>15633620000000</v>
      </c>
      <c r="D1492" t="s">
        <v>3374</v>
      </c>
      <c r="E1492" t="str">
        <f>"15633626009948"</f>
        <v>15633626009948</v>
      </c>
      <c r="F1492" s="8">
        <v>1009</v>
      </c>
      <c r="G1492" s="8">
        <v>8080</v>
      </c>
      <c r="H1492" s="8">
        <v>1490</v>
      </c>
      <c r="I1492" s="8">
        <v>2890</v>
      </c>
    </row>
    <row r="1493" spans="1:9" x14ac:dyDescent="0.2">
      <c r="A1493" t="s">
        <v>336</v>
      </c>
      <c r="B1493" t="s">
        <v>375</v>
      </c>
      <c r="C1493" t="str">
        <f t="shared" si="75"/>
        <v>15633620000000</v>
      </c>
      <c r="D1493" t="s">
        <v>3375</v>
      </c>
      <c r="E1493" t="str">
        <f>"15633626108187"</f>
        <v>15633626108187</v>
      </c>
      <c r="F1493" s="8">
        <v>733</v>
      </c>
      <c r="G1493" s="8">
        <v>8043</v>
      </c>
      <c r="H1493" s="8">
        <v>1490</v>
      </c>
      <c r="I1493" s="8">
        <v>2890</v>
      </c>
    </row>
    <row r="1494" spans="1:9" x14ac:dyDescent="0.2">
      <c r="A1494" t="s">
        <v>336</v>
      </c>
      <c r="B1494" t="s">
        <v>375</v>
      </c>
      <c r="C1494" t="str">
        <f t="shared" si="75"/>
        <v>15633620000000</v>
      </c>
      <c r="D1494" t="s">
        <v>3376</v>
      </c>
      <c r="E1494" t="str">
        <f>"15633626107627"</f>
        <v>15633626107627</v>
      </c>
      <c r="F1494" s="8">
        <v>398</v>
      </c>
      <c r="G1494" s="8">
        <v>8353</v>
      </c>
      <c r="H1494" s="8">
        <v>1490</v>
      </c>
      <c r="I1494" s="8">
        <v>2890</v>
      </c>
    </row>
    <row r="1495" spans="1:9" x14ac:dyDescent="0.2">
      <c r="A1495" t="s">
        <v>336</v>
      </c>
      <c r="B1495" t="s">
        <v>375</v>
      </c>
      <c r="C1495" t="str">
        <f t="shared" si="75"/>
        <v>15633620000000</v>
      </c>
      <c r="D1495" t="s">
        <v>3377</v>
      </c>
      <c r="E1495" t="str">
        <f>"15633626107619"</f>
        <v>15633626107619</v>
      </c>
      <c r="F1495" s="8">
        <v>521</v>
      </c>
      <c r="G1495" s="8">
        <v>7994</v>
      </c>
      <c r="H1495" s="8">
        <v>1490</v>
      </c>
      <c r="I1495" s="8">
        <v>2890</v>
      </c>
    </row>
    <row r="1496" spans="1:9" x14ac:dyDescent="0.2">
      <c r="A1496" t="s">
        <v>336</v>
      </c>
      <c r="B1496" t="s">
        <v>375</v>
      </c>
      <c r="C1496" t="str">
        <f t="shared" si="75"/>
        <v>15633620000000</v>
      </c>
      <c r="D1496" t="s">
        <v>2540</v>
      </c>
      <c r="E1496" t="str">
        <f>"15633620113951"</f>
        <v>15633620113951</v>
      </c>
      <c r="F1496" s="8">
        <v>374</v>
      </c>
      <c r="G1496" s="8">
        <v>8033</v>
      </c>
      <c r="H1496" s="8">
        <v>1490</v>
      </c>
      <c r="I1496" s="8">
        <v>2890</v>
      </c>
    </row>
    <row r="1497" spans="1:9" x14ac:dyDescent="0.2">
      <c r="A1497" t="s">
        <v>336</v>
      </c>
      <c r="B1497" t="s">
        <v>375</v>
      </c>
      <c r="C1497" t="str">
        <f t="shared" si="75"/>
        <v>15633620000000</v>
      </c>
      <c r="D1497" t="s">
        <v>3378</v>
      </c>
      <c r="E1497" t="str">
        <f>"15633626115257"</f>
        <v>15633626115257</v>
      </c>
      <c r="F1497" s="8">
        <v>362</v>
      </c>
      <c r="G1497" s="8">
        <v>7757</v>
      </c>
      <c r="H1497" s="8">
        <v>1490</v>
      </c>
      <c r="I1497" s="8">
        <v>2890</v>
      </c>
    </row>
    <row r="1498" spans="1:9" x14ac:dyDescent="0.2">
      <c r="A1498" t="s">
        <v>336</v>
      </c>
      <c r="B1498" t="s">
        <v>375</v>
      </c>
      <c r="C1498" t="str">
        <f t="shared" si="75"/>
        <v>15633620000000</v>
      </c>
      <c r="D1498" t="s">
        <v>3379</v>
      </c>
      <c r="E1498" t="str">
        <f>"15633620136713"</f>
        <v>15633620136713</v>
      </c>
      <c r="F1498" s="8">
        <v>874</v>
      </c>
      <c r="G1498" s="8">
        <v>7228</v>
      </c>
      <c r="H1498" s="8">
        <v>1490</v>
      </c>
      <c r="I1498" s="8">
        <v>2890</v>
      </c>
    </row>
    <row r="1499" spans="1:9" x14ac:dyDescent="0.2">
      <c r="A1499" t="s">
        <v>336</v>
      </c>
      <c r="B1499" t="s">
        <v>375</v>
      </c>
      <c r="C1499" t="str">
        <f t="shared" si="75"/>
        <v>15633620000000</v>
      </c>
      <c r="D1499" t="s">
        <v>3380</v>
      </c>
      <c r="E1499" t="str">
        <f>"15633626104632"</f>
        <v>15633626104632</v>
      </c>
      <c r="F1499" s="8">
        <v>474</v>
      </c>
      <c r="G1499" s="8">
        <v>7394</v>
      </c>
      <c r="H1499" s="8">
        <v>1490</v>
      </c>
      <c r="I1499" s="8">
        <v>2890</v>
      </c>
    </row>
    <row r="1500" spans="1:9" x14ac:dyDescent="0.2">
      <c r="A1500" t="s">
        <v>336</v>
      </c>
      <c r="B1500" t="s">
        <v>375</v>
      </c>
      <c r="C1500" t="str">
        <f t="shared" si="75"/>
        <v>15633620000000</v>
      </c>
      <c r="D1500" t="s">
        <v>3381</v>
      </c>
      <c r="E1500" t="str">
        <f>"15633626119994"</f>
        <v>15633626119994</v>
      </c>
      <c r="F1500" s="8">
        <v>730</v>
      </c>
      <c r="G1500" s="8">
        <v>6978</v>
      </c>
      <c r="H1500" s="8">
        <v>1490</v>
      </c>
      <c r="I1500" s="8">
        <v>2890</v>
      </c>
    </row>
    <row r="1501" spans="1:9" x14ac:dyDescent="0.2">
      <c r="A1501" t="s">
        <v>336</v>
      </c>
      <c r="B1501" t="s">
        <v>375</v>
      </c>
      <c r="C1501" t="str">
        <f t="shared" si="75"/>
        <v>15633620000000</v>
      </c>
      <c r="D1501" t="s">
        <v>3382</v>
      </c>
      <c r="E1501" t="str">
        <f>"15633620110775"</f>
        <v>15633620110775</v>
      </c>
      <c r="F1501" s="8">
        <v>720</v>
      </c>
      <c r="G1501" s="8">
        <v>6908</v>
      </c>
      <c r="H1501" s="8">
        <v>1490</v>
      </c>
      <c r="I1501" s="8">
        <v>2890</v>
      </c>
    </row>
    <row r="1502" spans="1:9" x14ac:dyDescent="0.2">
      <c r="A1502" t="s">
        <v>336</v>
      </c>
      <c r="B1502" t="s">
        <v>375</v>
      </c>
      <c r="C1502" t="str">
        <f t="shared" si="75"/>
        <v>15633620000000</v>
      </c>
      <c r="D1502" t="s">
        <v>3383</v>
      </c>
      <c r="E1502" t="str">
        <f>"15633626112262"</f>
        <v>15633626112262</v>
      </c>
      <c r="F1502" s="8">
        <v>486</v>
      </c>
      <c r="G1502" s="8">
        <v>7093</v>
      </c>
      <c r="H1502" s="8">
        <v>1490</v>
      </c>
      <c r="I1502" s="8">
        <v>2890</v>
      </c>
    </row>
    <row r="1503" spans="1:9" x14ac:dyDescent="0.2">
      <c r="A1503" t="s">
        <v>336</v>
      </c>
      <c r="B1503" t="s">
        <v>375</v>
      </c>
      <c r="C1503" t="str">
        <f t="shared" si="75"/>
        <v>15633620000000</v>
      </c>
      <c r="D1503" t="s">
        <v>3384</v>
      </c>
      <c r="E1503" t="str">
        <f>"15633626113401"</f>
        <v>15633626113401</v>
      </c>
      <c r="F1503" s="8">
        <v>767</v>
      </c>
      <c r="G1503" s="8">
        <v>6538</v>
      </c>
      <c r="H1503" s="8">
        <v>1490</v>
      </c>
      <c r="I1503" s="8">
        <v>2890</v>
      </c>
    </row>
    <row r="1504" spans="1:9" x14ac:dyDescent="0.2">
      <c r="A1504" t="s">
        <v>336</v>
      </c>
      <c r="B1504" t="s">
        <v>375</v>
      </c>
      <c r="C1504" t="str">
        <f t="shared" si="75"/>
        <v>15633620000000</v>
      </c>
      <c r="D1504" t="s">
        <v>1942</v>
      </c>
      <c r="E1504" t="str">
        <f>"15633626009260"</f>
        <v>15633626009260</v>
      </c>
      <c r="F1504" s="8">
        <v>377</v>
      </c>
      <c r="G1504" s="8">
        <v>6829</v>
      </c>
      <c r="H1504" s="8">
        <v>1490</v>
      </c>
      <c r="I1504" s="8">
        <v>2890</v>
      </c>
    </row>
    <row r="1505" spans="1:9" x14ac:dyDescent="0.2">
      <c r="A1505" t="s">
        <v>336</v>
      </c>
      <c r="B1505" t="s">
        <v>377</v>
      </c>
      <c r="C1505" t="str">
        <f>"15637190000000"</f>
        <v>15637190000000</v>
      </c>
      <c r="D1505" t="s">
        <v>3385</v>
      </c>
      <c r="E1505" t="str">
        <f>"15637196009963"</f>
        <v>15637196009963</v>
      </c>
      <c r="F1505" s="8">
        <v>3094</v>
      </c>
      <c r="G1505" s="8">
        <v>14014</v>
      </c>
      <c r="H1505" s="8">
        <v>0</v>
      </c>
      <c r="I1505" s="8">
        <v>0</v>
      </c>
    </row>
    <row r="1506" spans="1:9" x14ac:dyDescent="0.2">
      <c r="A1506" t="s">
        <v>336</v>
      </c>
      <c r="B1506" t="s">
        <v>378</v>
      </c>
      <c r="C1506" t="str">
        <f>"15635780000000"</f>
        <v>15635780000000</v>
      </c>
      <c r="D1506" t="s">
        <v>2300</v>
      </c>
      <c r="E1506" t="str">
        <f>"15635780107771"</f>
        <v>15635780107771</v>
      </c>
      <c r="F1506" s="8">
        <v>444</v>
      </c>
      <c r="G1506" s="8">
        <v>6346</v>
      </c>
      <c r="H1506" s="8">
        <v>5736</v>
      </c>
      <c r="I1506" s="8">
        <v>2965</v>
      </c>
    </row>
    <row r="1507" spans="1:9" x14ac:dyDescent="0.2">
      <c r="A1507" t="s">
        <v>336</v>
      </c>
      <c r="B1507" t="s">
        <v>378</v>
      </c>
      <c r="C1507" t="str">
        <f>"15635780000000"</f>
        <v>15635780000000</v>
      </c>
      <c r="D1507" t="s">
        <v>3386</v>
      </c>
      <c r="E1507" t="str">
        <f>"15635786090591"</f>
        <v>15635786090591</v>
      </c>
      <c r="F1507" s="8">
        <v>411</v>
      </c>
      <c r="G1507" s="8">
        <v>6287</v>
      </c>
      <c r="H1507" s="8">
        <v>5736</v>
      </c>
      <c r="I1507" s="8">
        <v>2965</v>
      </c>
    </row>
    <row r="1508" spans="1:9" x14ac:dyDescent="0.2">
      <c r="A1508" t="s">
        <v>336</v>
      </c>
      <c r="B1508" t="s">
        <v>378</v>
      </c>
      <c r="C1508" t="str">
        <f>"15635780000000"</f>
        <v>15635780000000</v>
      </c>
      <c r="D1508" t="s">
        <v>2729</v>
      </c>
      <c r="E1508" t="str">
        <f>"15635786009989"</f>
        <v>15635786009989</v>
      </c>
      <c r="F1508" s="8">
        <v>330</v>
      </c>
      <c r="G1508" s="8">
        <v>6234</v>
      </c>
      <c r="H1508" s="8">
        <v>5736</v>
      </c>
      <c r="I1508" s="8">
        <v>2965</v>
      </c>
    </row>
    <row r="1509" spans="1:9" x14ac:dyDescent="0.2">
      <c r="A1509" t="s">
        <v>336</v>
      </c>
      <c r="B1509" t="s">
        <v>378</v>
      </c>
      <c r="C1509" t="str">
        <f>"15635780000000"</f>
        <v>15635780000000</v>
      </c>
      <c r="D1509" t="s">
        <v>3387</v>
      </c>
      <c r="E1509" t="str">
        <f>"15635786010003"</f>
        <v>15635786010003</v>
      </c>
      <c r="F1509" s="8">
        <v>321</v>
      </c>
      <c r="G1509" s="8">
        <v>6088</v>
      </c>
      <c r="H1509" s="8">
        <v>5736</v>
      </c>
      <c r="I1509" s="8">
        <v>2965</v>
      </c>
    </row>
    <row r="1510" spans="1:9" x14ac:dyDescent="0.2">
      <c r="A1510" t="s">
        <v>336</v>
      </c>
      <c r="B1510" t="s">
        <v>380</v>
      </c>
      <c r="C1510" t="str">
        <f>"15735440000000"</f>
        <v>15735440000000</v>
      </c>
      <c r="D1510" t="s">
        <v>3388</v>
      </c>
      <c r="E1510" t="str">
        <f>"15735446117816"</f>
        <v>15735446117816</v>
      </c>
      <c r="F1510" s="8">
        <v>1679.2378277153557</v>
      </c>
      <c r="G1510" s="8">
        <v>958.01498127340824</v>
      </c>
      <c r="H1510" s="8">
        <v>321.9644194756554</v>
      </c>
      <c r="I1510" s="8">
        <v>40.342696629213485</v>
      </c>
    </row>
    <row r="1511" spans="1:9" x14ac:dyDescent="0.2">
      <c r="A1511" t="s">
        <v>336</v>
      </c>
      <c r="B1511" t="s">
        <v>380</v>
      </c>
      <c r="C1511" t="str">
        <f>"15735440000000"</f>
        <v>15735440000000</v>
      </c>
      <c r="D1511" t="s">
        <v>3389</v>
      </c>
      <c r="E1511" t="str">
        <f>"15735446010011"</f>
        <v>15735446010011</v>
      </c>
      <c r="F1511" s="8">
        <v>1323.8034934497816</v>
      </c>
      <c r="G1511" s="8">
        <v>850.51310043668127</v>
      </c>
      <c r="H1511" s="8">
        <v>374</v>
      </c>
      <c r="I1511" s="8">
        <v>47.037117903930131</v>
      </c>
    </row>
    <row r="1512" spans="1:9" x14ac:dyDescent="0.2">
      <c r="A1512" t="s">
        <v>336</v>
      </c>
      <c r="B1512" t="s">
        <v>381</v>
      </c>
      <c r="C1512" t="str">
        <f t="shared" ref="C1512:C1520" si="76">"15637500000000"</f>
        <v>15637500000000</v>
      </c>
      <c r="D1512" t="s">
        <v>3390</v>
      </c>
      <c r="E1512" t="str">
        <f>"15637506096127"</f>
        <v>15637506096127</v>
      </c>
      <c r="F1512" s="8">
        <v>903</v>
      </c>
      <c r="G1512" s="8">
        <v>8813</v>
      </c>
      <c r="H1512" s="8">
        <v>373</v>
      </c>
      <c r="I1512" s="8">
        <v>2700</v>
      </c>
    </row>
    <row r="1513" spans="1:9" x14ac:dyDescent="0.2">
      <c r="A1513" t="s">
        <v>336</v>
      </c>
      <c r="B1513" t="s">
        <v>381</v>
      </c>
      <c r="C1513" t="str">
        <f t="shared" si="76"/>
        <v>15637500000000</v>
      </c>
      <c r="D1513" t="s">
        <v>3391</v>
      </c>
      <c r="E1513" t="str">
        <f>"15637506111686"</f>
        <v>15637506111686</v>
      </c>
      <c r="F1513" s="8">
        <v>486</v>
      </c>
      <c r="G1513" s="8">
        <v>7336</v>
      </c>
      <c r="H1513" s="8">
        <v>373</v>
      </c>
      <c r="I1513" s="8">
        <v>2700</v>
      </c>
    </row>
    <row r="1514" spans="1:9" x14ac:dyDescent="0.2">
      <c r="A1514" t="s">
        <v>336</v>
      </c>
      <c r="B1514" t="s">
        <v>381</v>
      </c>
      <c r="C1514" t="str">
        <f t="shared" si="76"/>
        <v>15637500000000</v>
      </c>
      <c r="D1514" t="s">
        <v>2968</v>
      </c>
      <c r="E1514" t="str">
        <f>"15637506108781"</f>
        <v>15637506108781</v>
      </c>
      <c r="F1514" s="8">
        <v>505</v>
      </c>
      <c r="G1514" s="8">
        <v>7076</v>
      </c>
      <c r="H1514" s="8">
        <v>373</v>
      </c>
      <c r="I1514" s="8">
        <v>2700</v>
      </c>
    </row>
    <row r="1515" spans="1:9" x14ac:dyDescent="0.2">
      <c r="A1515" t="s">
        <v>336</v>
      </c>
      <c r="B1515" t="s">
        <v>381</v>
      </c>
      <c r="C1515" t="str">
        <f t="shared" si="76"/>
        <v>15637500000000</v>
      </c>
      <c r="D1515" t="s">
        <v>3392</v>
      </c>
      <c r="E1515" t="str">
        <f>"15637500111245"</f>
        <v>15637500111245</v>
      </c>
      <c r="F1515" s="8">
        <v>218</v>
      </c>
      <c r="G1515" s="8">
        <v>7196</v>
      </c>
      <c r="H1515" s="8">
        <v>373</v>
      </c>
      <c r="I1515" s="8">
        <v>2700</v>
      </c>
    </row>
    <row r="1516" spans="1:9" x14ac:dyDescent="0.2">
      <c r="A1516" t="s">
        <v>336</v>
      </c>
      <c r="B1516" t="s">
        <v>381</v>
      </c>
      <c r="C1516" t="str">
        <f t="shared" si="76"/>
        <v>15637500000000</v>
      </c>
      <c r="D1516" t="s">
        <v>3393</v>
      </c>
      <c r="E1516" t="str">
        <f>"15637506110431"</f>
        <v>15637506110431</v>
      </c>
      <c r="F1516" s="8">
        <v>931</v>
      </c>
      <c r="G1516" s="8">
        <v>6374</v>
      </c>
      <c r="H1516" s="8">
        <v>373</v>
      </c>
      <c r="I1516" s="8">
        <v>2700</v>
      </c>
    </row>
    <row r="1517" spans="1:9" x14ac:dyDescent="0.2">
      <c r="A1517" t="s">
        <v>336</v>
      </c>
      <c r="B1517" t="s">
        <v>381</v>
      </c>
      <c r="C1517" t="str">
        <f t="shared" si="76"/>
        <v>15637500000000</v>
      </c>
      <c r="D1517" t="s">
        <v>3394</v>
      </c>
      <c r="E1517" t="str">
        <f>"15637506117717"</f>
        <v>15637506117717</v>
      </c>
      <c r="F1517" s="8">
        <v>168</v>
      </c>
      <c r="G1517" s="8">
        <v>6915</v>
      </c>
      <c r="H1517" s="8">
        <v>373</v>
      </c>
      <c r="I1517" s="8">
        <v>2700</v>
      </c>
    </row>
    <row r="1518" spans="1:9" x14ac:dyDescent="0.2">
      <c r="A1518" t="s">
        <v>336</v>
      </c>
      <c r="B1518" t="s">
        <v>381</v>
      </c>
      <c r="C1518" t="str">
        <f t="shared" si="76"/>
        <v>15637500000000</v>
      </c>
      <c r="D1518" t="s">
        <v>3395</v>
      </c>
      <c r="E1518" t="str">
        <f>"15637506010029"</f>
        <v>15637506010029</v>
      </c>
      <c r="F1518" s="8">
        <v>165</v>
      </c>
      <c r="G1518" s="8">
        <v>6826</v>
      </c>
      <c r="H1518" s="8">
        <v>373</v>
      </c>
      <c r="I1518" s="8">
        <v>2700</v>
      </c>
    </row>
    <row r="1519" spans="1:9" x14ac:dyDescent="0.2">
      <c r="A1519" t="s">
        <v>336</v>
      </c>
      <c r="B1519" t="s">
        <v>381</v>
      </c>
      <c r="C1519" t="str">
        <f t="shared" si="76"/>
        <v>15637500000000</v>
      </c>
      <c r="D1519" t="s">
        <v>3396</v>
      </c>
      <c r="E1519" t="str">
        <f>"15637506113484"</f>
        <v>15637506113484</v>
      </c>
      <c r="F1519" s="8">
        <v>468</v>
      </c>
      <c r="G1519" s="8">
        <v>6481</v>
      </c>
      <c r="H1519" s="8">
        <v>373</v>
      </c>
      <c r="I1519" s="8">
        <v>2700</v>
      </c>
    </row>
    <row r="1520" spans="1:9" x14ac:dyDescent="0.2">
      <c r="A1520" t="s">
        <v>336</v>
      </c>
      <c r="B1520" t="s">
        <v>381</v>
      </c>
      <c r="C1520" t="str">
        <f t="shared" si="76"/>
        <v>15637500000000</v>
      </c>
      <c r="D1520" t="s">
        <v>3397</v>
      </c>
      <c r="E1520" t="str">
        <f>"15637506120398"</f>
        <v>15637506120398</v>
      </c>
      <c r="F1520" s="8">
        <v>392</v>
      </c>
      <c r="G1520" s="8">
        <v>5662</v>
      </c>
      <c r="H1520" s="8">
        <v>373</v>
      </c>
      <c r="I1520" s="8">
        <v>2700</v>
      </c>
    </row>
    <row r="1521" spans="1:9" x14ac:dyDescent="0.2">
      <c r="A1521" t="s">
        <v>336</v>
      </c>
      <c r="B1521" t="s">
        <v>382</v>
      </c>
      <c r="C1521" t="str">
        <f t="shared" ref="C1521:C1530" si="77">"15737420000000"</f>
        <v>15737420000000</v>
      </c>
      <c r="D1521" t="s">
        <v>3398</v>
      </c>
      <c r="E1521" t="str">
        <f>"15737421530054"</f>
        <v>15737421530054</v>
      </c>
      <c r="F1521" s="8">
        <v>2240</v>
      </c>
      <c r="G1521" s="8">
        <v>12246</v>
      </c>
      <c r="H1521" s="8">
        <v>1482</v>
      </c>
      <c r="I1521" s="8">
        <v>5727</v>
      </c>
    </row>
    <row r="1522" spans="1:9" x14ac:dyDescent="0.2">
      <c r="A1522" t="s">
        <v>336</v>
      </c>
      <c r="B1522" t="s">
        <v>382</v>
      </c>
      <c r="C1522" t="str">
        <f t="shared" si="77"/>
        <v>15737420000000</v>
      </c>
      <c r="D1522" t="s">
        <v>3399</v>
      </c>
      <c r="E1522" t="str">
        <f>"15737426009609"</f>
        <v>15737426009609</v>
      </c>
      <c r="F1522" s="8">
        <v>3167</v>
      </c>
      <c r="G1522" s="8">
        <v>4315</v>
      </c>
      <c r="H1522" s="8">
        <v>1482</v>
      </c>
      <c r="I1522" s="8">
        <v>5727</v>
      </c>
    </row>
    <row r="1523" spans="1:9" x14ac:dyDescent="0.2">
      <c r="A1523" t="s">
        <v>336</v>
      </c>
      <c r="B1523" t="s">
        <v>382</v>
      </c>
      <c r="C1523" t="str">
        <f t="shared" si="77"/>
        <v>15737420000000</v>
      </c>
      <c r="D1523" t="s">
        <v>3400</v>
      </c>
      <c r="E1523" t="str">
        <f>"15737426110712"</f>
        <v>15737426110712</v>
      </c>
      <c r="F1523" s="8">
        <v>3625</v>
      </c>
      <c r="G1523" s="8">
        <v>2665</v>
      </c>
      <c r="H1523" s="8">
        <v>1482</v>
      </c>
      <c r="I1523" s="8">
        <v>5727</v>
      </c>
    </row>
    <row r="1524" spans="1:9" x14ac:dyDescent="0.2">
      <c r="A1524" t="s">
        <v>336</v>
      </c>
      <c r="B1524" t="s">
        <v>382</v>
      </c>
      <c r="C1524" t="str">
        <f t="shared" si="77"/>
        <v>15737420000000</v>
      </c>
      <c r="D1524" t="s">
        <v>3401</v>
      </c>
      <c r="E1524" t="str">
        <f>"15737426009617"</f>
        <v>15737426009617</v>
      </c>
      <c r="F1524" s="8">
        <v>45</v>
      </c>
      <c r="G1524" s="8">
        <v>6143</v>
      </c>
      <c r="H1524" s="8">
        <v>1482</v>
      </c>
      <c r="I1524" s="8">
        <v>5727</v>
      </c>
    </row>
    <row r="1525" spans="1:9" x14ac:dyDescent="0.2">
      <c r="A1525" t="s">
        <v>336</v>
      </c>
      <c r="B1525" t="s">
        <v>382</v>
      </c>
      <c r="C1525" t="str">
        <f t="shared" si="77"/>
        <v>15737420000000</v>
      </c>
      <c r="D1525" t="s">
        <v>3402</v>
      </c>
      <c r="E1525" t="str">
        <f>"15737426009625"</f>
        <v>15737426009625</v>
      </c>
      <c r="F1525" s="8">
        <v>3560</v>
      </c>
      <c r="G1525" s="8">
        <v>2604</v>
      </c>
      <c r="H1525" s="8">
        <v>1482</v>
      </c>
      <c r="I1525" s="8">
        <v>5727</v>
      </c>
    </row>
    <row r="1526" spans="1:9" x14ac:dyDescent="0.2">
      <c r="A1526" t="s">
        <v>336</v>
      </c>
      <c r="B1526" t="s">
        <v>382</v>
      </c>
      <c r="C1526" t="str">
        <f t="shared" si="77"/>
        <v>15737420000000</v>
      </c>
      <c r="D1526" t="s">
        <v>3403</v>
      </c>
      <c r="E1526" t="str">
        <f>"15737421531367"</f>
        <v>15737421531367</v>
      </c>
      <c r="F1526" s="8">
        <v>846</v>
      </c>
      <c r="G1526" s="8">
        <v>5192</v>
      </c>
      <c r="H1526" s="8">
        <v>1482</v>
      </c>
      <c r="I1526" s="8">
        <v>5727</v>
      </c>
    </row>
    <row r="1527" spans="1:9" x14ac:dyDescent="0.2">
      <c r="A1527" t="s">
        <v>336</v>
      </c>
      <c r="B1527" t="s">
        <v>382</v>
      </c>
      <c r="C1527" t="str">
        <f t="shared" si="77"/>
        <v>15737420000000</v>
      </c>
      <c r="D1527" t="s">
        <v>3404</v>
      </c>
      <c r="E1527" t="str">
        <f>"15737426009294"</f>
        <v>15737426009294</v>
      </c>
      <c r="F1527" s="8">
        <v>3117</v>
      </c>
      <c r="G1527" s="8">
        <v>2646</v>
      </c>
      <c r="H1527" s="8">
        <v>1482</v>
      </c>
      <c r="I1527" s="8">
        <v>5727</v>
      </c>
    </row>
    <row r="1528" spans="1:9" x14ac:dyDescent="0.2">
      <c r="A1528" t="s">
        <v>336</v>
      </c>
      <c r="B1528" t="s">
        <v>382</v>
      </c>
      <c r="C1528" t="str">
        <f t="shared" si="77"/>
        <v>15737420000000</v>
      </c>
      <c r="D1528" t="s">
        <v>3405</v>
      </c>
      <c r="E1528" t="str">
        <f>"15737426009633"</f>
        <v>15737426009633</v>
      </c>
      <c r="F1528" s="8">
        <v>2469</v>
      </c>
      <c r="G1528" s="8">
        <v>2717</v>
      </c>
      <c r="H1528" s="8">
        <v>1482</v>
      </c>
      <c r="I1528" s="8">
        <v>5727</v>
      </c>
    </row>
    <row r="1529" spans="1:9" x14ac:dyDescent="0.2">
      <c r="A1529" t="s">
        <v>336</v>
      </c>
      <c r="B1529" t="s">
        <v>382</v>
      </c>
      <c r="C1529" t="str">
        <f t="shared" si="77"/>
        <v>15737420000000</v>
      </c>
      <c r="D1529" t="s">
        <v>431</v>
      </c>
      <c r="E1529" t="str">
        <f>"15737426009328"</f>
        <v>15737426009328</v>
      </c>
      <c r="F1529" s="8">
        <v>2602</v>
      </c>
      <c r="G1529" s="8">
        <v>2482</v>
      </c>
      <c r="H1529" s="8">
        <v>1482</v>
      </c>
      <c r="I1529" s="8">
        <v>5727</v>
      </c>
    </row>
    <row r="1530" spans="1:9" x14ac:dyDescent="0.2">
      <c r="A1530" t="s">
        <v>336</v>
      </c>
      <c r="B1530" t="s">
        <v>382</v>
      </c>
      <c r="C1530" t="str">
        <f t="shared" si="77"/>
        <v>15737420000000</v>
      </c>
      <c r="D1530" t="s">
        <v>3406</v>
      </c>
      <c r="E1530" t="str">
        <f>"15737426009310"</f>
        <v>15737426009310</v>
      </c>
      <c r="F1530" s="8">
        <v>41</v>
      </c>
      <c r="G1530" s="8">
        <v>4830</v>
      </c>
      <c r="H1530" s="8">
        <v>1482</v>
      </c>
      <c r="I1530" s="8">
        <v>5727</v>
      </c>
    </row>
    <row r="1531" spans="1:9" x14ac:dyDescent="0.2">
      <c r="A1531" t="s">
        <v>336</v>
      </c>
      <c r="B1531" t="s">
        <v>383</v>
      </c>
      <c r="C1531" t="str">
        <f>"15637840000000"</f>
        <v>15637840000000</v>
      </c>
      <c r="D1531" t="s">
        <v>3407</v>
      </c>
      <c r="E1531" t="str">
        <f>"15637846010060"</f>
        <v>15637846010060</v>
      </c>
      <c r="F1531" s="8">
        <v>1648</v>
      </c>
      <c r="G1531" s="8">
        <v>7204</v>
      </c>
      <c r="H1531" s="8">
        <v>55</v>
      </c>
      <c r="I1531" s="8">
        <v>1034</v>
      </c>
    </row>
    <row r="1532" spans="1:9" x14ac:dyDescent="0.2">
      <c r="A1532" t="s">
        <v>336</v>
      </c>
      <c r="B1532" t="s">
        <v>384</v>
      </c>
      <c r="C1532" t="str">
        <f t="shared" ref="C1532:C1537" si="78">"15637760000000"</f>
        <v>15637760000000</v>
      </c>
      <c r="D1532" t="s">
        <v>3408</v>
      </c>
      <c r="E1532" t="str">
        <f>"15637761530377"</f>
        <v>15637761530377</v>
      </c>
      <c r="F1532" s="8">
        <v>2</v>
      </c>
      <c r="G1532" s="8">
        <v>9735</v>
      </c>
      <c r="H1532" s="8">
        <v>1714</v>
      </c>
      <c r="I1532" s="8">
        <v>2826</v>
      </c>
    </row>
    <row r="1533" spans="1:9" x14ac:dyDescent="0.2">
      <c r="A1533" t="s">
        <v>336</v>
      </c>
      <c r="B1533" t="s">
        <v>384</v>
      </c>
      <c r="C1533" t="str">
        <f t="shared" si="78"/>
        <v>15637760000000</v>
      </c>
      <c r="D1533" t="s">
        <v>3409</v>
      </c>
      <c r="E1533" t="str">
        <f>"15637761530039"</f>
        <v>15637761530039</v>
      </c>
      <c r="F1533" s="8">
        <v>682</v>
      </c>
      <c r="G1533" s="8">
        <v>8105</v>
      </c>
      <c r="H1533" s="8">
        <v>1714</v>
      </c>
      <c r="I1533" s="8">
        <v>2826</v>
      </c>
    </row>
    <row r="1534" spans="1:9" x14ac:dyDescent="0.2">
      <c r="A1534" t="s">
        <v>336</v>
      </c>
      <c r="B1534" t="s">
        <v>384</v>
      </c>
      <c r="C1534" t="str">
        <f t="shared" si="78"/>
        <v>15637760000000</v>
      </c>
      <c r="D1534" t="s">
        <v>3410</v>
      </c>
      <c r="E1534" t="str">
        <f>"15637761534957"</f>
        <v>15637761534957</v>
      </c>
      <c r="F1534" s="8">
        <v>532</v>
      </c>
      <c r="G1534" s="8">
        <v>8002</v>
      </c>
      <c r="H1534" s="8">
        <v>1714</v>
      </c>
      <c r="I1534" s="8">
        <v>2826</v>
      </c>
    </row>
    <row r="1535" spans="1:9" x14ac:dyDescent="0.2">
      <c r="A1535" t="s">
        <v>336</v>
      </c>
      <c r="B1535" t="s">
        <v>384</v>
      </c>
      <c r="C1535" t="str">
        <f t="shared" si="78"/>
        <v>15637760000000</v>
      </c>
      <c r="D1535" t="s">
        <v>3411</v>
      </c>
      <c r="E1535" t="str">
        <f>"15637766010052"</f>
        <v>15637766010052</v>
      </c>
      <c r="F1535" s="8">
        <v>643</v>
      </c>
      <c r="G1535" s="8">
        <v>7127</v>
      </c>
      <c r="H1535" s="8">
        <v>1714</v>
      </c>
      <c r="I1535" s="8">
        <v>2826</v>
      </c>
    </row>
    <row r="1536" spans="1:9" x14ac:dyDescent="0.2">
      <c r="A1536" t="s">
        <v>336</v>
      </c>
      <c r="B1536" t="s">
        <v>384</v>
      </c>
      <c r="C1536" t="str">
        <f t="shared" si="78"/>
        <v>15637760000000</v>
      </c>
      <c r="D1536" t="s">
        <v>3412</v>
      </c>
      <c r="E1536" t="str">
        <f>"15637760111377"</f>
        <v>15637760111377</v>
      </c>
      <c r="F1536" s="8">
        <v>551</v>
      </c>
      <c r="G1536" s="8">
        <v>6767</v>
      </c>
      <c r="H1536" s="8">
        <v>1714</v>
      </c>
      <c r="I1536" s="8">
        <v>2826</v>
      </c>
    </row>
    <row r="1537" spans="1:9" x14ac:dyDescent="0.2">
      <c r="A1537" t="s">
        <v>336</v>
      </c>
      <c r="B1537" t="s">
        <v>384</v>
      </c>
      <c r="C1537" t="str">
        <f t="shared" si="78"/>
        <v>15637760000000</v>
      </c>
      <c r="D1537" t="s">
        <v>3413</v>
      </c>
      <c r="E1537" t="str">
        <f>"15637766010045"</f>
        <v>15637766010045</v>
      </c>
      <c r="F1537" s="8">
        <v>725</v>
      </c>
      <c r="G1537" s="8">
        <v>6382</v>
      </c>
      <c r="H1537" s="8">
        <v>1714</v>
      </c>
      <c r="I1537" s="8">
        <v>2826</v>
      </c>
    </row>
    <row r="1538" spans="1:9" x14ac:dyDescent="0.2">
      <c r="A1538" t="s">
        <v>336</v>
      </c>
      <c r="B1538" t="s">
        <v>385</v>
      </c>
      <c r="C1538" t="str">
        <f>"15637920000000"</f>
        <v>15637920000000</v>
      </c>
      <c r="D1538" t="s">
        <v>385</v>
      </c>
      <c r="E1538" t="str">
        <f>"15637926010086"</f>
        <v>15637926010086</v>
      </c>
      <c r="F1538" s="8">
        <v>0</v>
      </c>
      <c r="G1538" s="8">
        <v>7620</v>
      </c>
      <c r="H1538" s="8">
        <v>0</v>
      </c>
      <c r="I1538" s="8">
        <v>1992</v>
      </c>
    </row>
    <row r="1539" spans="1:9" x14ac:dyDescent="0.2">
      <c r="A1539" t="s">
        <v>336</v>
      </c>
      <c r="B1539" t="s">
        <v>385</v>
      </c>
      <c r="C1539" t="str">
        <f>"15637920000000"</f>
        <v>15637920000000</v>
      </c>
      <c r="D1539" t="s">
        <v>2699</v>
      </c>
      <c r="E1539" t="str">
        <f>"15637926010078"</f>
        <v>15637926010078</v>
      </c>
      <c r="F1539" s="8">
        <v>0</v>
      </c>
      <c r="G1539" s="8">
        <v>7527</v>
      </c>
      <c r="H1539" s="8">
        <v>0</v>
      </c>
      <c r="I1539" s="8">
        <v>1992</v>
      </c>
    </row>
    <row r="1540" spans="1:9" x14ac:dyDescent="0.2">
      <c r="A1540" t="s">
        <v>336</v>
      </c>
      <c r="B1540" t="s">
        <v>385</v>
      </c>
      <c r="C1540" t="str">
        <f>"15637920000000"</f>
        <v>15637920000000</v>
      </c>
      <c r="D1540" t="s">
        <v>3414</v>
      </c>
      <c r="E1540" t="str">
        <f>"15637926010102"</f>
        <v>15637926010102</v>
      </c>
      <c r="F1540" s="8">
        <v>0</v>
      </c>
      <c r="G1540" s="8">
        <v>6340</v>
      </c>
      <c r="H1540" s="8">
        <v>0</v>
      </c>
      <c r="I1540" s="8">
        <v>1992</v>
      </c>
    </row>
    <row r="1541" spans="1:9" x14ac:dyDescent="0.2">
      <c r="A1541" t="s">
        <v>336</v>
      </c>
      <c r="B1541" t="s">
        <v>385</v>
      </c>
      <c r="C1541" t="str">
        <f>"15637920000000"</f>
        <v>15637920000000</v>
      </c>
      <c r="D1541" t="s">
        <v>3415</v>
      </c>
      <c r="E1541" t="str">
        <f>"15637926010094"</f>
        <v>15637926010094</v>
      </c>
      <c r="F1541" s="8">
        <v>0</v>
      </c>
      <c r="G1541" s="8">
        <v>4889</v>
      </c>
      <c r="H1541" s="8">
        <v>0</v>
      </c>
      <c r="I1541" s="8">
        <v>1992</v>
      </c>
    </row>
    <row r="1542" spans="1:9" x14ac:dyDescent="0.2">
      <c r="A1542" t="s">
        <v>336</v>
      </c>
      <c r="B1542" t="s">
        <v>386</v>
      </c>
      <c r="C1542" t="str">
        <f t="shared" ref="C1542:C1547" si="79">"15638000000000"</f>
        <v>15638000000000</v>
      </c>
      <c r="D1542" t="s">
        <v>2402</v>
      </c>
      <c r="E1542" t="str">
        <f>"15638006010144"</f>
        <v>15638006010144</v>
      </c>
      <c r="F1542" s="8">
        <v>591</v>
      </c>
      <c r="G1542" s="8">
        <v>7725</v>
      </c>
      <c r="H1542" s="8">
        <v>2465</v>
      </c>
      <c r="I1542" s="8">
        <v>2904</v>
      </c>
    </row>
    <row r="1543" spans="1:9" x14ac:dyDescent="0.2">
      <c r="A1543" t="s">
        <v>336</v>
      </c>
      <c r="B1543" t="s">
        <v>386</v>
      </c>
      <c r="C1543" t="str">
        <f t="shared" si="79"/>
        <v>15638000000000</v>
      </c>
      <c r="D1543" t="s">
        <v>3416</v>
      </c>
      <c r="E1543" t="str">
        <f>"15638006010169"</f>
        <v>15638006010169</v>
      </c>
      <c r="F1543" s="8">
        <v>480</v>
      </c>
      <c r="G1543" s="8">
        <v>7146</v>
      </c>
      <c r="H1543" s="8">
        <v>2465</v>
      </c>
      <c r="I1543" s="8">
        <v>2904</v>
      </c>
    </row>
    <row r="1544" spans="1:9" x14ac:dyDescent="0.2">
      <c r="A1544" t="s">
        <v>336</v>
      </c>
      <c r="B1544" t="s">
        <v>386</v>
      </c>
      <c r="C1544" t="str">
        <f t="shared" si="79"/>
        <v>15638000000000</v>
      </c>
      <c r="D1544" t="s">
        <v>1194</v>
      </c>
      <c r="E1544" t="str">
        <f>"15638006010128"</f>
        <v>15638006010128</v>
      </c>
      <c r="F1544" s="8">
        <v>521</v>
      </c>
      <c r="G1544" s="8">
        <v>6946</v>
      </c>
      <c r="H1544" s="8">
        <v>2465</v>
      </c>
      <c r="I1544" s="8">
        <v>2904</v>
      </c>
    </row>
    <row r="1545" spans="1:9" x14ac:dyDescent="0.2">
      <c r="A1545" t="s">
        <v>336</v>
      </c>
      <c r="B1545" t="s">
        <v>386</v>
      </c>
      <c r="C1545" t="str">
        <f t="shared" si="79"/>
        <v>15638000000000</v>
      </c>
      <c r="D1545" t="s">
        <v>3417</v>
      </c>
      <c r="E1545" t="str">
        <f>"15638006010136"</f>
        <v>15638006010136</v>
      </c>
      <c r="F1545" s="8">
        <v>422</v>
      </c>
      <c r="G1545" s="8">
        <v>6809</v>
      </c>
      <c r="H1545" s="8">
        <v>2465</v>
      </c>
      <c r="I1545" s="8">
        <v>2904</v>
      </c>
    </row>
    <row r="1546" spans="1:9" x14ac:dyDescent="0.2">
      <c r="A1546" t="s">
        <v>336</v>
      </c>
      <c r="B1546" t="s">
        <v>386</v>
      </c>
      <c r="C1546" t="str">
        <f t="shared" si="79"/>
        <v>15638000000000</v>
      </c>
      <c r="D1546" t="s">
        <v>3418</v>
      </c>
      <c r="E1546" t="str">
        <f>"15638006010110"</f>
        <v>15638006010110</v>
      </c>
      <c r="F1546" s="8">
        <v>286</v>
      </c>
      <c r="G1546" s="8">
        <v>6924</v>
      </c>
      <c r="H1546" s="8">
        <v>2465</v>
      </c>
      <c r="I1546" s="8">
        <v>2904</v>
      </c>
    </row>
    <row r="1547" spans="1:9" x14ac:dyDescent="0.2">
      <c r="A1547" t="s">
        <v>336</v>
      </c>
      <c r="B1547" t="s">
        <v>386</v>
      </c>
      <c r="C1547" t="str">
        <f t="shared" si="79"/>
        <v>15638000000000</v>
      </c>
      <c r="D1547" t="s">
        <v>2347</v>
      </c>
      <c r="E1547" t="str">
        <f>"15638006010151"</f>
        <v>15638006010151</v>
      </c>
      <c r="F1547" s="8">
        <v>475</v>
      </c>
      <c r="G1547" s="8">
        <v>6251</v>
      </c>
      <c r="H1547" s="8">
        <v>2465</v>
      </c>
      <c r="I1547" s="8">
        <v>2904</v>
      </c>
    </row>
    <row r="1548" spans="1:9" x14ac:dyDescent="0.2">
      <c r="A1548" t="s">
        <v>336</v>
      </c>
      <c r="B1548" t="s">
        <v>387</v>
      </c>
      <c r="C1548" t="str">
        <f>"15638180000000"</f>
        <v>15638180000000</v>
      </c>
      <c r="D1548" t="s">
        <v>3419</v>
      </c>
      <c r="E1548" t="str">
        <f>"15638181530138"</f>
        <v>15638181530138</v>
      </c>
      <c r="F1548" s="8">
        <v>869</v>
      </c>
      <c r="G1548" s="8">
        <v>15857</v>
      </c>
      <c r="H1548" s="8">
        <v>2062</v>
      </c>
      <c r="I1548" s="8">
        <v>20694</v>
      </c>
    </row>
    <row r="1549" spans="1:9" x14ac:dyDescent="0.2">
      <c r="A1549" t="s">
        <v>336</v>
      </c>
      <c r="B1549" t="s">
        <v>387</v>
      </c>
      <c r="C1549" t="str">
        <f>"15638180000000"</f>
        <v>15638180000000</v>
      </c>
      <c r="D1549" t="s">
        <v>387</v>
      </c>
      <c r="E1549" t="str">
        <f>"15638181535905"</f>
        <v>15638181535905</v>
      </c>
      <c r="F1549" s="8">
        <v>605</v>
      </c>
      <c r="G1549" s="8">
        <v>9334</v>
      </c>
      <c r="H1549" s="8">
        <v>1436</v>
      </c>
      <c r="I1549" s="8">
        <v>12181</v>
      </c>
    </row>
    <row r="1550" spans="1:9" x14ac:dyDescent="0.2">
      <c r="A1550" t="s">
        <v>336</v>
      </c>
      <c r="B1550" t="s">
        <v>388</v>
      </c>
      <c r="C1550" t="str">
        <f t="shared" ref="C1550:C1555" si="80">"15638260000000"</f>
        <v>15638260000000</v>
      </c>
      <c r="D1550" t="s">
        <v>3420</v>
      </c>
      <c r="E1550" t="str">
        <f>"15638266108898"</f>
        <v>15638266108898</v>
      </c>
      <c r="F1550" s="8" t="s">
        <v>30</v>
      </c>
      <c r="G1550" s="8" t="s">
        <v>30</v>
      </c>
      <c r="H1550" s="8" t="s">
        <v>30</v>
      </c>
      <c r="I1550" s="8" t="s">
        <v>30</v>
      </c>
    </row>
    <row r="1551" spans="1:9" x14ac:dyDescent="0.2">
      <c r="A1551" t="s">
        <v>336</v>
      </c>
      <c r="B1551" t="s">
        <v>388</v>
      </c>
      <c r="C1551" t="str">
        <f t="shared" si="80"/>
        <v>15638260000000</v>
      </c>
      <c r="D1551" t="s">
        <v>2435</v>
      </c>
      <c r="E1551" t="str">
        <f>"15638266105415"</f>
        <v>15638266105415</v>
      </c>
      <c r="F1551" s="8" t="s">
        <v>30</v>
      </c>
      <c r="G1551" s="8" t="s">
        <v>30</v>
      </c>
      <c r="H1551" s="8" t="s">
        <v>30</v>
      </c>
      <c r="I1551" s="8" t="s">
        <v>30</v>
      </c>
    </row>
    <row r="1552" spans="1:9" x14ac:dyDescent="0.2">
      <c r="A1552" t="s">
        <v>336</v>
      </c>
      <c r="B1552" t="s">
        <v>388</v>
      </c>
      <c r="C1552" t="str">
        <f t="shared" si="80"/>
        <v>15638260000000</v>
      </c>
      <c r="D1552" t="s">
        <v>3421</v>
      </c>
      <c r="E1552" t="str">
        <f>"15638266057426"</f>
        <v>15638266057426</v>
      </c>
      <c r="F1552" s="8" t="s">
        <v>30</v>
      </c>
      <c r="G1552" s="8" t="s">
        <v>30</v>
      </c>
      <c r="H1552" s="8" t="s">
        <v>30</v>
      </c>
      <c r="I1552" s="8" t="s">
        <v>30</v>
      </c>
    </row>
    <row r="1553" spans="1:9" x14ac:dyDescent="0.2">
      <c r="A1553" t="s">
        <v>336</v>
      </c>
      <c r="B1553" t="s">
        <v>388</v>
      </c>
      <c r="C1553" t="str">
        <f t="shared" si="80"/>
        <v>15638260000000</v>
      </c>
      <c r="D1553" t="s">
        <v>3422</v>
      </c>
      <c r="E1553" t="str">
        <f>"15638261530245"</f>
        <v>15638261530245</v>
      </c>
      <c r="F1553" s="8" t="s">
        <v>30</v>
      </c>
      <c r="G1553" s="8" t="s">
        <v>30</v>
      </c>
      <c r="H1553" s="8" t="s">
        <v>30</v>
      </c>
      <c r="I1553" s="8" t="s">
        <v>30</v>
      </c>
    </row>
    <row r="1554" spans="1:9" x14ac:dyDescent="0.2">
      <c r="A1554" t="s">
        <v>336</v>
      </c>
      <c r="B1554" t="s">
        <v>388</v>
      </c>
      <c r="C1554" t="str">
        <f t="shared" si="80"/>
        <v>15638260000000</v>
      </c>
      <c r="D1554" t="s">
        <v>3423</v>
      </c>
      <c r="E1554" t="str">
        <f>"15638261536135"</f>
        <v>15638261536135</v>
      </c>
      <c r="F1554" s="8" t="s">
        <v>30</v>
      </c>
      <c r="G1554" s="8" t="s">
        <v>30</v>
      </c>
      <c r="H1554" s="8" t="s">
        <v>30</v>
      </c>
      <c r="I1554" s="8" t="s">
        <v>30</v>
      </c>
    </row>
    <row r="1555" spans="1:9" x14ac:dyDescent="0.2">
      <c r="A1555" t="s">
        <v>336</v>
      </c>
      <c r="B1555" t="s">
        <v>388</v>
      </c>
      <c r="C1555" t="str">
        <f t="shared" si="80"/>
        <v>15638260000000</v>
      </c>
      <c r="D1555" t="s">
        <v>3424</v>
      </c>
      <c r="E1555" t="str">
        <f>"15638266010201"</f>
        <v>15638266010201</v>
      </c>
      <c r="F1555" s="8" t="s">
        <v>30</v>
      </c>
      <c r="G1555" s="8" t="s">
        <v>30</v>
      </c>
      <c r="H1555" s="8" t="s">
        <v>30</v>
      </c>
      <c r="I1555" s="8" t="s">
        <v>30</v>
      </c>
    </row>
    <row r="1556" spans="1:9" x14ac:dyDescent="0.2">
      <c r="A1556" t="s">
        <v>336</v>
      </c>
      <c r="B1556" t="s">
        <v>389</v>
      </c>
      <c r="C1556" t="str">
        <f>"15638340000000"</f>
        <v>15638340000000</v>
      </c>
      <c r="D1556" t="s">
        <v>389</v>
      </c>
      <c r="E1556" t="str">
        <f>"15638346010235"</f>
        <v>15638346010235</v>
      </c>
      <c r="F1556" s="8">
        <v>586</v>
      </c>
      <c r="G1556" s="8">
        <v>6860</v>
      </c>
      <c r="H1556" s="8">
        <v>1126</v>
      </c>
      <c r="I1556" s="8">
        <v>3324</v>
      </c>
    </row>
    <row r="1557" spans="1:9" x14ac:dyDescent="0.2">
      <c r="A1557" t="s">
        <v>336</v>
      </c>
      <c r="B1557" t="s">
        <v>389</v>
      </c>
      <c r="C1557" t="str">
        <f>"15638340000000"</f>
        <v>15638340000000</v>
      </c>
      <c r="D1557" t="s">
        <v>3425</v>
      </c>
      <c r="E1557" t="str">
        <f>"15638346010227"</f>
        <v>15638346010227</v>
      </c>
      <c r="F1557" s="8">
        <v>510</v>
      </c>
      <c r="G1557" s="8">
        <v>5260</v>
      </c>
      <c r="H1557" s="8">
        <v>1126</v>
      </c>
      <c r="I1557" s="8">
        <v>3324</v>
      </c>
    </row>
    <row r="1558" spans="1:9" x14ac:dyDescent="0.2">
      <c r="A1558" t="s">
        <v>336</v>
      </c>
      <c r="B1558" t="s">
        <v>390</v>
      </c>
      <c r="C1558" t="str">
        <f t="shared" ref="C1558:C1563" si="81">"15638420000000"</f>
        <v>15638420000000</v>
      </c>
      <c r="D1558" t="s">
        <v>3426</v>
      </c>
      <c r="E1558" t="str">
        <f>"15638426010268"</f>
        <v>15638426010268</v>
      </c>
      <c r="F1558" s="8">
        <v>1109</v>
      </c>
      <c r="G1558" s="8">
        <v>7478</v>
      </c>
      <c r="H1558" s="8">
        <v>2359</v>
      </c>
      <c r="I1558" s="8">
        <v>4017</v>
      </c>
    </row>
    <row r="1559" spans="1:9" x14ac:dyDescent="0.2">
      <c r="A1559" t="s">
        <v>336</v>
      </c>
      <c r="B1559" t="s">
        <v>390</v>
      </c>
      <c r="C1559" t="str">
        <f t="shared" si="81"/>
        <v>15638420000000</v>
      </c>
      <c r="D1559" t="s">
        <v>3427</v>
      </c>
      <c r="E1559" t="str">
        <f>"15638426010250"</f>
        <v>15638426010250</v>
      </c>
      <c r="F1559" s="8">
        <v>892</v>
      </c>
      <c r="G1559" s="8">
        <v>7232</v>
      </c>
      <c r="H1559" s="8">
        <v>2359</v>
      </c>
      <c r="I1559" s="8">
        <v>4017</v>
      </c>
    </row>
    <row r="1560" spans="1:9" x14ac:dyDescent="0.2">
      <c r="A1560" t="s">
        <v>336</v>
      </c>
      <c r="B1560" t="s">
        <v>390</v>
      </c>
      <c r="C1560" t="str">
        <f t="shared" si="81"/>
        <v>15638420000000</v>
      </c>
      <c r="D1560" t="s">
        <v>3428</v>
      </c>
      <c r="E1560" t="str">
        <f>"15638420113167"</f>
        <v>15638420113167</v>
      </c>
      <c r="F1560" s="8">
        <v>1120</v>
      </c>
      <c r="G1560" s="8">
        <v>6769</v>
      </c>
      <c r="H1560" s="8">
        <v>2359</v>
      </c>
      <c r="I1560" s="8">
        <v>4017</v>
      </c>
    </row>
    <row r="1561" spans="1:9" x14ac:dyDescent="0.2">
      <c r="A1561" t="s">
        <v>336</v>
      </c>
      <c r="B1561" t="s">
        <v>390</v>
      </c>
      <c r="C1561" t="str">
        <f t="shared" si="81"/>
        <v>15638420000000</v>
      </c>
      <c r="D1561" t="s">
        <v>3429</v>
      </c>
      <c r="E1561" t="str">
        <f>"15638420138701"</f>
        <v>15638420138701</v>
      </c>
      <c r="F1561" s="8">
        <v>1176</v>
      </c>
      <c r="G1561" s="8">
        <v>6484</v>
      </c>
      <c r="H1561" s="8">
        <v>2359</v>
      </c>
      <c r="I1561" s="8">
        <v>4017</v>
      </c>
    </row>
    <row r="1562" spans="1:9" x14ac:dyDescent="0.2">
      <c r="A1562" t="s">
        <v>336</v>
      </c>
      <c r="B1562" t="s">
        <v>390</v>
      </c>
      <c r="C1562" t="str">
        <f t="shared" si="81"/>
        <v>15638420000000</v>
      </c>
      <c r="D1562" t="s">
        <v>3430</v>
      </c>
      <c r="E1562" t="str">
        <f>"15638426110340"</f>
        <v>15638426110340</v>
      </c>
      <c r="F1562" s="8">
        <v>1132</v>
      </c>
      <c r="G1562" s="8">
        <v>6133</v>
      </c>
      <c r="H1562" s="8">
        <v>2359</v>
      </c>
      <c r="I1562" s="8">
        <v>4017</v>
      </c>
    </row>
    <row r="1563" spans="1:9" x14ac:dyDescent="0.2">
      <c r="A1563" t="s">
        <v>336</v>
      </c>
      <c r="B1563" t="s">
        <v>390</v>
      </c>
      <c r="C1563" t="str">
        <f t="shared" si="81"/>
        <v>15638420000000</v>
      </c>
      <c r="D1563" t="s">
        <v>3431</v>
      </c>
      <c r="E1563" t="str">
        <f>"15638426010243"</f>
        <v>15638426010243</v>
      </c>
      <c r="F1563" s="8">
        <v>917</v>
      </c>
      <c r="G1563" s="8">
        <v>6265</v>
      </c>
      <c r="H1563" s="8">
        <v>2359</v>
      </c>
      <c r="I1563" s="8">
        <v>4017</v>
      </c>
    </row>
    <row r="1564" spans="1:9" x14ac:dyDescent="0.2">
      <c r="A1564" t="s">
        <v>336</v>
      </c>
      <c r="B1564" t="s">
        <v>391</v>
      </c>
      <c r="C1564" t="str">
        <f>"15638590000000"</f>
        <v>15638590000000</v>
      </c>
      <c r="D1564" t="s">
        <v>3432</v>
      </c>
      <c r="E1564" t="str">
        <f>"15638591530351"</f>
        <v>15638591530351</v>
      </c>
      <c r="F1564" s="8">
        <v>24581</v>
      </c>
      <c r="G1564" s="8">
        <v>154099</v>
      </c>
      <c r="H1564" s="8">
        <v>3333</v>
      </c>
      <c r="I1564" s="8">
        <v>30907</v>
      </c>
    </row>
    <row r="1565" spans="1:9" x14ac:dyDescent="0.2">
      <c r="A1565" t="s">
        <v>336</v>
      </c>
      <c r="B1565" t="s">
        <v>391</v>
      </c>
      <c r="C1565" t="str">
        <f>"15638590000000"</f>
        <v>15638590000000</v>
      </c>
      <c r="D1565" t="s">
        <v>3433</v>
      </c>
      <c r="E1565" t="str">
        <f>"15638591536440"</f>
        <v>15638591536440</v>
      </c>
      <c r="F1565" s="8">
        <v>1933</v>
      </c>
      <c r="G1565" s="8">
        <v>12116</v>
      </c>
      <c r="H1565" s="8">
        <v>262</v>
      </c>
      <c r="I1565" s="8">
        <v>2430</v>
      </c>
    </row>
    <row r="1566" spans="1:9" x14ac:dyDescent="0.2">
      <c r="A1566" t="s">
        <v>394</v>
      </c>
      <c r="B1566" t="s">
        <v>395</v>
      </c>
      <c r="C1566" t="str">
        <f>"16638750000000"</f>
        <v>16638750000000</v>
      </c>
      <c r="D1566" t="s">
        <v>3434</v>
      </c>
      <c r="E1566" t="str">
        <f>"16638750101717"</f>
        <v>16638750101717</v>
      </c>
      <c r="F1566" s="8">
        <v>4478</v>
      </c>
      <c r="G1566" s="8">
        <v>6056</v>
      </c>
      <c r="H1566" s="8">
        <v>362</v>
      </c>
      <c r="I1566" s="8">
        <v>5132</v>
      </c>
    </row>
    <row r="1567" spans="1:9" x14ac:dyDescent="0.2">
      <c r="A1567" t="s">
        <v>394</v>
      </c>
      <c r="B1567" t="s">
        <v>395</v>
      </c>
      <c r="C1567" t="str">
        <f>"16638750000000"</f>
        <v>16638750000000</v>
      </c>
      <c r="D1567" t="s">
        <v>3435</v>
      </c>
      <c r="E1567" t="str">
        <f>"16638756010284"</f>
        <v>16638756010284</v>
      </c>
      <c r="F1567" s="8">
        <v>22</v>
      </c>
      <c r="G1567" s="8">
        <v>9156</v>
      </c>
      <c r="H1567" s="8">
        <v>362</v>
      </c>
      <c r="I1567" s="8">
        <v>5132</v>
      </c>
    </row>
    <row r="1568" spans="1:9" x14ac:dyDescent="0.2">
      <c r="A1568" t="s">
        <v>394</v>
      </c>
      <c r="B1568" t="s">
        <v>395</v>
      </c>
      <c r="C1568" t="str">
        <f>"16638750000000"</f>
        <v>16638750000000</v>
      </c>
      <c r="D1568" t="s">
        <v>3436</v>
      </c>
      <c r="E1568" t="str">
        <f>"16638756010276"</f>
        <v>16638756010276</v>
      </c>
      <c r="F1568" s="8">
        <v>2209</v>
      </c>
      <c r="G1568" s="8">
        <v>6612</v>
      </c>
      <c r="H1568" s="8">
        <v>362</v>
      </c>
      <c r="I1568" s="8">
        <v>5132</v>
      </c>
    </row>
    <row r="1569" spans="1:9" x14ac:dyDescent="0.2">
      <c r="A1569" t="s">
        <v>394</v>
      </c>
      <c r="B1569" t="s">
        <v>397</v>
      </c>
      <c r="C1569" t="str">
        <f>"16638830000000"</f>
        <v>16638830000000</v>
      </c>
      <c r="D1569" t="s">
        <v>1214</v>
      </c>
      <c r="E1569" t="str">
        <f>"16638836010300"</f>
        <v>16638836010300</v>
      </c>
      <c r="F1569" s="8">
        <v>0</v>
      </c>
      <c r="G1569" s="8">
        <v>11294</v>
      </c>
      <c r="H1569" s="8">
        <v>777</v>
      </c>
      <c r="I1569" s="8">
        <v>4915</v>
      </c>
    </row>
    <row r="1570" spans="1:9" x14ac:dyDescent="0.2">
      <c r="A1570" t="s">
        <v>394</v>
      </c>
      <c r="B1570" t="s">
        <v>397</v>
      </c>
      <c r="C1570" t="str">
        <f>"16638830000000"</f>
        <v>16638830000000</v>
      </c>
      <c r="D1570" t="s">
        <v>3437</v>
      </c>
      <c r="E1570" t="str">
        <f>"16638836010326"</f>
        <v>16638836010326</v>
      </c>
      <c r="F1570" s="8">
        <v>1057</v>
      </c>
      <c r="G1570" s="8">
        <v>10229</v>
      </c>
      <c r="H1570" s="8">
        <v>777</v>
      </c>
      <c r="I1570" s="8">
        <v>4915</v>
      </c>
    </row>
    <row r="1571" spans="1:9" x14ac:dyDescent="0.2">
      <c r="A1571" t="s">
        <v>394</v>
      </c>
      <c r="B1571" t="s">
        <v>397</v>
      </c>
      <c r="C1571" t="str">
        <f>"16638830000000"</f>
        <v>16638830000000</v>
      </c>
      <c r="D1571" t="s">
        <v>3438</v>
      </c>
      <c r="E1571" t="str">
        <f>"16638836010318"</f>
        <v>16638836010318</v>
      </c>
      <c r="F1571" s="8">
        <v>0</v>
      </c>
      <c r="G1571" s="8">
        <v>10241</v>
      </c>
      <c r="H1571" s="8">
        <v>777</v>
      </c>
      <c r="I1571" s="8">
        <v>4915</v>
      </c>
    </row>
    <row r="1572" spans="1:9" x14ac:dyDescent="0.2">
      <c r="A1572" t="s">
        <v>394</v>
      </c>
      <c r="B1572" t="s">
        <v>397</v>
      </c>
      <c r="C1572" t="str">
        <f>"16638830000000"</f>
        <v>16638830000000</v>
      </c>
      <c r="D1572" t="s">
        <v>3439</v>
      </c>
      <c r="E1572" t="str">
        <f>"16638836010292"</f>
        <v>16638836010292</v>
      </c>
      <c r="F1572" s="8">
        <v>0</v>
      </c>
      <c r="G1572" s="8">
        <v>8841</v>
      </c>
      <c r="H1572" s="8">
        <v>777</v>
      </c>
      <c r="I1572" s="8">
        <v>4915</v>
      </c>
    </row>
    <row r="1573" spans="1:9" x14ac:dyDescent="0.2">
      <c r="A1573" t="s">
        <v>394</v>
      </c>
      <c r="B1573" t="s">
        <v>398</v>
      </c>
      <c r="C1573" t="str">
        <f t="shared" ref="C1573:C1580" si="82">"16638910000000"</f>
        <v>16638910000000</v>
      </c>
      <c r="D1573" t="s">
        <v>3440</v>
      </c>
      <c r="E1573" t="str">
        <f>"16638910122820"</f>
        <v>16638910122820</v>
      </c>
      <c r="F1573" s="8">
        <v>928</v>
      </c>
      <c r="G1573" s="8">
        <v>47892</v>
      </c>
      <c r="H1573" s="8">
        <v>1023</v>
      </c>
      <c r="I1573" s="8">
        <v>7729</v>
      </c>
    </row>
    <row r="1574" spans="1:9" x14ac:dyDescent="0.2">
      <c r="A1574" t="s">
        <v>394</v>
      </c>
      <c r="B1574" t="s">
        <v>398</v>
      </c>
      <c r="C1574" t="str">
        <f t="shared" si="82"/>
        <v>16638910000000</v>
      </c>
      <c r="D1574" t="s">
        <v>3441</v>
      </c>
      <c r="E1574" t="str">
        <f>"16638911632207"</f>
        <v>16638911632207</v>
      </c>
      <c r="F1574" s="8">
        <v>1336</v>
      </c>
      <c r="G1574" s="8">
        <v>7261</v>
      </c>
      <c r="H1574" s="8">
        <v>1023</v>
      </c>
      <c r="I1574" s="8">
        <v>7729</v>
      </c>
    </row>
    <row r="1575" spans="1:9" x14ac:dyDescent="0.2">
      <c r="A1575" t="s">
        <v>394</v>
      </c>
      <c r="B1575" t="s">
        <v>398</v>
      </c>
      <c r="C1575" t="str">
        <f t="shared" si="82"/>
        <v>16638910000000</v>
      </c>
      <c r="D1575" t="s">
        <v>3442</v>
      </c>
      <c r="E1575" t="str">
        <f>"16638911632140"</f>
        <v>16638911632140</v>
      </c>
      <c r="F1575" s="8">
        <v>717</v>
      </c>
      <c r="G1575" s="8">
        <v>5753</v>
      </c>
      <c r="H1575" s="8">
        <v>1023</v>
      </c>
      <c r="I1575" s="8">
        <v>7729</v>
      </c>
    </row>
    <row r="1576" spans="1:9" x14ac:dyDescent="0.2">
      <c r="A1576" t="s">
        <v>394</v>
      </c>
      <c r="B1576" t="s">
        <v>398</v>
      </c>
      <c r="C1576" t="str">
        <f t="shared" si="82"/>
        <v>16638910000000</v>
      </c>
      <c r="D1576" t="s">
        <v>3443</v>
      </c>
      <c r="E1576" t="str">
        <f>"16638916010342"</f>
        <v>16638916010342</v>
      </c>
      <c r="F1576" s="8">
        <v>1304</v>
      </c>
      <c r="G1576" s="8">
        <v>3549</v>
      </c>
      <c r="H1576" s="8">
        <v>1023</v>
      </c>
      <c r="I1576" s="8">
        <v>7729</v>
      </c>
    </row>
    <row r="1577" spans="1:9" x14ac:dyDescent="0.2">
      <c r="A1577" t="s">
        <v>394</v>
      </c>
      <c r="B1577" t="s">
        <v>398</v>
      </c>
      <c r="C1577" t="str">
        <f t="shared" si="82"/>
        <v>16638910000000</v>
      </c>
      <c r="D1577" t="s">
        <v>3444</v>
      </c>
      <c r="E1577" t="str">
        <f>"16638916010334"</f>
        <v>16638916010334</v>
      </c>
      <c r="F1577" s="8">
        <v>1316</v>
      </c>
      <c r="G1577" s="8">
        <v>3350</v>
      </c>
      <c r="H1577" s="8">
        <v>1023</v>
      </c>
      <c r="I1577" s="8">
        <v>7729</v>
      </c>
    </row>
    <row r="1578" spans="1:9" x14ac:dyDescent="0.2">
      <c r="A1578" t="s">
        <v>394</v>
      </c>
      <c r="B1578" t="s">
        <v>398</v>
      </c>
      <c r="C1578" t="str">
        <f t="shared" si="82"/>
        <v>16638910000000</v>
      </c>
      <c r="D1578" t="s">
        <v>2343</v>
      </c>
      <c r="E1578" t="str">
        <f>"16638916010359"</f>
        <v>16638916010359</v>
      </c>
      <c r="F1578" s="8">
        <v>1442</v>
      </c>
      <c r="G1578" s="8">
        <v>2362</v>
      </c>
      <c r="H1578" s="8">
        <v>1023</v>
      </c>
      <c r="I1578" s="8">
        <v>7729</v>
      </c>
    </row>
    <row r="1579" spans="1:9" x14ac:dyDescent="0.2">
      <c r="A1579" t="s">
        <v>394</v>
      </c>
      <c r="B1579" t="s">
        <v>398</v>
      </c>
      <c r="C1579" t="str">
        <f t="shared" si="82"/>
        <v>16638910000000</v>
      </c>
      <c r="D1579" t="s">
        <v>2465</v>
      </c>
      <c r="E1579" t="str">
        <f>"16638916010367"</f>
        <v>16638916010367</v>
      </c>
      <c r="F1579" s="8">
        <v>1278</v>
      </c>
      <c r="G1579" s="8">
        <v>2515</v>
      </c>
      <c r="H1579" s="8">
        <v>1023</v>
      </c>
      <c r="I1579" s="8">
        <v>7729</v>
      </c>
    </row>
    <row r="1580" spans="1:9" x14ac:dyDescent="0.2">
      <c r="A1580" t="s">
        <v>394</v>
      </c>
      <c r="B1580" t="s">
        <v>398</v>
      </c>
      <c r="C1580" t="str">
        <f t="shared" si="82"/>
        <v>16638910000000</v>
      </c>
      <c r="D1580" t="s">
        <v>3445</v>
      </c>
      <c r="E1580" t="str">
        <f>"16638910110858"</f>
        <v>16638910110858</v>
      </c>
      <c r="F1580" s="8">
        <v>0</v>
      </c>
      <c r="G1580" s="8">
        <v>0</v>
      </c>
      <c r="H1580" s="8">
        <v>1023</v>
      </c>
      <c r="I1580" s="8">
        <v>7729</v>
      </c>
    </row>
    <row r="1581" spans="1:9" x14ac:dyDescent="0.2">
      <c r="A1581" t="s">
        <v>394</v>
      </c>
      <c r="B1581" t="s">
        <v>399</v>
      </c>
      <c r="C1581" t="str">
        <f t="shared" ref="C1581:C1592" si="83">"16639170000000"</f>
        <v>16639170000000</v>
      </c>
      <c r="D1581" t="s">
        <v>3446</v>
      </c>
      <c r="E1581" t="str">
        <f>"16639176118459"</f>
        <v>16639176118459</v>
      </c>
      <c r="F1581" s="8">
        <v>0</v>
      </c>
      <c r="G1581" s="8">
        <v>230856</v>
      </c>
      <c r="H1581" s="8">
        <v>1185</v>
      </c>
      <c r="I1581" s="8">
        <v>4485</v>
      </c>
    </row>
    <row r="1582" spans="1:9" x14ac:dyDescent="0.2">
      <c r="A1582" t="s">
        <v>394</v>
      </c>
      <c r="B1582" t="s">
        <v>399</v>
      </c>
      <c r="C1582" t="str">
        <f t="shared" si="83"/>
        <v>16639170000000</v>
      </c>
      <c r="D1582" t="s">
        <v>2243</v>
      </c>
      <c r="E1582" t="str">
        <f>"16639176010417"</f>
        <v>16639176010417</v>
      </c>
      <c r="F1582" s="8">
        <v>637</v>
      </c>
      <c r="G1582" s="8">
        <v>7882</v>
      </c>
      <c r="H1582" s="8">
        <v>1185</v>
      </c>
      <c r="I1582" s="8">
        <v>4485</v>
      </c>
    </row>
    <row r="1583" spans="1:9" x14ac:dyDescent="0.2">
      <c r="A1583" t="s">
        <v>394</v>
      </c>
      <c r="B1583" t="s">
        <v>399</v>
      </c>
      <c r="C1583" t="str">
        <f t="shared" si="83"/>
        <v>16639170000000</v>
      </c>
      <c r="D1583" t="s">
        <v>3447</v>
      </c>
      <c r="E1583" t="str">
        <f>"16639176010409"</f>
        <v>16639176010409</v>
      </c>
      <c r="F1583" s="8">
        <v>327</v>
      </c>
      <c r="G1583" s="8">
        <v>7646</v>
      </c>
      <c r="H1583" s="8">
        <v>1185</v>
      </c>
      <c r="I1583" s="8">
        <v>4485</v>
      </c>
    </row>
    <row r="1584" spans="1:9" x14ac:dyDescent="0.2">
      <c r="A1584" t="s">
        <v>394</v>
      </c>
      <c r="B1584" t="s">
        <v>399</v>
      </c>
      <c r="C1584" t="str">
        <f t="shared" si="83"/>
        <v>16639170000000</v>
      </c>
      <c r="D1584" t="s">
        <v>2908</v>
      </c>
      <c r="E1584" t="str">
        <f>"16639170110981"</f>
        <v>16639170110981</v>
      </c>
      <c r="F1584" s="8">
        <v>296</v>
      </c>
      <c r="G1584" s="8">
        <v>7674</v>
      </c>
      <c r="H1584" s="8">
        <v>1185</v>
      </c>
      <c r="I1584" s="8">
        <v>4485</v>
      </c>
    </row>
    <row r="1585" spans="1:9" x14ac:dyDescent="0.2">
      <c r="A1585" t="s">
        <v>394</v>
      </c>
      <c r="B1585" t="s">
        <v>399</v>
      </c>
      <c r="C1585" t="str">
        <f t="shared" si="83"/>
        <v>16639170000000</v>
      </c>
      <c r="D1585" t="s">
        <v>3448</v>
      </c>
      <c r="E1585" t="str">
        <f>"16639176112379"</f>
        <v>16639176112379</v>
      </c>
      <c r="F1585" s="8">
        <v>715</v>
      </c>
      <c r="G1585" s="8">
        <v>6974</v>
      </c>
      <c r="H1585" s="8">
        <v>1185</v>
      </c>
      <c r="I1585" s="8">
        <v>4485</v>
      </c>
    </row>
    <row r="1586" spans="1:9" x14ac:dyDescent="0.2">
      <c r="A1586" t="s">
        <v>394</v>
      </c>
      <c r="B1586" t="s">
        <v>399</v>
      </c>
      <c r="C1586" t="str">
        <f t="shared" si="83"/>
        <v>16639170000000</v>
      </c>
      <c r="D1586" t="s">
        <v>3041</v>
      </c>
      <c r="E1586" t="str">
        <f>"16639176108815"</f>
        <v>16639176108815</v>
      </c>
      <c r="F1586" s="8">
        <v>756</v>
      </c>
      <c r="G1586" s="8">
        <v>6836</v>
      </c>
      <c r="H1586" s="8">
        <v>1185</v>
      </c>
      <c r="I1586" s="8">
        <v>4485</v>
      </c>
    </row>
    <row r="1587" spans="1:9" x14ac:dyDescent="0.2">
      <c r="A1587" t="s">
        <v>394</v>
      </c>
      <c r="B1587" t="s">
        <v>399</v>
      </c>
      <c r="C1587" t="str">
        <f t="shared" si="83"/>
        <v>16639170000000</v>
      </c>
      <c r="D1587" t="s">
        <v>2347</v>
      </c>
      <c r="E1587" t="str">
        <f>"16639176010433"</f>
        <v>16639176010433</v>
      </c>
      <c r="F1587" s="8">
        <v>575</v>
      </c>
      <c r="G1587" s="8">
        <v>6919</v>
      </c>
      <c r="H1587" s="8">
        <v>1185</v>
      </c>
      <c r="I1587" s="8">
        <v>4485</v>
      </c>
    </row>
    <row r="1588" spans="1:9" x14ac:dyDescent="0.2">
      <c r="A1588" t="s">
        <v>394</v>
      </c>
      <c r="B1588" t="s">
        <v>399</v>
      </c>
      <c r="C1588" t="str">
        <f t="shared" si="83"/>
        <v>16639170000000</v>
      </c>
      <c r="D1588" t="s">
        <v>3449</v>
      </c>
      <c r="E1588" t="str">
        <f>"16639176118798"</f>
        <v>16639176118798</v>
      </c>
      <c r="F1588" s="8">
        <v>455</v>
      </c>
      <c r="G1588" s="8">
        <v>6733</v>
      </c>
      <c r="H1588" s="8">
        <v>1185</v>
      </c>
      <c r="I1588" s="8">
        <v>4485</v>
      </c>
    </row>
    <row r="1589" spans="1:9" x14ac:dyDescent="0.2">
      <c r="A1589" t="s">
        <v>394</v>
      </c>
      <c r="B1589" t="s">
        <v>399</v>
      </c>
      <c r="C1589" t="str">
        <f t="shared" si="83"/>
        <v>16639170000000</v>
      </c>
      <c r="D1589" t="s">
        <v>3450</v>
      </c>
      <c r="E1589" t="str">
        <f>"16639176010458"</f>
        <v>16639176010458</v>
      </c>
      <c r="F1589" s="8">
        <v>201</v>
      </c>
      <c r="G1589" s="8">
        <v>6542</v>
      </c>
      <c r="H1589" s="8">
        <v>1185</v>
      </c>
      <c r="I1589" s="8">
        <v>4485</v>
      </c>
    </row>
    <row r="1590" spans="1:9" x14ac:dyDescent="0.2">
      <c r="A1590" t="s">
        <v>394</v>
      </c>
      <c r="B1590" t="s">
        <v>399</v>
      </c>
      <c r="C1590" t="str">
        <f t="shared" si="83"/>
        <v>16639170000000</v>
      </c>
      <c r="D1590" t="s">
        <v>232</v>
      </c>
      <c r="E1590" t="str">
        <f>"16639176010425"</f>
        <v>16639176010425</v>
      </c>
      <c r="F1590" s="8">
        <v>259</v>
      </c>
      <c r="G1590" s="8">
        <v>6380</v>
      </c>
      <c r="H1590" s="8">
        <v>1185</v>
      </c>
      <c r="I1590" s="8">
        <v>4485</v>
      </c>
    </row>
    <row r="1591" spans="1:9" x14ac:dyDescent="0.2">
      <c r="A1591" t="s">
        <v>394</v>
      </c>
      <c r="B1591" t="s">
        <v>399</v>
      </c>
      <c r="C1591" t="str">
        <f t="shared" si="83"/>
        <v>16639170000000</v>
      </c>
      <c r="D1591" t="s">
        <v>3172</v>
      </c>
      <c r="E1591" t="str">
        <f>"16639176113609"</f>
        <v>16639176113609</v>
      </c>
      <c r="F1591" s="8">
        <v>542</v>
      </c>
      <c r="G1591" s="8">
        <v>6074</v>
      </c>
      <c r="H1591" s="8">
        <v>1185</v>
      </c>
      <c r="I1591" s="8">
        <v>4485</v>
      </c>
    </row>
    <row r="1592" spans="1:9" x14ac:dyDescent="0.2">
      <c r="A1592" t="s">
        <v>394</v>
      </c>
      <c r="B1592" t="s">
        <v>399</v>
      </c>
      <c r="C1592" t="str">
        <f t="shared" si="83"/>
        <v>16639170000000</v>
      </c>
      <c r="D1592" t="s">
        <v>3451</v>
      </c>
      <c r="E1592" t="str">
        <f>"16639176010391"</f>
        <v>16639176010391</v>
      </c>
      <c r="F1592" s="8">
        <v>519</v>
      </c>
      <c r="G1592" s="8">
        <v>5992</v>
      </c>
      <c r="H1592" s="8">
        <v>1185</v>
      </c>
      <c r="I1592" s="8">
        <v>4485</v>
      </c>
    </row>
    <row r="1593" spans="1:9" x14ac:dyDescent="0.2">
      <c r="A1593" t="s">
        <v>394</v>
      </c>
      <c r="B1593" t="s">
        <v>400</v>
      </c>
      <c r="C1593" t="str">
        <f t="shared" ref="C1593:C1598" si="84">"16639250000000"</f>
        <v>16639250000000</v>
      </c>
      <c r="D1593" t="s">
        <v>3452</v>
      </c>
      <c r="E1593" t="str">
        <f>"16639251630151"</f>
        <v>16639251630151</v>
      </c>
      <c r="F1593" s="8">
        <v>1622</v>
      </c>
      <c r="G1593" s="8">
        <v>38593</v>
      </c>
      <c r="H1593" s="8">
        <v>739</v>
      </c>
      <c r="I1593" s="8">
        <v>3800</v>
      </c>
    </row>
    <row r="1594" spans="1:9" x14ac:dyDescent="0.2">
      <c r="A1594" t="s">
        <v>394</v>
      </c>
      <c r="B1594" t="s">
        <v>400</v>
      </c>
      <c r="C1594" t="str">
        <f t="shared" si="84"/>
        <v>16639250000000</v>
      </c>
      <c r="D1594" t="s">
        <v>3453</v>
      </c>
      <c r="E1594" t="str">
        <f>"16639251634401"</f>
        <v>16639251634401</v>
      </c>
      <c r="F1594" s="8">
        <v>387</v>
      </c>
      <c r="G1594" s="8">
        <v>12378</v>
      </c>
      <c r="H1594" s="8">
        <v>739</v>
      </c>
      <c r="I1594" s="8">
        <v>3800</v>
      </c>
    </row>
    <row r="1595" spans="1:9" x14ac:dyDescent="0.2">
      <c r="A1595" t="s">
        <v>394</v>
      </c>
      <c r="B1595" t="s">
        <v>400</v>
      </c>
      <c r="C1595" t="str">
        <f t="shared" si="84"/>
        <v>16639250000000</v>
      </c>
      <c r="D1595" t="s">
        <v>3454</v>
      </c>
      <c r="E1595" t="str">
        <f>"16639251634245"</f>
        <v>16639251634245</v>
      </c>
      <c r="F1595" s="8">
        <v>1501</v>
      </c>
      <c r="G1595" s="8">
        <v>6839</v>
      </c>
      <c r="H1595" s="8">
        <v>739</v>
      </c>
      <c r="I1595" s="8">
        <v>3800</v>
      </c>
    </row>
    <row r="1596" spans="1:9" x14ac:dyDescent="0.2">
      <c r="A1596" t="s">
        <v>394</v>
      </c>
      <c r="B1596" t="s">
        <v>400</v>
      </c>
      <c r="C1596" t="str">
        <f t="shared" si="84"/>
        <v>16639250000000</v>
      </c>
      <c r="D1596" t="s">
        <v>3455</v>
      </c>
      <c r="E1596" t="str">
        <f>"16639251630169"</f>
        <v>16639251630169</v>
      </c>
      <c r="F1596" s="8">
        <v>446</v>
      </c>
      <c r="G1596" s="8">
        <v>7462</v>
      </c>
      <c r="H1596" s="8">
        <v>739</v>
      </c>
      <c r="I1596" s="8">
        <v>3800</v>
      </c>
    </row>
    <row r="1597" spans="1:9" x14ac:dyDescent="0.2">
      <c r="A1597" t="s">
        <v>394</v>
      </c>
      <c r="B1597" t="s">
        <v>400</v>
      </c>
      <c r="C1597" t="str">
        <f t="shared" si="84"/>
        <v>16639250000000</v>
      </c>
      <c r="D1597" t="s">
        <v>3456</v>
      </c>
      <c r="E1597" t="str">
        <f>"16639250118919"</f>
        <v>16639250118919</v>
      </c>
      <c r="F1597" s="8">
        <v>525</v>
      </c>
      <c r="G1597" s="8">
        <v>7089</v>
      </c>
      <c r="H1597" s="8">
        <v>739</v>
      </c>
      <c r="I1597" s="8">
        <v>3800</v>
      </c>
    </row>
    <row r="1598" spans="1:9" x14ac:dyDescent="0.2">
      <c r="A1598" t="s">
        <v>394</v>
      </c>
      <c r="B1598" t="s">
        <v>400</v>
      </c>
      <c r="C1598" t="str">
        <f t="shared" si="84"/>
        <v>16639250000000</v>
      </c>
      <c r="D1598" t="s">
        <v>3457</v>
      </c>
      <c r="E1598" t="str">
        <f>"16639250137901"</f>
        <v>16639250137901</v>
      </c>
      <c r="F1598" s="8">
        <v>1900</v>
      </c>
      <c r="G1598" s="8">
        <v>808</v>
      </c>
      <c r="H1598" s="8">
        <v>739</v>
      </c>
      <c r="I1598" s="8">
        <v>3800</v>
      </c>
    </row>
    <row r="1599" spans="1:9" x14ac:dyDescent="0.2">
      <c r="A1599" t="s">
        <v>394</v>
      </c>
      <c r="B1599" t="s">
        <v>401</v>
      </c>
      <c r="C1599" t="str">
        <f>"16639330000000"</f>
        <v>16639330000000</v>
      </c>
      <c r="D1599" t="s">
        <v>3458</v>
      </c>
      <c r="E1599" t="str">
        <f>"16639336010466"</f>
        <v>16639336010466</v>
      </c>
      <c r="F1599" s="8">
        <v>1259</v>
      </c>
      <c r="G1599" s="8">
        <v>9556</v>
      </c>
      <c r="H1599" s="8">
        <v>0</v>
      </c>
      <c r="I1599" s="8">
        <v>0</v>
      </c>
    </row>
    <row r="1600" spans="1:9" x14ac:dyDescent="0.2">
      <c r="A1600" t="s">
        <v>394</v>
      </c>
      <c r="B1600" t="s">
        <v>402</v>
      </c>
      <c r="C1600" t="str">
        <f>"16101650000000"</f>
        <v>16101650000000</v>
      </c>
      <c r="D1600" t="s">
        <v>3459</v>
      </c>
      <c r="E1600" t="str">
        <f>"16101656069298"</f>
        <v>16101656069298</v>
      </c>
      <c r="F1600" s="8">
        <v>14145</v>
      </c>
      <c r="G1600" s="8">
        <v>45765</v>
      </c>
      <c r="H1600" s="8">
        <v>1512</v>
      </c>
      <c r="I1600" s="8">
        <v>3317</v>
      </c>
    </row>
    <row r="1601" spans="1:9" x14ac:dyDescent="0.2">
      <c r="A1601" t="s">
        <v>394</v>
      </c>
      <c r="B1601" t="s">
        <v>402</v>
      </c>
      <c r="C1601" t="str">
        <f>"16101650000000"</f>
        <v>16101650000000</v>
      </c>
      <c r="D1601" t="s">
        <v>3460</v>
      </c>
      <c r="E1601" t="str">
        <f>"16101651630102"</f>
        <v>16101651630102</v>
      </c>
      <c r="F1601" s="8">
        <v>15581</v>
      </c>
      <c r="G1601" s="8">
        <v>38510</v>
      </c>
      <c r="H1601" s="8">
        <v>1512</v>
      </c>
      <c r="I1601" s="8">
        <v>3317</v>
      </c>
    </row>
    <row r="1602" spans="1:9" x14ac:dyDescent="0.2">
      <c r="A1602" t="s">
        <v>394</v>
      </c>
      <c r="B1602" t="s">
        <v>403</v>
      </c>
      <c r="C1602" t="str">
        <f>"16639410000000"</f>
        <v>16639410000000</v>
      </c>
      <c r="D1602" t="s">
        <v>3461</v>
      </c>
      <c r="E1602" t="str">
        <f>"16639416010474"</f>
        <v>16639416010474</v>
      </c>
      <c r="F1602" s="8">
        <v>887</v>
      </c>
      <c r="G1602" s="8">
        <v>9720</v>
      </c>
      <c r="H1602" s="8">
        <v>0</v>
      </c>
      <c r="I1602" s="8">
        <v>0</v>
      </c>
    </row>
    <row r="1603" spans="1:9" x14ac:dyDescent="0.2">
      <c r="A1603" t="s">
        <v>394</v>
      </c>
      <c r="B1603" t="s">
        <v>405</v>
      </c>
      <c r="C1603" t="str">
        <f>"16639580000000"</f>
        <v>16639580000000</v>
      </c>
      <c r="D1603" t="s">
        <v>3462</v>
      </c>
      <c r="E1603" t="str">
        <f>"16639586010482"</f>
        <v>16639586010482</v>
      </c>
      <c r="F1603" s="8">
        <v>1428</v>
      </c>
      <c r="G1603" s="8">
        <v>12788</v>
      </c>
      <c r="H1603" s="8">
        <v>23</v>
      </c>
      <c r="I1603" s="8">
        <v>376</v>
      </c>
    </row>
    <row r="1604" spans="1:9" x14ac:dyDescent="0.2">
      <c r="A1604" t="s">
        <v>394</v>
      </c>
      <c r="B1604" t="s">
        <v>405</v>
      </c>
      <c r="C1604" t="str">
        <f>"16639580000000"</f>
        <v>16639580000000</v>
      </c>
      <c r="D1604" t="s">
        <v>3463</v>
      </c>
      <c r="E1604" t="str">
        <f>"16639586113120"</f>
        <v>16639586113120</v>
      </c>
      <c r="F1604" s="8">
        <v>0</v>
      </c>
      <c r="G1604" s="8">
        <v>7096</v>
      </c>
      <c r="H1604" s="8">
        <v>23</v>
      </c>
      <c r="I1604" s="8">
        <v>376</v>
      </c>
    </row>
    <row r="1605" spans="1:9" x14ac:dyDescent="0.2">
      <c r="A1605" t="s">
        <v>394</v>
      </c>
      <c r="B1605" t="s">
        <v>406</v>
      </c>
      <c r="C1605" t="str">
        <f>"16639660000000"</f>
        <v>16639660000000</v>
      </c>
      <c r="D1605" t="s">
        <v>3464</v>
      </c>
      <c r="E1605" t="str">
        <f>"16639666010508"</f>
        <v>16639666010508</v>
      </c>
      <c r="F1605" s="8">
        <v>3415</v>
      </c>
      <c r="G1605" s="8">
        <v>14034</v>
      </c>
      <c r="H1605" s="8">
        <v>0</v>
      </c>
      <c r="I1605" s="8">
        <v>0</v>
      </c>
    </row>
    <row r="1606" spans="1:9" x14ac:dyDescent="0.2">
      <c r="A1606" t="s">
        <v>394</v>
      </c>
      <c r="B1606" t="s">
        <v>409</v>
      </c>
      <c r="C1606" t="str">
        <f t="shared" ref="C1606:C1612" si="85">"16639740000000"</f>
        <v>16639740000000</v>
      </c>
      <c r="D1606" t="s">
        <v>3465</v>
      </c>
      <c r="E1606" t="str">
        <f>"16639740128702"</f>
        <v>16639740128702</v>
      </c>
      <c r="F1606" s="8">
        <v>131952</v>
      </c>
      <c r="G1606" s="8">
        <v>4183</v>
      </c>
      <c r="H1606" s="8">
        <v>2356</v>
      </c>
      <c r="I1606" s="8">
        <v>10469</v>
      </c>
    </row>
    <row r="1607" spans="1:9" x14ac:dyDescent="0.2">
      <c r="A1607" t="s">
        <v>394</v>
      </c>
      <c r="B1607" t="s">
        <v>409</v>
      </c>
      <c r="C1607" t="str">
        <f t="shared" si="85"/>
        <v>16639740000000</v>
      </c>
      <c r="D1607" t="s">
        <v>3466</v>
      </c>
      <c r="E1607" t="str">
        <f>"16639740100156"</f>
        <v>16639740100156</v>
      </c>
      <c r="F1607" s="8">
        <v>375</v>
      </c>
      <c r="G1607" s="8">
        <v>11485</v>
      </c>
      <c r="H1607" s="8">
        <v>2356</v>
      </c>
      <c r="I1607" s="8">
        <v>10469</v>
      </c>
    </row>
    <row r="1608" spans="1:9" x14ac:dyDescent="0.2">
      <c r="A1608" t="s">
        <v>394</v>
      </c>
      <c r="B1608" t="s">
        <v>409</v>
      </c>
      <c r="C1608" t="str">
        <f t="shared" si="85"/>
        <v>16639740000000</v>
      </c>
      <c r="D1608" t="s">
        <v>3467</v>
      </c>
      <c r="E1608" t="str">
        <f>"16639746111934"</f>
        <v>16639746111934</v>
      </c>
      <c r="F1608" s="8">
        <v>332</v>
      </c>
      <c r="G1608" s="8">
        <v>6951</v>
      </c>
      <c r="H1608" s="8">
        <v>2356</v>
      </c>
      <c r="I1608" s="8">
        <v>10469</v>
      </c>
    </row>
    <row r="1609" spans="1:9" x14ac:dyDescent="0.2">
      <c r="A1609" t="s">
        <v>394</v>
      </c>
      <c r="B1609" t="s">
        <v>409</v>
      </c>
      <c r="C1609" t="str">
        <f t="shared" si="85"/>
        <v>16639740000000</v>
      </c>
      <c r="D1609" t="s">
        <v>3468</v>
      </c>
      <c r="E1609" t="str">
        <f>"16639746010532"</f>
        <v>16639746010532</v>
      </c>
      <c r="F1609" s="8">
        <v>303</v>
      </c>
      <c r="G1609" s="8">
        <v>6630</v>
      </c>
      <c r="H1609" s="8">
        <v>2356</v>
      </c>
      <c r="I1609" s="8">
        <v>10469</v>
      </c>
    </row>
    <row r="1610" spans="1:9" x14ac:dyDescent="0.2">
      <c r="A1610" t="s">
        <v>394</v>
      </c>
      <c r="B1610" t="s">
        <v>409</v>
      </c>
      <c r="C1610" t="str">
        <f t="shared" si="85"/>
        <v>16639740000000</v>
      </c>
      <c r="D1610" t="s">
        <v>3469</v>
      </c>
      <c r="E1610" t="str">
        <f>"16639746118590"</f>
        <v>16639746118590</v>
      </c>
      <c r="F1610" s="8">
        <v>171</v>
      </c>
      <c r="G1610" s="8">
        <v>6444</v>
      </c>
      <c r="H1610" s="8">
        <v>2356</v>
      </c>
      <c r="I1610" s="8">
        <v>10469</v>
      </c>
    </row>
    <row r="1611" spans="1:9" x14ac:dyDescent="0.2">
      <c r="A1611" t="s">
        <v>394</v>
      </c>
      <c r="B1611" t="s">
        <v>409</v>
      </c>
      <c r="C1611" t="str">
        <f t="shared" si="85"/>
        <v>16639740000000</v>
      </c>
      <c r="D1611" t="s">
        <v>3470</v>
      </c>
      <c r="E1611" t="str">
        <f>"16639746069140"</f>
        <v>16639746069140</v>
      </c>
      <c r="F1611" s="8">
        <v>270</v>
      </c>
      <c r="G1611" s="8">
        <v>6217</v>
      </c>
      <c r="H1611" s="8">
        <v>2356</v>
      </c>
      <c r="I1611" s="8">
        <v>10469</v>
      </c>
    </row>
    <row r="1612" spans="1:9" x14ac:dyDescent="0.2">
      <c r="A1612" t="s">
        <v>394</v>
      </c>
      <c r="B1612" t="s">
        <v>409</v>
      </c>
      <c r="C1612" t="str">
        <f t="shared" si="85"/>
        <v>16639740000000</v>
      </c>
      <c r="D1612" t="s">
        <v>3471</v>
      </c>
      <c r="E1612" t="str">
        <f>"16639746066666"</f>
        <v>16639746066666</v>
      </c>
      <c r="F1612" s="8">
        <v>124</v>
      </c>
      <c r="G1612" s="8">
        <v>5657</v>
      </c>
      <c r="H1612" s="8">
        <v>2356</v>
      </c>
      <c r="I1612" s="8">
        <v>10469</v>
      </c>
    </row>
    <row r="1613" spans="1:9" x14ac:dyDescent="0.2">
      <c r="A1613" t="s">
        <v>394</v>
      </c>
      <c r="B1613" t="s">
        <v>410</v>
      </c>
      <c r="C1613" t="str">
        <f>"16639820000000"</f>
        <v>16639820000000</v>
      </c>
      <c r="D1613" t="s">
        <v>3472</v>
      </c>
      <c r="E1613" t="str">
        <f>"16639821630011"</f>
        <v>16639821630011</v>
      </c>
      <c r="F1613" s="8">
        <v>2378</v>
      </c>
      <c r="G1613" s="8">
        <v>13925</v>
      </c>
      <c r="H1613" s="8">
        <v>632</v>
      </c>
      <c r="I1613" s="8">
        <v>3452</v>
      </c>
    </row>
    <row r="1614" spans="1:9" x14ac:dyDescent="0.2">
      <c r="A1614" t="s">
        <v>394</v>
      </c>
      <c r="B1614" t="s">
        <v>410</v>
      </c>
      <c r="C1614" t="str">
        <f>"16639820000000"</f>
        <v>16639820000000</v>
      </c>
      <c r="D1614" t="s">
        <v>3473</v>
      </c>
      <c r="E1614" t="str">
        <f>"16639821635606"</f>
        <v>16639821635606</v>
      </c>
      <c r="F1614" s="8">
        <v>693</v>
      </c>
      <c r="G1614" s="8">
        <v>6892</v>
      </c>
      <c r="H1614" s="8">
        <v>632</v>
      </c>
      <c r="I1614" s="8">
        <v>3452</v>
      </c>
    </row>
    <row r="1615" spans="1:9" x14ac:dyDescent="0.2">
      <c r="A1615" t="s">
        <v>394</v>
      </c>
      <c r="B1615" t="s">
        <v>113</v>
      </c>
      <c r="C1615" t="str">
        <f>"16639900000000"</f>
        <v>16639900000000</v>
      </c>
      <c r="D1615" t="s">
        <v>2229</v>
      </c>
      <c r="E1615" t="str">
        <f>"16639906010557"</f>
        <v>16639906010557</v>
      </c>
      <c r="F1615" s="8">
        <v>681</v>
      </c>
      <c r="G1615" s="8">
        <v>7318</v>
      </c>
      <c r="H1615" s="8">
        <v>249</v>
      </c>
      <c r="I1615" s="8">
        <v>3019</v>
      </c>
    </row>
    <row r="1616" spans="1:9" x14ac:dyDescent="0.2">
      <c r="A1616" t="s">
        <v>394</v>
      </c>
      <c r="B1616" t="s">
        <v>113</v>
      </c>
      <c r="C1616" t="str">
        <f>"16639900000000"</f>
        <v>16639900000000</v>
      </c>
      <c r="D1616" t="s">
        <v>3474</v>
      </c>
      <c r="E1616" t="str">
        <f>"16639906110233"</f>
        <v>16639906110233</v>
      </c>
      <c r="F1616" s="8">
        <v>387</v>
      </c>
      <c r="G1616" s="8">
        <v>7065</v>
      </c>
      <c r="H1616" s="8">
        <v>249</v>
      </c>
      <c r="I1616" s="8">
        <v>3019</v>
      </c>
    </row>
    <row r="1617" spans="1:9" x14ac:dyDescent="0.2">
      <c r="A1617" t="s">
        <v>394</v>
      </c>
      <c r="B1617" t="s">
        <v>113</v>
      </c>
      <c r="C1617" t="str">
        <f>"16639900000000"</f>
        <v>16639900000000</v>
      </c>
      <c r="D1617" t="s">
        <v>3475</v>
      </c>
      <c r="E1617" t="str">
        <f>"16639900116699"</f>
        <v>16639900116699</v>
      </c>
      <c r="F1617" s="8">
        <v>579</v>
      </c>
      <c r="G1617" s="8">
        <v>6038</v>
      </c>
      <c r="H1617" s="8">
        <v>249</v>
      </c>
      <c r="I1617" s="8">
        <v>3019</v>
      </c>
    </row>
    <row r="1618" spans="1:9" x14ac:dyDescent="0.2">
      <c r="A1618" t="s">
        <v>394</v>
      </c>
      <c r="B1618" t="s">
        <v>411</v>
      </c>
      <c r="C1618" t="str">
        <f t="shared" ref="C1618:C1626" si="86">"16739320000000"</f>
        <v>16739320000000</v>
      </c>
      <c r="D1618" t="s">
        <v>3476</v>
      </c>
      <c r="E1618" t="str">
        <f>"16739321630110"</f>
        <v>16739321630110</v>
      </c>
      <c r="F1618" s="8">
        <v>0</v>
      </c>
      <c r="G1618" s="8">
        <v>12750</v>
      </c>
      <c r="H1618" s="8">
        <v>1444</v>
      </c>
      <c r="I1618" s="8">
        <v>3539</v>
      </c>
    </row>
    <row r="1619" spans="1:9" x14ac:dyDescent="0.2">
      <c r="A1619" t="s">
        <v>394</v>
      </c>
      <c r="B1619" t="s">
        <v>411</v>
      </c>
      <c r="C1619" t="str">
        <f t="shared" si="86"/>
        <v>16739320000000</v>
      </c>
      <c r="D1619" t="s">
        <v>3477</v>
      </c>
      <c r="E1619" t="str">
        <f>"16739321630185"</f>
        <v>16739321630185</v>
      </c>
      <c r="F1619" s="8">
        <v>0</v>
      </c>
      <c r="G1619" s="8">
        <v>12750</v>
      </c>
      <c r="H1619" s="8">
        <v>1444</v>
      </c>
      <c r="I1619" s="8">
        <v>3539</v>
      </c>
    </row>
    <row r="1620" spans="1:9" x14ac:dyDescent="0.2">
      <c r="A1620" t="s">
        <v>394</v>
      </c>
      <c r="B1620" t="s">
        <v>411</v>
      </c>
      <c r="C1620" t="str">
        <f t="shared" si="86"/>
        <v>16739320000000</v>
      </c>
      <c r="D1620" t="s">
        <v>3478</v>
      </c>
      <c r="E1620" t="str">
        <f>"16739326010573"</f>
        <v>16739326010573</v>
      </c>
      <c r="F1620" s="8">
        <v>555</v>
      </c>
      <c r="G1620" s="8">
        <v>10064</v>
      </c>
      <c r="H1620" s="8">
        <v>1444</v>
      </c>
      <c r="I1620" s="8">
        <v>3539</v>
      </c>
    </row>
    <row r="1621" spans="1:9" x14ac:dyDescent="0.2">
      <c r="A1621" t="s">
        <v>394</v>
      </c>
      <c r="B1621" t="s">
        <v>411</v>
      </c>
      <c r="C1621" t="str">
        <f t="shared" si="86"/>
        <v>16739320000000</v>
      </c>
      <c r="D1621" t="s">
        <v>3479</v>
      </c>
      <c r="E1621" t="str">
        <f>"16739321630078"</f>
        <v>16739321630078</v>
      </c>
      <c r="F1621" s="8">
        <v>737</v>
      </c>
      <c r="G1621" s="8">
        <v>6877</v>
      </c>
      <c r="H1621" s="8">
        <v>1444</v>
      </c>
      <c r="I1621" s="8">
        <v>3539</v>
      </c>
    </row>
    <row r="1622" spans="1:9" x14ac:dyDescent="0.2">
      <c r="A1622" t="s">
        <v>394</v>
      </c>
      <c r="B1622" t="s">
        <v>411</v>
      </c>
      <c r="C1622" t="str">
        <f t="shared" si="86"/>
        <v>16739320000000</v>
      </c>
      <c r="D1622" t="s">
        <v>3480</v>
      </c>
      <c r="E1622" t="str">
        <f>"16739326010565"</f>
        <v>16739326010565</v>
      </c>
      <c r="F1622" s="8">
        <v>419</v>
      </c>
      <c r="G1622" s="8">
        <v>6938</v>
      </c>
      <c r="H1622" s="8">
        <v>1444</v>
      </c>
      <c r="I1622" s="8">
        <v>3539</v>
      </c>
    </row>
    <row r="1623" spans="1:9" x14ac:dyDescent="0.2">
      <c r="A1623" t="s">
        <v>394</v>
      </c>
      <c r="B1623" t="s">
        <v>411</v>
      </c>
      <c r="C1623" t="str">
        <f t="shared" si="86"/>
        <v>16739320000000</v>
      </c>
      <c r="D1623" t="s">
        <v>3481</v>
      </c>
      <c r="E1623" t="str">
        <f>"16739321630953"</f>
        <v>16739321630953</v>
      </c>
      <c r="F1623" s="8">
        <v>381</v>
      </c>
      <c r="G1623" s="8">
        <v>6907</v>
      </c>
      <c r="H1623" s="8">
        <v>1444</v>
      </c>
      <c r="I1623" s="8">
        <v>3539</v>
      </c>
    </row>
    <row r="1624" spans="1:9" x14ac:dyDescent="0.2">
      <c r="A1624" t="s">
        <v>394</v>
      </c>
      <c r="B1624" t="s">
        <v>411</v>
      </c>
      <c r="C1624" t="str">
        <f t="shared" si="86"/>
        <v>16739320000000</v>
      </c>
      <c r="D1624" t="s">
        <v>3482</v>
      </c>
      <c r="E1624" t="str">
        <f>"16739326109888"</f>
        <v>16739326109888</v>
      </c>
      <c r="F1624" s="8">
        <v>424</v>
      </c>
      <c r="G1624" s="8">
        <v>6665</v>
      </c>
      <c r="H1624" s="8">
        <v>1444</v>
      </c>
      <c r="I1624" s="8">
        <v>3539</v>
      </c>
    </row>
    <row r="1625" spans="1:9" x14ac:dyDescent="0.2">
      <c r="A1625" t="s">
        <v>394</v>
      </c>
      <c r="B1625" t="s">
        <v>411</v>
      </c>
      <c r="C1625" t="str">
        <f t="shared" si="86"/>
        <v>16739320000000</v>
      </c>
      <c r="D1625" t="s">
        <v>3483</v>
      </c>
      <c r="E1625" t="str">
        <f>"16739326118566"</f>
        <v>16739326118566</v>
      </c>
      <c r="F1625" s="8">
        <v>753</v>
      </c>
      <c r="G1625" s="8">
        <v>6877</v>
      </c>
      <c r="H1625" s="8">
        <v>1444</v>
      </c>
      <c r="I1625" s="8">
        <v>35</v>
      </c>
    </row>
    <row r="1626" spans="1:9" x14ac:dyDescent="0.2">
      <c r="A1626" t="s">
        <v>394</v>
      </c>
      <c r="B1626" t="s">
        <v>411</v>
      </c>
      <c r="C1626" t="str">
        <f t="shared" si="86"/>
        <v>16739320000000</v>
      </c>
      <c r="D1626" t="s">
        <v>3484</v>
      </c>
      <c r="E1626" t="str">
        <f>"16739326116966"</f>
        <v>16739326116966</v>
      </c>
      <c r="F1626" s="8">
        <v>0</v>
      </c>
      <c r="G1626" s="8">
        <v>0</v>
      </c>
      <c r="H1626" s="8">
        <v>1444</v>
      </c>
      <c r="I1626" s="8">
        <v>3539</v>
      </c>
    </row>
    <row r="1627" spans="1:9" x14ac:dyDescent="0.2">
      <c r="A1627" t="s">
        <v>412</v>
      </c>
      <c r="B1627" t="s">
        <v>414</v>
      </c>
      <c r="C1627" t="str">
        <f t="shared" ref="C1627:C1633" si="87">"17640140000000"</f>
        <v>17640140000000</v>
      </c>
      <c r="D1627" t="s">
        <v>3485</v>
      </c>
      <c r="E1627" t="str">
        <f>"17640141730043"</f>
        <v>17640141730043</v>
      </c>
      <c r="F1627" s="8">
        <v>278</v>
      </c>
      <c r="G1627" s="8">
        <v>13416</v>
      </c>
      <c r="H1627" s="8">
        <v>903</v>
      </c>
      <c r="I1627" s="8">
        <v>2267</v>
      </c>
    </row>
    <row r="1628" spans="1:9" x14ac:dyDescent="0.2">
      <c r="A1628" t="s">
        <v>412</v>
      </c>
      <c r="B1628" t="s">
        <v>414</v>
      </c>
      <c r="C1628" t="str">
        <f t="shared" si="87"/>
        <v>17640140000000</v>
      </c>
      <c r="D1628" t="s">
        <v>3486</v>
      </c>
      <c r="E1628" t="str">
        <f>"17640146112759"</f>
        <v>17640146112759</v>
      </c>
      <c r="F1628" s="8">
        <v>1681</v>
      </c>
      <c r="G1628" s="8">
        <v>9601</v>
      </c>
      <c r="H1628" s="8">
        <v>1233</v>
      </c>
      <c r="I1628" s="8">
        <v>3095</v>
      </c>
    </row>
    <row r="1629" spans="1:9" x14ac:dyDescent="0.2">
      <c r="A1629" t="s">
        <v>412</v>
      </c>
      <c r="B1629" t="s">
        <v>414</v>
      </c>
      <c r="C1629" t="str">
        <f t="shared" si="87"/>
        <v>17640140000000</v>
      </c>
      <c r="D1629" t="s">
        <v>3487</v>
      </c>
      <c r="E1629" t="str">
        <f>"17640141734359"</f>
        <v>17640141734359</v>
      </c>
      <c r="F1629" s="8">
        <v>524</v>
      </c>
      <c r="G1629" s="8">
        <v>9675</v>
      </c>
      <c r="H1629" s="8">
        <v>1185</v>
      </c>
      <c r="I1629" s="8">
        <v>2974</v>
      </c>
    </row>
    <row r="1630" spans="1:9" x14ac:dyDescent="0.2">
      <c r="A1630" t="s">
        <v>412</v>
      </c>
      <c r="B1630" t="s">
        <v>414</v>
      </c>
      <c r="C1630" t="str">
        <f t="shared" si="87"/>
        <v>17640140000000</v>
      </c>
      <c r="D1630" t="s">
        <v>3488</v>
      </c>
      <c r="E1630" t="str">
        <f>"17640146107791"</f>
        <v>17640146107791</v>
      </c>
      <c r="F1630" s="8">
        <v>616</v>
      </c>
      <c r="G1630" s="8">
        <v>8410</v>
      </c>
      <c r="H1630" s="8">
        <v>1103</v>
      </c>
      <c r="I1630" s="8">
        <v>2770</v>
      </c>
    </row>
    <row r="1631" spans="1:9" x14ac:dyDescent="0.2">
      <c r="A1631" t="s">
        <v>412</v>
      </c>
      <c r="B1631" t="s">
        <v>414</v>
      </c>
      <c r="C1631" t="str">
        <f t="shared" si="87"/>
        <v>17640140000000</v>
      </c>
      <c r="D1631" t="s">
        <v>3489</v>
      </c>
      <c r="E1631" t="str">
        <f>"17640146010607"</f>
        <v>17640146010607</v>
      </c>
      <c r="F1631" s="8">
        <v>706</v>
      </c>
      <c r="G1631" s="8">
        <v>7081</v>
      </c>
      <c r="H1631" s="8">
        <v>1142</v>
      </c>
      <c r="I1631" s="8">
        <v>2868</v>
      </c>
    </row>
    <row r="1632" spans="1:9" x14ac:dyDescent="0.2">
      <c r="A1632" t="s">
        <v>412</v>
      </c>
      <c r="B1632" t="s">
        <v>414</v>
      </c>
      <c r="C1632" t="str">
        <f t="shared" si="87"/>
        <v>17640140000000</v>
      </c>
      <c r="D1632" t="s">
        <v>3490</v>
      </c>
      <c r="E1632" t="str">
        <f>"17640140138537"</f>
        <v>17640140138537</v>
      </c>
      <c r="F1632" s="8">
        <v>326</v>
      </c>
      <c r="G1632" s="8">
        <v>5113</v>
      </c>
      <c r="H1632" s="8">
        <v>230</v>
      </c>
      <c r="I1632" s="8">
        <v>578</v>
      </c>
    </row>
    <row r="1633" spans="1:9" x14ac:dyDescent="0.2">
      <c r="A1633" t="s">
        <v>412</v>
      </c>
      <c r="B1633" t="s">
        <v>414</v>
      </c>
      <c r="C1633" t="str">
        <f t="shared" si="87"/>
        <v>17640140000000</v>
      </c>
      <c r="D1633" t="s">
        <v>3491</v>
      </c>
      <c r="E1633" t="str">
        <f>"17640141730159"</f>
        <v>17640141730159</v>
      </c>
      <c r="F1633" s="8" t="s">
        <v>30</v>
      </c>
      <c r="G1633" s="8" t="s">
        <v>30</v>
      </c>
      <c r="H1633" s="8" t="s">
        <v>30</v>
      </c>
      <c r="I1633" s="8" t="s">
        <v>30</v>
      </c>
    </row>
    <row r="1634" spans="1:9" x14ac:dyDescent="0.2">
      <c r="A1634" t="s">
        <v>412</v>
      </c>
      <c r="B1634" t="s">
        <v>415</v>
      </c>
      <c r="C1634" t="str">
        <f t="shared" ref="C1634:C1643" si="88">"17640220000000"</f>
        <v>17640220000000</v>
      </c>
      <c r="D1634" t="s">
        <v>3492</v>
      </c>
      <c r="E1634" t="str">
        <f>"17640220107706"</f>
        <v>17640220107706</v>
      </c>
      <c r="F1634" s="8">
        <v>12</v>
      </c>
      <c r="G1634" s="8">
        <v>38016.833333333336</v>
      </c>
      <c r="H1634" s="8">
        <v>248525.16666666666</v>
      </c>
      <c r="I1634" s="8">
        <v>842372.83333333337</v>
      </c>
    </row>
    <row r="1635" spans="1:9" x14ac:dyDescent="0.2">
      <c r="A1635" t="s">
        <v>412</v>
      </c>
      <c r="B1635" t="s">
        <v>415</v>
      </c>
      <c r="C1635" t="str">
        <f t="shared" si="88"/>
        <v>17640220000000</v>
      </c>
      <c r="D1635" t="s">
        <v>3493</v>
      </c>
      <c r="E1635" t="str">
        <f>"17640221735000"</f>
        <v>17640221735000</v>
      </c>
      <c r="F1635" s="8">
        <v>34.439708939708943</v>
      </c>
      <c r="G1635" s="8">
        <v>6102.431392931393</v>
      </c>
      <c r="H1635" s="8">
        <v>9.6673596673596673</v>
      </c>
      <c r="I1635" s="8">
        <v>32.768191268191266</v>
      </c>
    </row>
    <row r="1636" spans="1:9" x14ac:dyDescent="0.2">
      <c r="A1636" t="s">
        <v>412</v>
      </c>
      <c r="B1636" t="s">
        <v>415</v>
      </c>
      <c r="C1636" t="str">
        <f t="shared" si="88"/>
        <v>17640220000000</v>
      </c>
      <c r="D1636" t="s">
        <v>3494</v>
      </c>
      <c r="E1636" t="str">
        <f>"17640226057434"</f>
        <v>17640226057434</v>
      </c>
      <c r="F1636" s="8">
        <v>3549</v>
      </c>
      <c r="G1636" s="8">
        <v>20728.599999999999</v>
      </c>
      <c r="H1636" s="8">
        <v>89469.1</v>
      </c>
      <c r="I1636" s="8">
        <v>303254.2</v>
      </c>
    </row>
    <row r="1637" spans="1:9" x14ac:dyDescent="0.2">
      <c r="A1637" t="s">
        <v>412</v>
      </c>
      <c r="B1637" t="s">
        <v>415</v>
      </c>
      <c r="C1637" t="str">
        <f t="shared" si="88"/>
        <v>17640220000000</v>
      </c>
      <c r="D1637" t="s">
        <v>3495</v>
      </c>
      <c r="E1637" t="str">
        <f>"17640226010615"</f>
        <v>17640226010615</v>
      </c>
      <c r="F1637" s="8">
        <v>99.761904761904759</v>
      </c>
      <c r="G1637" s="8">
        <v>4908.7352380952379</v>
      </c>
      <c r="H1637" s="8">
        <v>32.460952380952378</v>
      </c>
      <c r="I1637" s="8">
        <v>110.02285714285715</v>
      </c>
    </row>
    <row r="1638" spans="1:9" x14ac:dyDescent="0.2">
      <c r="A1638" t="s">
        <v>412</v>
      </c>
      <c r="B1638" t="s">
        <v>415</v>
      </c>
      <c r="C1638" t="str">
        <f t="shared" si="88"/>
        <v>17640220000000</v>
      </c>
      <c r="D1638" t="s">
        <v>3496</v>
      </c>
      <c r="E1638" t="str">
        <f>"17640220132571"</f>
        <v>17640220132571</v>
      </c>
      <c r="F1638" s="8">
        <v>36.240196078431374</v>
      </c>
      <c r="G1638" s="8">
        <v>5669.2990196078435</v>
      </c>
      <c r="H1638" s="8">
        <v>53.747549019607845</v>
      </c>
      <c r="I1638" s="8">
        <v>182.17401960784315</v>
      </c>
    </row>
    <row r="1639" spans="1:9" x14ac:dyDescent="0.2">
      <c r="A1639" t="s">
        <v>412</v>
      </c>
      <c r="B1639" t="s">
        <v>415</v>
      </c>
      <c r="C1639" t="str">
        <f t="shared" si="88"/>
        <v>17640220000000</v>
      </c>
      <c r="D1639" t="s">
        <v>3497</v>
      </c>
      <c r="E1639" t="str">
        <f>"17640226109706"</f>
        <v>17640226109706</v>
      </c>
      <c r="F1639" s="8">
        <v>175.85416666666666</v>
      </c>
      <c r="G1639" s="8">
        <v>2287.5282738095239</v>
      </c>
      <c r="H1639" s="8">
        <v>19.8125</v>
      </c>
      <c r="I1639" s="8">
        <v>67.15327380952381</v>
      </c>
    </row>
    <row r="1640" spans="1:9" x14ac:dyDescent="0.2">
      <c r="A1640" t="s">
        <v>412</v>
      </c>
      <c r="B1640" t="s">
        <v>415</v>
      </c>
      <c r="C1640" t="str">
        <f t="shared" si="88"/>
        <v>17640220000000</v>
      </c>
      <c r="D1640" t="s">
        <v>3498</v>
      </c>
      <c r="E1640" t="str">
        <f>"17640226010623"</f>
        <v>17640226010623</v>
      </c>
      <c r="F1640" s="8">
        <v>172.95477386934672</v>
      </c>
      <c r="G1640" s="8">
        <v>7328.9497487437184</v>
      </c>
      <c r="H1640" s="8">
        <v>225.9246231155779</v>
      </c>
      <c r="I1640" s="8">
        <v>765.7738693467337</v>
      </c>
    </row>
    <row r="1641" spans="1:9" x14ac:dyDescent="0.2">
      <c r="A1641" t="s">
        <v>412</v>
      </c>
      <c r="B1641" t="s">
        <v>415</v>
      </c>
      <c r="C1641" t="str">
        <f t="shared" si="88"/>
        <v>17640220000000</v>
      </c>
      <c r="D1641" t="s">
        <v>3499</v>
      </c>
      <c r="E1641" t="str">
        <f>"17640221730118"</f>
        <v>17640221730118</v>
      </c>
      <c r="F1641" s="8">
        <v>0</v>
      </c>
      <c r="G1641" s="8">
        <v>1866.125</v>
      </c>
      <c r="H1641" s="8">
        <v>15532.833333333334</v>
      </c>
      <c r="I1641" s="8">
        <v>52648.291666666664</v>
      </c>
    </row>
    <row r="1642" spans="1:9" x14ac:dyDescent="0.2">
      <c r="A1642" t="s">
        <v>412</v>
      </c>
      <c r="B1642" t="s">
        <v>415</v>
      </c>
      <c r="C1642" t="str">
        <f t="shared" si="88"/>
        <v>17640220000000</v>
      </c>
      <c r="D1642" t="s">
        <v>3500</v>
      </c>
      <c r="E1642" t="str">
        <f>"17640226084990"</f>
        <v>17640226084990</v>
      </c>
      <c r="F1642" s="8">
        <v>67.702928870292894</v>
      </c>
      <c r="G1642" s="8">
        <v>2082.3110181311017</v>
      </c>
      <c r="H1642" s="8">
        <v>17.403068340306834</v>
      </c>
      <c r="I1642" s="8">
        <v>58.987447698744766</v>
      </c>
    </row>
    <row r="1643" spans="1:9" x14ac:dyDescent="0.2">
      <c r="A1643" t="s">
        <v>412</v>
      </c>
      <c r="B1643" t="s">
        <v>415</v>
      </c>
      <c r="C1643" t="str">
        <f t="shared" si="88"/>
        <v>17640220000000</v>
      </c>
      <c r="D1643" t="s">
        <v>3501</v>
      </c>
      <c r="E1643" t="str">
        <f>"17640221730027"</f>
        <v>17640221730027</v>
      </c>
      <c r="F1643" s="8">
        <v>1357.4556962025317</v>
      </c>
      <c r="G1643" s="8">
        <v>2985.2658227848101</v>
      </c>
      <c r="H1643" s="8">
        <v>1433.5696202531647</v>
      </c>
      <c r="I1643" s="8">
        <v>4859.0632911392404</v>
      </c>
    </row>
    <row r="1644" spans="1:9" x14ac:dyDescent="0.2">
      <c r="A1644" t="s">
        <v>412</v>
      </c>
      <c r="B1644" t="s">
        <v>417</v>
      </c>
      <c r="C1644" t="str">
        <f>"17101730000000"</f>
        <v>17101730000000</v>
      </c>
      <c r="D1644" t="s">
        <v>3502</v>
      </c>
      <c r="E1644" t="str">
        <f>"17101731730167"</f>
        <v>17101731730167</v>
      </c>
      <c r="F1644" s="8">
        <v>23</v>
      </c>
      <c r="G1644" s="8">
        <v>107859</v>
      </c>
      <c r="H1644" s="8">
        <v>0</v>
      </c>
      <c r="I1644" s="8">
        <v>0</v>
      </c>
    </row>
    <row r="1645" spans="1:9" x14ac:dyDescent="0.2">
      <c r="A1645" t="s">
        <v>412</v>
      </c>
      <c r="B1645" t="s">
        <v>417</v>
      </c>
      <c r="C1645" t="str">
        <f>"17101730000000"</f>
        <v>17101730000000</v>
      </c>
      <c r="D1645" t="s">
        <v>3503</v>
      </c>
      <c r="E1645" t="str">
        <f>"17101730128231"</f>
        <v>17101730128231</v>
      </c>
      <c r="F1645" s="8">
        <v>1763</v>
      </c>
      <c r="G1645" s="8">
        <v>51879</v>
      </c>
      <c r="H1645" s="8">
        <v>0</v>
      </c>
      <c r="I1645" s="8">
        <v>0</v>
      </c>
    </row>
    <row r="1646" spans="1:9" x14ac:dyDescent="0.2">
      <c r="A1646" t="s">
        <v>412</v>
      </c>
      <c r="B1646" t="s">
        <v>417</v>
      </c>
      <c r="C1646" t="str">
        <f>"17101730000000"</f>
        <v>17101730000000</v>
      </c>
      <c r="D1646" t="s">
        <v>3504</v>
      </c>
      <c r="E1646" t="str">
        <f>"17101731730068"</f>
        <v>17101731730068</v>
      </c>
      <c r="F1646" s="8" t="s">
        <v>30</v>
      </c>
      <c r="G1646" s="8" t="s">
        <v>30</v>
      </c>
      <c r="H1646" s="8" t="s">
        <v>30</v>
      </c>
      <c r="I1646" s="8" t="s">
        <v>30</v>
      </c>
    </row>
    <row r="1647" spans="1:9" x14ac:dyDescent="0.2">
      <c r="A1647" t="s">
        <v>412</v>
      </c>
      <c r="B1647" t="s">
        <v>418</v>
      </c>
      <c r="C1647" t="str">
        <f t="shared" ref="C1647:C1652" si="89">"17640300000000"</f>
        <v>17640300000000</v>
      </c>
      <c r="D1647" t="s">
        <v>3505</v>
      </c>
      <c r="E1647" t="str">
        <f>"17640300114215"</f>
        <v>17640300114215</v>
      </c>
      <c r="F1647" s="8">
        <v>12437</v>
      </c>
      <c r="G1647" s="8">
        <v>22716</v>
      </c>
      <c r="H1647" s="8">
        <v>9</v>
      </c>
      <c r="I1647" s="8">
        <v>44</v>
      </c>
    </row>
    <row r="1648" spans="1:9" x14ac:dyDescent="0.2">
      <c r="A1648" t="s">
        <v>412</v>
      </c>
      <c r="B1648" t="s">
        <v>418</v>
      </c>
      <c r="C1648" t="str">
        <f t="shared" si="89"/>
        <v>17640300000000</v>
      </c>
      <c r="D1648" t="s">
        <v>3506</v>
      </c>
      <c r="E1648" t="str">
        <f>"17640306010631"</f>
        <v>17640306010631</v>
      </c>
      <c r="F1648" s="8">
        <v>1611</v>
      </c>
      <c r="G1648" s="8">
        <v>8169</v>
      </c>
      <c r="H1648" s="8">
        <v>249</v>
      </c>
      <c r="I1648" s="8">
        <v>1239</v>
      </c>
    </row>
    <row r="1649" spans="1:9" x14ac:dyDescent="0.2">
      <c r="A1649" t="s">
        <v>412</v>
      </c>
      <c r="B1649" t="s">
        <v>418</v>
      </c>
      <c r="C1649" t="str">
        <f t="shared" si="89"/>
        <v>17640300000000</v>
      </c>
      <c r="D1649" t="s">
        <v>3507</v>
      </c>
      <c r="E1649" t="str">
        <f>"17640301732304"</f>
        <v>17640301732304</v>
      </c>
      <c r="F1649" s="8">
        <v>504</v>
      </c>
      <c r="G1649" s="8">
        <v>8004</v>
      </c>
      <c r="H1649" s="8">
        <v>249</v>
      </c>
      <c r="I1649" s="8">
        <v>1239</v>
      </c>
    </row>
    <row r="1650" spans="1:9" x14ac:dyDescent="0.2">
      <c r="A1650" t="s">
        <v>412</v>
      </c>
      <c r="B1650" t="s">
        <v>418</v>
      </c>
      <c r="C1650" t="str">
        <f t="shared" si="89"/>
        <v>17640300000000</v>
      </c>
      <c r="D1650" t="s">
        <v>3508</v>
      </c>
      <c r="E1650" t="str">
        <f>"17640301730019"</f>
        <v>17640301730019</v>
      </c>
      <c r="F1650" s="8">
        <v>384</v>
      </c>
      <c r="G1650" s="8">
        <v>8353</v>
      </c>
      <c r="H1650" s="8">
        <v>18</v>
      </c>
      <c r="I1650" s="8">
        <v>88</v>
      </c>
    </row>
    <row r="1651" spans="1:9" x14ac:dyDescent="0.2">
      <c r="A1651" t="s">
        <v>412</v>
      </c>
      <c r="B1651" t="s">
        <v>418</v>
      </c>
      <c r="C1651" t="str">
        <f t="shared" si="89"/>
        <v>17640300000000</v>
      </c>
      <c r="D1651" t="s">
        <v>3509</v>
      </c>
      <c r="E1651" t="str">
        <f>"17640306010649"</f>
        <v>17640306010649</v>
      </c>
      <c r="F1651" s="8">
        <v>751</v>
      </c>
      <c r="G1651" s="8">
        <v>6116</v>
      </c>
      <c r="H1651" s="8">
        <v>320</v>
      </c>
      <c r="I1651" s="8">
        <v>1592</v>
      </c>
    </row>
    <row r="1652" spans="1:9" x14ac:dyDescent="0.2">
      <c r="A1652" t="s">
        <v>412</v>
      </c>
      <c r="B1652" t="s">
        <v>418</v>
      </c>
      <c r="C1652" t="str">
        <f t="shared" si="89"/>
        <v>17640300000000</v>
      </c>
      <c r="D1652" t="s">
        <v>3510</v>
      </c>
      <c r="E1652" t="str">
        <f>"17640301730142"</f>
        <v>17640301730142</v>
      </c>
      <c r="F1652" s="8">
        <v>66</v>
      </c>
      <c r="G1652" s="8">
        <v>4889</v>
      </c>
      <c r="H1652" s="8">
        <v>44</v>
      </c>
      <c r="I1652" s="8">
        <v>221</v>
      </c>
    </row>
    <row r="1653" spans="1:9" x14ac:dyDescent="0.2">
      <c r="A1653" t="s">
        <v>412</v>
      </c>
      <c r="B1653" t="s">
        <v>419</v>
      </c>
      <c r="C1653" t="str">
        <f>"17640480000000"</f>
        <v>17640480000000</v>
      </c>
      <c r="D1653" t="s">
        <v>419</v>
      </c>
      <c r="E1653" t="str">
        <f>"17640486010656"</f>
        <v>17640486010656</v>
      </c>
      <c r="F1653" s="8">
        <v>2672</v>
      </c>
      <c r="G1653" s="8">
        <v>9248</v>
      </c>
      <c r="H1653" s="8">
        <v>2</v>
      </c>
      <c r="I1653" s="8">
        <v>1014</v>
      </c>
    </row>
    <row r="1654" spans="1:9" x14ac:dyDescent="0.2">
      <c r="A1654" t="s">
        <v>412</v>
      </c>
      <c r="B1654" t="s">
        <v>420</v>
      </c>
      <c r="C1654" t="str">
        <f t="shared" ref="C1654:C1659" si="90">"17640550000000"</f>
        <v>17640550000000</v>
      </c>
      <c r="D1654" t="s">
        <v>3511</v>
      </c>
      <c r="E1654" t="str">
        <f>"17640551736008"</f>
        <v>17640551736008</v>
      </c>
      <c r="F1654" s="8">
        <v>95163</v>
      </c>
      <c r="G1654" s="8">
        <v>9248</v>
      </c>
      <c r="H1654" s="8">
        <v>189449</v>
      </c>
      <c r="I1654" s="8">
        <v>41761</v>
      </c>
    </row>
    <row r="1655" spans="1:9" x14ac:dyDescent="0.2">
      <c r="A1655" t="s">
        <v>412</v>
      </c>
      <c r="B1655" t="s">
        <v>420</v>
      </c>
      <c r="C1655" t="str">
        <f t="shared" si="90"/>
        <v>17640550000000</v>
      </c>
      <c r="D1655" t="s">
        <v>3512</v>
      </c>
      <c r="E1655" t="str">
        <f>"17640556110761"</f>
        <v>17640556110761</v>
      </c>
      <c r="F1655" s="8">
        <v>72564</v>
      </c>
      <c r="G1655" s="8">
        <v>3750</v>
      </c>
      <c r="H1655" s="8">
        <v>181619</v>
      </c>
      <c r="I1655" s="8">
        <v>40034</v>
      </c>
    </row>
    <row r="1656" spans="1:9" x14ac:dyDescent="0.2">
      <c r="A1656" t="s">
        <v>412</v>
      </c>
      <c r="B1656" t="s">
        <v>420</v>
      </c>
      <c r="C1656" t="str">
        <f t="shared" si="90"/>
        <v>17640550000000</v>
      </c>
      <c r="D1656" t="s">
        <v>3513</v>
      </c>
      <c r="E1656" t="str">
        <f>"17640556107049"</f>
        <v>17640556107049</v>
      </c>
      <c r="F1656" s="8">
        <v>88855</v>
      </c>
      <c r="G1656" s="8">
        <v>1427</v>
      </c>
      <c r="H1656" s="8">
        <v>86641</v>
      </c>
      <c r="I1656" s="8">
        <v>19098</v>
      </c>
    </row>
    <row r="1657" spans="1:9" x14ac:dyDescent="0.2">
      <c r="A1657" t="s">
        <v>412</v>
      </c>
      <c r="B1657" t="s">
        <v>420</v>
      </c>
      <c r="C1657" t="str">
        <f t="shared" si="90"/>
        <v>17640550000000</v>
      </c>
      <c r="D1657" t="s">
        <v>3514</v>
      </c>
      <c r="E1657" t="str">
        <f>"17640556010672"</f>
        <v>17640556010672</v>
      </c>
      <c r="F1657" s="8">
        <v>109559</v>
      </c>
      <c r="G1657" s="8">
        <v>506</v>
      </c>
      <c r="H1657" s="8">
        <v>68401</v>
      </c>
      <c r="I1657" s="8">
        <v>15078</v>
      </c>
    </row>
    <row r="1658" spans="1:9" x14ac:dyDescent="0.2">
      <c r="A1658" t="s">
        <v>412</v>
      </c>
      <c r="B1658" t="s">
        <v>420</v>
      </c>
      <c r="C1658" t="str">
        <f t="shared" si="90"/>
        <v>17640550000000</v>
      </c>
      <c r="D1658" t="s">
        <v>3515</v>
      </c>
      <c r="E1658" t="str">
        <f>"17640556105456"</f>
        <v>17640556105456</v>
      </c>
      <c r="F1658" s="8">
        <v>33870</v>
      </c>
      <c r="G1658" s="8">
        <v>0</v>
      </c>
      <c r="H1658" s="8">
        <v>54422</v>
      </c>
      <c r="I1658" s="8">
        <v>11996</v>
      </c>
    </row>
    <row r="1659" spans="1:9" x14ac:dyDescent="0.2">
      <c r="A1659" t="s">
        <v>412</v>
      </c>
      <c r="B1659" t="s">
        <v>420</v>
      </c>
      <c r="C1659" t="str">
        <f t="shared" si="90"/>
        <v>17640550000000</v>
      </c>
      <c r="D1659" t="s">
        <v>3516</v>
      </c>
      <c r="E1659" t="str">
        <f>"17640551730035"</f>
        <v>17640551730035</v>
      </c>
      <c r="F1659" s="8">
        <v>0</v>
      </c>
      <c r="G1659" s="8">
        <v>0</v>
      </c>
      <c r="H1659" s="8">
        <v>3731</v>
      </c>
      <c r="I1659" s="8">
        <v>822</v>
      </c>
    </row>
    <row r="1660" spans="1:9" x14ac:dyDescent="0.2">
      <c r="A1660" t="s">
        <v>412</v>
      </c>
      <c r="B1660" t="s">
        <v>421</v>
      </c>
      <c r="C1660" t="str">
        <f>"17769760000000"</f>
        <v>17769760000000</v>
      </c>
      <c r="D1660" t="s">
        <v>3517</v>
      </c>
      <c r="E1660" t="str">
        <f>"17769761737006"</f>
        <v>17769761737006</v>
      </c>
      <c r="F1660" s="8">
        <v>2193</v>
      </c>
      <c r="G1660" s="8">
        <v>8217</v>
      </c>
      <c r="H1660" s="8">
        <v>1383</v>
      </c>
      <c r="I1660" s="8">
        <v>5346</v>
      </c>
    </row>
    <row r="1661" spans="1:9" x14ac:dyDescent="0.2">
      <c r="A1661" t="s">
        <v>412</v>
      </c>
      <c r="B1661" t="s">
        <v>421</v>
      </c>
      <c r="C1661" t="str">
        <f>"17769760000000"</f>
        <v>17769760000000</v>
      </c>
      <c r="D1661" t="s">
        <v>3518</v>
      </c>
      <c r="E1661" t="str">
        <f>"17769766010680"</f>
        <v>17769766010680</v>
      </c>
      <c r="F1661" s="8">
        <v>1007</v>
      </c>
      <c r="G1661" s="8">
        <v>8234</v>
      </c>
      <c r="H1661" s="8">
        <v>1383</v>
      </c>
      <c r="I1661" s="8">
        <v>5346</v>
      </c>
    </row>
    <row r="1662" spans="1:9" x14ac:dyDescent="0.2">
      <c r="A1662" t="s">
        <v>412</v>
      </c>
      <c r="B1662" t="s">
        <v>421</v>
      </c>
      <c r="C1662" t="str">
        <f>"17769760000000"</f>
        <v>17769760000000</v>
      </c>
      <c r="D1662" t="s">
        <v>3519</v>
      </c>
      <c r="E1662" t="str">
        <f>"17769761730050"</f>
        <v>17769761730050</v>
      </c>
      <c r="F1662" s="8">
        <v>0</v>
      </c>
      <c r="G1662" s="8">
        <v>7650</v>
      </c>
      <c r="H1662" s="8">
        <v>1383</v>
      </c>
      <c r="I1662" s="8">
        <v>5346</v>
      </c>
    </row>
    <row r="1663" spans="1:9" x14ac:dyDescent="0.2">
      <c r="A1663" t="s">
        <v>412</v>
      </c>
      <c r="B1663" t="s">
        <v>421</v>
      </c>
      <c r="C1663" t="str">
        <f>"17769760000000"</f>
        <v>17769760000000</v>
      </c>
      <c r="D1663" t="s">
        <v>3520</v>
      </c>
      <c r="E1663" t="str">
        <f>"17769766108773"</f>
        <v>17769766108773</v>
      </c>
      <c r="F1663" s="8">
        <v>912</v>
      </c>
      <c r="G1663" s="8">
        <v>6197</v>
      </c>
      <c r="H1663" s="8">
        <v>1383</v>
      </c>
      <c r="I1663" s="8">
        <v>5346</v>
      </c>
    </row>
    <row r="1664" spans="1:9" x14ac:dyDescent="0.2">
      <c r="A1664" t="s">
        <v>412</v>
      </c>
      <c r="B1664" t="s">
        <v>421</v>
      </c>
      <c r="C1664" t="str">
        <f>"17769760000000"</f>
        <v>17769760000000</v>
      </c>
      <c r="D1664" t="s">
        <v>3521</v>
      </c>
      <c r="E1664" t="str">
        <f>"17769761730175"</f>
        <v>17769761730175</v>
      </c>
      <c r="F1664" s="8" t="s">
        <v>30</v>
      </c>
      <c r="G1664" s="8" t="s">
        <v>30</v>
      </c>
      <c r="H1664" s="8" t="s">
        <v>30</v>
      </c>
      <c r="I1664" s="8" t="s">
        <v>30</v>
      </c>
    </row>
    <row r="1665" spans="1:9" x14ac:dyDescent="0.2">
      <c r="A1665" t="s">
        <v>422</v>
      </c>
      <c r="B1665" t="s">
        <v>423</v>
      </c>
      <c r="C1665" t="str">
        <f>"18640890000000"</f>
        <v>18640890000000</v>
      </c>
      <c r="D1665" t="s">
        <v>3522</v>
      </c>
      <c r="E1665" t="str">
        <f>"18640891831601"</f>
        <v>18640891831601</v>
      </c>
      <c r="F1665" s="8">
        <v>330</v>
      </c>
      <c r="G1665" s="8">
        <v>11055</v>
      </c>
      <c r="H1665" s="8">
        <v>895</v>
      </c>
      <c r="I1665" s="8">
        <v>7585</v>
      </c>
    </row>
    <row r="1666" spans="1:9" x14ac:dyDescent="0.2">
      <c r="A1666" t="s">
        <v>422</v>
      </c>
      <c r="B1666" t="s">
        <v>423</v>
      </c>
      <c r="C1666" t="str">
        <f>"18640890000000"</f>
        <v>18640890000000</v>
      </c>
      <c r="D1666" t="s">
        <v>3523</v>
      </c>
      <c r="E1666" t="str">
        <f>"18640896010698"</f>
        <v>18640896010698</v>
      </c>
      <c r="F1666" s="8">
        <v>830</v>
      </c>
      <c r="G1666" s="8">
        <v>9043</v>
      </c>
      <c r="H1666" s="8">
        <v>895</v>
      </c>
      <c r="I1666" s="8">
        <v>7585</v>
      </c>
    </row>
    <row r="1667" spans="1:9" x14ac:dyDescent="0.2">
      <c r="A1667" t="s">
        <v>422</v>
      </c>
      <c r="B1667" t="s">
        <v>424</v>
      </c>
      <c r="C1667" t="str">
        <f>"18750360000000"</f>
        <v>18750360000000</v>
      </c>
      <c r="D1667" t="s">
        <v>3524</v>
      </c>
      <c r="E1667" t="str">
        <f>"18750361833409"</f>
        <v>18750361833409</v>
      </c>
      <c r="F1667" s="8">
        <v>2378</v>
      </c>
      <c r="G1667" s="8">
        <v>22114</v>
      </c>
      <c r="H1667" s="8">
        <v>1269</v>
      </c>
      <c r="I1667" s="8">
        <v>3543</v>
      </c>
    </row>
    <row r="1668" spans="1:9" x14ac:dyDescent="0.2">
      <c r="A1668" t="s">
        <v>422</v>
      </c>
      <c r="B1668" t="s">
        <v>424</v>
      </c>
      <c r="C1668" t="str">
        <f>"18750360000000"</f>
        <v>18750360000000</v>
      </c>
      <c r="D1668" t="s">
        <v>3525</v>
      </c>
      <c r="E1668" t="str">
        <f>"18750366010714"</f>
        <v>18750366010714</v>
      </c>
      <c r="F1668" s="8">
        <v>1399</v>
      </c>
      <c r="G1668" s="8">
        <v>8937</v>
      </c>
      <c r="H1668" s="8">
        <v>1269</v>
      </c>
      <c r="I1668" s="8">
        <v>3543</v>
      </c>
    </row>
    <row r="1669" spans="1:9" x14ac:dyDescent="0.2">
      <c r="A1669" t="s">
        <v>422</v>
      </c>
      <c r="B1669" t="s">
        <v>424</v>
      </c>
      <c r="C1669" t="str">
        <f>"18750360000000"</f>
        <v>18750360000000</v>
      </c>
      <c r="D1669" t="s">
        <v>3526</v>
      </c>
      <c r="E1669" t="str">
        <f>"18750366096341"</f>
        <v>18750366096341</v>
      </c>
      <c r="F1669" s="8">
        <v>1399</v>
      </c>
      <c r="G1669" s="8">
        <v>8937</v>
      </c>
      <c r="H1669" s="8">
        <v>1269</v>
      </c>
      <c r="I1669" s="8">
        <v>3543</v>
      </c>
    </row>
    <row r="1670" spans="1:9" x14ac:dyDescent="0.2">
      <c r="A1670" t="s">
        <v>422</v>
      </c>
      <c r="B1670" t="s">
        <v>424</v>
      </c>
      <c r="C1670" t="str">
        <f>"18750360000000"</f>
        <v>18750360000000</v>
      </c>
      <c r="D1670" t="s">
        <v>3527</v>
      </c>
      <c r="E1670" t="str">
        <f>"18750360121657"</f>
        <v>18750360121657</v>
      </c>
      <c r="F1670" s="8">
        <v>292</v>
      </c>
      <c r="G1670" s="8">
        <v>5811</v>
      </c>
      <c r="H1670" s="8">
        <v>1269</v>
      </c>
      <c r="I1670" s="8">
        <v>3543</v>
      </c>
    </row>
    <row r="1671" spans="1:9" x14ac:dyDescent="0.2">
      <c r="A1671" t="s">
        <v>422</v>
      </c>
      <c r="B1671" t="s">
        <v>425</v>
      </c>
      <c r="C1671" t="str">
        <f>"18641050000000"</f>
        <v>18641050000000</v>
      </c>
      <c r="D1671" t="s">
        <v>3528</v>
      </c>
      <c r="E1671" t="str">
        <f>"18641056010730"</f>
        <v>18641056010730</v>
      </c>
      <c r="F1671" s="8">
        <v>1688</v>
      </c>
      <c r="G1671" s="8">
        <v>12378</v>
      </c>
      <c r="H1671" s="8">
        <v>0</v>
      </c>
      <c r="I1671" s="8">
        <v>0</v>
      </c>
    </row>
    <row r="1672" spans="1:9" x14ac:dyDescent="0.2">
      <c r="A1672" t="s">
        <v>422</v>
      </c>
      <c r="B1672" t="s">
        <v>426</v>
      </c>
      <c r="C1672" t="str">
        <f>"18641130000000"</f>
        <v>18641130000000</v>
      </c>
      <c r="D1672" t="s">
        <v>426</v>
      </c>
      <c r="E1672" t="str">
        <f>"18641136010748"</f>
        <v>18641136010748</v>
      </c>
      <c r="F1672" s="8">
        <v>876</v>
      </c>
      <c r="G1672" s="8">
        <v>10049</v>
      </c>
      <c r="H1672" s="8">
        <v>0</v>
      </c>
      <c r="I1672" s="8">
        <v>0</v>
      </c>
    </row>
    <row r="1673" spans="1:9" x14ac:dyDescent="0.2">
      <c r="A1673" t="s">
        <v>422</v>
      </c>
      <c r="B1673" t="s">
        <v>427</v>
      </c>
      <c r="C1673" t="str">
        <f>"18101810000000"</f>
        <v>18101810000000</v>
      </c>
      <c r="D1673" t="s">
        <v>3529</v>
      </c>
      <c r="E1673" t="str">
        <f>"18101816069934"</f>
        <v>18101816069934</v>
      </c>
      <c r="F1673" s="8">
        <v>33411</v>
      </c>
      <c r="G1673" s="8">
        <v>10162</v>
      </c>
      <c r="H1673" s="8">
        <v>0</v>
      </c>
      <c r="I1673" s="8">
        <v>0</v>
      </c>
    </row>
    <row r="1674" spans="1:9" x14ac:dyDescent="0.2">
      <c r="A1674" t="s">
        <v>422</v>
      </c>
      <c r="B1674" t="s">
        <v>428</v>
      </c>
      <c r="C1674" t="str">
        <f>"18641390000000"</f>
        <v>18641390000000</v>
      </c>
      <c r="D1674" t="s">
        <v>3530</v>
      </c>
      <c r="E1674" t="str">
        <f>"18641390131953"</f>
        <v>18641390131953</v>
      </c>
      <c r="F1674" s="8">
        <v>2493</v>
      </c>
      <c r="G1674" s="8">
        <v>17047</v>
      </c>
      <c r="H1674" s="8">
        <v>0</v>
      </c>
      <c r="I1674" s="8">
        <v>1307</v>
      </c>
    </row>
    <row r="1675" spans="1:9" x14ac:dyDescent="0.2">
      <c r="A1675" t="s">
        <v>422</v>
      </c>
      <c r="B1675" t="s">
        <v>428</v>
      </c>
      <c r="C1675" t="str">
        <f>"18641390000000"</f>
        <v>18641390000000</v>
      </c>
      <c r="D1675" t="s">
        <v>3531</v>
      </c>
      <c r="E1675" t="str">
        <f>"18641391833813"</f>
        <v>18641391833813</v>
      </c>
      <c r="F1675" s="8">
        <v>1117</v>
      </c>
      <c r="G1675" s="8">
        <v>14635</v>
      </c>
      <c r="H1675" s="8">
        <v>0</v>
      </c>
      <c r="I1675" s="8">
        <v>1307</v>
      </c>
    </row>
    <row r="1676" spans="1:9" x14ac:dyDescent="0.2">
      <c r="A1676" t="s">
        <v>422</v>
      </c>
      <c r="B1676" t="s">
        <v>428</v>
      </c>
      <c r="C1676" t="str">
        <f>"18641390000000"</f>
        <v>18641390000000</v>
      </c>
      <c r="D1676" t="s">
        <v>3532</v>
      </c>
      <c r="E1676" t="str">
        <f>"18641391833805"</f>
        <v>18641391833805</v>
      </c>
      <c r="F1676" s="8">
        <v>875</v>
      </c>
      <c r="G1676" s="8">
        <v>9202</v>
      </c>
      <c r="H1676" s="8">
        <v>0</v>
      </c>
      <c r="I1676" s="8">
        <v>1307</v>
      </c>
    </row>
    <row r="1677" spans="1:9" x14ac:dyDescent="0.2">
      <c r="A1677" t="s">
        <v>422</v>
      </c>
      <c r="B1677" t="s">
        <v>430</v>
      </c>
      <c r="C1677" t="str">
        <f>"18641620000000"</f>
        <v>18641620000000</v>
      </c>
      <c r="D1677" t="s">
        <v>3533</v>
      </c>
      <c r="E1677" t="str">
        <f>"18641626010789"</f>
        <v>18641626010789</v>
      </c>
      <c r="F1677" s="8">
        <v>1700</v>
      </c>
      <c r="G1677" s="8">
        <v>12824</v>
      </c>
      <c r="H1677" s="8">
        <v>884</v>
      </c>
      <c r="I1677" s="8">
        <v>7425</v>
      </c>
    </row>
    <row r="1678" spans="1:9" x14ac:dyDescent="0.2">
      <c r="A1678" t="s">
        <v>422</v>
      </c>
      <c r="B1678" t="s">
        <v>431</v>
      </c>
      <c r="C1678" t="str">
        <f>"18641700000000"</f>
        <v>18641700000000</v>
      </c>
      <c r="D1678" t="s">
        <v>431</v>
      </c>
      <c r="E1678" t="str">
        <f>"18641706010797"</f>
        <v>18641706010797</v>
      </c>
      <c r="F1678" s="8" t="s">
        <v>30</v>
      </c>
      <c r="G1678" s="8" t="s">
        <v>30</v>
      </c>
      <c r="H1678" s="8" t="s">
        <v>30</v>
      </c>
      <c r="I1678" s="8" t="s">
        <v>30</v>
      </c>
    </row>
    <row r="1679" spans="1:9" x14ac:dyDescent="0.2">
      <c r="A1679" t="s">
        <v>422</v>
      </c>
      <c r="B1679" t="s">
        <v>432</v>
      </c>
      <c r="C1679" t="str">
        <f>"18641880000000"</f>
        <v>18641880000000</v>
      </c>
      <c r="D1679" t="s">
        <v>3534</v>
      </c>
      <c r="E1679" t="str">
        <f>"18641886010805"</f>
        <v>18641886010805</v>
      </c>
      <c r="F1679" s="8">
        <v>1098</v>
      </c>
      <c r="G1679" s="8">
        <v>11966</v>
      </c>
      <c r="H1679" s="8">
        <v>409</v>
      </c>
      <c r="I1679" s="8">
        <v>1057</v>
      </c>
    </row>
    <row r="1680" spans="1:9" x14ac:dyDescent="0.2">
      <c r="A1680" t="s">
        <v>422</v>
      </c>
      <c r="B1680" t="s">
        <v>433</v>
      </c>
      <c r="C1680" t="str">
        <f>"18641960000000"</f>
        <v>18641960000000</v>
      </c>
      <c r="D1680" t="s">
        <v>2349</v>
      </c>
      <c r="E1680" t="str">
        <f>"18641966010821"</f>
        <v>18641966010821</v>
      </c>
      <c r="F1680" s="8">
        <v>2473</v>
      </c>
      <c r="G1680" s="8">
        <v>7038</v>
      </c>
      <c r="H1680" s="8">
        <v>349</v>
      </c>
      <c r="I1680" s="8">
        <v>2171</v>
      </c>
    </row>
    <row r="1681" spans="1:9" x14ac:dyDescent="0.2">
      <c r="A1681" t="s">
        <v>422</v>
      </c>
      <c r="B1681" t="s">
        <v>433</v>
      </c>
      <c r="C1681" t="str">
        <f>"18641960000000"</f>
        <v>18641960000000</v>
      </c>
      <c r="D1681" t="s">
        <v>3535</v>
      </c>
      <c r="E1681" t="str">
        <f>"18641966109748"</f>
        <v>18641966109748</v>
      </c>
      <c r="F1681" s="8">
        <v>2030</v>
      </c>
      <c r="G1681" s="8">
        <v>6496</v>
      </c>
      <c r="H1681" s="8">
        <v>349</v>
      </c>
      <c r="I1681" s="8">
        <v>2171</v>
      </c>
    </row>
    <row r="1682" spans="1:9" x14ac:dyDescent="0.2">
      <c r="A1682" t="s">
        <v>422</v>
      </c>
      <c r="B1682" t="s">
        <v>433</v>
      </c>
      <c r="C1682" t="str">
        <f>"18641960000000"</f>
        <v>18641960000000</v>
      </c>
      <c r="D1682" t="s">
        <v>3536</v>
      </c>
      <c r="E1682" t="str">
        <f>"18641966010813"</f>
        <v>18641966010813</v>
      </c>
      <c r="F1682" s="8">
        <v>2113</v>
      </c>
      <c r="G1682" s="8">
        <v>5533</v>
      </c>
      <c r="H1682" s="8">
        <v>349</v>
      </c>
      <c r="I1682" s="8">
        <v>2171</v>
      </c>
    </row>
    <row r="1683" spans="1:9" x14ac:dyDescent="0.2">
      <c r="A1683" t="s">
        <v>422</v>
      </c>
      <c r="B1683" t="s">
        <v>435</v>
      </c>
      <c r="C1683" t="str">
        <f>"18642040000000"</f>
        <v>18642040000000</v>
      </c>
      <c r="D1683" t="s">
        <v>3537</v>
      </c>
      <c r="E1683" t="str">
        <f>"18642046010847"</f>
        <v>18642046010847</v>
      </c>
      <c r="F1683" s="8">
        <v>1075</v>
      </c>
      <c r="G1683" s="8">
        <v>9860</v>
      </c>
      <c r="H1683" s="8">
        <v>602</v>
      </c>
      <c r="I1683" s="8">
        <v>2551</v>
      </c>
    </row>
    <row r="1684" spans="1:9" x14ac:dyDescent="0.2">
      <c r="A1684" t="s">
        <v>422</v>
      </c>
      <c r="B1684" t="s">
        <v>435</v>
      </c>
      <c r="C1684" t="str">
        <f>"18642040000000"</f>
        <v>18642040000000</v>
      </c>
      <c r="D1684" t="s">
        <v>3538</v>
      </c>
      <c r="E1684" t="str">
        <f>"18642041838507"</f>
        <v>18642041838507</v>
      </c>
      <c r="F1684" s="8">
        <v>872</v>
      </c>
      <c r="G1684" s="8">
        <v>6694</v>
      </c>
      <c r="H1684" s="8">
        <v>601</v>
      </c>
      <c r="I1684" s="8">
        <v>2548</v>
      </c>
    </row>
    <row r="1685" spans="1:9" x14ac:dyDescent="0.2">
      <c r="A1685" t="s">
        <v>436</v>
      </c>
      <c r="B1685" t="s">
        <v>437</v>
      </c>
      <c r="C1685" t="str">
        <f t="shared" ref="C1685:C1714" si="91">"19642120000000"</f>
        <v>19642120000000</v>
      </c>
      <c r="D1685" t="s">
        <v>3539</v>
      </c>
      <c r="E1685" t="str">
        <f>"19642121931641"</f>
        <v>19642121931641</v>
      </c>
      <c r="F1685" s="8">
        <v>1523</v>
      </c>
      <c r="G1685" s="8">
        <v>16557</v>
      </c>
      <c r="H1685" s="8">
        <v>29</v>
      </c>
      <c r="I1685" s="8">
        <v>5444</v>
      </c>
    </row>
    <row r="1686" spans="1:9" x14ac:dyDescent="0.2">
      <c r="A1686" t="s">
        <v>436</v>
      </c>
      <c r="B1686" t="s">
        <v>437</v>
      </c>
      <c r="C1686" t="str">
        <f t="shared" si="91"/>
        <v>19642120000000</v>
      </c>
      <c r="D1686" t="s">
        <v>3540</v>
      </c>
      <c r="E1686" t="str">
        <f>"19642126061238"</f>
        <v>19642126061238</v>
      </c>
      <c r="F1686" s="8">
        <v>412</v>
      </c>
      <c r="G1686" s="8">
        <v>12304</v>
      </c>
      <c r="H1686" s="8">
        <v>14</v>
      </c>
      <c r="I1686" s="8">
        <v>5163</v>
      </c>
    </row>
    <row r="1687" spans="1:9" x14ac:dyDescent="0.2">
      <c r="A1687" t="s">
        <v>436</v>
      </c>
      <c r="B1687" t="s">
        <v>437</v>
      </c>
      <c r="C1687" t="str">
        <f t="shared" si="91"/>
        <v>19642120000000</v>
      </c>
      <c r="D1687" t="s">
        <v>3541</v>
      </c>
      <c r="E1687" t="str">
        <f>"19642126010979"</f>
        <v>19642126010979</v>
      </c>
      <c r="F1687" s="8">
        <v>331</v>
      </c>
      <c r="G1687" s="8">
        <v>10757</v>
      </c>
      <c r="H1687" s="8">
        <v>15</v>
      </c>
      <c r="I1687" s="8">
        <v>5003</v>
      </c>
    </row>
    <row r="1688" spans="1:9" x14ac:dyDescent="0.2">
      <c r="A1688" t="s">
        <v>436</v>
      </c>
      <c r="B1688" t="s">
        <v>437</v>
      </c>
      <c r="C1688" t="str">
        <f t="shared" si="91"/>
        <v>19642120000000</v>
      </c>
      <c r="D1688" t="s">
        <v>3542</v>
      </c>
      <c r="E1688" t="str">
        <f>"19642126010920"</f>
        <v>19642126010920</v>
      </c>
      <c r="F1688" s="8">
        <v>71</v>
      </c>
      <c r="G1688" s="8">
        <v>10085</v>
      </c>
      <c r="H1688" s="8">
        <v>17</v>
      </c>
      <c r="I1688" s="8">
        <v>5134</v>
      </c>
    </row>
    <row r="1689" spans="1:9" x14ac:dyDescent="0.2">
      <c r="A1689" t="s">
        <v>436</v>
      </c>
      <c r="B1689" t="s">
        <v>437</v>
      </c>
      <c r="C1689" t="str">
        <f t="shared" si="91"/>
        <v>19642120000000</v>
      </c>
      <c r="D1689" t="s">
        <v>3543</v>
      </c>
      <c r="E1689" t="str">
        <f>"19642121930361"</f>
        <v>19642121930361</v>
      </c>
      <c r="F1689" s="8">
        <v>68</v>
      </c>
      <c r="G1689" s="8">
        <v>10325</v>
      </c>
      <c r="H1689" s="8">
        <v>3</v>
      </c>
      <c r="I1689" s="8">
        <v>4868</v>
      </c>
    </row>
    <row r="1690" spans="1:9" x14ac:dyDescent="0.2">
      <c r="A1690" t="s">
        <v>436</v>
      </c>
      <c r="B1690" t="s">
        <v>437</v>
      </c>
      <c r="C1690" t="str">
        <f t="shared" si="91"/>
        <v>19642120000000</v>
      </c>
      <c r="D1690" t="s">
        <v>3544</v>
      </c>
      <c r="E1690" t="str">
        <f>"19642126010912"</f>
        <v>19642126010912</v>
      </c>
      <c r="F1690" s="8">
        <v>422</v>
      </c>
      <c r="G1690" s="8">
        <v>9634</v>
      </c>
      <c r="H1690" s="8">
        <v>12</v>
      </c>
      <c r="I1690" s="8">
        <v>5006</v>
      </c>
    </row>
    <row r="1691" spans="1:9" x14ac:dyDescent="0.2">
      <c r="A1691" t="s">
        <v>436</v>
      </c>
      <c r="B1691" t="s">
        <v>437</v>
      </c>
      <c r="C1691" t="str">
        <f t="shared" si="91"/>
        <v>19642120000000</v>
      </c>
      <c r="D1691" t="s">
        <v>3545</v>
      </c>
      <c r="E1691" t="str">
        <f>"19642126010953"</f>
        <v>19642126010953</v>
      </c>
      <c r="F1691" s="8">
        <v>161</v>
      </c>
      <c r="G1691" s="8">
        <v>10233</v>
      </c>
      <c r="H1691" s="8">
        <v>10</v>
      </c>
      <c r="I1691" s="8">
        <v>4621</v>
      </c>
    </row>
    <row r="1692" spans="1:9" x14ac:dyDescent="0.2">
      <c r="A1692" t="s">
        <v>436</v>
      </c>
      <c r="B1692" t="s">
        <v>437</v>
      </c>
      <c r="C1692" t="str">
        <f t="shared" si="91"/>
        <v>19642120000000</v>
      </c>
      <c r="D1692" t="s">
        <v>3546</v>
      </c>
      <c r="E1692" t="str">
        <f>"19642126057442"</f>
        <v>19642126057442</v>
      </c>
      <c r="F1692" s="8">
        <v>151</v>
      </c>
      <c r="G1692" s="8">
        <v>10054</v>
      </c>
      <c r="H1692" s="8">
        <v>8</v>
      </c>
      <c r="I1692" s="8">
        <v>4743</v>
      </c>
    </row>
    <row r="1693" spans="1:9" x14ac:dyDescent="0.2">
      <c r="A1693" t="s">
        <v>436</v>
      </c>
      <c r="B1693" t="s">
        <v>437</v>
      </c>
      <c r="C1693" t="str">
        <f t="shared" si="91"/>
        <v>19642120000000</v>
      </c>
      <c r="D1693" t="s">
        <v>3547</v>
      </c>
      <c r="E1693" t="str">
        <f>"19642126010862"</f>
        <v>19642126010862</v>
      </c>
      <c r="F1693" s="8">
        <v>322</v>
      </c>
      <c r="G1693" s="8">
        <v>9686</v>
      </c>
      <c r="H1693" s="8">
        <v>16</v>
      </c>
      <c r="I1693" s="8">
        <v>4916</v>
      </c>
    </row>
    <row r="1694" spans="1:9" x14ac:dyDescent="0.2">
      <c r="A1694" t="s">
        <v>436</v>
      </c>
      <c r="B1694" t="s">
        <v>437</v>
      </c>
      <c r="C1694" t="str">
        <f t="shared" si="91"/>
        <v>19642120000000</v>
      </c>
      <c r="D1694" t="s">
        <v>3548</v>
      </c>
      <c r="E1694" t="str">
        <f>"19642121933159"</f>
        <v>19642121933159</v>
      </c>
      <c r="F1694" s="8">
        <v>26</v>
      </c>
      <c r="G1694" s="8">
        <v>10215</v>
      </c>
      <c r="H1694" s="8">
        <v>2</v>
      </c>
      <c r="I1694" s="8">
        <v>4680</v>
      </c>
    </row>
    <row r="1695" spans="1:9" x14ac:dyDescent="0.2">
      <c r="A1695" t="s">
        <v>436</v>
      </c>
      <c r="B1695" t="s">
        <v>437</v>
      </c>
      <c r="C1695" t="str">
        <f t="shared" si="91"/>
        <v>19642120000000</v>
      </c>
      <c r="D1695" t="s">
        <v>3549</v>
      </c>
      <c r="E1695" t="str">
        <f>"19642126010946"</f>
        <v>19642126010946</v>
      </c>
      <c r="F1695" s="8">
        <v>235</v>
      </c>
      <c r="G1695" s="8">
        <v>10028</v>
      </c>
      <c r="H1695" s="8">
        <v>7</v>
      </c>
      <c r="I1695" s="8">
        <v>4602</v>
      </c>
    </row>
    <row r="1696" spans="1:9" x14ac:dyDescent="0.2">
      <c r="A1696" t="s">
        <v>436</v>
      </c>
      <c r="B1696" t="s">
        <v>437</v>
      </c>
      <c r="C1696" t="str">
        <f t="shared" si="91"/>
        <v>19642120000000</v>
      </c>
      <c r="D1696" t="s">
        <v>3550</v>
      </c>
      <c r="E1696" t="str">
        <f>"19642121995596"</f>
        <v>19642121995596</v>
      </c>
      <c r="F1696" s="8">
        <v>899</v>
      </c>
      <c r="G1696" s="8">
        <v>8479</v>
      </c>
      <c r="H1696" s="8">
        <v>98</v>
      </c>
      <c r="I1696" s="8">
        <v>5089</v>
      </c>
    </row>
    <row r="1697" spans="1:9" x14ac:dyDescent="0.2">
      <c r="A1697" t="s">
        <v>436</v>
      </c>
      <c r="B1697" t="s">
        <v>437</v>
      </c>
      <c r="C1697" t="str">
        <f t="shared" si="91"/>
        <v>19642120000000</v>
      </c>
      <c r="D1697" t="s">
        <v>3551</v>
      </c>
      <c r="E1697" t="str">
        <f>"19642126057459"</f>
        <v>19642126057459</v>
      </c>
      <c r="F1697" s="8">
        <v>3</v>
      </c>
      <c r="G1697" s="8">
        <v>9665</v>
      </c>
      <c r="H1697" s="8">
        <v>7</v>
      </c>
      <c r="I1697" s="8">
        <v>4735</v>
      </c>
    </row>
    <row r="1698" spans="1:9" x14ac:dyDescent="0.2">
      <c r="A1698" t="s">
        <v>436</v>
      </c>
      <c r="B1698" t="s">
        <v>437</v>
      </c>
      <c r="C1698" t="str">
        <f t="shared" si="91"/>
        <v>19642120000000</v>
      </c>
      <c r="D1698" t="s">
        <v>3552</v>
      </c>
      <c r="E1698" t="str">
        <f>"19642126010987"</f>
        <v>19642126010987</v>
      </c>
      <c r="F1698" s="8">
        <v>79</v>
      </c>
      <c r="G1698" s="8">
        <v>9729</v>
      </c>
      <c r="H1698" s="8">
        <v>9</v>
      </c>
      <c r="I1698" s="8">
        <v>4584</v>
      </c>
    </row>
    <row r="1699" spans="1:9" x14ac:dyDescent="0.2">
      <c r="A1699" t="s">
        <v>436</v>
      </c>
      <c r="B1699" t="s">
        <v>437</v>
      </c>
      <c r="C1699" t="str">
        <f t="shared" si="91"/>
        <v>19642120000000</v>
      </c>
      <c r="D1699" t="s">
        <v>3553</v>
      </c>
      <c r="E1699" t="str">
        <f>"19642126010938"</f>
        <v>19642126010938</v>
      </c>
      <c r="F1699" s="8">
        <v>98</v>
      </c>
      <c r="G1699" s="8">
        <v>9442</v>
      </c>
      <c r="H1699" s="8">
        <v>11</v>
      </c>
      <c r="I1699" s="8">
        <v>4742</v>
      </c>
    </row>
    <row r="1700" spans="1:9" x14ac:dyDescent="0.2">
      <c r="A1700" t="s">
        <v>436</v>
      </c>
      <c r="B1700" t="s">
        <v>437</v>
      </c>
      <c r="C1700" t="str">
        <f t="shared" si="91"/>
        <v>19642120000000</v>
      </c>
      <c r="D1700" t="s">
        <v>3554</v>
      </c>
      <c r="E1700" t="str">
        <f>"19642121930056"</f>
        <v>19642121930056</v>
      </c>
      <c r="F1700" s="8">
        <v>0</v>
      </c>
      <c r="G1700" s="8">
        <v>9620</v>
      </c>
      <c r="H1700" s="8">
        <v>2</v>
      </c>
      <c r="I1700" s="8">
        <v>4602</v>
      </c>
    </row>
    <row r="1701" spans="1:9" x14ac:dyDescent="0.2">
      <c r="A1701" t="s">
        <v>436</v>
      </c>
      <c r="B1701" t="s">
        <v>437</v>
      </c>
      <c r="C1701" t="str">
        <f t="shared" si="91"/>
        <v>19642120000000</v>
      </c>
      <c r="D1701" t="s">
        <v>3555</v>
      </c>
      <c r="E1701" t="str">
        <f>"19642126071351"</f>
        <v>19642126071351</v>
      </c>
      <c r="F1701" s="8">
        <v>418</v>
      </c>
      <c r="G1701" s="8">
        <v>8848</v>
      </c>
      <c r="H1701" s="8">
        <v>15</v>
      </c>
      <c r="I1701" s="8">
        <v>4890</v>
      </c>
    </row>
    <row r="1702" spans="1:9" x14ac:dyDescent="0.2">
      <c r="A1702" t="s">
        <v>436</v>
      </c>
      <c r="B1702" t="s">
        <v>437</v>
      </c>
      <c r="C1702" t="str">
        <f t="shared" si="91"/>
        <v>19642120000000</v>
      </c>
      <c r="D1702" t="s">
        <v>3556</v>
      </c>
      <c r="E1702" t="str">
        <f>"19642126061220"</f>
        <v>19642126061220</v>
      </c>
      <c r="F1702" s="8">
        <v>19</v>
      </c>
      <c r="G1702" s="8">
        <v>9288</v>
      </c>
      <c r="H1702" s="8">
        <v>10</v>
      </c>
      <c r="I1702" s="8">
        <v>4830</v>
      </c>
    </row>
    <row r="1703" spans="1:9" x14ac:dyDescent="0.2">
      <c r="A1703" t="s">
        <v>436</v>
      </c>
      <c r="B1703" t="s">
        <v>437</v>
      </c>
      <c r="C1703" t="str">
        <f t="shared" si="91"/>
        <v>19642120000000</v>
      </c>
      <c r="D1703" t="s">
        <v>3557</v>
      </c>
      <c r="E1703" t="str">
        <f>"19642126066708"</f>
        <v>19642126066708</v>
      </c>
      <c r="F1703" s="8">
        <v>2</v>
      </c>
      <c r="G1703" s="8">
        <v>9263</v>
      </c>
      <c r="H1703" s="8">
        <v>7</v>
      </c>
      <c r="I1703" s="8">
        <v>4700</v>
      </c>
    </row>
    <row r="1704" spans="1:9" x14ac:dyDescent="0.2">
      <c r="A1704" t="s">
        <v>436</v>
      </c>
      <c r="B1704" t="s">
        <v>437</v>
      </c>
      <c r="C1704" t="str">
        <f t="shared" si="91"/>
        <v>19642120000000</v>
      </c>
      <c r="D1704" t="s">
        <v>3558</v>
      </c>
      <c r="E1704" t="str">
        <f>"19642126010961"</f>
        <v>19642126010961</v>
      </c>
      <c r="F1704" s="8">
        <v>141</v>
      </c>
      <c r="G1704" s="8">
        <v>9168</v>
      </c>
      <c r="H1704" s="8">
        <v>8</v>
      </c>
      <c r="I1704" s="8">
        <v>4593</v>
      </c>
    </row>
    <row r="1705" spans="1:9" x14ac:dyDescent="0.2">
      <c r="A1705" t="s">
        <v>436</v>
      </c>
      <c r="B1705" t="s">
        <v>437</v>
      </c>
      <c r="C1705" t="str">
        <f t="shared" si="91"/>
        <v>19642120000000</v>
      </c>
      <c r="D1705" t="s">
        <v>3559</v>
      </c>
      <c r="E1705" t="str">
        <f>"19642126093454"</f>
        <v>19642126093454</v>
      </c>
      <c r="F1705" s="8">
        <v>0</v>
      </c>
      <c r="G1705" s="8">
        <v>9322</v>
      </c>
      <c r="H1705" s="8">
        <v>6</v>
      </c>
      <c r="I1705" s="8">
        <v>4483</v>
      </c>
    </row>
    <row r="1706" spans="1:9" x14ac:dyDescent="0.2">
      <c r="A1706" t="s">
        <v>436</v>
      </c>
      <c r="B1706" t="s">
        <v>437</v>
      </c>
      <c r="C1706" t="str">
        <f t="shared" si="91"/>
        <v>19642120000000</v>
      </c>
      <c r="D1706" t="s">
        <v>3560</v>
      </c>
      <c r="E1706" t="str">
        <f>"19642126010995"</f>
        <v>19642126010995</v>
      </c>
      <c r="F1706" s="8">
        <v>310</v>
      </c>
      <c r="G1706" s="8">
        <v>8429</v>
      </c>
      <c r="H1706" s="8">
        <v>12</v>
      </c>
      <c r="I1706" s="8">
        <v>5031</v>
      </c>
    </row>
    <row r="1707" spans="1:9" x14ac:dyDescent="0.2">
      <c r="A1707" t="s">
        <v>436</v>
      </c>
      <c r="B1707" t="s">
        <v>437</v>
      </c>
      <c r="C1707" t="str">
        <f t="shared" si="91"/>
        <v>19642120000000</v>
      </c>
      <c r="D1707" t="s">
        <v>3561</v>
      </c>
      <c r="E1707" t="str">
        <f>"19642126085617"</f>
        <v>19642126085617</v>
      </c>
      <c r="F1707" s="8">
        <v>0</v>
      </c>
      <c r="G1707" s="8">
        <v>9128</v>
      </c>
      <c r="H1707" s="8">
        <v>8</v>
      </c>
      <c r="I1707" s="8">
        <v>4554</v>
      </c>
    </row>
    <row r="1708" spans="1:9" x14ac:dyDescent="0.2">
      <c r="A1708" t="s">
        <v>436</v>
      </c>
      <c r="B1708" t="s">
        <v>437</v>
      </c>
      <c r="C1708" t="str">
        <f t="shared" si="91"/>
        <v>19642120000000</v>
      </c>
      <c r="D1708" t="s">
        <v>3562</v>
      </c>
      <c r="E1708" t="str">
        <f>"19642121931880"</f>
        <v>19642121931880</v>
      </c>
      <c r="F1708" s="8">
        <v>0</v>
      </c>
      <c r="G1708" s="8">
        <v>10402</v>
      </c>
      <c r="H1708" s="8">
        <v>3</v>
      </c>
      <c r="I1708" s="8">
        <v>3112</v>
      </c>
    </row>
    <row r="1709" spans="1:9" x14ac:dyDescent="0.2">
      <c r="A1709" t="s">
        <v>436</v>
      </c>
      <c r="B1709" t="s">
        <v>437</v>
      </c>
      <c r="C1709" t="str">
        <f t="shared" si="91"/>
        <v>19642120000000</v>
      </c>
      <c r="D1709" t="s">
        <v>3563</v>
      </c>
      <c r="E1709" t="str">
        <f>"19642126071369"</f>
        <v>19642126071369</v>
      </c>
      <c r="F1709" s="8">
        <v>54</v>
      </c>
      <c r="G1709" s="8">
        <v>8892</v>
      </c>
      <c r="H1709" s="8">
        <v>7</v>
      </c>
      <c r="I1709" s="8">
        <v>4546</v>
      </c>
    </row>
    <row r="1710" spans="1:9" x14ac:dyDescent="0.2">
      <c r="A1710" t="s">
        <v>436</v>
      </c>
      <c r="B1710" t="s">
        <v>437</v>
      </c>
      <c r="C1710" t="str">
        <f t="shared" si="91"/>
        <v>19642120000000</v>
      </c>
      <c r="D1710" t="s">
        <v>3564</v>
      </c>
      <c r="E1710" t="str">
        <f>"19642126093447"</f>
        <v>19642126093447</v>
      </c>
      <c r="F1710" s="8">
        <v>0</v>
      </c>
      <c r="G1710" s="8">
        <v>8844</v>
      </c>
      <c r="H1710" s="8">
        <v>8</v>
      </c>
      <c r="I1710" s="8">
        <v>4561</v>
      </c>
    </row>
    <row r="1711" spans="1:9" x14ac:dyDescent="0.2">
      <c r="A1711" t="s">
        <v>436</v>
      </c>
      <c r="B1711" t="s">
        <v>437</v>
      </c>
      <c r="C1711" t="str">
        <f t="shared" si="91"/>
        <v>19642120000000</v>
      </c>
      <c r="D1711" t="s">
        <v>3565</v>
      </c>
      <c r="E1711" t="str">
        <f>"19642126068274"</f>
        <v>19642126068274</v>
      </c>
      <c r="F1711" s="8">
        <v>0</v>
      </c>
      <c r="G1711" s="8">
        <v>8759</v>
      </c>
      <c r="H1711" s="8">
        <v>7</v>
      </c>
      <c r="I1711" s="8">
        <v>4515</v>
      </c>
    </row>
    <row r="1712" spans="1:9" x14ac:dyDescent="0.2">
      <c r="A1712" t="s">
        <v>436</v>
      </c>
      <c r="B1712" t="s">
        <v>437</v>
      </c>
      <c r="C1712" t="str">
        <f t="shared" si="91"/>
        <v>19642120000000</v>
      </c>
      <c r="D1712" t="s">
        <v>3566</v>
      </c>
      <c r="E1712" t="str">
        <f>"19642126066716"</f>
        <v>19642126066716</v>
      </c>
      <c r="F1712" s="8">
        <v>0</v>
      </c>
      <c r="G1712" s="8">
        <v>8423</v>
      </c>
      <c r="H1712" s="8">
        <v>8</v>
      </c>
      <c r="I1712" s="8">
        <v>4602</v>
      </c>
    </row>
    <row r="1713" spans="1:9" x14ac:dyDescent="0.2">
      <c r="A1713" t="s">
        <v>436</v>
      </c>
      <c r="B1713" t="s">
        <v>437</v>
      </c>
      <c r="C1713" t="str">
        <f t="shared" si="91"/>
        <v>19642120000000</v>
      </c>
      <c r="D1713" t="s">
        <v>3567</v>
      </c>
      <c r="E1713" t="str">
        <f>"19642126085609"</f>
        <v>19642126085609</v>
      </c>
      <c r="F1713" s="8">
        <v>0</v>
      </c>
      <c r="G1713" s="8">
        <v>8428</v>
      </c>
      <c r="H1713" s="8">
        <v>6</v>
      </c>
      <c r="I1713" s="8">
        <v>4512</v>
      </c>
    </row>
    <row r="1714" spans="1:9" x14ac:dyDescent="0.2">
      <c r="A1714" t="s">
        <v>436</v>
      </c>
      <c r="B1714" t="s">
        <v>437</v>
      </c>
      <c r="C1714" t="str">
        <f t="shared" si="91"/>
        <v>19642120000000</v>
      </c>
      <c r="D1714" t="s">
        <v>3568</v>
      </c>
      <c r="E1714" t="str">
        <f>"19642126010904"</f>
        <v>19642126010904</v>
      </c>
      <c r="F1714" s="8">
        <v>3</v>
      </c>
      <c r="G1714" s="8">
        <v>7889</v>
      </c>
      <c r="H1714" s="8">
        <v>8</v>
      </c>
      <c r="I1714" s="8">
        <v>4568</v>
      </c>
    </row>
    <row r="1715" spans="1:9" x14ac:dyDescent="0.2">
      <c r="A1715" t="s">
        <v>436</v>
      </c>
      <c r="B1715" t="s">
        <v>443</v>
      </c>
      <c r="C1715" t="str">
        <f>"19753090000000"</f>
        <v>19753090000000</v>
      </c>
      <c r="D1715" t="s">
        <v>3569</v>
      </c>
      <c r="E1715" t="str">
        <f>"19753091995786"</f>
        <v>19753091995786</v>
      </c>
      <c r="F1715" s="8">
        <v>0</v>
      </c>
      <c r="G1715" s="8">
        <v>6557</v>
      </c>
      <c r="H1715" s="8">
        <v>1351</v>
      </c>
      <c r="I1715" s="8">
        <v>9948</v>
      </c>
    </row>
    <row r="1716" spans="1:9" x14ac:dyDescent="0.2">
      <c r="A1716" t="s">
        <v>436</v>
      </c>
      <c r="B1716" t="s">
        <v>443</v>
      </c>
      <c r="C1716" t="str">
        <f>"19753090000000"</f>
        <v>19753090000000</v>
      </c>
      <c r="D1716" t="s">
        <v>3570</v>
      </c>
      <c r="E1716" t="str">
        <f>"19753096115679"</f>
        <v>19753096115679</v>
      </c>
      <c r="F1716" s="8">
        <v>98</v>
      </c>
      <c r="G1716" s="8">
        <v>6044</v>
      </c>
      <c r="H1716" s="8">
        <v>1351</v>
      </c>
      <c r="I1716" s="8">
        <v>9948</v>
      </c>
    </row>
    <row r="1717" spans="1:9" x14ac:dyDescent="0.2">
      <c r="A1717" t="s">
        <v>436</v>
      </c>
      <c r="B1717" t="s">
        <v>443</v>
      </c>
      <c r="C1717" t="str">
        <f>"19753090000000"</f>
        <v>19753090000000</v>
      </c>
      <c r="D1717" t="s">
        <v>3571</v>
      </c>
      <c r="E1717" t="str">
        <f>"19753096107494"</f>
        <v>19753096107494</v>
      </c>
      <c r="F1717" s="8">
        <v>26</v>
      </c>
      <c r="G1717" s="8">
        <v>6032</v>
      </c>
      <c r="H1717" s="8">
        <v>1351</v>
      </c>
      <c r="I1717" s="8">
        <v>9948</v>
      </c>
    </row>
    <row r="1718" spans="1:9" x14ac:dyDescent="0.2">
      <c r="A1718" t="s">
        <v>436</v>
      </c>
      <c r="B1718" t="s">
        <v>445</v>
      </c>
      <c r="C1718" t="str">
        <f t="shared" ref="C1718:C1735" si="92">"19757130000000"</f>
        <v>19757130000000</v>
      </c>
      <c r="D1718" t="s">
        <v>3572</v>
      </c>
      <c r="E1718" t="str">
        <f>"19757136011043"</f>
        <v>19757136011043</v>
      </c>
      <c r="F1718" s="8">
        <v>1233</v>
      </c>
      <c r="G1718" s="8">
        <v>17073</v>
      </c>
      <c r="H1718" s="8">
        <v>764</v>
      </c>
      <c r="I1718" s="8">
        <v>1515</v>
      </c>
    </row>
    <row r="1719" spans="1:9" x14ac:dyDescent="0.2">
      <c r="A1719" t="s">
        <v>436</v>
      </c>
      <c r="B1719" t="s">
        <v>445</v>
      </c>
      <c r="C1719" t="str">
        <f t="shared" si="92"/>
        <v>19757130000000</v>
      </c>
      <c r="D1719" t="s">
        <v>3573</v>
      </c>
      <c r="E1719" t="str">
        <f>"19757131930163"</f>
        <v>19757131930163</v>
      </c>
      <c r="F1719" s="8">
        <v>416</v>
      </c>
      <c r="G1719" s="8">
        <v>8606</v>
      </c>
      <c r="H1719" s="8">
        <v>772</v>
      </c>
      <c r="I1719" s="8">
        <v>8436</v>
      </c>
    </row>
    <row r="1720" spans="1:9" x14ac:dyDescent="0.2">
      <c r="A1720" t="s">
        <v>436</v>
      </c>
      <c r="B1720" t="s">
        <v>445</v>
      </c>
      <c r="C1720" t="str">
        <f t="shared" si="92"/>
        <v>19757130000000</v>
      </c>
      <c r="D1720" t="s">
        <v>3574</v>
      </c>
      <c r="E1720" t="str">
        <f>"19757131934553"</f>
        <v>19757131934553</v>
      </c>
      <c r="F1720" s="8">
        <v>354</v>
      </c>
      <c r="G1720" s="8">
        <v>8398</v>
      </c>
      <c r="H1720" s="8">
        <v>772</v>
      </c>
      <c r="I1720" s="8">
        <v>8198</v>
      </c>
    </row>
    <row r="1721" spans="1:9" x14ac:dyDescent="0.2">
      <c r="A1721" t="s">
        <v>436</v>
      </c>
      <c r="B1721" t="s">
        <v>445</v>
      </c>
      <c r="C1721" t="str">
        <f t="shared" si="92"/>
        <v>19757130000000</v>
      </c>
      <c r="D1721" t="s">
        <v>3575</v>
      </c>
      <c r="E1721" t="str">
        <f>"19757131937697"</f>
        <v>19757131937697</v>
      </c>
      <c r="F1721" s="8">
        <v>367</v>
      </c>
      <c r="G1721" s="8">
        <v>8854</v>
      </c>
      <c r="H1721" s="8">
        <v>772</v>
      </c>
      <c r="I1721" s="8">
        <v>7127</v>
      </c>
    </row>
    <row r="1722" spans="1:9" x14ac:dyDescent="0.2">
      <c r="A1722" t="s">
        <v>436</v>
      </c>
      <c r="B1722" t="s">
        <v>445</v>
      </c>
      <c r="C1722" t="str">
        <f t="shared" si="92"/>
        <v>19757130000000</v>
      </c>
      <c r="D1722" t="s">
        <v>280</v>
      </c>
      <c r="E1722" t="str">
        <f>"19757136011035"</f>
        <v>19757136011035</v>
      </c>
      <c r="F1722" s="8">
        <v>465</v>
      </c>
      <c r="G1722" s="8">
        <v>11515</v>
      </c>
      <c r="H1722" s="8">
        <v>764</v>
      </c>
      <c r="I1722" s="8">
        <v>2303</v>
      </c>
    </row>
    <row r="1723" spans="1:9" x14ac:dyDescent="0.2">
      <c r="A1723" t="s">
        <v>436</v>
      </c>
      <c r="B1723" t="s">
        <v>445</v>
      </c>
      <c r="C1723" t="str">
        <f t="shared" si="92"/>
        <v>19757130000000</v>
      </c>
      <c r="D1723" t="s">
        <v>3576</v>
      </c>
      <c r="E1723" t="str">
        <f>"19757136011019"</f>
        <v>19757136011019</v>
      </c>
      <c r="F1723" s="8">
        <v>805</v>
      </c>
      <c r="G1723" s="8">
        <v>11238</v>
      </c>
      <c r="H1723" s="8">
        <v>764</v>
      </c>
      <c r="I1723" s="8">
        <v>1763</v>
      </c>
    </row>
    <row r="1724" spans="1:9" x14ac:dyDescent="0.2">
      <c r="A1724" t="s">
        <v>436</v>
      </c>
      <c r="B1724" t="s">
        <v>445</v>
      </c>
      <c r="C1724" t="str">
        <f t="shared" si="92"/>
        <v>19757130000000</v>
      </c>
      <c r="D1724" t="s">
        <v>3577</v>
      </c>
      <c r="E1724" t="str">
        <f>"19757136011118"</f>
        <v>19757136011118</v>
      </c>
      <c r="F1724" s="8">
        <v>626</v>
      </c>
      <c r="G1724" s="8">
        <v>11391</v>
      </c>
      <c r="H1724" s="8">
        <v>764</v>
      </c>
      <c r="I1724" s="8">
        <v>1732</v>
      </c>
    </row>
    <row r="1725" spans="1:9" x14ac:dyDescent="0.2">
      <c r="A1725" t="s">
        <v>436</v>
      </c>
      <c r="B1725" t="s">
        <v>445</v>
      </c>
      <c r="C1725" t="str">
        <f t="shared" si="92"/>
        <v>19757130000000</v>
      </c>
      <c r="D1725" t="s">
        <v>3578</v>
      </c>
      <c r="E1725" t="str">
        <f>"19757136011126"</f>
        <v>19757136011126</v>
      </c>
      <c r="F1725" s="8">
        <v>465</v>
      </c>
      <c r="G1725" s="8">
        <v>9283</v>
      </c>
      <c r="H1725" s="8">
        <v>764</v>
      </c>
      <c r="I1725" s="8">
        <v>3106</v>
      </c>
    </row>
    <row r="1726" spans="1:9" x14ac:dyDescent="0.2">
      <c r="A1726" t="s">
        <v>436</v>
      </c>
      <c r="B1726" t="s">
        <v>445</v>
      </c>
      <c r="C1726" t="str">
        <f t="shared" si="92"/>
        <v>19757130000000</v>
      </c>
      <c r="D1726" t="s">
        <v>3579</v>
      </c>
      <c r="E1726" t="str">
        <f>"19757136011068"</f>
        <v>19757136011068</v>
      </c>
      <c r="F1726" s="8">
        <v>372</v>
      </c>
      <c r="G1726" s="8">
        <v>8075</v>
      </c>
      <c r="H1726" s="8">
        <v>764</v>
      </c>
      <c r="I1726" s="8">
        <v>3952</v>
      </c>
    </row>
    <row r="1727" spans="1:9" x14ac:dyDescent="0.2">
      <c r="A1727" t="s">
        <v>436</v>
      </c>
      <c r="B1727" t="s">
        <v>445</v>
      </c>
      <c r="C1727" t="str">
        <f t="shared" si="92"/>
        <v>19757130000000</v>
      </c>
      <c r="D1727" t="s">
        <v>3580</v>
      </c>
      <c r="E1727" t="str">
        <f>"19757136011092"</f>
        <v>19757136011092</v>
      </c>
      <c r="F1727" s="8">
        <v>818</v>
      </c>
      <c r="G1727" s="8">
        <v>8266</v>
      </c>
      <c r="H1727" s="8">
        <v>764</v>
      </c>
      <c r="I1727" s="8">
        <v>3072</v>
      </c>
    </row>
    <row r="1728" spans="1:9" x14ac:dyDescent="0.2">
      <c r="A1728" t="s">
        <v>436</v>
      </c>
      <c r="B1728" t="s">
        <v>445</v>
      </c>
      <c r="C1728" t="str">
        <f t="shared" si="92"/>
        <v>19757130000000</v>
      </c>
      <c r="D1728" t="s">
        <v>3581</v>
      </c>
      <c r="E1728" t="str">
        <f>"19757136011001"</f>
        <v>19757136011001</v>
      </c>
      <c r="F1728" s="8">
        <v>399</v>
      </c>
      <c r="G1728" s="8">
        <v>7909</v>
      </c>
      <c r="H1728" s="8">
        <v>764</v>
      </c>
      <c r="I1728" s="8">
        <v>3438</v>
      </c>
    </row>
    <row r="1729" spans="1:9" x14ac:dyDescent="0.2">
      <c r="A1729" t="s">
        <v>436</v>
      </c>
      <c r="B1729" t="s">
        <v>445</v>
      </c>
      <c r="C1729" t="str">
        <f t="shared" si="92"/>
        <v>19757130000000</v>
      </c>
      <c r="D1729" t="s">
        <v>3582</v>
      </c>
      <c r="E1729" t="str">
        <f>"19757136011076"</f>
        <v>19757136011076</v>
      </c>
      <c r="F1729" s="8">
        <v>432</v>
      </c>
      <c r="G1729" s="8">
        <v>7191</v>
      </c>
      <c r="H1729" s="8">
        <v>764</v>
      </c>
      <c r="I1729" s="8">
        <v>3941</v>
      </c>
    </row>
    <row r="1730" spans="1:9" x14ac:dyDescent="0.2">
      <c r="A1730" t="s">
        <v>436</v>
      </c>
      <c r="B1730" t="s">
        <v>445</v>
      </c>
      <c r="C1730" t="str">
        <f t="shared" si="92"/>
        <v>19757130000000</v>
      </c>
      <c r="D1730" t="s">
        <v>3583</v>
      </c>
      <c r="E1730" t="str">
        <f>"19757136011050"</f>
        <v>19757136011050</v>
      </c>
      <c r="F1730" s="8">
        <v>497</v>
      </c>
      <c r="G1730" s="8">
        <v>7468</v>
      </c>
      <c r="H1730" s="8">
        <v>764</v>
      </c>
      <c r="I1730" s="8">
        <v>3450</v>
      </c>
    </row>
    <row r="1731" spans="1:9" x14ac:dyDescent="0.2">
      <c r="A1731" t="s">
        <v>436</v>
      </c>
      <c r="B1731" t="s">
        <v>445</v>
      </c>
      <c r="C1731" t="str">
        <f t="shared" si="92"/>
        <v>19757130000000</v>
      </c>
      <c r="D1731" t="s">
        <v>2500</v>
      </c>
      <c r="E1731" t="str">
        <f>"19757136011027"</f>
        <v>19757136011027</v>
      </c>
      <c r="F1731" s="8">
        <v>609</v>
      </c>
      <c r="G1731" s="8">
        <v>8502</v>
      </c>
      <c r="H1731" s="8">
        <v>764</v>
      </c>
      <c r="I1731" s="8">
        <v>2248</v>
      </c>
    </row>
    <row r="1732" spans="1:9" x14ac:dyDescent="0.2">
      <c r="A1732" t="s">
        <v>436</v>
      </c>
      <c r="B1732" t="s">
        <v>445</v>
      </c>
      <c r="C1732" t="str">
        <f t="shared" si="92"/>
        <v>19757130000000</v>
      </c>
      <c r="D1732" t="s">
        <v>3584</v>
      </c>
      <c r="E1732" t="str">
        <f>"19757136011100"</f>
        <v>19757136011100</v>
      </c>
      <c r="F1732" s="8">
        <v>316</v>
      </c>
      <c r="G1732" s="8">
        <v>8012</v>
      </c>
      <c r="H1732" s="8">
        <v>764</v>
      </c>
      <c r="I1732" s="8">
        <v>3009</v>
      </c>
    </row>
    <row r="1733" spans="1:9" x14ac:dyDescent="0.2">
      <c r="A1733" t="s">
        <v>436</v>
      </c>
      <c r="B1733" t="s">
        <v>445</v>
      </c>
      <c r="C1733" t="str">
        <f t="shared" si="92"/>
        <v>19757130000000</v>
      </c>
      <c r="D1733" t="s">
        <v>2186</v>
      </c>
      <c r="E1733" t="str">
        <f>"19757136011084"</f>
        <v>19757136011084</v>
      </c>
      <c r="F1733" s="8">
        <v>579</v>
      </c>
      <c r="G1733" s="8">
        <v>7857</v>
      </c>
      <c r="H1733" s="8">
        <v>764</v>
      </c>
      <c r="I1733" s="8">
        <v>2865</v>
      </c>
    </row>
    <row r="1734" spans="1:9" x14ac:dyDescent="0.2">
      <c r="A1734" t="s">
        <v>436</v>
      </c>
      <c r="B1734" t="s">
        <v>445</v>
      </c>
      <c r="C1734" t="str">
        <f t="shared" si="92"/>
        <v>19757130000000</v>
      </c>
      <c r="D1734" t="s">
        <v>3585</v>
      </c>
      <c r="E1734" t="str">
        <f>"19757131995430"</f>
        <v>19757131995430</v>
      </c>
      <c r="F1734" s="8">
        <v>754</v>
      </c>
      <c r="G1734" s="8">
        <v>2853</v>
      </c>
      <c r="H1734" s="8">
        <v>761</v>
      </c>
      <c r="I1734" s="8">
        <v>342</v>
      </c>
    </row>
    <row r="1735" spans="1:9" x14ac:dyDescent="0.2">
      <c r="A1735" t="s">
        <v>436</v>
      </c>
      <c r="B1735" t="s">
        <v>445</v>
      </c>
      <c r="C1735" t="str">
        <f t="shared" si="92"/>
        <v>19757130000000</v>
      </c>
      <c r="D1735" t="s">
        <v>3586</v>
      </c>
      <c r="E1735" t="str">
        <f>"19757131930122"</f>
        <v>19757131930122</v>
      </c>
      <c r="F1735" s="8" t="s">
        <v>30</v>
      </c>
      <c r="G1735" s="8" t="s">
        <v>30</v>
      </c>
      <c r="H1735" s="8" t="s">
        <v>30</v>
      </c>
      <c r="I1735" s="8" t="s">
        <v>30</v>
      </c>
    </row>
    <row r="1736" spans="1:9" x14ac:dyDescent="0.2">
      <c r="A1736" t="s">
        <v>436</v>
      </c>
      <c r="B1736" t="s">
        <v>491</v>
      </c>
      <c r="C1736" t="str">
        <f t="shared" ref="C1736:C1748" si="93">"19642460000000"</f>
        <v>19642460000000</v>
      </c>
      <c r="D1736" t="s">
        <v>3587</v>
      </c>
      <c r="E1736" t="str">
        <f>"19642461995968"</f>
        <v>19642461995968</v>
      </c>
      <c r="F1736" s="8">
        <v>2607</v>
      </c>
      <c r="G1736" s="8">
        <v>31352</v>
      </c>
      <c r="H1736" s="8">
        <v>730</v>
      </c>
      <c r="I1736" s="8">
        <v>6807</v>
      </c>
    </row>
    <row r="1737" spans="1:9" x14ac:dyDescent="0.2">
      <c r="A1737" t="s">
        <v>436</v>
      </c>
      <c r="B1737" t="s">
        <v>491</v>
      </c>
      <c r="C1737" t="str">
        <f t="shared" si="93"/>
        <v>19642460000000</v>
      </c>
      <c r="D1737" t="s">
        <v>3588</v>
      </c>
      <c r="E1737" t="str">
        <f>"19642460126003"</f>
        <v>19642460126003</v>
      </c>
      <c r="F1737" s="8">
        <v>599</v>
      </c>
      <c r="G1737" s="8">
        <v>11224</v>
      </c>
      <c r="H1737" s="8">
        <v>730</v>
      </c>
      <c r="I1737" s="8">
        <v>6807</v>
      </c>
    </row>
    <row r="1738" spans="1:9" x14ac:dyDescent="0.2">
      <c r="A1738" t="s">
        <v>436</v>
      </c>
      <c r="B1738" t="s">
        <v>491</v>
      </c>
      <c r="C1738" t="str">
        <f t="shared" si="93"/>
        <v>19642460000000</v>
      </c>
      <c r="D1738" t="s">
        <v>3589</v>
      </c>
      <c r="E1738" t="str">
        <f>"19642461930213"</f>
        <v>19642461930213</v>
      </c>
      <c r="F1738" s="8">
        <v>1272</v>
      </c>
      <c r="G1738" s="8">
        <v>6761</v>
      </c>
      <c r="H1738" s="8">
        <v>730</v>
      </c>
      <c r="I1738" s="8">
        <v>6807</v>
      </c>
    </row>
    <row r="1739" spans="1:9" x14ac:dyDescent="0.2">
      <c r="A1739" t="s">
        <v>436</v>
      </c>
      <c r="B1739" t="s">
        <v>491</v>
      </c>
      <c r="C1739" t="str">
        <f t="shared" si="93"/>
        <v>19642460000000</v>
      </c>
      <c r="D1739" t="s">
        <v>3590</v>
      </c>
      <c r="E1739" t="str">
        <f>"19642461995406"</f>
        <v>19642461995406</v>
      </c>
      <c r="F1739" s="8">
        <v>658</v>
      </c>
      <c r="G1739" s="8">
        <v>5923</v>
      </c>
      <c r="H1739" s="8">
        <v>730</v>
      </c>
      <c r="I1739" s="8">
        <v>6807</v>
      </c>
    </row>
    <row r="1740" spans="1:9" x14ac:dyDescent="0.2">
      <c r="A1740" t="s">
        <v>436</v>
      </c>
      <c r="B1740" t="s">
        <v>491</v>
      </c>
      <c r="C1740" t="str">
        <f t="shared" si="93"/>
        <v>19642460000000</v>
      </c>
      <c r="D1740" t="s">
        <v>3591</v>
      </c>
      <c r="E1740" t="str">
        <f>"19642461936624"</f>
        <v>19642461936624</v>
      </c>
      <c r="F1740" s="8">
        <v>801</v>
      </c>
      <c r="G1740" s="8">
        <v>5078</v>
      </c>
      <c r="H1740" s="8">
        <v>730</v>
      </c>
      <c r="I1740" s="8">
        <v>6807</v>
      </c>
    </row>
    <row r="1741" spans="1:9" x14ac:dyDescent="0.2">
      <c r="A1741" t="s">
        <v>436</v>
      </c>
      <c r="B1741" t="s">
        <v>491</v>
      </c>
      <c r="C1741" t="str">
        <f t="shared" si="93"/>
        <v>19642460000000</v>
      </c>
      <c r="D1741" t="s">
        <v>3592</v>
      </c>
      <c r="E1741" t="str">
        <f>"19642461995844"</f>
        <v>19642461995844</v>
      </c>
      <c r="F1741" s="8">
        <v>1650</v>
      </c>
      <c r="G1741" s="8">
        <v>4129</v>
      </c>
      <c r="H1741" s="8">
        <v>730</v>
      </c>
      <c r="I1741" s="8">
        <v>6807</v>
      </c>
    </row>
    <row r="1742" spans="1:9" x14ac:dyDescent="0.2">
      <c r="A1742" t="s">
        <v>436</v>
      </c>
      <c r="B1742" t="s">
        <v>491</v>
      </c>
      <c r="C1742" t="str">
        <f t="shared" si="93"/>
        <v>19642460000000</v>
      </c>
      <c r="D1742" t="s">
        <v>3323</v>
      </c>
      <c r="E1742" t="str">
        <f>"19642461995398"</f>
        <v>19642461995398</v>
      </c>
      <c r="F1742" s="8">
        <v>700</v>
      </c>
      <c r="G1742" s="8">
        <v>5066</v>
      </c>
      <c r="H1742" s="8">
        <v>730</v>
      </c>
      <c r="I1742" s="8">
        <v>6807</v>
      </c>
    </row>
    <row r="1743" spans="1:9" x14ac:dyDescent="0.2">
      <c r="A1743" t="s">
        <v>436</v>
      </c>
      <c r="B1743" t="s">
        <v>491</v>
      </c>
      <c r="C1743" t="str">
        <f t="shared" si="93"/>
        <v>19642460000000</v>
      </c>
      <c r="D1743" t="s">
        <v>3593</v>
      </c>
      <c r="E1743" t="str">
        <f>"19642460108407"</f>
        <v>19642460108407</v>
      </c>
      <c r="F1743" s="8">
        <v>1492</v>
      </c>
      <c r="G1743" s="8">
        <v>4064</v>
      </c>
      <c r="H1743" s="8">
        <v>730</v>
      </c>
      <c r="I1743" s="8">
        <v>6807</v>
      </c>
    </row>
    <row r="1744" spans="1:9" x14ac:dyDescent="0.2">
      <c r="A1744" t="s">
        <v>436</v>
      </c>
      <c r="B1744" t="s">
        <v>491</v>
      </c>
      <c r="C1744" t="str">
        <f t="shared" si="93"/>
        <v>19642460000000</v>
      </c>
      <c r="D1744" t="s">
        <v>3594</v>
      </c>
      <c r="E1744" t="str">
        <f>"19642460100081"</f>
        <v>19642460100081</v>
      </c>
      <c r="F1744" s="8">
        <v>690</v>
      </c>
      <c r="G1744" s="8">
        <v>4135</v>
      </c>
      <c r="H1744" s="8">
        <v>730</v>
      </c>
      <c r="I1744" s="8">
        <v>6807</v>
      </c>
    </row>
    <row r="1745" spans="1:9" x14ac:dyDescent="0.2">
      <c r="A1745" t="s">
        <v>436</v>
      </c>
      <c r="B1745" t="s">
        <v>491</v>
      </c>
      <c r="C1745" t="str">
        <f t="shared" si="93"/>
        <v>19642460000000</v>
      </c>
      <c r="D1745" t="s">
        <v>3595</v>
      </c>
      <c r="E1745" t="str">
        <f>"19642461937051"</f>
        <v>19642461937051</v>
      </c>
      <c r="F1745" s="8">
        <v>706</v>
      </c>
      <c r="G1745" s="8">
        <v>3843</v>
      </c>
      <c r="H1745" s="8">
        <v>730</v>
      </c>
      <c r="I1745" s="8">
        <v>6807</v>
      </c>
    </row>
    <row r="1746" spans="1:9" x14ac:dyDescent="0.2">
      <c r="A1746" t="s">
        <v>436</v>
      </c>
      <c r="B1746" t="s">
        <v>491</v>
      </c>
      <c r="C1746" t="str">
        <f t="shared" si="93"/>
        <v>19642460000000</v>
      </c>
      <c r="D1746" t="s">
        <v>3596</v>
      </c>
      <c r="E1746" t="str">
        <f>"19642461996644"</f>
        <v>19642461996644</v>
      </c>
      <c r="F1746" s="8">
        <v>540</v>
      </c>
      <c r="G1746" s="8">
        <v>3101</v>
      </c>
      <c r="H1746" s="8">
        <v>730</v>
      </c>
      <c r="I1746" s="8">
        <v>6807</v>
      </c>
    </row>
    <row r="1747" spans="1:9" x14ac:dyDescent="0.2">
      <c r="A1747" t="s">
        <v>436</v>
      </c>
      <c r="B1747" t="s">
        <v>491</v>
      </c>
      <c r="C1747" t="str">
        <f t="shared" si="93"/>
        <v>19642460000000</v>
      </c>
      <c r="D1747" t="s">
        <v>3597</v>
      </c>
      <c r="E1747" t="str">
        <f>"19642461931732"</f>
        <v>19642461931732</v>
      </c>
      <c r="F1747" s="8">
        <v>484</v>
      </c>
      <c r="G1747" s="8">
        <v>2614</v>
      </c>
      <c r="H1747" s="8">
        <v>730</v>
      </c>
      <c r="I1747" s="8">
        <v>6807</v>
      </c>
    </row>
    <row r="1748" spans="1:9" x14ac:dyDescent="0.2">
      <c r="A1748" t="s">
        <v>436</v>
      </c>
      <c r="B1748" t="s">
        <v>491</v>
      </c>
      <c r="C1748" t="str">
        <f t="shared" si="93"/>
        <v>19642460000000</v>
      </c>
      <c r="D1748" t="s">
        <v>3598</v>
      </c>
      <c r="E1748" t="str">
        <f>"19642460111872"</f>
        <v>19642460111872</v>
      </c>
      <c r="F1748" s="8">
        <v>614</v>
      </c>
      <c r="G1748" s="8">
        <v>1922</v>
      </c>
      <c r="H1748" s="8">
        <v>730</v>
      </c>
      <c r="I1748" s="8">
        <v>6807</v>
      </c>
    </row>
    <row r="1749" spans="1:9" x14ac:dyDescent="0.2">
      <c r="A1749" t="s">
        <v>436</v>
      </c>
      <c r="B1749" t="s">
        <v>494</v>
      </c>
      <c r="C1749" t="str">
        <f t="shared" ref="C1749:C1759" si="94">"19642610000000"</f>
        <v>19642610000000</v>
      </c>
      <c r="D1749" t="s">
        <v>3599</v>
      </c>
      <c r="E1749" t="str">
        <f>"19642611995299"</f>
        <v>19642611995299</v>
      </c>
      <c r="F1749" s="8">
        <v>0</v>
      </c>
      <c r="G1749" s="8">
        <v>11779</v>
      </c>
      <c r="H1749" s="8">
        <v>1325</v>
      </c>
      <c r="I1749" s="8">
        <v>5383</v>
      </c>
    </row>
    <row r="1750" spans="1:9" x14ac:dyDescent="0.2">
      <c r="A1750" t="s">
        <v>436</v>
      </c>
      <c r="B1750" t="s">
        <v>494</v>
      </c>
      <c r="C1750" t="str">
        <f t="shared" si="94"/>
        <v>19642610000000</v>
      </c>
      <c r="D1750" t="s">
        <v>3600</v>
      </c>
      <c r="E1750" t="str">
        <f>"19642616011191"</f>
        <v>19642616011191</v>
      </c>
      <c r="F1750" s="8">
        <v>150</v>
      </c>
      <c r="G1750" s="8">
        <v>7495</v>
      </c>
      <c r="H1750" s="8">
        <v>1784</v>
      </c>
      <c r="I1750" s="8">
        <v>3797</v>
      </c>
    </row>
    <row r="1751" spans="1:9" x14ac:dyDescent="0.2">
      <c r="A1751" t="s">
        <v>436</v>
      </c>
      <c r="B1751" t="s">
        <v>494</v>
      </c>
      <c r="C1751" t="str">
        <f t="shared" si="94"/>
        <v>19642610000000</v>
      </c>
      <c r="D1751" t="s">
        <v>3601</v>
      </c>
      <c r="E1751" t="str">
        <f>"19642616011183"</f>
        <v>19642616011183</v>
      </c>
      <c r="F1751" s="8">
        <v>186</v>
      </c>
      <c r="G1751" s="8">
        <v>7237</v>
      </c>
      <c r="H1751" s="8">
        <v>1519</v>
      </c>
      <c r="I1751" s="8">
        <v>3881</v>
      </c>
    </row>
    <row r="1752" spans="1:9" x14ac:dyDescent="0.2">
      <c r="A1752" t="s">
        <v>436</v>
      </c>
      <c r="B1752" t="s">
        <v>494</v>
      </c>
      <c r="C1752" t="str">
        <f t="shared" si="94"/>
        <v>19642610000000</v>
      </c>
      <c r="D1752" t="s">
        <v>3602</v>
      </c>
      <c r="E1752" t="str">
        <f>"19642611930288"</f>
        <v>19642611930288</v>
      </c>
      <c r="F1752" s="8">
        <v>14</v>
      </c>
      <c r="G1752" s="8">
        <v>7295</v>
      </c>
      <c r="H1752" s="8">
        <v>1330</v>
      </c>
      <c r="I1752" s="8">
        <v>3973</v>
      </c>
    </row>
    <row r="1753" spans="1:9" x14ac:dyDescent="0.2">
      <c r="A1753" t="s">
        <v>436</v>
      </c>
      <c r="B1753" t="s">
        <v>494</v>
      </c>
      <c r="C1753" t="str">
        <f t="shared" si="94"/>
        <v>19642610000000</v>
      </c>
      <c r="D1753" t="s">
        <v>3603</v>
      </c>
      <c r="E1753" t="str">
        <f>"19642616011167"</f>
        <v>19642616011167</v>
      </c>
      <c r="F1753" s="8">
        <v>0</v>
      </c>
      <c r="G1753" s="8">
        <v>6982</v>
      </c>
      <c r="H1753" s="8">
        <v>1606</v>
      </c>
      <c r="I1753" s="8">
        <v>3987</v>
      </c>
    </row>
    <row r="1754" spans="1:9" x14ac:dyDescent="0.2">
      <c r="A1754" t="s">
        <v>436</v>
      </c>
      <c r="B1754" t="s">
        <v>494</v>
      </c>
      <c r="C1754" t="str">
        <f t="shared" si="94"/>
        <v>19642610000000</v>
      </c>
      <c r="D1754" t="s">
        <v>3604</v>
      </c>
      <c r="E1754" t="str">
        <f>"19642616011175"</f>
        <v>19642616011175</v>
      </c>
      <c r="F1754" s="8">
        <v>311</v>
      </c>
      <c r="G1754" s="8">
        <v>6618</v>
      </c>
      <c r="H1754" s="8">
        <v>1694</v>
      </c>
      <c r="I1754" s="8">
        <v>3888</v>
      </c>
    </row>
    <row r="1755" spans="1:9" x14ac:dyDescent="0.2">
      <c r="A1755" t="s">
        <v>436</v>
      </c>
      <c r="B1755" t="s">
        <v>494</v>
      </c>
      <c r="C1755" t="str">
        <f t="shared" si="94"/>
        <v>19642610000000</v>
      </c>
      <c r="D1755" t="s">
        <v>3605</v>
      </c>
      <c r="E1755" t="str">
        <f>"19642616011159"</f>
        <v>19642616011159</v>
      </c>
      <c r="F1755" s="8">
        <v>188</v>
      </c>
      <c r="G1755" s="8">
        <v>6534</v>
      </c>
      <c r="H1755" s="8">
        <v>1748</v>
      </c>
      <c r="I1755" s="8">
        <v>3790</v>
      </c>
    </row>
    <row r="1756" spans="1:9" x14ac:dyDescent="0.2">
      <c r="A1756" t="s">
        <v>436</v>
      </c>
      <c r="B1756" t="s">
        <v>494</v>
      </c>
      <c r="C1756" t="str">
        <f t="shared" si="94"/>
        <v>19642610000000</v>
      </c>
      <c r="D1756" t="s">
        <v>3606</v>
      </c>
      <c r="E1756" t="str">
        <f>"19642616011134"</f>
        <v>19642616011134</v>
      </c>
      <c r="F1756" s="8">
        <v>0</v>
      </c>
      <c r="G1756" s="8">
        <v>6718</v>
      </c>
      <c r="H1756" s="8">
        <v>1670</v>
      </c>
      <c r="I1756" s="8">
        <v>3867</v>
      </c>
    </row>
    <row r="1757" spans="1:9" x14ac:dyDescent="0.2">
      <c r="A1757" t="s">
        <v>436</v>
      </c>
      <c r="B1757" t="s">
        <v>494</v>
      </c>
      <c r="C1757" t="str">
        <f t="shared" si="94"/>
        <v>19642610000000</v>
      </c>
      <c r="D1757" t="s">
        <v>3607</v>
      </c>
      <c r="E1757" t="str">
        <f>"19642616061246"</f>
        <v>19642616061246</v>
      </c>
      <c r="F1757" s="8">
        <v>25</v>
      </c>
      <c r="G1757" s="8">
        <v>6863</v>
      </c>
      <c r="H1757" s="8">
        <v>1458</v>
      </c>
      <c r="I1757" s="8">
        <v>3905</v>
      </c>
    </row>
    <row r="1758" spans="1:9" x14ac:dyDescent="0.2">
      <c r="A1758" t="s">
        <v>436</v>
      </c>
      <c r="B1758" t="s">
        <v>494</v>
      </c>
      <c r="C1758" t="str">
        <f t="shared" si="94"/>
        <v>19642610000000</v>
      </c>
      <c r="D1758" t="s">
        <v>3608</v>
      </c>
      <c r="E1758" t="str">
        <f>"19642616057475"</f>
        <v>19642616057475</v>
      </c>
      <c r="F1758" s="8">
        <v>287</v>
      </c>
      <c r="G1758" s="8">
        <v>6406</v>
      </c>
      <c r="H1758" s="8">
        <v>1575</v>
      </c>
      <c r="I1758" s="8">
        <v>3930</v>
      </c>
    </row>
    <row r="1759" spans="1:9" x14ac:dyDescent="0.2">
      <c r="A1759" t="s">
        <v>436</v>
      </c>
      <c r="B1759" t="s">
        <v>494</v>
      </c>
      <c r="C1759" t="str">
        <f t="shared" si="94"/>
        <v>19642610000000</v>
      </c>
      <c r="D1759" t="s">
        <v>3609</v>
      </c>
      <c r="E1759" t="str">
        <f>"19642616057467"</f>
        <v>19642616057467</v>
      </c>
      <c r="F1759" s="8">
        <v>118</v>
      </c>
      <c r="G1759" s="8">
        <v>6587</v>
      </c>
      <c r="H1759" s="8">
        <v>1409</v>
      </c>
      <c r="I1759" s="8">
        <v>3709</v>
      </c>
    </row>
    <row r="1760" spans="1:9" x14ac:dyDescent="0.2">
      <c r="A1760" t="s">
        <v>436</v>
      </c>
      <c r="B1760" t="s">
        <v>511</v>
      </c>
      <c r="C1760" t="str">
        <f t="shared" ref="C1760:C1775" si="95">"19642790000000"</f>
        <v>19642790000000</v>
      </c>
      <c r="D1760" t="s">
        <v>3610</v>
      </c>
      <c r="E1760" t="str">
        <f>"19642796011217"</f>
        <v>19642796011217</v>
      </c>
      <c r="F1760" s="8" t="s">
        <v>30</v>
      </c>
      <c r="G1760" s="8" t="s">
        <v>30</v>
      </c>
      <c r="H1760" s="8" t="s">
        <v>30</v>
      </c>
      <c r="I1760" s="8" t="s">
        <v>30</v>
      </c>
    </row>
    <row r="1761" spans="1:9" x14ac:dyDescent="0.2">
      <c r="A1761" t="s">
        <v>436</v>
      </c>
      <c r="B1761" t="s">
        <v>511</v>
      </c>
      <c r="C1761" t="str">
        <f t="shared" si="95"/>
        <v>19642790000000</v>
      </c>
      <c r="D1761" t="s">
        <v>3611</v>
      </c>
      <c r="E1761" t="str">
        <f>"19642791930528"</f>
        <v>19642791930528</v>
      </c>
      <c r="F1761" s="8" t="s">
        <v>30</v>
      </c>
      <c r="G1761" s="8" t="s">
        <v>30</v>
      </c>
      <c r="H1761" s="8" t="s">
        <v>30</v>
      </c>
      <c r="I1761" s="8" t="s">
        <v>30</v>
      </c>
    </row>
    <row r="1762" spans="1:9" x14ac:dyDescent="0.2">
      <c r="A1762" t="s">
        <v>436</v>
      </c>
      <c r="B1762" t="s">
        <v>511</v>
      </c>
      <c r="C1762" t="str">
        <f t="shared" si="95"/>
        <v>19642790000000</v>
      </c>
      <c r="D1762" t="s">
        <v>3612</v>
      </c>
      <c r="E1762" t="str">
        <f>"19642796011225"</f>
        <v>19642796011225</v>
      </c>
      <c r="F1762" s="8" t="s">
        <v>30</v>
      </c>
      <c r="G1762" s="8" t="s">
        <v>30</v>
      </c>
      <c r="H1762" s="8" t="s">
        <v>30</v>
      </c>
      <c r="I1762" s="8" t="s">
        <v>30</v>
      </c>
    </row>
    <row r="1763" spans="1:9" x14ac:dyDescent="0.2">
      <c r="A1763" t="s">
        <v>436</v>
      </c>
      <c r="B1763" t="s">
        <v>511</v>
      </c>
      <c r="C1763" t="str">
        <f t="shared" si="95"/>
        <v>19642790000000</v>
      </c>
      <c r="D1763" t="s">
        <v>3613</v>
      </c>
      <c r="E1763" t="str">
        <f>"19642796011233"</f>
        <v>19642796011233</v>
      </c>
      <c r="F1763" s="8" t="s">
        <v>30</v>
      </c>
      <c r="G1763" s="8" t="s">
        <v>30</v>
      </c>
      <c r="H1763" s="8" t="s">
        <v>30</v>
      </c>
      <c r="I1763" s="8" t="s">
        <v>30</v>
      </c>
    </row>
    <row r="1764" spans="1:9" x14ac:dyDescent="0.2">
      <c r="A1764" t="s">
        <v>436</v>
      </c>
      <c r="B1764" t="s">
        <v>511</v>
      </c>
      <c r="C1764" t="str">
        <f t="shared" si="95"/>
        <v>19642790000000</v>
      </c>
      <c r="D1764" t="s">
        <v>3614</v>
      </c>
      <c r="E1764" t="str">
        <f>"19642796011241"</f>
        <v>19642796011241</v>
      </c>
      <c r="F1764" s="8" t="s">
        <v>30</v>
      </c>
      <c r="G1764" s="8" t="s">
        <v>30</v>
      </c>
      <c r="H1764" s="8" t="s">
        <v>30</v>
      </c>
      <c r="I1764" s="8" t="s">
        <v>30</v>
      </c>
    </row>
    <row r="1765" spans="1:9" x14ac:dyDescent="0.2">
      <c r="A1765" t="s">
        <v>436</v>
      </c>
      <c r="B1765" t="s">
        <v>511</v>
      </c>
      <c r="C1765" t="str">
        <f t="shared" si="95"/>
        <v>19642790000000</v>
      </c>
      <c r="D1765" t="s">
        <v>2596</v>
      </c>
      <c r="E1765" t="str">
        <f>"19642796011258"</f>
        <v>19642796011258</v>
      </c>
      <c r="F1765" s="8" t="s">
        <v>30</v>
      </c>
      <c r="G1765" s="8" t="s">
        <v>30</v>
      </c>
      <c r="H1765" s="8" t="s">
        <v>30</v>
      </c>
      <c r="I1765" s="8" t="s">
        <v>30</v>
      </c>
    </row>
    <row r="1766" spans="1:9" x14ac:dyDescent="0.2">
      <c r="A1766" t="s">
        <v>436</v>
      </c>
      <c r="B1766" t="s">
        <v>511</v>
      </c>
      <c r="C1766" t="str">
        <f t="shared" si="95"/>
        <v>19642790000000</v>
      </c>
      <c r="D1766" t="s">
        <v>3615</v>
      </c>
      <c r="E1766" t="str">
        <f>"19642791933449"</f>
        <v>19642791933449</v>
      </c>
      <c r="F1766" s="8" t="s">
        <v>30</v>
      </c>
      <c r="G1766" s="8" t="s">
        <v>30</v>
      </c>
      <c r="H1766" s="8" t="s">
        <v>30</v>
      </c>
      <c r="I1766" s="8" t="s">
        <v>30</v>
      </c>
    </row>
    <row r="1767" spans="1:9" x14ac:dyDescent="0.2">
      <c r="A1767" t="s">
        <v>436</v>
      </c>
      <c r="B1767" t="s">
        <v>511</v>
      </c>
      <c r="C1767" t="str">
        <f t="shared" si="95"/>
        <v>19642790000000</v>
      </c>
      <c r="D1767" t="s">
        <v>3616</v>
      </c>
      <c r="E1767" t="str">
        <f>"19642796011274"</f>
        <v>19642796011274</v>
      </c>
      <c r="F1767" s="8" t="s">
        <v>30</v>
      </c>
      <c r="G1767" s="8" t="s">
        <v>30</v>
      </c>
      <c r="H1767" s="8" t="s">
        <v>30</v>
      </c>
      <c r="I1767" s="8" t="s">
        <v>30</v>
      </c>
    </row>
    <row r="1768" spans="1:9" x14ac:dyDescent="0.2">
      <c r="A1768" t="s">
        <v>436</v>
      </c>
      <c r="B1768" t="s">
        <v>511</v>
      </c>
      <c r="C1768" t="str">
        <f t="shared" si="95"/>
        <v>19642790000000</v>
      </c>
      <c r="D1768" t="s">
        <v>3617</v>
      </c>
      <c r="E1768" t="str">
        <f>"19642790131227"</f>
        <v>19642790131227</v>
      </c>
      <c r="F1768" s="8" t="s">
        <v>30</v>
      </c>
      <c r="G1768" s="8" t="s">
        <v>30</v>
      </c>
      <c r="H1768" s="8" t="s">
        <v>30</v>
      </c>
      <c r="I1768" s="8" t="s">
        <v>30</v>
      </c>
    </row>
    <row r="1769" spans="1:9" x14ac:dyDescent="0.2">
      <c r="A1769" t="s">
        <v>436</v>
      </c>
      <c r="B1769" t="s">
        <v>511</v>
      </c>
      <c r="C1769" t="str">
        <f t="shared" si="95"/>
        <v>19642790000000</v>
      </c>
      <c r="D1769" t="s">
        <v>1025</v>
      </c>
      <c r="E1769" t="str">
        <f>"19642796011290"</f>
        <v>19642796011290</v>
      </c>
      <c r="F1769" s="8" t="s">
        <v>30</v>
      </c>
      <c r="G1769" s="8" t="s">
        <v>30</v>
      </c>
      <c r="H1769" s="8" t="s">
        <v>30</v>
      </c>
      <c r="I1769" s="8" t="s">
        <v>30</v>
      </c>
    </row>
    <row r="1770" spans="1:9" x14ac:dyDescent="0.2">
      <c r="A1770" t="s">
        <v>436</v>
      </c>
      <c r="B1770" t="s">
        <v>511</v>
      </c>
      <c r="C1770" t="str">
        <f t="shared" si="95"/>
        <v>19642790000000</v>
      </c>
      <c r="D1770" t="s">
        <v>3618</v>
      </c>
      <c r="E1770" t="str">
        <f>"19642796011316"</f>
        <v>19642796011316</v>
      </c>
      <c r="F1770" s="8" t="s">
        <v>30</v>
      </c>
      <c r="G1770" s="8" t="s">
        <v>30</v>
      </c>
      <c r="H1770" s="8" t="s">
        <v>30</v>
      </c>
      <c r="I1770" s="8" t="s">
        <v>30</v>
      </c>
    </row>
    <row r="1771" spans="1:9" x14ac:dyDescent="0.2">
      <c r="A1771" t="s">
        <v>436</v>
      </c>
      <c r="B1771" t="s">
        <v>511</v>
      </c>
      <c r="C1771" t="str">
        <f t="shared" si="95"/>
        <v>19642790000000</v>
      </c>
      <c r="D1771" t="s">
        <v>3053</v>
      </c>
      <c r="E1771" t="str">
        <f>"19642791931765"</f>
        <v>19642791931765</v>
      </c>
      <c r="F1771" s="8" t="s">
        <v>30</v>
      </c>
      <c r="G1771" s="8" t="s">
        <v>30</v>
      </c>
      <c r="H1771" s="8" t="s">
        <v>30</v>
      </c>
      <c r="I1771" s="8" t="s">
        <v>30</v>
      </c>
    </row>
    <row r="1772" spans="1:9" x14ac:dyDescent="0.2">
      <c r="A1772" t="s">
        <v>436</v>
      </c>
      <c r="B1772" t="s">
        <v>511</v>
      </c>
      <c r="C1772" t="str">
        <f t="shared" si="95"/>
        <v>19642790000000</v>
      </c>
      <c r="D1772" t="s">
        <v>3619</v>
      </c>
      <c r="E1772" t="str">
        <f>"19642796011324"</f>
        <v>19642796011324</v>
      </c>
      <c r="F1772" s="8" t="s">
        <v>30</v>
      </c>
      <c r="G1772" s="8" t="s">
        <v>30</v>
      </c>
      <c r="H1772" s="8" t="s">
        <v>30</v>
      </c>
      <c r="I1772" s="8" t="s">
        <v>30</v>
      </c>
    </row>
    <row r="1773" spans="1:9" x14ac:dyDescent="0.2">
      <c r="A1773" t="s">
        <v>436</v>
      </c>
      <c r="B1773" t="s">
        <v>511</v>
      </c>
      <c r="C1773" t="str">
        <f t="shared" si="95"/>
        <v>19642790000000</v>
      </c>
      <c r="D1773" t="s">
        <v>3620</v>
      </c>
      <c r="E1773" t="str">
        <f>"19642796011332"</f>
        <v>19642796011332</v>
      </c>
      <c r="F1773" s="8" t="s">
        <v>30</v>
      </c>
      <c r="G1773" s="8" t="s">
        <v>30</v>
      </c>
      <c r="H1773" s="8" t="s">
        <v>30</v>
      </c>
      <c r="I1773" s="8" t="s">
        <v>30</v>
      </c>
    </row>
    <row r="1774" spans="1:9" x14ac:dyDescent="0.2">
      <c r="A1774" t="s">
        <v>436</v>
      </c>
      <c r="B1774" t="s">
        <v>511</v>
      </c>
      <c r="C1774" t="str">
        <f t="shared" si="95"/>
        <v>19642790000000</v>
      </c>
      <c r="D1774" t="s">
        <v>3621</v>
      </c>
      <c r="E1774" t="str">
        <f>"19642796011340"</f>
        <v>19642796011340</v>
      </c>
      <c r="F1774" s="8" t="s">
        <v>30</v>
      </c>
      <c r="G1774" s="8" t="s">
        <v>30</v>
      </c>
      <c r="H1774" s="8" t="s">
        <v>30</v>
      </c>
      <c r="I1774" s="8" t="s">
        <v>30</v>
      </c>
    </row>
    <row r="1775" spans="1:9" x14ac:dyDescent="0.2">
      <c r="A1775" t="s">
        <v>436</v>
      </c>
      <c r="B1775" t="s">
        <v>511</v>
      </c>
      <c r="C1775" t="str">
        <f t="shared" si="95"/>
        <v>19642790000000</v>
      </c>
      <c r="D1775" t="s">
        <v>3622</v>
      </c>
      <c r="E1775" t="str">
        <f>"19642796011357"</f>
        <v>19642796011357</v>
      </c>
      <c r="F1775" s="8" t="s">
        <v>30</v>
      </c>
      <c r="G1775" s="8" t="s">
        <v>30</v>
      </c>
      <c r="H1775" s="8" t="s">
        <v>30</v>
      </c>
      <c r="I1775" s="8" t="s">
        <v>30</v>
      </c>
    </row>
    <row r="1776" spans="1:9" x14ac:dyDescent="0.2">
      <c r="A1776" t="s">
        <v>436</v>
      </c>
      <c r="B1776" t="s">
        <v>512</v>
      </c>
      <c r="C1776" t="str">
        <f t="shared" ref="C1776:C1795" si="96">"19642870000000"</f>
        <v>19642870000000</v>
      </c>
      <c r="D1776" t="s">
        <v>3623</v>
      </c>
      <c r="E1776" t="str">
        <f>"19642871936384"</f>
        <v>19642871936384</v>
      </c>
      <c r="F1776" s="8">
        <v>3136</v>
      </c>
      <c r="G1776" s="8">
        <v>9321</v>
      </c>
      <c r="H1776" s="8">
        <v>1516</v>
      </c>
      <c r="I1776" s="8">
        <v>5629</v>
      </c>
    </row>
    <row r="1777" spans="1:9" x14ac:dyDescent="0.2">
      <c r="A1777" t="s">
        <v>436</v>
      </c>
      <c r="B1777" t="s">
        <v>512</v>
      </c>
      <c r="C1777" t="str">
        <f t="shared" si="96"/>
        <v>19642870000000</v>
      </c>
      <c r="D1777" t="s">
        <v>3624</v>
      </c>
      <c r="E1777" t="str">
        <f>"19642876011415"</f>
        <v>19642876011415</v>
      </c>
      <c r="F1777" s="8">
        <v>1633</v>
      </c>
      <c r="G1777" s="8">
        <v>7955</v>
      </c>
      <c r="H1777" s="8">
        <v>1516</v>
      </c>
      <c r="I1777" s="8">
        <v>5629</v>
      </c>
    </row>
    <row r="1778" spans="1:9" x14ac:dyDescent="0.2">
      <c r="A1778" t="s">
        <v>436</v>
      </c>
      <c r="B1778" t="s">
        <v>512</v>
      </c>
      <c r="C1778" t="str">
        <f t="shared" si="96"/>
        <v>19642870000000</v>
      </c>
      <c r="D1778" t="s">
        <v>3625</v>
      </c>
      <c r="E1778" t="str">
        <f>"19642876011399"</f>
        <v>19642876011399</v>
      </c>
      <c r="F1778" s="8">
        <v>1781</v>
      </c>
      <c r="G1778" s="8">
        <v>7736</v>
      </c>
      <c r="H1778" s="8">
        <v>1516</v>
      </c>
      <c r="I1778" s="8">
        <v>5629</v>
      </c>
    </row>
    <row r="1779" spans="1:9" x14ac:dyDescent="0.2">
      <c r="A1779" t="s">
        <v>436</v>
      </c>
      <c r="B1779" t="s">
        <v>512</v>
      </c>
      <c r="C1779" t="str">
        <f t="shared" si="96"/>
        <v>19642870000000</v>
      </c>
      <c r="D1779" t="s">
        <v>3626</v>
      </c>
      <c r="E1779" t="str">
        <f>"19642876011456"</f>
        <v>19642876011456</v>
      </c>
      <c r="F1779" s="8">
        <v>1333</v>
      </c>
      <c r="G1779" s="8">
        <v>7628</v>
      </c>
      <c r="H1779" s="8">
        <v>1516</v>
      </c>
      <c r="I1779" s="8">
        <v>5629</v>
      </c>
    </row>
    <row r="1780" spans="1:9" x14ac:dyDescent="0.2">
      <c r="A1780" t="s">
        <v>436</v>
      </c>
      <c r="B1780" t="s">
        <v>512</v>
      </c>
      <c r="C1780" t="str">
        <f t="shared" si="96"/>
        <v>19642870000000</v>
      </c>
      <c r="D1780" t="s">
        <v>1963</v>
      </c>
      <c r="E1780" t="str">
        <f>"19642876011480"</f>
        <v>19642876011480</v>
      </c>
      <c r="F1780" s="8">
        <v>1614</v>
      </c>
      <c r="G1780" s="8">
        <v>7314</v>
      </c>
      <c r="H1780" s="8">
        <v>1516</v>
      </c>
      <c r="I1780" s="8">
        <v>5629</v>
      </c>
    </row>
    <row r="1781" spans="1:9" x14ac:dyDescent="0.2">
      <c r="A1781" t="s">
        <v>436</v>
      </c>
      <c r="B1781" t="s">
        <v>512</v>
      </c>
      <c r="C1781" t="str">
        <f t="shared" si="96"/>
        <v>19642870000000</v>
      </c>
      <c r="D1781" t="s">
        <v>3627</v>
      </c>
      <c r="E1781" t="str">
        <f>"19642876011373"</f>
        <v>19642876011373</v>
      </c>
      <c r="F1781" s="8">
        <v>1649</v>
      </c>
      <c r="G1781" s="8">
        <v>7007</v>
      </c>
      <c r="H1781" s="8">
        <v>1516</v>
      </c>
      <c r="I1781" s="8">
        <v>5629</v>
      </c>
    </row>
    <row r="1782" spans="1:9" x14ac:dyDescent="0.2">
      <c r="A1782" t="s">
        <v>436</v>
      </c>
      <c r="B1782" t="s">
        <v>512</v>
      </c>
      <c r="C1782" t="str">
        <f t="shared" si="96"/>
        <v>19642870000000</v>
      </c>
      <c r="D1782" t="s">
        <v>3628</v>
      </c>
      <c r="E1782" t="str">
        <f>"19642876011464"</f>
        <v>19642876011464</v>
      </c>
      <c r="F1782" s="8">
        <v>1401</v>
      </c>
      <c r="G1782" s="8">
        <v>7144</v>
      </c>
      <c r="H1782" s="8">
        <v>1516</v>
      </c>
      <c r="I1782" s="8">
        <v>5629</v>
      </c>
    </row>
    <row r="1783" spans="1:9" x14ac:dyDescent="0.2">
      <c r="A1783" t="s">
        <v>436</v>
      </c>
      <c r="B1783" t="s">
        <v>512</v>
      </c>
      <c r="C1783" t="str">
        <f t="shared" si="96"/>
        <v>19642870000000</v>
      </c>
      <c r="D1783" t="s">
        <v>3629</v>
      </c>
      <c r="E1783" t="str">
        <f>"19642876011514"</f>
        <v>19642876011514</v>
      </c>
      <c r="F1783" s="8">
        <v>1375</v>
      </c>
      <c r="G1783" s="8">
        <v>7158</v>
      </c>
      <c r="H1783" s="8">
        <v>1516</v>
      </c>
      <c r="I1783" s="8">
        <v>5629</v>
      </c>
    </row>
    <row r="1784" spans="1:9" x14ac:dyDescent="0.2">
      <c r="A1784" t="s">
        <v>436</v>
      </c>
      <c r="B1784" t="s">
        <v>512</v>
      </c>
      <c r="C1784" t="str">
        <f t="shared" si="96"/>
        <v>19642870000000</v>
      </c>
      <c r="D1784" t="s">
        <v>3630</v>
      </c>
      <c r="E1784" t="str">
        <f>"19642876011431"</f>
        <v>19642876011431</v>
      </c>
      <c r="F1784" s="8">
        <v>1346</v>
      </c>
      <c r="G1784" s="8">
        <v>7053</v>
      </c>
      <c r="H1784" s="8">
        <v>1516</v>
      </c>
      <c r="I1784" s="8">
        <v>5629</v>
      </c>
    </row>
    <row r="1785" spans="1:9" x14ac:dyDescent="0.2">
      <c r="A1785" t="s">
        <v>436</v>
      </c>
      <c r="B1785" t="s">
        <v>512</v>
      </c>
      <c r="C1785" t="str">
        <f t="shared" si="96"/>
        <v>19642870000000</v>
      </c>
      <c r="D1785" t="s">
        <v>3631</v>
      </c>
      <c r="E1785" t="str">
        <f>"19642876011472"</f>
        <v>19642876011472</v>
      </c>
      <c r="F1785" s="8">
        <v>1215</v>
      </c>
      <c r="G1785" s="8">
        <v>6944</v>
      </c>
      <c r="H1785" s="8">
        <v>1516</v>
      </c>
      <c r="I1785" s="8">
        <v>5629</v>
      </c>
    </row>
    <row r="1786" spans="1:9" x14ac:dyDescent="0.2">
      <c r="A1786" t="s">
        <v>436</v>
      </c>
      <c r="B1786" t="s">
        <v>512</v>
      </c>
      <c r="C1786" t="str">
        <f t="shared" si="96"/>
        <v>19642870000000</v>
      </c>
      <c r="D1786" t="s">
        <v>3632</v>
      </c>
      <c r="E1786" t="str">
        <f>"19642876011407"</f>
        <v>19642876011407</v>
      </c>
      <c r="F1786" s="8">
        <v>1577</v>
      </c>
      <c r="G1786" s="8">
        <v>6561</v>
      </c>
      <c r="H1786" s="8">
        <v>1516</v>
      </c>
      <c r="I1786" s="8">
        <v>5629</v>
      </c>
    </row>
    <row r="1787" spans="1:9" x14ac:dyDescent="0.2">
      <c r="A1787" t="s">
        <v>436</v>
      </c>
      <c r="B1787" t="s">
        <v>512</v>
      </c>
      <c r="C1787" t="str">
        <f t="shared" si="96"/>
        <v>19642870000000</v>
      </c>
      <c r="D1787" t="s">
        <v>1214</v>
      </c>
      <c r="E1787" t="str">
        <f>"19642876011381"</f>
        <v>19642876011381</v>
      </c>
      <c r="F1787" s="8">
        <v>1260</v>
      </c>
      <c r="G1787" s="8">
        <v>6828</v>
      </c>
      <c r="H1787" s="8">
        <v>1516</v>
      </c>
      <c r="I1787" s="8">
        <v>5629</v>
      </c>
    </row>
    <row r="1788" spans="1:9" x14ac:dyDescent="0.2">
      <c r="A1788" t="s">
        <v>436</v>
      </c>
      <c r="B1788" t="s">
        <v>512</v>
      </c>
      <c r="C1788" t="str">
        <f t="shared" si="96"/>
        <v>19642870000000</v>
      </c>
      <c r="D1788" t="s">
        <v>3633</v>
      </c>
      <c r="E1788" t="str">
        <f>"19642876011423"</f>
        <v>19642876011423</v>
      </c>
      <c r="F1788" s="8">
        <v>1078</v>
      </c>
      <c r="G1788" s="8">
        <v>6750</v>
      </c>
      <c r="H1788" s="8">
        <v>1516</v>
      </c>
      <c r="I1788" s="8">
        <v>5629</v>
      </c>
    </row>
    <row r="1789" spans="1:9" x14ac:dyDescent="0.2">
      <c r="A1789" t="s">
        <v>436</v>
      </c>
      <c r="B1789" t="s">
        <v>512</v>
      </c>
      <c r="C1789" t="str">
        <f t="shared" si="96"/>
        <v>19642870000000</v>
      </c>
      <c r="D1789" t="s">
        <v>3634</v>
      </c>
      <c r="E1789" t="str">
        <f>"19642876110043"</f>
        <v>19642876110043</v>
      </c>
      <c r="F1789" s="8">
        <v>702</v>
      </c>
      <c r="G1789" s="8">
        <v>7088</v>
      </c>
      <c r="H1789" s="8">
        <v>1516</v>
      </c>
      <c r="I1789" s="8">
        <v>5629</v>
      </c>
    </row>
    <row r="1790" spans="1:9" x14ac:dyDescent="0.2">
      <c r="A1790" t="s">
        <v>436</v>
      </c>
      <c r="B1790" t="s">
        <v>512</v>
      </c>
      <c r="C1790" t="str">
        <f t="shared" si="96"/>
        <v>19642870000000</v>
      </c>
      <c r="D1790" t="s">
        <v>389</v>
      </c>
      <c r="E1790" t="str">
        <f>"19642876011506"</f>
        <v>19642876011506</v>
      </c>
      <c r="F1790" s="8">
        <v>1241</v>
      </c>
      <c r="G1790" s="8">
        <v>6488</v>
      </c>
      <c r="H1790" s="8">
        <v>1516</v>
      </c>
      <c r="I1790" s="8">
        <v>5629</v>
      </c>
    </row>
    <row r="1791" spans="1:9" x14ac:dyDescent="0.2">
      <c r="A1791" t="s">
        <v>436</v>
      </c>
      <c r="B1791" t="s">
        <v>512</v>
      </c>
      <c r="C1791" t="str">
        <f t="shared" si="96"/>
        <v>19642870000000</v>
      </c>
      <c r="D1791" t="s">
        <v>3635</v>
      </c>
      <c r="E1791" t="str">
        <f>"19642876011449"</f>
        <v>19642876011449</v>
      </c>
      <c r="F1791" s="8">
        <v>1239</v>
      </c>
      <c r="G1791" s="8">
        <v>6376</v>
      </c>
      <c r="H1791" s="8">
        <v>1516</v>
      </c>
      <c r="I1791" s="8">
        <v>5629</v>
      </c>
    </row>
    <row r="1792" spans="1:9" x14ac:dyDescent="0.2">
      <c r="A1792" t="s">
        <v>436</v>
      </c>
      <c r="B1792" t="s">
        <v>512</v>
      </c>
      <c r="C1792" t="str">
        <f t="shared" si="96"/>
        <v>19642870000000</v>
      </c>
      <c r="D1792" t="s">
        <v>3636</v>
      </c>
      <c r="E1792" t="str">
        <f>"19642876096135"</f>
        <v>19642876096135</v>
      </c>
      <c r="F1792" s="8">
        <v>882</v>
      </c>
      <c r="G1792" s="8">
        <v>6573</v>
      </c>
      <c r="H1792" s="8">
        <v>1516</v>
      </c>
      <c r="I1792" s="8">
        <v>5629</v>
      </c>
    </row>
    <row r="1793" spans="1:9" x14ac:dyDescent="0.2">
      <c r="A1793" t="s">
        <v>436</v>
      </c>
      <c r="B1793" t="s">
        <v>512</v>
      </c>
      <c r="C1793" t="str">
        <f t="shared" si="96"/>
        <v>19642870000000</v>
      </c>
      <c r="D1793" t="s">
        <v>3637</v>
      </c>
      <c r="E1793" t="str">
        <f>"19642876011498"</f>
        <v>19642876011498</v>
      </c>
      <c r="F1793" s="8">
        <v>1031</v>
      </c>
      <c r="G1793" s="8">
        <v>6196</v>
      </c>
      <c r="H1793" s="8">
        <v>1516</v>
      </c>
      <c r="I1793" s="8">
        <v>5629</v>
      </c>
    </row>
    <row r="1794" spans="1:9" x14ac:dyDescent="0.2">
      <c r="A1794" t="s">
        <v>436</v>
      </c>
      <c r="B1794" t="s">
        <v>512</v>
      </c>
      <c r="C1794" t="str">
        <f t="shared" si="96"/>
        <v>19642870000000</v>
      </c>
      <c r="D1794" t="s">
        <v>3638</v>
      </c>
      <c r="E1794" t="str">
        <f>"19642871930601"</f>
        <v>19642871930601</v>
      </c>
      <c r="F1794" s="8">
        <v>847</v>
      </c>
      <c r="G1794" s="8">
        <v>6280</v>
      </c>
      <c r="H1794" s="8">
        <v>1516</v>
      </c>
      <c r="I1794" s="8">
        <v>5629</v>
      </c>
    </row>
    <row r="1795" spans="1:9" x14ac:dyDescent="0.2">
      <c r="A1795" t="s">
        <v>436</v>
      </c>
      <c r="B1795" t="s">
        <v>512</v>
      </c>
      <c r="C1795" t="str">
        <f t="shared" si="96"/>
        <v>19642870000000</v>
      </c>
      <c r="D1795" t="s">
        <v>3639</v>
      </c>
      <c r="E1795" t="str">
        <f>"19642871938166"</f>
        <v>19642871938166</v>
      </c>
      <c r="F1795" s="8">
        <v>1033</v>
      </c>
      <c r="G1795" s="8">
        <v>6012</v>
      </c>
      <c r="H1795" s="8">
        <v>1516</v>
      </c>
      <c r="I1795" s="8">
        <v>5629</v>
      </c>
    </row>
    <row r="1796" spans="1:9" x14ac:dyDescent="0.2">
      <c r="A1796" t="s">
        <v>436</v>
      </c>
      <c r="B1796" t="s">
        <v>514</v>
      </c>
      <c r="C1796" t="str">
        <f t="shared" ref="C1796:C1802" si="97">"19642950000000"</f>
        <v>19642950000000</v>
      </c>
      <c r="D1796" t="s">
        <v>3640</v>
      </c>
      <c r="E1796" t="str">
        <f>"19642951936491"</f>
        <v>19642951936491</v>
      </c>
      <c r="F1796" s="8">
        <v>1138</v>
      </c>
      <c r="G1796" s="8">
        <v>7828</v>
      </c>
      <c r="H1796" s="8">
        <v>2687</v>
      </c>
      <c r="I1796" s="8">
        <v>5459</v>
      </c>
    </row>
    <row r="1797" spans="1:9" x14ac:dyDescent="0.2">
      <c r="A1797" t="s">
        <v>436</v>
      </c>
      <c r="B1797" t="s">
        <v>514</v>
      </c>
      <c r="C1797" t="str">
        <f t="shared" si="97"/>
        <v>19642950000000</v>
      </c>
      <c r="D1797" t="s">
        <v>3641</v>
      </c>
      <c r="E1797" t="str">
        <f>"19642956011563"</f>
        <v>19642956011563</v>
      </c>
      <c r="F1797" s="8">
        <v>612</v>
      </c>
      <c r="G1797" s="8">
        <v>6865</v>
      </c>
      <c r="H1797" s="8">
        <v>2687</v>
      </c>
      <c r="I1797" s="8">
        <v>5459</v>
      </c>
    </row>
    <row r="1798" spans="1:9" x14ac:dyDescent="0.2">
      <c r="A1798" t="s">
        <v>436</v>
      </c>
      <c r="B1798" t="s">
        <v>514</v>
      </c>
      <c r="C1798" t="str">
        <f t="shared" si="97"/>
        <v>19642950000000</v>
      </c>
      <c r="D1798" t="s">
        <v>3642</v>
      </c>
      <c r="E1798" t="str">
        <f>"19642956011571"</f>
        <v>19642956011571</v>
      </c>
      <c r="F1798" s="8">
        <v>649</v>
      </c>
      <c r="G1798" s="8">
        <v>6476</v>
      </c>
      <c r="H1798" s="8">
        <v>2687</v>
      </c>
      <c r="I1798" s="8">
        <v>5459</v>
      </c>
    </row>
    <row r="1799" spans="1:9" x14ac:dyDescent="0.2">
      <c r="A1799" t="s">
        <v>436</v>
      </c>
      <c r="B1799" t="s">
        <v>514</v>
      </c>
      <c r="C1799" t="str">
        <f t="shared" si="97"/>
        <v>19642950000000</v>
      </c>
      <c r="D1799" t="s">
        <v>3643</v>
      </c>
      <c r="E1799" t="str">
        <f>"19642956011530"</f>
        <v>19642956011530</v>
      </c>
      <c r="F1799" s="8">
        <v>417</v>
      </c>
      <c r="G1799" s="8">
        <v>5746</v>
      </c>
      <c r="H1799" s="8">
        <v>2687</v>
      </c>
      <c r="I1799" s="8">
        <v>5459</v>
      </c>
    </row>
    <row r="1800" spans="1:9" x14ac:dyDescent="0.2">
      <c r="A1800" t="s">
        <v>436</v>
      </c>
      <c r="B1800" t="s">
        <v>514</v>
      </c>
      <c r="C1800" t="str">
        <f t="shared" si="97"/>
        <v>19642950000000</v>
      </c>
      <c r="D1800" t="s">
        <v>3644</v>
      </c>
      <c r="E1800" t="str">
        <f>"19642956057491"</f>
        <v>19642956057491</v>
      </c>
      <c r="F1800" s="8">
        <v>509</v>
      </c>
      <c r="G1800" s="8">
        <v>5642</v>
      </c>
      <c r="H1800" s="8">
        <v>2687</v>
      </c>
      <c r="I1800" s="8">
        <v>5459</v>
      </c>
    </row>
    <row r="1801" spans="1:9" x14ac:dyDescent="0.2">
      <c r="A1801" t="s">
        <v>436</v>
      </c>
      <c r="B1801" t="s">
        <v>514</v>
      </c>
      <c r="C1801" t="str">
        <f t="shared" si="97"/>
        <v>19642950000000</v>
      </c>
      <c r="D1801" t="s">
        <v>3645</v>
      </c>
      <c r="E1801" t="str">
        <f>"19642956057483"</f>
        <v>19642956057483</v>
      </c>
      <c r="F1801" s="8">
        <v>465</v>
      </c>
      <c r="G1801" s="8">
        <v>5637</v>
      </c>
      <c r="H1801" s="8">
        <v>2687</v>
      </c>
      <c r="I1801" s="8">
        <v>5459</v>
      </c>
    </row>
    <row r="1802" spans="1:9" x14ac:dyDescent="0.2">
      <c r="A1802" t="s">
        <v>436</v>
      </c>
      <c r="B1802" t="s">
        <v>514</v>
      </c>
      <c r="C1802" t="str">
        <f t="shared" si="97"/>
        <v>19642950000000</v>
      </c>
      <c r="D1802" t="s">
        <v>3646</v>
      </c>
      <c r="E1802" t="str">
        <f>"19642951930700"</f>
        <v>19642951930700</v>
      </c>
      <c r="F1802" s="8">
        <v>368</v>
      </c>
      <c r="G1802" s="8">
        <v>5663</v>
      </c>
      <c r="H1802" s="8">
        <v>2687</v>
      </c>
      <c r="I1802" s="8">
        <v>5459</v>
      </c>
    </row>
    <row r="1803" spans="1:9" x14ac:dyDescent="0.2">
      <c r="A1803" t="s">
        <v>436</v>
      </c>
      <c r="B1803" t="s">
        <v>515</v>
      </c>
      <c r="C1803" t="str">
        <f t="shared" ref="C1803:C1817" si="98">"19643030000000"</f>
        <v>19643030000000</v>
      </c>
      <c r="D1803" t="s">
        <v>3647</v>
      </c>
      <c r="E1803" t="str">
        <f>"19643031995679"</f>
        <v>19643031995679</v>
      </c>
      <c r="F1803" s="8">
        <v>759</v>
      </c>
      <c r="G1803" s="8">
        <v>31470</v>
      </c>
      <c r="H1803" s="8">
        <v>1444</v>
      </c>
      <c r="I1803" s="8">
        <v>4982</v>
      </c>
    </row>
    <row r="1804" spans="1:9" x14ac:dyDescent="0.2">
      <c r="A1804" t="s">
        <v>436</v>
      </c>
      <c r="B1804" t="s">
        <v>515</v>
      </c>
      <c r="C1804" t="str">
        <f t="shared" si="98"/>
        <v>19643030000000</v>
      </c>
      <c r="D1804" t="s">
        <v>3648</v>
      </c>
      <c r="E1804" t="str">
        <f>"19643031938190"</f>
        <v>19643031938190</v>
      </c>
      <c r="F1804" s="8">
        <v>0</v>
      </c>
      <c r="G1804" s="8">
        <v>18437</v>
      </c>
      <c r="H1804" s="8">
        <v>1444</v>
      </c>
      <c r="I1804" s="8">
        <v>4982</v>
      </c>
    </row>
    <row r="1805" spans="1:9" x14ac:dyDescent="0.2">
      <c r="A1805" t="s">
        <v>436</v>
      </c>
      <c r="B1805" t="s">
        <v>515</v>
      </c>
      <c r="C1805" t="str">
        <f t="shared" si="98"/>
        <v>19643030000000</v>
      </c>
      <c r="D1805" t="s">
        <v>3649</v>
      </c>
      <c r="E1805" t="str">
        <f>"19643036011605"</f>
        <v>19643036011605</v>
      </c>
      <c r="F1805" s="8">
        <v>360</v>
      </c>
      <c r="G1805" s="8">
        <v>7299</v>
      </c>
      <c r="H1805" s="8">
        <v>1444</v>
      </c>
      <c r="I1805" s="8">
        <v>4982</v>
      </c>
    </row>
    <row r="1806" spans="1:9" x14ac:dyDescent="0.2">
      <c r="A1806" t="s">
        <v>436</v>
      </c>
      <c r="B1806" t="s">
        <v>515</v>
      </c>
      <c r="C1806" t="str">
        <f t="shared" si="98"/>
        <v>19643030000000</v>
      </c>
      <c r="D1806" t="s">
        <v>3650</v>
      </c>
      <c r="E1806" t="str">
        <f>"19643031930775"</f>
        <v>19643031930775</v>
      </c>
      <c r="F1806" s="8">
        <v>421</v>
      </c>
      <c r="G1806" s="8">
        <v>6647</v>
      </c>
      <c r="H1806" s="8">
        <v>1444</v>
      </c>
      <c r="I1806" s="8">
        <v>4982</v>
      </c>
    </row>
    <row r="1807" spans="1:9" x14ac:dyDescent="0.2">
      <c r="A1807" t="s">
        <v>436</v>
      </c>
      <c r="B1807" t="s">
        <v>515</v>
      </c>
      <c r="C1807" t="str">
        <f t="shared" si="98"/>
        <v>19643030000000</v>
      </c>
      <c r="D1807" t="s">
        <v>3651</v>
      </c>
      <c r="E1807" t="str">
        <f>"19643030128306"</f>
        <v>19643030128306</v>
      </c>
      <c r="F1807" s="8">
        <v>0</v>
      </c>
      <c r="G1807" s="8">
        <v>6935</v>
      </c>
      <c r="H1807" s="8">
        <v>1444</v>
      </c>
      <c r="I1807" s="8">
        <v>4982</v>
      </c>
    </row>
    <row r="1808" spans="1:9" x14ac:dyDescent="0.2">
      <c r="A1808" t="s">
        <v>436</v>
      </c>
      <c r="B1808" t="s">
        <v>515</v>
      </c>
      <c r="C1808" t="str">
        <f t="shared" si="98"/>
        <v>19643030000000</v>
      </c>
      <c r="D1808" t="s">
        <v>3652</v>
      </c>
      <c r="E1808" t="str">
        <f>"19643036011647"</f>
        <v>19643036011647</v>
      </c>
      <c r="F1808" s="8">
        <v>625</v>
      </c>
      <c r="G1808" s="8">
        <v>6295</v>
      </c>
      <c r="H1808" s="8">
        <v>1444</v>
      </c>
      <c r="I1808" s="8">
        <v>4982</v>
      </c>
    </row>
    <row r="1809" spans="1:9" x14ac:dyDescent="0.2">
      <c r="A1809" t="s">
        <v>436</v>
      </c>
      <c r="B1809" t="s">
        <v>515</v>
      </c>
      <c r="C1809" t="str">
        <f t="shared" si="98"/>
        <v>19643030000000</v>
      </c>
      <c r="D1809" t="s">
        <v>3653</v>
      </c>
      <c r="E1809" t="str">
        <f>"19643036011712"</f>
        <v>19643036011712</v>
      </c>
      <c r="F1809" s="8">
        <v>549</v>
      </c>
      <c r="G1809" s="8">
        <v>5997</v>
      </c>
      <c r="H1809" s="8">
        <v>1444</v>
      </c>
      <c r="I1809" s="8">
        <v>4982</v>
      </c>
    </row>
    <row r="1810" spans="1:9" x14ac:dyDescent="0.2">
      <c r="A1810" t="s">
        <v>436</v>
      </c>
      <c r="B1810" t="s">
        <v>515</v>
      </c>
      <c r="C1810" t="str">
        <f t="shared" si="98"/>
        <v>19643030000000</v>
      </c>
      <c r="D1810" t="s">
        <v>3654</v>
      </c>
      <c r="E1810" t="str">
        <f>"19643031935618"</f>
        <v>19643031935618</v>
      </c>
      <c r="F1810" s="8">
        <v>0</v>
      </c>
      <c r="G1810" s="8">
        <v>6312</v>
      </c>
      <c r="H1810" s="8">
        <v>1444</v>
      </c>
      <c r="I1810" s="8">
        <v>4982</v>
      </c>
    </row>
    <row r="1811" spans="1:9" x14ac:dyDescent="0.2">
      <c r="A1811" t="s">
        <v>436</v>
      </c>
      <c r="B1811" t="s">
        <v>515</v>
      </c>
      <c r="C1811" t="str">
        <f t="shared" si="98"/>
        <v>19643030000000</v>
      </c>
      <c r="D1811" t="s">
        <v>3580</v>
      </c>
      <c r="E1811" t="str">
        <f>"19643036011696"</f>
        <v>19643036011696</v>
      </c>
      <c r="F1811" s="8">
        <v>675</v>
      </c>
      <c r="G1811" s="8">
        <v>5555</v>
      </c>
      <c r="H1811" s="8">
        <v>1444</v>
      </c>
      <c r="I1811" s="8">
        <v>4982</v>
      </c>
    </row>
    <row r="1812" spans="1:9" x14ac:dyDescent="0.2">
      <c r="A1812" t="s">
        <v>436</v>
      </c>
      <c r="B1812" t="s">
        <v>515</v>
      </c>
      <c r="C1812" t="str">
        <f t="shared" si="98"/>
        <v>19643030000000</v>
      </c>
      <c r="D1812" t="s">
        <v>3655</v>
      </c>
      <c r="E1812" t="str">
        <f>"19643036011621"</f>
        <v>19643036011621</v>
      </c>
      <c r="F1812" s="8">
        <v>350</v>
      </c>
      <c r="G1812" s="8">
        <v>5837</v>
      </c>
      <c r="H1812" s="8">
        <v>1444</v>
      </c>
      <c r="I1812" s="8">
        <v>4982</v>
      </c>
    </row>
    <row r="1813" spans="1:9" x14ac:dyDescent="0.2">
      <c r="A1813" t="s">
        <v>436</v>
      </c>
      <c r="B1813" t="s">
        <v>515</v>
      </c>
      <c r="C1813" t="str">
        <f t="shared" si="98"/>
        <v>19643030000000</v>
      </c>
      <c r="D1813" t="s">
        <v>3656</v>
      </c>
      <c r="E1813" t="str">
        <f>"19643036011613"</f>
        <v>19643036011613</v>
      </c>
      <c r="F1813" s="8">
        <v>0</v>
      </c>
      <c r="G1813" s="8">
        <v>6155</v>
      </c>
      <c r="H1813" s="8">
        <v>1444</v>
      </c>
      <c r="I1813" s="8">
        <v>4982</v>
      </c>
    </row>
    <row r="1814" spans="1:9" x14ac:dyDescent="0.2">
      <c r="A1814" t="s">
        <v>436</v>
      </c>
      <c r="B1814" t="s">
        <v>515</v>
      </c>
      <c r="C1814" t="str">
        <f t="shared" si="98"/>
        <v>19643030000000</v>
      </c>
      <c r="D1814" t="s">
        <v>3657</v>
      </c>
      <c r="E1814" t="str">
        <f>"19643036011639"</f>
        <v>19643036011639</v>
      </c>
      <c r="F1814" s="8">
        <v>0</v>
      </c>
      <c r="G1814" s="8">
        <v>6122</v>
      </c>
      <c r="H1814" s="8">
        <v>1444</v>
      </c>
      <c r="I1814" s="8">
        <v>4982</v>
      </c>
    </row>
    <row r="1815" spans="1:9" x14ac:dyDescent="0.2">
      <c r="A1815" t="s">
        <v>436</v>
      </c>
      <c r="B1815" t="s">
        <v>515</v>
      </c>
      <c r="C1815" t="str">
        <f t="shared" si="98"/>
        <v>19643030000000</v>
      </c>
      <c r="D1815" t="s">
        <v>3658</v>
      </c>
      <c r="E1815" t="str">
        <f>"19643036011654"</f>
        <v>19643036011654</v>
      </c>
      <c r="F1815" s="8">
        <v>537</v>
      </c>
      <c r="G1815" s="8">
        <v>5181</v>
      </c>
      <c r="H1815" s="8">
        <v>1444</v>
      </c>
      <c r="I1815" s="8">
        <v>4982</v>
      </c>
    </row>
    <row r="1816" spans="1:9" x14ac:dyDescent="0.2">
      <c r="A1816" t="s">
        <v>436</v>
      </c>
      <c r="B1816" t="s">
        <v>515</v>
      </c>
      <c r="C1816" t="str">
        <f t="shared" si="98"/>
        <v>19643030000000</v>
      </c>
      <c r="D1816" t="s">
        <v>3659</v>
      </c>
      <c r="E1816" t="str">
        <f>"19643036011704"</f>
        <v>19643036011704</v>
      </c>
      <c r="F1816" s="8">
        <v>0</v>
      </c>
      <c r="G1816" s="8">
        <v>5608</v>
      </c>
      <c r="H1816" s="8">
        <v>1444</v>
      </c>
      <c r="I1816" s="8">
        <v>4982</v>
      </c>
    </row>
    <row r="1817" spans="1:9" x14ac:dyDescent="0.2">
      <c r="A1817" t="s">
        <v>436</v>
      </c>
      <c r="B1817" t="s">
        <v>515</v>
      </c>
      <c r="C1817" t="str">
        <f t="shared" si="98"/>
        <v>19643030000000</v>
      </c>
      <c r="D1817" t="s">
        <v>2094</v>
      </c>
      <c r="E1817" t="str">
        <f>"19643036057517"</f>
        <v>19643036057517</v>
      </c>
      <c r="F1817" s="8">
        <v>354</v>
      </c>
      <c r="G1817" s="8">
        <v>4497</v>
      </c>
      <c r="H1817" s="8">
        <v>1444</v>
      </c>
      <c r="I1817" s="8">
        <v>4982</v>
      </c>
    </row>
    <row r="1818" spans="1:9" x14ac:dyDescent="0.2">
      <c r="A1818" t="s">
        <v>436</v>
      </c>
      <c r="B1818" t="s">
        <v>518</v>
      </c>
      <c r="C1818" t="str">
        <f t="shared" ref="C1818:C1823" si="99">"19643110000000"</f>
        <v>19643110000000</v>
      </c>
      <c r="D1818" t="s">
        <v>3660</v>
      </c>
      <c r="E1818" t="str">
        <f>"19643111930981"</f>
        <v>19643111930981</v>
      </c>
      <c r="F1818" s="8">
        <v>101.71314102564102</v>
      </c>
      <c r="G1818" s="8">
        <v>12363.665865384615</v>
      </c>
      <c r="H1818" s="8">
        <v>1489.3517628205129</v>
      </c>
      <c r="I1818" s="8">
        <v>10647.766826923076</v>
      </c>
    </row>
    <row r="1819" spans="1:9" x14ac:dyDescent="0.2">
      <c r="A1819" t="s">
        <v>436</v>
      </c>
      <c r="B1819" t="s">
        <v>518</v>
      </c>
      <c r="C1819" t="str">
        <f t="shared" si="99"/>
        <v>19643110000000</v>
      </c>
      <c r="D1819" t="s">
        <v>3661</v>
      </c>
      <c r="E1819" t="str">
        <f>"19643116011746"</f>
        <v>19643116011746</v>
      </c>
      <c r="F1819" s="8">
        <v>210.38698630136986</v>
      </c>
      <c r="G1819" s="8">
        <v>10667.082191780823</v>
      </c>
      <c r="H1819" s="8">
        <v>1489.3515981735161</v>
      </c>
      <c r="I1819" s="8">
        <v>10647.767123287671</v>
      </c>
    </row>
    <row r="1820" spans="1:9" x14ac:dyDescent="0.2">
      <c r="A1820" t="s">
        <v>436</v>
      </c>
      <c r="B1820" t="s">
        <v>518</v>
      </c>
      <c r="C1820" t="str">
        <f t="shared" si="99"/>
        <v>19643110000000</v>
      </c>
      <c r="D1820" t="s">
        <v>2288</v>
      </c>
      <c r="E1820" t="str">
        <f>"19643116011779"</f>
        <v>19643116011779</v>
      </c>
      <c r="F1820" s="8">
        <v>421.33169934640523</v>
      </c>
      <c r="G1820" s="8">
        <v>10639.07679738562</v>
      </c>
      <c r="H1820" s="8">
        <v>1489.3513071895425</v>
      </c>
      <c r="I1820" s="8">
        <v>10647.76633986928</v>
      </c>
    </row>
    <row r="1821" spans="1:9" x14ac:dyDescent="0.2">
      <c r="A1821" t="s">
        <v>436</v>
      </c>
      <c r="B1821" t="s">
        <v>518</v>
      </c>
      <c r="C1821" t="str">
        <f t="shared" si="99"/>
        <v>19643110000000</v>
      </c>
      <c r="D1821" t="s">
        <v>3662</v>
      </c>
      <c r="E1821" t="str">
        <f>"19643116011761"</f>
        <v>19643116011761</v>
      </c>
      <c r="F1821" s="8">
        <v>129.16123188405797</v>
      </c>
      <c r="G1821" s="8">
        <v>11587.255434782608</v>
      </c>
      <c r="H1821" s="8">
        <v>1489.3514492753623</v>
      </c>
      <c r="I1821" s="8">
        <v>10647.766304347826</v>
      </c>
    </row>
    <row r="1822" spans="1:9" x14ac:dyDescent="0.2">
      <c r="A1822" t="s">
        <v>436</v>
      </c>
      <c r="B1822" t="s">
        <v>518</v>
      </c>
      <c r="C1822" t="str">
        <f t="shared" si="99"/>
        <v>19643110000000</v>
      </c>
      <c r="D1822" t="s">
        <v>3663</v>
      </c>
      <c r="E1822" t="str">
        <f>"19643111931021"</f>
        <v>19643111931021</v>
      </c>
      <c r="F1822" s="8">
        <v>0</v>
      </c>
      <c r="G1822" s="8">
        <v>346953</v>
      </c>
      <c r="H1822" s="8">
        <v>14894</v>
      </c>
      <c r="I1822" s="8">
        <v>106478</v>
      </c>
    </row>
    <row r="1823" spans="1:9" x14ac:dyDescent="0.2">
      <c r="A1823" t="s">
        <v>436</v>
      </c>
      <c r="B1823" t="s">
        <v>518</v>
      </c>
      <c r="C1823" t="str">
        <f t="shared" si="99"/>
        <v>19643110000000</v>
      </c>
      <c r="D1823" t="s">
        <v>3664</v>
      </c>
      <c r="E1823" t="str">
        <f>"19643116011753"</f>
        <v>19643116011753</v>
      </c>
      <c r="F1823" s="8">
        <v>0</v>
      </c>
      <c r="G1823" s="8">
        <v>71641</v>
      </c>
      <c r="H1823" s="8">
        <v>0</v>
      </c>
      <c r="I1823" s="8">
        <v>0</v>
      </c>
    </row>
    <row r="1824" spans="1:9" x14ac:dyDescent="0.2">
      <c r="A1824" t="s">
        <v>436</v>
      </c>
      <c r="B1824" t="s">
        <v>520</v>
      </c>
      <c r="C1824" t="str">
        <f t="shared" ref="C1824:C1838" si="100">"19643290000000"</f>
        <v>19643290000000</v>
      </c>
      <c r="D1824" t="s">
        <v>3665</v>
      </c>
      <c r="E1824" t="str">
        <f>"19643291995893"</f>
        <v>19643291995893</v>
      </c>
      <c r="F1824" s="8">
        <v>563</v>
      </c>
      <c r="G1824" s="8">
        <v>61007</v>
      </c>
      <c r="H1824" s="8">
        <v>0</v>
      </c>
      <c r="I1824" s="8">
        <v>0</v>
      </c>
    </row>
    <row r="1825" spans="1:9" x14ac:dyDescent="0.2">
      <c r="A1825" t="s">
        <v>436</v>
      </c>
      <c r="B1825" t="s">
        <v>520</v>
      </c>
      <c r="C1825" t="str">
        <f t="shared" si="100"/>
        <v>19643290000000</v>
      </c>
      <c r="D1825" t="s">
        <v>3666</v>
      </c>
      <c r="E1825" t="str">
        <f>"19643291937598"</f>
        <v>19643291937598</v>
      </c>
      <c r="F1825" s="8">
        <v>836</v>
      </c>
      <c r="G1825" s="8">
        <v>28976</v>
      </c>
      <c r="H1825" s="8">
        <v>0</v>
      </c>
      <c r="I1825" s="8">
        <v>0</v>
      </c>
    </row>
    <row r="1826" spans="1:9" x14ac:dyDescent="0.2">
      <c r="A1826" t="s">
        <v>436</v>
      </c>
      <c r="B1826" t="s">
        <v>520</v>
      </c>
      <c r="C1826" t="str">
        <f t="shared" si="100"/>
        <v>19643290000000</v>
      </c>
      <c r="D1826" t="s">
        <v>3667</v>
      </c>
      <c r="E1826" t="str">
        <f>"19643296011837"</f>
        <v>19643296011837</v>
      </c>
      <c r="F1826" s="8">
        <v>279</v>
      </c>
      <c r="G1826" s="8">
        <v>6906</v>
      </c>
      <c r="H1826" s="8">
        <v>0</v>
      </c>
      <c r="I1826" s="8">
        <v>0</v>
      </c>
    </row>
    <row r="1827" spans="1:9" x14ac:dyDescent="0.2">
      <c r="A1827" t="s">
        <v>436</v>
      </c>
      <c r="B1827" t="s">
        <v>520</v>
      </c>
      <c r="C1827" t="str">
        <f t="shared" si="100"/>
        <v>19643290000000</v>
      </c>
      <c r="D1827" t="s">
        <v>3668</v>
      </c>
      <c r="E1827" t="str">
        <f>"19643296011803"</f>
        <v>19643296011803</v>
      </c>
      <c r="F1827" s="8">
        <v>251</v>
      </c>
      <c r="G1827" s="8">
        <v>6519</v>
      </c>
      <c r="H1827" s="8">
        <v>0</v>
      </c>
      <c r="I1827" s="8">
        <v>0</v>
      </c>
    </row>
    <row r="1828" spans="1:9" x14ac:dyDescent="0.2">
      <c r="A1828" t="s">
        <v>436</v>
      </c>
      <c r="B1828" t="s">
        <v>520</v>
      </c>
      <c r="C1828" t="str">
        <f t="shared" si="100"/>
        <v>19643290000000</v>
      </c>
      <c r="D1828" t="s">
        <v>3669</v>
      </c>
      <c r="E1828" t="str">
        <f>"19643296011845"</f>
        <v>19643296011845</v>
      </c>
      <c r="F1828" s="8">
        <v>38</v>
      </c>
      <c r="G1828" s="8">
        <v>6624</v>
      </c>
      <c r="H1828" s="8">
        <v>0</v>
      </c>
      <c r="I1828" s="8">
        <v>0</v>
      </c>
    </row>
    <row r="1829" spans="1:9" x14ac:dyDescent="0.2">
      <c r="A1829" t="s">
        <v>436</v>
      </c>
      <c r="B1829" t="s">
        <v>520</v>
      </c>
      <c r="C1829" t="str">
        <f t="shared" si="100"/>
        <v>19643290000000</v>
      </c>
      <c r="D1829" t="s">
        <v>3670</v>
      </c>
      <c r="E1829" t="str">
        <f>"19643291937739"</f>
        <v>19643291937739</v>
      </c>
      <c r="F1829" s="8">
        <v>77</v>
      </c>
      <c r="G1829" s="8">
        <v>6460</v>
      </c>
      <c r="H1829" s="8">
        <v>0</v>
      </c>
      <c r="I1829" s="8">
        <v>0</v>
      </c>
    </row>
    <row r="1830" spans="1:9" x14ac:dyDescent="0.2">
      <c r="A1830" t="s">
        <v>436</v>
      </c>
      <c r="B1830" t="s">
        <v>520</v>
      </c>
      <c r="C1830" t="str">
        <f t="shared" si="100"/>
        <v>19643290000000</v>
      </c>
      <c r="D1830" t="s">
        <v>3671</v>
      </c>
      <c r="E1830" t="str">
        <f>"19643296011787"</f>
        <v>19643296011787</v>
      </c>
      <c r="F1830" s="8">
        <v>40</v>
      </c>
      <c r="G1830" s="8">
        <v>6414</v>
      </c>
      <c r="H1830" s="8">
        <v>0</v>
      </c>
      <c r="I1830" s="8">
        <v>0</v>
      </c>
    </row>
    <row r="1831" spans="1:9" x14ac:dyDescent="0.2">
      <c r="A1831" t="s">
        <v>436</v>
      </c>
      <c r="B1831" t="s">
        <v>520</v>
      </c>
      <c r="C1831" t="str">
        <f t="shared" si="100"/>
        <v>19643290000000</v>
      </c>
      <c r="D1831" t="s">
        <v>3672</v>
      </c>
      <c r="E1831" t="str">
        <f>"19643296011829"</f>
        <v>19643296011829</v>
      </c>
      <c r="F1831" s="8">
        <v>138</v>
      </c>
      <c r="G1831" s="8">
        <v>6132</v>
      </c>
      <c r="H1831" s="8">
        <v>0</v>
      </c>
      <c r="I1831" s="8">
        <v>0</v>
      </c>
    </row>
    <row r="1832" spans="1:9" x14ac:dyDescent="0.2">
      <c r="A1832" t="s">
        <v>436</v>
      </c>
      <c r="B1832" t="s">
        <v>520</v>
      </c>
      <c r="C1832" t="str">
        <f t="shared" si="100"/>
        <v>19643290000000</v>
      </c>
      <c r="D1832" t="s">
        <v>3673</v>
      </c>
      <c r="E1832" t="str">
        <f>"19643291931088"</f>
        <v>19643291931088</v>
      </c>
      <c r="F1832" s="8">
        <v>36</v>
      </c>
      <c r="G1832" s="8">
        <v>6209</v>
      </c>
      <c r="H1832" s="8">
        <v>0</v>
      </c>
      <c r="I1832" s="8">
        <v>0</v>
      </c>
    </row>
    <row r="1833" spans="1:9" x14ac:dyDescent="0.2">
      <c r="A1833" t="s">
        <v>436</v>
      </c>
      <c r="B1833" t="s">
        <v>520</v>
      </c>
      <c r="C1833" t="str">
        <f t="shared" si="100"/>
        <v>19643290000000</v>
      </c>
      <c r="D1833" t="s">
        <v>3674</v>
      </c>
      <c r="E1833" t="str">
        <f>"19643296011811"</f>
        <v>19643296011811</v>
      </c>
      <c r="F1833" s="8">
        <v>150</v>
      </c>
      <c r="G1833" s="8">
        <v>5987</v>
      </c>
      <c r="H1833" s="8">
        <v>0</v>
      </c>
      <c r="I1833" s="8">
        <v>0</v>
      </c>
    </row>
    <row r="1834" spans="1:9" x14ac:dyDescent="0.2">
      <c r="A1834" t="s">
        <v>436</v>
      </c>
      <c r="B1834" t="s">
        <v>520</v>
      </c>
      <c r="C1834" t="str">
        <f t="shared" si="100"/>
        <v>19643290000000</v>
      </c>
      <c r="D1834" t="s">
        <v>3675</v>
      </c>
      <c r="E1834" t="str">
        <f>"19643296110035"</f>
        <v>19643296110035</v>
      </c>
      <c r="F1834" s="8">
        <v>68</v>
      </c>
      <c r="G1834" s="8">
        <v>5744</v>
      </c>
      <c r="H1834" s="8">
        <v>0</v>
      </c>
      <c r="I1834" s="8">
        <v>0</v>
      </c>
    </row>
    <row r="1835" spans="1:9" x14ac:dyDescent="0.2">
      <c r="A1835" t="s">
        <v>436</v>
      </c>
      <c r="B1835" t="s">
        <v>520</v>
      </c>
      <c r="C1835" t="str">
        <f t="shared" si="100"/>
        <v>19643290000000</v>
      </c>
      <c r="D1835" t="s">
        <v>3676</v>
      </c>
      <c r="E1835" t="str">
        <f>"19643296071385"</f>
        <v>19643296071385</v>
      </c>
      <c r="F1835" s="8">
        <v>81</v>
      </c>
      <c r="G1835" s="8">
        <v>5728</v>
      </c>
      <c r="H1835" s="8">
        <v>0</v>
      </c>
      <c r="I1835" s="8">
        <v>0</v>
      </c>
    </row>
    <row r="1836" spans="1:9" x14ac:dyDescent="0.2">
      <c r="A1836" t="s">
        <v>436</v>
      </c>
      <c r="B1836" t="s">
        <v>520</v>
      </c>
      <c r="C1836" t="str">
        <f t="shared" si="100"/>
        <v>19643290000000</v>
      </c>
      <c r="D1836" t="s">
        <v>3677</v>
      </c>
      <c r="E1836" t="str">
        <f>"19643296011795"</f>
        <v>19643296011795</v>
      </c>
      <c r="F1836" s="8">
        <v>43</v>
      </c>
      <c r="G1836" s="8">
        <v>5594</v>
      </c>
      <c r="H1836" s="8">
        <v>0</v>
      </c>
      <c r="I1836" s="8">
        <v>0</v>
      </c>
    </row>
    <row r="1837" spans="1:9" x14ac:dyDescent="0.2">
      <c r="A1837" t="s">
        <v>436</v>
      </c>
      <c r="B1837" t="s">
        <v>520</v>
      </c>
      <c r="C1837" t="str">
        <f t="shared" si="100"/>
        <v>19643290000000</v>
      </c>
      <c r="D1837" t="s">
        <v>3678</v>
      </c>
      <c r="E1837" t="str">
        <f>"19643296011860"</f>
        <v>19643296011860</v>
      </c>
      <c r="F1837" s="8">
        <v>67</v>
      </c>
      <c r="G1837" s="8">
        <v>5320</v>
      </c>
      <c r="H1837" s="8">
        <v>0</v>
      </c>
      <c r="I1837" s="8">
        <v>0</v>
      </c>
    </row>
    <row r="1838" spans="1:9" x14ac:dyDescent="0.2">
      <c r="A1838" t="s">
        <v>436</v>
      </c>
      <c r="B1838" t="s">
        <v>520</v>
      </c>
      <c r="C1838" t="str">
        <f t="shared" si="100"/>
        <v>19643290000000</v>
      </c>
      <c r="D1838" t="s">
        <v>3679</v>
      </c>
      <c r="E1838" t="str">
        <f>"19643290130963"</f>
        <v>19643290130963</v>
      </c>
      <c r="F1838" s="8" t="s">
        <v>30</v>
      </c>
      <c r="G1838" s="8" t="s">
        <v>30</v>
      </c>
      <c r="H1838" s="8" t="s">
        <v>30</v>
      </c>
      <c r="I1838" s="8" t="s">
        <v>30</v>
      </c>
    </row>
    <row r="1839" spans="1:9" x14ac:dyDescent="0.2">
      <c r="A1839" t="s">
        <v>436</v>
      </c>
      <c r="B1839" t="s">
        <v>522</v>
      </c>
      <c r="C1839" t="str">
        <f t="shared" ref="C1839:C1858" si="101">"19643370000000"</f>
        <v>19643370000000</v>
      </c>
      <c r="D1839" t="s">
        <v>3680</v>
      </c>
      <c r="E1839" t="str">
        <f>"19643371996230"</f>
        <v>19643371996230</v>
      </c>
      <c r="F1839" s="8">
        <v>512</v>
      </c>
      <c r="G1839" s="8">
        <v>61361</v>
      </c>
      <c r="H1839" s="8">
        <v>11588</v>
      </c>
      <c r="I1839" s="8">
        <v>57991</v>
      </c>
    </row>
    <row r="1840" spans="1:9" x14ac:dyDescent="0.2">
      <c r="A1840" t="s">
        <v>436</v>
      </c>
      <c r="B1840" t="s">
        <v>522</v>
      </c>
      <c r="C1840" t="str">
        <f t="shared" si="101"/>
        <v>19643370000000</v>
      </c>
      <c r="D1840" t="s">
        <v>3681</v>
      </c>
      <c r="E1840" t="str">
        <f>"19643371995877"</f>
        <v>19643371995877</v>
      </c>
      <c r="F1840" s="8">
        <v>264</v>
      </c>
      <c r="G1840" s="8">
        <v>24453</v>
      </c>
      <c r="H1840" s="8">
        <v>32424</v>
      </c>
      <c r="I1840" s="8">
        <v>0</v>
      </c>
    </row>
    <row r="1841" spans="1:9" x14ac:dyDescent="0.2">
      <c r="A1841" t="s">
        <v>436</v>
      </c>
      <c r="B1841" t="s">
        <v>522</v>
      </c>
      <c r="C1841" t="str">
        <f t="shared" si="101"/>
        <v>19643370000000</v>
      </c>
      <c r="D1841" t="s">
        <v>3682</v>
      </c>
      <c r="E1841" t="str">
        <f>"19643371933332"</f>
        <v>19643371933332</v>
      </c>
      <c r="F1841" s="8">
        <v>132</v>
      </c>
      <c r="G1841" s="8">
        <v>19825</v>
      </c>
      <c r="H1841" s="8">
        <v>10127</v>
      </c>
      <c r="I1841" s="8">
        <v>17537</v>
      </c>
    </row>
    <row r="1842" spans="1:9" x14ac:dyDescent="0.2">
      <c r="A1842" t="s">
        <v>436</v>
      </c>
      <c r="B1842" t="s">
        <v>522</v>
      </c>
      <c r="C1842" t="str">
        <f t="shared" si="101"/>
        <v>19643370000000</v>
      </c>
      <c r="D1842" t="s">
        <v>3041</v>
      </c>
      <c r="E1842" t="str">
        <f>"19643376012025"</f>
        <v>19643376012025</v>
      </c>
      <c r="F1842" s="8">
        <v>381</v>
      </c>
      <c r="G1842" s="8">
        <v>8902</v>
      </c>
      <c r="H1842" s="8">
        <v>10644</v>
      </c>
      <c r="I1842" s="8">
        <v>6346</v>
      </c>
    </row>
    <row r="1843" spans="1:9" x14ac:dyDescent="0.2">
      <c r="A1843" t="s">
        <v>436</v>
      </c>
      <c r="B1843" t="s">
        <v>522</v>
      </c>
      <c r="C1843" t="str">
        <f t="shared" si="101"/>
        <v>19643370000000</v>
      </c>
      <c r="D1843" t="s">
        <v>3683</v>
      </c>
      <c r="E1843" t="str">
        <f>"19643376011993"</f>
        <v>19643376011993</v>
      </c>
      <c r="F1843" s="8">
        <v>419</v>
      </c>
      <c r="G1843" s="8">
        <v>8219</v>
      </c>
      <c r="H1843" s="8">
        <v>10273</v>
      </c>
      <c r="I1843" s="8">
        <v>6071</v>
      </c>
    </row>
    <row r="1844" spans="1:9" x14ac:dyDescent="0.2">
      <c r="A1844" t="s">
        <v>436</v>
      </c>
      <c r="B1844" t="s">
        <v>522</v>
      </c>
      <c r="C1844" t="str">
        <f t="shared" si="101"/>
        <v>19643370000000</v>
      </c>
      <c r="D1844" t="s">
        <v>3684</v>
      </c>
      <c r="E1844" t="str">
        <f>"19643376011951"</f>
        <v>19643376011951</v>
      </c>
      <c r="F1844" s="8">
        <v>302</v>
      </c>
      <c r="G1844" s="8">
        <v>7642</v>
      </c>
      <c r="H1844" s="8">
        <v>9489</v>
      </c>
      <c r="I1844" s="8">
        <v>6162</v>
      </c>
    </row>
    <row r="1845" spans="1:9" x14ac:dyDescent="0.2">
      <c r="A1845" t="s">
        <v>436</v>
      </c>
      <c r="B1845" t="s">
        <v>522</v>
      </c>
      <c r="C1845" t="str">
        <f t="shared" si="101"/>
        <v>19643370000000</v>
      </c>
      <c r="D1845" t="s">
        <v>3685</v>
      </c>
      <c r="E1845" t="str">
        <f>"19643376057533"</f>
        <v>19643376057533</v>
      </c>
      <c r="F1845" s="8">
        <v>334</v>
      </c>
      <c r="G1845" s="8">
        <v>7345</v>
      </c>
      <c r="H1845" s="8">
        <v>9331</v>
      </c>
      <c r="I1845" s="8">
        <v>6054</v>
      </c>
    </row>
    <row r="1846" spans="1:9" x14ac:dyDescent="0.2">
      <c r="A1846" t="s">
        <v>436</v>
      </c>
      <c r="B1846" t="s">
        <v>522</v>
      </c>
      <c r="C1846" t="str">
        <f t="shared" si="101"/>
        <v>19643370000000</v>
      </c>
      <c r="D1846" t="s">
        <v>2658</v>
      </c>
      <c r="E1846" t="str">
        <f>"19643376011878"</f>
        <v>19643376011878</v>
      </c>
      <c r="F1846" s="8">
        <v>293</v>
      </c>
      <c r="G1846" s="8">
        <v>7223</v>
      </c>
      <c r="H1846" s="8">
        <v>8757</v>
      </c>
      <c r="I1846" s="8">
        <v>6465</v>
      </c>
    </row>
    <row r="1847" spans="1:9" x14ac:dyDescent="0.2">
      <c r="A1847" t="s">
        <v>436</v>
      </c>
      <c r="B1847" t="s">
        <v>522</v>
      </c>
      <c r="C1847" t="str">
        <f t="shared" si="101"/>
        <v>19643370000000</v>
      </c>
      <c r="D1847" t="s">
        <v>2343</v>
      </c>
      <c r="E1847" t="str">
        <f>"19643376066724"</f>
        <v>19643376066724</v>
      </c>
      <c r="F1847" s="8">
        <v>337</v>
      </c>
      <c r="G1847" s="8">
        <v>6554</v>
      </c>
      <c r="H1847" s="8">
        <v>8976</v>
      </c>
      <c r="I1847" s="8">
        <v>5622</v>
      </c>
    </row>
    <row r="1848" spans="1:9" x14ac:dyDescent="0.2">
      <c r="A1848" t="s">
        <v>436</v>
      </c>
      <c r="B1848" t="s">
        <v>522</v>
      </c>
      <c r="C1848" t="str">
        <f t="shared" si="101"/>
        <v>19643370000000</v>
      </c>
      <c r="D1848" t="s">
        <v>2311</v>
      </c>
      <c r="E1848" t="str">
        <f>"19643376011969"</f>
        <v>19643376011969</v>
      </c>
      <c r="F1848" s="8">
        <v>268</v>
      </c>
      <c r="G1848" s="8">
        <v>6609</v>
      </c>
      <c r="H1848" s="8">
        <v>8844</v>
      </c>
      <c r="I1848" s="8">
        <v>5739</v>
      </c>
    </row>
    <row r="1849" spans="1:9" x14ac:dyDescent="0.2">
      <c r="A1849" t="s">
        <v>436</v>
      </c>
      <c r="B1849" t="s">
        <v>522</v>
      </c>
      <c r="C1849" t="str">
        <f t="shared" si="101"/>
        <v>19643370000000</v>
      </c>
      <c r="D1849" t="s">
        <v>3686</v>
      </c>
      <c r="E1849" t="str">
        <f>"19643376011894"</f>
        <v>19643376011894</v>
      </c>
      <c r="F1849" s="8">
        <v>257</v>
      </c>
      <c r="G1849" s="8">
        <v>6597</v>
      </c>
      <c r="H1849" s="8">
        <v>8865</v>
      </c>
      <c r="I1849" s="8">
        <v>5695</v>
      </c>
    </row>
    <row r="1850" spans="1:9" x14ac:dyDescent="0.2">
      <c r="A1850" t="s">
        <v>436</v>
      </c>
      <c r="B1850" t="s">
        <v>522</v>
      </c>
      <c r="C1850" t="str">
        <f t="shared" si="101"/>
        <v>19643370000000</v>
      </c>
      <c r="D1850" t="s">
        <v>3687</v>
      </c>
      <c r="E1850" t="str">
        <f>"19643376057525"</f>
        <v>19643376057525</v>
      </c>
      <c r="F1850" s="8">
        <v>326</v>
      </c>
      <c r="G1850" s="8">
        <v>6483</v>
      </c>
      <c r="H1850" s="8">
        <v>8805</v>
      </c>
      <c r="I1850" s="8">
        <v>5711</v>
      </c>
    </row>
    <row r="1851" spans="1:9" x14ac:dyDescent="0.2">
      <c r="A1851" t="s">
        <v>436</v>
      </c>
      <c r="B1851" t="s">
        <v>522</v>
      </c>
      <c r="C1851" t="str">
        <f t="shared" si="101"/>
        <v>19643370000000</v>
      </c>
      <c r="D1851" t="s">
        <v>3048</v>
      </c>
      <c r="E1851" t="str">
        <f>"19643376012009"</f>
        <v>19643376012009</v>
      </c>
      <c r="F1851" s="8">
        <v>46</v>
      </c>
      <c r="G1851" s="8">
        <v>6668</v>
      </c>
      <c r="H1851" s="8">
        <v>8937</v>
      </c>
      <c r="I1851" s="8">
        <v>5484</v>
      </c>
    </row>
    <row r="1852" spans="1:9" x14ac:dyDescent="0.2">
      <c r="A1852" t="s">
        <v>436</v>
      </c>
      <c r="B1852" t="s">
        <v>522</v>
      </c>
      <c r="C1852" t="str">
        <f t="shared" si="101"/>
        <v>19643370000000</v>
      </c>
      <c r="D1852" t="s">
        <v>3444</v>
      </c>
      <c r="E1852" t="str">
        <f>"19643376011910"</f>
        <v>19643376011910</v>
      </c>
      <c r="F1852" s="8">
        <v>85</v>
      </c>
      <c r="G1852" s="8">
        <v>6387</v>
      </c>
      <c r="H1852" s="8">
        <v>8618</v>
      </c>
      <c r="I1852" s="8">
        <v>5561</v>
      </c>
    </row>
    <row r="1853" spans="1:9" x14ac:dyDescent="0.2">
      <c r="A1853" t="s">
        <v>436</v>
      </c>
      <c r="B1853" t="s">
        <v>522</v>
      </c>
      <c r="C1853" t="str">
        <f t="shared" si="101"/>
        <v>19643370000000</v>
      </c>
      <c r="D1853" t="s">
        <v>3403</v>
      </c>
      <c r="E1853" t="str">
        <f>"19643371931237"</f>
        <v>19643371931237</v>
      </c>
      <c r="F1853" s="8">
        <v>73</v>
      </c>
      <c r="G1853" s="8">
        <v>6394</v>
      </c>
      <c r="H1853" s="8">
        <v>8719</v>
      </c>
      <c r="I1853" s="8">
        <v>5454</v>
      </c>
    </row>
    <row r="1854" spans="1:9" x14ac:dyDescent="0.2">
      <c r="A1854" t="s">
        <v>436</v>
      </c>
      <c r="B1854" t="s">
        <v>522</v>
      </c>
      <c r="C1854" t="str">
        <f t="shared" si="101"/>
        <v>19643370000000</v>
      </c>
      <c r="D1854" t="s">
        <v>3688</v>
      </c>
      <c r="E1854" t="str">
        <f>"19643376012017"</f>
        <v>19643376012017</v>
      </c>
      <c r="F1854" s="8">
        <v>74</v>
      </c>
      <c r="G1854" s="8">
        <v>6382</v>
      </c>
      <c r="H1854" s="8">
        <v>8746</v>
      </c>
      <c r="I1854" s="8">
        <v>5417</v>
      </c>
    </row>
    <row r="1855" spans="1:9" x14ac:dyDescent="0.2">
      <c r="A1855" t="s">
        <v>436</v>
      </c>
      <c r="B1855" t="s">
        <v>522</v>
      </c>
      <c r="C1855" t="str">
        <f t="shared" si="101"/>
        <v>19643370000000</v>
      </c>
      <c r="D1855" t="s">
        <v>3689</v>
      </c>
      <c r="E1855" t="str">
        <f>"19643371931187"</f>
        <v>19643371931187</v>
      </c>
      <c r="F1855" s="8">
        <v>77</v>
      </c>
      <c r="G1855" s="8">
        <v>6205</v>
      </c>
      <c r="H1855" s="8">
        <v>8699</v>
      </c>
      <c r="I1855" s="8">
        <v>5290</v>
      </c>
    </row>
    <row r="1856" spans="1:9" x14ac:dyDescent="0.2">
      <c r="A1856" t="s">
        <v>436</v>
      </c>
      <c r="B1856" t="s">
        <v>522</v>
      </c>
      <c r="C1856" t="str">
        <f t="shared" si="101"/>
        <v>19643370000000</v>
      </c>
      <c r="D1856" t="s">
        <v>3653</v>
      </c>
      <c r="E1856" t="str">
        <f>"19643376011928"</f>
        <v>19643376011928</v>
      </c>
      <c r="F1856" s="8">
        <v>57</v>
      </c>
      <c r="G1856" s="8">
        <v>6102</v>
      </c>
      <c r="H1856" s="8">
        <v>8243</v>
      </c>
      <c r="I1856" s="8">
        <v>5623</v>
      </c>
    </row>
    <row r="1857" spans="1:9" x14ac:dyDescent="0.2">
      <c r="A1857" t="s">
        <v>436</v>
      </c>
      <c r="B1857" t="s">
        <v>522</v>
      </c>
      <c r="C1857" t="str">
        <f t="shared" si="101"/>
        <v>19643370000000</v>
      </c>
      <c r="D1857" t="s">
        <v>3690</v>
      </c>
      <c r="E1857" t="str">
        <f>"19643376011886"</f>
        <v>19643376011886</v>
      </c>
      <c r="F1857" s="8">
        <v>57</v>
      </c>
      <c r="G1857" s="8">
        <v>6082</v>
      </c>
      <c r="H1857" s="8">
        <v>8109</v>
      </c>
      <c r="I1857" s="8">
        <v>5737</v>
      </c>
    </row>
    <row r="1858" spans="1:9" x14ac:dyDescent="0.2">
      <c r="A1858" t="s">
        <v>436</v>
      </c>
      <c r="B1858" t="s">
        <v>522</v>
      </c>
      <c r="C1858" t="str">
        <f t="shared" si="101"/>
        <v>19643370000000</v>
      </c>
      <c r="D1858" t="s">
        <v>3691</v>
      </c>
      <c r="E1858" t="str">
        <f>"19643370131573"</f>
        <v>19643370131573</v>
      </c>
      <c r="F1858" s="8">
        <v>0</v>
      </c>
      <c r="G1858" s="8">
        <v>5874</v>
      </c>
      <c r="H1858" s="8">
        <v>7706</v>
      </c>
      <c r="I1858" s="8">
        <v>5874</v>
      </c>
    </row>
    <row r="1859" spans="1:9" x14ac:dyDescent="0.2">
      <c r="A1859" t="s">
        <v>436</v>
      </c>
      <c r="B1859" t="s">
        <v>523</v>
      </c>
      <c r="C1859" t="str">
        <f>"19770160000000"</f>
        <v>19770160000000</v>
      </c>
      <c r="D1859" t="s">
        <v>3692</v>
      </c>
      <c r="E1859" t="str">
        <f>"19770160134007"</f>
        <v>19770160134007</v>
      </c>
      <c r="F1859" s="8" t="s">
        <v>30</v>
      </c>
      <c r="G1859" s="8" t="s">
        <v>30</v>
      </c>
      <c r="H1859" s="8" t="s">
        <v>30</v>
      </c>
      <c r="I1859" s="8" t="s">
        <v>30</v>
      </c>
    </row>
    <row r="1860" spans="1:9" x14ac:dyDescent="0.2">
      <c r="A1860" t="s">
        <v>436</v>
      </c>
      <c r="B1860" t="s">
        <v>534</v>
      </c>
      <c r="C1860" t="str">
        <f>"19643450000000"</f>
        <v>19643450000000</v>
      </c>
      <c r="D1860" t="s">
        <v>3693</v>
      </c>
      <c r="E1860" t="str">
        <f>"19643456106215"</f>
        <v>19643456106215</v>
      </c>
      <c r="F1860" s="8">
        <v>115</v>
      </c>
      <c r="G1860" s="8">
        <v>6821</v>
      </c>
      <c r="H1860" s="8">
        <v>2579</v>
      </c>
      <c r="I1860" s="8">
        <v>4192</v>
      </c>
    </row>
    <row r="1861" spans="1:9" x14ac:dyDescent="0.2">
      <c r="A1861" t="s">
        <v>436</v>
      </c>
      <c r="B1861" t="s">
        <v>534</v>
      </c>
      <c r="C1861" t="str">
        <f>"19643450000000"</f>
        <v>19643450000000</v>
      </c>
      <c r="D1861" t="s">
        <v>1688</v>
      </c>
      <c r="E1861" t="str">
        <f>"19643456107353"</f>
        <v>19643456107353</v>
      </c>
      <c r="F1861" s="8">
        <v>352</v>
      </c>
      <c r="G1861" s="8">
        <v>5711</v>
      </c>
      <c r="H1861" s="8">
        <v>2423</v>
      </c>
      <c r="I1861" s="8">
        <v>4192</v>
      </c>
    </row>
    <row r="1862" spans="1:9" x14ac:dyDescent="0.2">
      <c r="A1862" t="s">
        <v>436</v>
      </c>
      <c r="B1862" t="s">
        <v>534</v>
      </c>
      <c r="C1862" t="str">
        <f>"19643450000000"</f>
        <v>19643450000000</v>
      </c>
      <c r="D1862" t="s">
        <v>3694</v>
      </c>
      <c r="E1862" t="str">
        <f>"19643456012033"</f>
        <v>19643456012033</v>
      </c>
      <c r="F1862" s="8">
        <v>123</v>
      </c>
      <c r="G1862" s="8">
        <v>5455</v>
      </c>
      <c r="H1862" s="8">
        <v>2689</v>
      </c>
      <c r="I1862" s="8">
        <v>4192</v>
      </c>
    </row>
    <row r="1863" spans="1:9" x14ac:dyDescent="0.2">
      <c r="A1863" t="s">
        <v>436</v>
      </c>
      <c r="B1863" t="s">
        <v>534</v>
      </c>
      <c r="C1863" t="str">
        <f>"19643450000000"</f>
        <v>19643450000000</v>
      </c>
      <c r="D1863" t="s">
        <v>3695</v>
      </c>
      <c r="E1863" t="str">
        <f>"19643450101600"</f>
        <v>19643450101600</v>
      </c>
      <c r="F1863" s="8">
        <v>345</v>
      </c>
      <c r="G1863" s="8">
        <v>4842</v>
      </c>
      <c r="H1863" s="8">
        <v>2094</v>
      </c>
      <c r="I1863" s="8">
        <v>4192</v>
      </c>
    </row>
    <row r="1864" spans="1:9" x14ac:dyDescent="0.2">
      <c r="A1864" t="s">
        <v>436</v>
      </c>
      <c r="B1864" t="s">
        <v>537</v>
      </c>
      <c r="C1864" t="str">
        <f>"19643520000000"</f>
        <v>19643520000000</v>
      </c>
      <c r="D1864" t="s">
        <v>3696</v>
      </c>
      <c r="E1864" t="str">
        <f>"19643520118521"</f>
        <v>19643520118521</v>
      </c>
      <c r="F1864" s="8">
        <v>93</v>
      </c>
      <c r="G1864" s="8">
        <v>35514</v>
      </c>
      <c r="H1864" s="8">
        <v>1335</v>
      </c>
      <c r="I1864" s="8">
        <v>3501</v>
      </c>
    </row>
    <row r="1865" spans="1:9" x14ac:dyDescent="0.2">
      <c r="A1865" t="s">
        <v>436</v>
      </c>
      <c r="B1865" t="s">
        <v>537</v>
      </c>
      <c r="C1865" t="str">
        <f>"19643520000000"</f>
        <v>19643520000000</v>
      </c>
      <c r="D1865" t="s">
        <v>3697</v>
      </c>
      <c r="E1865" t="str">
        <f>"19643521930239"</f>
        <v>19643521930239</v>
      </c>
      <c r="F1865" s="8">
        <v>2278</v>
      </c>
      <c r="G1865" s="8">
        <v>19038</v>
      </c>
      <c r="H1865" s="8">
        <v>1335</v>
      </c>
      <c r="I1865" s="8">
        <v>3501</v>
      </c>
    </row>
    <row r="1866" spans="1:9" x14ac:dyDescent="0.2">
      <c r="A1866" t="s">
        <v>436</v>
      </c>
      <c r="B1866" t="s">
        <v>537</v>
      </c>
      <c r="C1866" t="str">
        <f>"19643520000000"</f>
        <v>19643520000000</v>
      </c>
      <c r="D1866" t="s">
        <v>3698</v>
      </c>
      <c r="E1866" t="str">
        <f>"19643521933951"</f>
        <v>19643521933951</v>
      </c>
      <c r="F1866" s="8">
        <v>2048</v>
      </c>
      <c r="G1866" s="8">
        <v>9384</v>
      </c>
      <c r="H1866" s="8">
        <v>1336</v>
      </c>
      <c r="I1866" s="8">
        <v>3505</v>
      </c>
    </row>
    <row r="1867" spans="1:9" x14ac:dyDescent="0.2">
      <c r="A1867" t="s">
        <v>436</v>
      </c>
      <c r="B1867" t="s">
        <v>537</v>
      </c>
      <c r="C1867" t="str">
        <f>"19643520000000"</f>
        <v>19643520000000</v>
      </c>
      <c r="D1867" t="s">
        <v>3699</v>
      </c>
      <c r="E1867" t="str">
        <f>"19643521934926"</f>
        <v>19643521934926</v>
      </c>
      <c r="F1867" s="8">
        <v>1808</v>
      </c>
      <c r="G1867" s="8">
        <v>9373</v>
      </c>
      <c r="H1867" s="8">
        <v>1336</v>
      </c>
      <c r="I1867" s="8">
        <v>3505</v>
      </c>
    </row>
    <row r="1868" spans="1:9" x14ac:dyDescent="0.2">
      <c r="A1868" t="s">
        <v>436</v>
      </c>
      <c r="B1868" t="s">
        <v>537</v>
      </c>
      <c r="C1868" t="str">
        <f>"19643520000000"</f>
        <v>19643520000000</v>
      </c>
      <c r="D1868" t="s">
        <v>3700</v>
      </c>
      <c r="E1868" t="str">
        <f>"19643521935048"</f>
        <v>19643521935048</v>
      </c>
      <c r="F1868" s="8">
        <v>1583</v>
      </c>
      <c r="G1868" s="8">
        <v>9242</v>
      </c>
      <c r="H1868" s="8">
        <v>1336</v>
      </c>
      <c r="I1868" s="8">
        <v>3505</v>
      </c>
    </row>
    <row r="1869" spans="1:9" x14ac:dyDescent="0.2">
      <c r="A1869" t="s">
        <v>436</v>
      </c>
      <c r="B1869" t="s">
        <v>541</v>
      </c>
      <c r="C1869" t="str">
        <f t="shared" ref="C1869:C1878" si="102">"19643780000000"</f>
        <v>19643780000000</v>
      </c>
      <c r="D1869" t="s">
        <v>3701</v>
      </c>
      <c r="E1869" t="str">
        <f>"19643781995927"</f>
        <v>19643781995927</v>
      </c>
      <c r="F1869" s="8">
        <v>1599</v>
      </c>
      <c r="G1869" s="8">
        <v>27831</v>
      </c>
      <c r="H1869" s="8">
        <v>1001</v>
      </c>
      <c r="I1869" s="8">
        <v>3797</v>
      </c>
    </row>
    <row r="1870" spans="1:9" x14ac:dyDescent="0.2">
      <c r="A1870" t="s">
        <v>436</v>
      </c>
      <c r="B1870" t="s">
        <v>541</v>
      </c>
      <c r="C1870" t="str">
        <f t="shared" si="102"/>
        <v>19643780000000</v>
      </c>
      <c r="D1870" t="s">
        <v>3702</v>
      </c>
      <c r="E1870" t="str">
        <f>"19643781930312"</f>
        <v>19643781930312</v>
      </c>
      <c r="F1870" s="8">
        <v>599</v>
      </c>
      <c r="G1870" s="8">
        <v>10320</v>
      </c>
      <c r="H1870" s="8">
        <v>1001</v>
      </c>
      <c r="I1870" s="8">
        <v>3797</v>
      </c>
    </row>
    <row r="1871" spans="1:9" x14ac:dyDescent="0.2">
      <c r="A1871" t="s">
        <v>436</v>
      </c>
      <c r="B1871" t="s">
        <v>541</v>
      </c>
      <c r="C1871" t="str">
        <f t="shared" si="102"/>
        <v>19643780000000</v>
      </c>
      <c r="D1871" t="s">
        <v>3703</v>
      </c>
      <c r="E1871" t="str">
        <f>"19643786012090"</f>
        <v>19643786012090</v>
      </c>
      <c r="F1871" s="8">
        <v>1012</v>
      </c>
      <c r="G1871" s="8">
        <v>8083</v>
      </c>
      <c r="H1871" s="8">
        <v>1001</v>
      </c>
      <c r="I1871" s="8">
        <v>3797</v>
      </c>
    </row>
    <row r="1872" spans="1:9" x14ac:dyDescent="0.2">
      <c r="A1872" t="s">
        <v>436</v>
      </c>
      <c r="B1872" t="s">
        <v>541</v>
      </c>
      <c r="C1872" t="str">
        <f t="shared" si="102"/>
        <v>19643780000000</v>
      </c>
      <c r="D1872" t="s">
        <v>3560</v>
      </c>
      <c r="E1872" t="str">
        <f>"19643786012140"</f>
        <v>19643786012140</v>
      </c>
      <c r="F1872" s="8">
        <v>941</v>
      </c>
      <c r="G1872" s="8">
        <v>8150</v>
      </c>
      <c r="H1872" s="8">
        <v>1001</v>
      </c>
      <c r="I1872" s="8">
        <v>3797</v>
      </c>
    </row>
    <row r="1873" spans="1:9" x14ac:dyDescent="0.2">
      <c r="A1873" t="s">
        <v>436</v>
      </c>
      <c r="B1873" t="s">
        <v>541</v>
      </c>
      <c r="C1873" t="str">
        <f t="shared" si="102"/>
        <v>19643780000000</v>
      </c>
      <c r="D1873" t="s">
        <v>3704</v>
      </c>
      <c r="E1873" t="str">
        <f>"19643786012116"</f>
        <v>19643786012116</v>
      </c>
      <c r="F1873" s="8">
        <v>266</v>
      </c>
      <c r="G1873" s="8">
        <v>8672</v>
      </c>
      <c r="H1873" s="8">
        <v>1001</v>
      </c>
      <c r="I1873" s="8">
        <v>3797</v>
      </c>
    </row>
    <row r="1874" spans="1:9" x14ac:dyDescent="0.2">
      <c r="A1874" t="s">
        <v>436</v>
      </c>
      <c r="B1874" t="s">
        <v>541</v>
      </c>
      <c r="C1874" t="str">
        <f t="shared" si="102"/>
        <v>19643780000000</v>
      </c>
      <c r="D1874" t="s">
        <v>3705</v>
      </c>
      <c r="E1874" t="str">
        <f>"19643786012066"</f>
        <v>19643786012066</v>
      </c>
      <c r="F1874" s="8">
        <v>549</v>
      </c>
      <c r="G1874" s="8">
        <v>7858</v>
      </c>
      <c r="H1874" s="8">
        <v>1001</v>
      </c>
      <c r="I1874" s="8">
        <v>3797</v>
      </c>
    </row>
    <row r="1875" spans="1:9" x14ac:dyDescent="0.2">
      <c r="A1875" t="s">
        <v>436</v>
      </c>
      <c r="B1875" t="s">
        <v>541</v>
      </c>
      <c r="C1875" t="str">
        <f t="shared" si="102"/>
        <v>19643780000000</v>
      </c>
      <c r="D1875" t="s">
        <v>3706</v>
      </c>
      <c r="E1875" t="str">
        <f>"19643786012041"</f>
        <v>19643786012041</v>
      </c>
      <c r="F1875" s="8">
        <v>603</v>
      </c>
      <c r="G1875" s="8">
        <v>7547</v>
      </c>
      <c r="H1875" s="8">
        <v>1001</v>
      </c>
      <c r="I1875" s="8">
        <v>3797</v>
      </c>
    </row>
    <row r="1876" spans="1:9" x14ac:dyDescent="0.2">
      <c r="A1876" t="s">
        <v>436</v>
      </c>
      <c r="B1876" t="s">
        <v>541</v>
      </c>
      <c r="C1876" t="str">
        <f t="shared" si="102"/>
        <v>19643780000000</v>
      </c>
      <c r="D1876" t="s">
        <v>3707</v>
      </c>
      <c r="E1876" t="str">
        <f>"19643781931666"</f>
        <v>19643781931666</v>
      </c>
      <c r="F1876" s="8">
        <v>206</v>
      </c>
      <c r="G1876" s="8">
        <v>7692</v>
      </c>
      <c r="H1876" s="8">
        <v>1001</v>
      </c>
      <c r="I1876" s="8">
        <v>3797</v>
      </c>
    </row>
    <row r="1877" spans="1:9" x14ac:dyDescent="0.2">
      <c r="A1877" t="s">
        <v>436</v>
      </c>
      <c r="B1877" t="s">
        <v>541</v>
      </c>
      <c r="C1877" t="str">
        <f t="shared" si="102"/>
        <v>19643780000000</v>
      </c>
      <c r="D1877" t="s">
        <v>2094</v>
      </c>
      <c r="E1877" t="str">
        <f>"19643786012132"</f>
        <v>19643786012132</v>
      </c>
      <c r="F1877" s="8">
        <v>336</v>
      </c>
      <c r="G1877" s="8">
        <v>7469</v>
      </c>
      <c r="H1877" s="8">
        <v>1001</v>
      </c>
      <c r="I1877" s="8">
        <v>3797</v>
      </c>
    </row>
    <row r="1878" spans="1:9" x14ac:dyDescent="0.2">
      <c r="A1878" t="s">
        <v>436</v>
      </c>
      <c r="B1878" t="s">
        <v>541</v>
      </c>
      <c r="C1878" t="str">
        <f t="shared" si="102"/>
        <v>19643780000000</v>
      </c>
      <c r="D1878" t="s">
        <v>3708</v>
      </c>
      <c r="E1878" t="str">
        <f>"19643781995885"</f>
        <v>19643781995885</v>
      </c>
      <c r="F1878" s="8">
        <v>315</v>
      </c>
      <c r="G1878" s="8">
        <v>5303</v>
      </c>
      <c r="H1878" s="8">
        <v>1001</v>
      </c>
      <c r="I1878" s="8">
        <v>3797</v>
      </c>
    </row>
    <row r="1879" spans="1:9" x14ac:dyDescent="0.2">
      <c r="A1879" t="s">
        <v>436</v>
      </c>
      <c r="B1879" t="s">
        <v>548</v>
      </c>
      <c r="C1879" t="str">
        <f t="shared" ref="C1879:C1890" si="103">"19643940000000"</f>
        <v>19643940000000</v>
      </c>
      <c r="D1879" t="s">
        <v>3709</v>
      </c>
      <c r="E1879" t="str">
        <f>"19643946012173"</f>
        <v>19643946012173</v>
      </c>
      <c r="F1879" s="8">
        <v>0</v>
      </c>
      <c r="G1879" s="8">
        <v>57694</v>
      </c>
      <c r="H1879" s="8">
        <v>944</v>
      </c>
      <c r="I1879" s="8">
        <v>4629</v>
      </c>
    </row>
    <row r="1880" spans="1:9" x14ac:dyDescent="0.2">
      <c r="A1880" t="s">
        <v>436</v>
      </c>
      <c r="B1880" t="s">
        <v>548</v>
      </c>
      <c r="C1880" t="str">
        <f t="shared" si="103"/>
        <v>19643940000000</v>
      </c>
      <c r="D1880" t="s">
        <v>3710</v>
      </c>
      <c r="E1880" t="str">
        <f>"19643941931807"</f>
        <v>19643941931807</v>
      </c>
      <c r="F1880" s="8">
        <v>117</v>
      </c>
      <c r="G1880" s="8">
        <v>11363</v>
      </c>
      <c r="H1880" s="8">
        <v>944</v>
      </c>
      <c r="I1880" s="8">
        <v>4629</v>
      </c>
    </row>
    <row r="1881" spans="1:9" x14ac:dyDescent="0.2">
      <c r="A1881" t="s">
        <v>436</v>
      </c>
      <c r="B1881" t="s">
        <v>548</v>
      </c>
      <c r="C1881" t="str">
        <f t="shared" si="103"/>
        <v>19643940000000</v>
      </c>
      <c r="D1881" t="s">
        <v>3711</v>
      </c>
      <c r="E1881" t="str">
        <f>"19643946012223"</f>
        <v>19643946012223</v>
      </c>
      <c r="F1881" s="8">
        <v>1144</v>
      </c>
      <c r="G1881" s="8">
        <v>7176</v>
      </c>
      <c r="H1881" s="8">
        <v>944</v>
      </c>
      <c r="I1881" s="8">
        <v>4629</v>
      </c>
    </row>
    <row r="1882" spans="1:9" x14ac:dyDescent="0.2">
      <c r="A1882" t="s">
        <v>436</v>
      </c>
      <c r="B1882" t="s">
        <v>548</v>
      </c>
      <c r="C1882" t="str">
        <f t="shared" si="103"/>
        <v>19643940000000</v>
      </c>
      <c r="D1882" t="s">
        <v>3712</v>
      </c>
      <c r="E1882" t="str">
        <f>"19643946012207"</f>
        <v>19643946012207</v>
      </c>
      <c r="F1882" s="8">
        <v>463</v>
      </c>
      <c r="G1882" s="8">
        <v>7753</v>
      </c>
      <c r="H1882" s="8">
        <v>944</v>
      </c>
      <c r="I1882" s="8">
        <v>4629</v>
      </c>
    </row>
    <row r="1883" spans="1:9" x14ac:dyDescent="0.2">
      <c r="A1883" t="s">
        <v>436</v>
      </c>
      <c r="B1883" t="s">
        <v>548</v>
      </c>
      <c r="C1883" t="str">
        <f t="shared" si="103"/>
        <v>19643940000000</v>
      </c>
      <c r="D1883" t="s">
        <v>3713</v>
      </c>
      <c r="E1883" t="str">
        <f>"19643946012199"</f>
        <v>19643946012199</v>
      </c>
      <c r="F1883" s="8">
        <v>1093</v>
      </c>
      <c r="G1883" s="8">
        <v>6719</v>
      </c>
      <c r="H1883" s="8">
        <v>944</v>
      </c>
      <c r="I1883" s="8">
        <v>4629</v>
      </c>
    </row>
    <row r="1884" spans="1:9" x14ac:dyDescent="0.2">
      <c r="A1884" t="s">
        <v>436</v>
      </c>
      <c r="B1884" t="s">
        <v>548</v>
      </c>
      <c r="C1884" t="str">
        <f t="shared" si="103"/>
        <v>19643940000000</v>
      </c>
      <c r="D1884" t="s">
        <v>710</v>
      </c>
      <c r="E1884" t="str">
        <f>"19643946012181"</f>
        <v>19643946012181</v>
      </c>
      <c r="F1884" s="8">
        <v>417</v>
      </c>
      <c r="G1884" s="8">
        <v>6245</v>
      </c>
      <c r="H1884" s="8">
        <v>944</v>
      </c>
      <c r="I1884" s="8">
        <v>4629</v>
      </c>
    </row>
    <row r="1885" spans="1:9" x14ac:dyDescent="0.2">
      <c r="A1885" t="s">
        <v>436</v>
      </c>
      <c r="B1885" t="s">
        <v>548</v>
      </c>
      <c r="C1885" t="str">
        <f t="shared" si="103"/>
        <v>19643940000000</v>
      </c>
      <c r="D1885" t="s">
        <v>3714</v>
      </c>
      <c r="E1885" t="str">
        <f>"19643946012157"</f>
        <v>19643946012157</v>
      </c>
      <c r="F1885" s="8">
        <v>38</v>
      </c>
      <c r="G1885" s="8">
        <v>5993</v>
      </c>
      <c r="H1885" s="8">
        <v>944</v>
      </c>
      <c r="I1885" s="8">
        <v>4629</v>
      </c>
    </row>
    <row r="1886" spans="1:9" x14ac:dyDescent="0.2">
      <c r="A1886" t="s">
        <v>436</v>
      </c>
      <c r="B1886" t="s">
        <v>548</v>
      </c>
      <c r="C1886" t="str">
        <f t="shared" si="103"/>
        <v>19643940000000</v>
      </c>
      <c r="D1886" t="s">
        <v>3715</v>
      </c>
      <c r="E1886" t="str">
        <f>"19643941931823"</f>
        <v>19643941931823</v>
      </c>
      <c r="F1886" s="8">
        <v>288</v>
      </c>
      <c r="G1886" s="8">
        <v>5576</v>
      </c>
      <c r="H1886" s="8">
        <v>944</v>
      </c>
      <c r="I1886" s="8">
        <v>4629</v>
      </c>
    </row>
    <row r="1887" spans="1:9" x14ac:dyDescent="0.2">
      <c r="A1887" t="s">
        <v>436</v>
      </c>
      <c r="B1887" t="s">
        <v>548</v>
      </c>
      <c r="C1887" t="str">
        <f t="shared" si="103"/>
        <v>19643940000000</v>
      </c>
      <c r="D1887" t="s">
        <v>3716</v>
      </c>
      <c r="E1887" t="str">
        <f>"19643946012165"</f>
        <v>19643946012165</v>
      </c>
      <c r="F1887" s="8">
        <v>243</v>
      </c>
      <c r="G1887" s="8">
        <v>5518</v>
      </c>
      <c r="H1887" s="8">
        <v>944</v>
      </c>
      <c r="I1887" s="8">
        <v>4629</v>
      </c>
    </row>
    <row r="1888" spans="1:9" x14ac:dyDescent="0.2">
      <c r="A1888" t="s">
        <v>436</v>
      </c>
      <c r="B1888" t="s">
        <v>548</v>
      </c>
      <c r="C1888" t="str">
        <f t="shared" si="103"/>
        <v>19643940000000</v>
      </c>
      <c r="D1888" t="s">
        <v>3717</v>
      </c>
      <c r="E1888" t="str">
        <f>"19643946012215"</f>
        <v>19643946012215</v>
      </c>
      <c r="F1888" s="8">
        <v>511</v>
      </c>
      <c r="G1888" s="8">
        <v>5036</v>
      </c>
      <c r="H1888" s="8">
        <v>944</v>
      </c>
      <c r="I1888" s="8">
        <v>4629</v>
      </c>
    </row>
    <row r="1889" spans="1:9" x14ac:dyDescent="0.2">
      <c r="A1889" t="s">
        <v>436</v>
      </c>
      <c r="B1889" t="s">
        <v>548</v>
      </c>
      <c r="C1889" t="str">
        <f t="shared" si="103"/>
        <v>19643940000000</v>
      </c>
      <c r="D1889" t="s">
        <v>3718</v>
      </c>
      <c r="E1889" t="str">
        <f>"19643946057541"</f>
        <v>19643946057541</v>
      </c>
      <c r="F1889" s="8">
        <v>0</v>
      </c>
      <c r="G1889" s="8">
        <v>5443</v>
      </c>
      <c r="H1889" s="8">
        <v>944</v>
      </c>
      <c r="I1889" s="8">
        <v>4629</v>
      </c>
    </row>
    <row r="1890" spans="1:9" x14ac:dyDescent="0.2">
      <c r="A1890" t="s">
        <v>436</v>
      </c>
      <c r="B1890" t="s">
        <v>548</v>
      </c>
      <c r="C1890" t="str">
        <f t="shared" si="103"/>
        <v>19643940000000</v>
      </c>
      <c r="D1890" t="s">
        <v>2248</v>
      </c>
      <c r="E1890" t="str">
        <f>"19643941996297"</f>
        <v>19643941996297</v>
      </c>
      <c r="F1890" s="8" t="s">
        <v>30</v>
      </c>
      <c r="G1890" s="8" t="s">
        <v>30</v>
      </c>
      <c r="H1890" s="8" t="s">
        <v>30</v>
      </c>
      <c r="I1890" s="8" t="s">
        <v>30</v>
      </c>
    </row>
    <row r="1891" spans="1:9" x14ac:dyDescent="0.2">
      <c r="A1891" t="s">
        <v>436</v>
      </c>
      <c r="B1891" t="s">
        <v>552</v>
      </c>
      <c r="C1891" t="str">
        <f t="shared" ref="C1891:C1927" si="104">"19734370000000"</f>
        <v>19734370000000</v>
      </c>
      <c r="D1891" t="s">
        <v>3719</v>
      </c>
      <c r="E1891" t="str">
        <f>"19734371996057"</f>
        <v>19734371996057</v>
      </c>
      <c r="F1891" s="8">
        <v>1758</v>
      </c>
      <c r="G1891" s="8">
        <v>12100</v>
      </c>
      <c r="H1891" s="8">
        <v>235</v>
      </c>
      <c r="I1891" s="8">
        <v>1148</v>
      </c>
    </row>
    <row r="1892" spans="1:9" x14ac:dyDescent="0.2">
      <c r="A1892" t="s">
        <v>436</v>
      </c>
      <c r="B1892" t="s">
        <v>552</v>
      </c>
      <c r="C1892" t="str">
        <f t="shared" si="104"/>
        <v>19734370000000</v>
      </c>
      <c r="D1892" t="s">
        <v>3325</v>
      </c>
      <c r="E1892" t="str">
        <f>"19734371931567"</f>
        <v>19734371931567</v>
      </c>
      <c r="F1892" s="8">
        <v>4896</v>
      </c>
      <c r="G1892" s="8">
        <v>7302</v>
      </c>
      <c r="H1892" s="8">
        <v>235</v>
      </c>
      <c r="I1892" s="8">
        <v>1148</v>
      </c>
    </row>
    <row r="1893" spans="1:9" x14ac:dyDescent="0.2">
      <c r="A1893" t="s">
        <v>436</v>
      </c>
      <c r="B1893" t="s">
        <v>552</v>
      </c>
      <c r="C1893" t="str">
        <f t="shared" si="104"/>
        <v>19734370000000</v>
      </c>
      <c r="D1893" t="s">
        <v>3720</v>
      </c>
      <c r="E1893" t="str">
        <f>"19734371995695"</f>
        <v>19734371995695</v>
      </c>
      <c r="F1893" s="8">
        <v>863</v>
      </c>
      <c r="G1893" s="8">
        <v>10882</v>
      </c>
      <c r="H1893" s="8">
        <v>235</v>
      </c>
      <c r="I1893" s="8">
        <v>1148</v>
      </c>
    </row>
    <row r="1894" spans="1:9" x14ac:dyDescent="0.2">
      <c r="A1894" t="s">
        <v>436</v>
      </c>
      <c r="B1894" t="s">
        <v>552</v>
      </c>
      <c r="C1894" t="str">
        <f t="shared" si="104"/>
        <v>19734370000000</v>
      </c>
      <c r="D1894" t="s">
        <v>3721</v>
      </c>
      <c r="E1894" t="str">
        <f>"19734376057566"</f>
        <v>19734376057566</v>
      </c>
      <c r="F1894" s="8">
        <v>1334</v>
      </c>
      <c r="G1894" s="8">
        <v>9765</v>
      </c>
      <c r="H1894" s="8">
        <v>235</v>
      </c>
      <c r="I1894" s="8">
        <v>1148</v>
      </c>
    </row>
    <row r="1895" spans="1:9" x14ac:dyDescent="0.2">
      <c r="A1895" t="s">
        <v>436</v>
      </c>
      <c r="B1895" t="s">
        <v>552</v>
      </c>
      <c r="C1895" t="str">
        <f t="shared" si="104"/>
        <v>19734370000000</v>
      </c>
      <c r="D1895" t="s">
        <v>3633</v>
      </c>
      <c r="E1895" t="str">
        <f>"19734376012280"</f>
        <v>19734376012280</v>
      </c>
      <c r="F1895" s="8">
        <v>1461</v>
      </c>
      <c r="G1895" s="8">
        <v>9360</v>
      </c>
      <c r="H1895" s="8">
        <v>235</v>
      </c>
      <c r="I1895" s="8">
        <v>1148</v>
      </c>
    </row>
    <row r="1896" spans="1:9" x14ac:dyDescent="0.2">
      <c r="A1896" t="s">
        <v>436</v>
      </c>
      <c r="B1896" t="s">
        <v>552</v>
      </c>
      <c r="C1896" t="str">
        <f t="shared" si="104"/>
        <v>19734370000000</v>
      </c>
      <c r="D1896" t="s">
        <v>3722</v>
      </c>
      <c r="E1896" t="str">
        <f>"19734376061279"</f>
        <v>19734376061279</v>
      </c>
      <c r="F1896" s="8">
        <v>1253</v>
      </c>
      <c r="G1896" s="8">
        <v>8741</v>
      </c>
      <c r="H1896" s="8">
        <v>235</v>
      </c>
      <c r="I1896" s="8">
        <v>1148</v>
      </c>
    </row>
    <row r="1897" spans="1:9" x14ac:dyDescent="0.2">
      <c r="A1897" t="s">
        <v>436</v>
      </c>
      <c r="B1897" t="s">
        <v>552</v>
      </c>
      <c r="C1897" t="str">
        <f t="shared" si="104"/>
        <v>19734370000000</v>
      </c>
      <c r="D1897" t="s">
        <v>3723</v>
      </c>
      <c r="E1897" t="str">
        <f>"19734376023782"</f>
        <v>19734376023782</v>
      </c>
      <c r="F1897" s="8">
        <v>1742</v>
      </c>
      <c r="G1897" s="8">
        <v>8033</v>
      </c>
      <c r="H1897" s="8">
        <v>235</v>
      </c>
      <c r="I1897" s="8">
        <v>1148</v>
      </c>
    </row>
    <row r="1898" spans="1:9" x14ac:dyDescent="0.2">
      <c r="A1898" t="s">
        <v>436</v>
      </c>
      <c r="B1898" t="s">
        <v>552</v>
      </c>
      <c r="C1898" t="str">
        <f t="shared" si="104"/>
        <v>19734370000000</v>
      </c>
      <c r="D1898" t="s">
        <v>3724</v>
      </c>
      <c r="E1898" t="str">
        <f>"19734370132969"</f>
        <v>19734370132969</v>
      </c>
      <c r="F1898" s="8">
        <v>375</v>
      </c>
      <c r="G1898" s="8">
        <v>9211</v>
      </c>
      <c r="H1898" s="8">
        <v>235</v>
      </c>
      <c r="I1898" s="8">
        <v>1148</v>
      </c>
    </row>
    <row r="1899" spans="1:9" x14ac:dyDescent="0.2">
      <c r="A1899" t="s">
        <v>436</v>
      </c>
      <c r="B1899" t="s">
        <v>552</v>
      </c>
      <c r="C1899" t="str">
        <f t="shared" si="104"/>
        <v>19734370000000</v>
      </c>
      <c r="D1899" t="s">
        <v>3725</v>
      </c>
      <c r="E1899" t="str">
        <f>"19734376057558"</f>
        <v>19734376057558</v>
      </c>
      <c r="F1899" s="8">
        <v>1851</v>
      </c>
      <c r="G1899" s="8">
        <v>7460</v>
      </c>
      <c r="H1899" s="8">
        <v>235</v>
      </c>
      <c r="I1899" s="8">
        <v>1148</v>
      </c>
    </row>
    <row r="1900" spans="1:9" x14ac:dyDescent="0.2">
      <c r="A1900" t="s">
        <v>436</v>
      </c>
      <c r="B1900" t="s">
        <v>552</v>
      </c>
      <c r="C1900" t="str">
        <f t="shared" si="104"/>
        <v>19734370000000</v>
      </c>
      <c r="D1900" t="s">
        <v>3726</v>
      </c>
      <c r="E1900" t="str">
        <f>"19734376012264"</f>
        <v>19734376012264</v>
      </c>
      <c r="F1900" s="8">
        <v>1526</v>
      </c>
      <c r="G1900" s="8">
        <v>7602</v>
      </c>
      <c r="H1900" s="8">
        <v>235</v>
      </c>
      <c r="I1900" s="8">
        <v>1148</v>
      </c>
    </row>
    <row r="1901" spans="1:9" x14ac:dyDescent="0.2">
      <c r="A1901" t="s">
        <v>436</v>
      </c>
      <c r="B1901" t="s">
        <v>552</v>
      </c>
      <c r="C1901" t="str">
        <f t="shared" si="104"/>
        <v>19734370000000</v>
      </c>
      <c r="D1901" t="s">
        <v>3727</v>
      </c>
      <c r="E1901" t="str">
        <f>"19734376057582"</f>
        <v>19734376057582</v>
      </c>
      <c r="F1901" s="8">
        <v>1503</v>
      </c>
      <c r="G1901" s="8">
        <v>7511</v>
      </c>
      <c r="H1901" s="8">
        <v>235</v>
      </c>
      <c r="I1901" s="8">
        <v>1148</v>
      </c>
    </row>
    <row r="1902" spans="1:9" x14ac:dyDescent="0.2">
      <c r="A1902" t="s">
        <v>436</v>
      </c>
      <c r="B1902" t="s">
        <v>552</v>
      </c>
      <c r="C1902" t="str">
        <f t="shared" si="104"/>
        <v>19734370000000</v>
      </c>
      <c r="D1902" t="s">
        <v>3728</v>
      </c>
      <c r="E1902" t="str">
        <f>"19734376023758"</f>
        <v>19734376023758</v>
      </c>
      <c r="F1902" s="8">
        <v>1224</v>
      </c>
      <c r="G1902" s="8">
        <v>7718</v>
      </c>
      <c r="H1902" s="8">
        <v>235</v>
      </c>
      <c r="I1902" s="8">
        <v>1148</v>
      </c>
    </row>
    <row r="1903" spans="1:9" x14ac:dyDescent="0.2">
      <c r="A1903" t="s">
        <v>436</v>
      </c>
      <c r="B1903" t="s">
        <v>552</v>
      </c>
      <c r="C1903" t="str">
        <f t="shared" si="104"/>
        <v>19734370000000</v>
      </c>
      <c r="D1903" t="s">
        <v>3729</v>
      </c>
      <c r="E1903" t="str">
        <f>"19734376012355"</f>
        <v>19734376012355</v>
      </c>
      <c r="F1903" s="8">
        <v>1161</v>
      </c>
      <c r="G1903" s="8">
        <v>7680</v>
      </c>
      <c r="H1903" s="8">
        <v>235</v>
      </c>
      <c r="I1903" s="8">
        <v>1148</v>
      </c>
    </row>
    <row r="1904" spans="1:9" x14ac:dyDescent="0.2">
      <c r="A1904" t="s">
        <v>436</v>
      </c>
      <c r="B1904" t="s">
        <v>552</v>
      </c>
      <c r="C1904" t="str">
        <f t="shared" si="104"/>
        <v>19734370000000</v>
      </c>
      <c r="D1904" t="s">
        <v>3730</v>
      </c>
      <c r="E1904" t="str">
        <f>"19734376066732"</f>
        <v>19734376066732</v>
      </c>
      <c r="F1904" s="8">
        <v>1713</v>
      </c>
      <c r="G1904" s="8">
        <v>6946</v>
      </c>
      <c r="H1904" s="8">
        <v>235</v>
      </c>
      <c r="I1904" s="8">
        <v>1148</v>
      </c>
    </row>
    <row r="1905" spans="1:9" x14ac:dyDescent="0.2">
      <c r="A1905" t="s">
        <v>436</v>
      </c>
      <c r="B1905" t="s">
        <v>552</v>
      </c>
      <c r="C1905" t="str">
        <f t="shared" si="104"/>
        <v>19734370000000</v>
      </c>
      <c r="D1905" t="s">
        <v>3731</v>
      </c>
      <c r="E1905" t="str">
        <f>"19734376023741"</f>
        <v>19734376023741</v>
      </c>
      <c r="F1905" s="8">
        <v>1214</v>
      </c>
      <c r="G1905" s="8">
        <v>7283</v>
      </c>
      <c r="H1905" s="8">
        <v>235</v>
      </c>
      <c r="I1905" s="8">
        <v>1148</v>
      </c>
    </row>
    <row r="1906" spans="1:9" x14ac:dyDescent="0.2">
      <c r="A1906" t="s">
        <v>436</v>
      </c>
      <c r="B1906" t="s">
        <v>552</v>
      </c>
      <c r="C1906" t="str">
        <f t="shared" si="104"/>
        <v>19734370000000</v>
      </c>
      <c r="D1906" t="s">
        <v>3732</v>
      </c>
      <c r="E1906" t="str">
        <f>"19734376013494"</f>
        <v>19734376013494</v>
      </c>
      <c r="F1906" s="8">
        <v>1390</v>
      </c>
      <c r="G1906" s="8">
        <v>7024</v>
      </c>
      <c r="H1906" s="8">
        <v>235</v>
      </c>
      <c r="I1906" s="8">
        <v>1148</v>
      </c>
    </row>
    <row r="1907" spans="1:9" x14ac:dyDescent="0.2">
      <c r="A1907" t="s">
        <v>436</v>
      </c>
      <c r="B1907" t="s">
        <v>552</v>
      </c>
      <c r="C1907" t="str">
        <f t="shared" si="104"/>
        <v>19734370000000</v>
      </c>
      <c r="D1907" t="s">
        <v>2349</v>
      </c>
      <c r="E1907" t="str">
        <f>"19734376013478"</f>
        <v>19734376013478</v>
      </c>
      <c r="F1907" s="8">
        <v>1288</v>
      </c>
      <c r="G1907" s="8">
        <v>6850</v>
      </c>
      <c r="H1907" s="8">
        <v>235</v>
      </c>
      <c r="I1907" s="8">
        <v>1148</v>
      </c>
    </row>
    <row r="1908" spans="1:9" x14ac:dyDescent="0.2">
      <c r="A1908" t="s">
        <v>436</v>
      </c>
      <c r="B1908" t="s">
        <v>552</v>
      </c>
      <c r="C1908" t="str">
        <f t="shared" si="104"/>
        <v>19734370000000</v>
      </c>
      <c r="D1908" t="s">
        <v>3733</v>
      </c>
      <c r="E1908" t="str">
        <f>"19734376012231"</f>
        <v>19734376012231</v>
      </c>
      <c r="F1908" s="8">
        <v>1488</v>
      </c>
      <c r="G1908" s="8">
        <v>6563</v>
      </c>
      <c r="H1908" s="8">
        <v>235</v>
      </c>
      <c r="I1908" s="8">
        <v>1148</v>
      </c>
    </row>
    <row r="1909" spans="1:9" x14ac:dyDescent="0.2">
      <c r="A1909" t="s">
        <v>436</v>
      </c>
      <c r="B1909" t="s">
        <v>552</v>
      </c>
      <c r="C1909" t="str">
        <f t="shared" si="104"/>
        <v>19734370000000</v>
      </c>
      <c r="D1909" t="s">
        <v>3734</v>
      </c>
      <c r="E1909" t="str">
        <f>"19734376012256"</f>
        <v>19734376012256</v>
      </c>
      <c r="F1909" s="8">
        <v>1199</v>
      </c>
      <c r="G1909" s="8">
        <v>6793</v>
      </c>
      <c r="H1909" s="8">
        <v>235</v>
      </c>
      <c r="I1909" s="8">
        <v>1148</v>
      </c>
    </row>
    <row r="1910" spans="1:9" x14ac:dyDescent="0.2">
      <c r="A1910" t="s">
        <v>436</v>
      </c>
      <c r="B1910" t="s">
        <v>552</v>
      </c>
      <c r="C1910" t="str">
        <f t="shared" si="104"/>
        <v>19734370000000</v>
      </c>
      <c r="D1910" t="s">
        <v>2290</v>
      </c>
      <c r="E1910" t="str">
        <f>"19734376061261"</f>
        <v>19734376061261</v>
      </c>
      <c r="F1910" s="8">
        <v>358</v>
      </c>
      <c r="G1910" s="8">
        <v>7591</v>
      </c>
      <c r="H1910" s="8">
        <v>235</v>
      </c>
      <c r="I1910" s="8">
        <v>1148</v>
      </c>
    </row>
    <row r="1911" spans="1:9" x14ac:dyDescent="0.2">
      <c r="A1911" t="s">
        <v>436</v>
      </c>
      <c r="B1911" t="s">
        <v>552</v>
      </c>
      <c r="C1911" t="str">
        <f t="shared" si="104"/>
        <v>19734370000000</v>
      </c>
      <c r="D1911" t="s">
        <v>1194</v>
      </c>
      <c r="E1911" t="str">
        <f>"19734376012298"</f>
        <v>19734376012298</v>
      </c>
      <c r="F1911" s="8">
        <v>1194</v>
      </c>
      <c r="G1911" s="8">
        <v>6749</v>
      </c>
      <c r="H1911" s="8">
        <v>235</v>
      </c>
      <c r="I1911" s="8">
        <v>1148</v>
      </c>
    </row>
    <row r="1912" spans="1:9" x14ac:dyDescent="0.2">
      <c r="A1912" t="s">
        <v>436</v>
      </c>
      <c r="B1912" t="s">
        <v>552</v>
      </c>
      <c r="C1912" t="str">
        <f t="shared" si="104"/>
        <v>19734370000000</v>
      </c>
      <c r="D1912" t="s">
        <v>3735</v>
      </c>
      <c r="E1912" t="str">
        <f>"19734376012314"</f>
        <v>19734376012314</v>
      </c>
      <c r="F1912" s="8">
        <v>1143</v>
      </c>
      <c r="G1912" s="8">
        <v>6791</v>
      </c>
      <c r="H1912" s="8">
        <v>235</v>
      </c>
      <c r="I1912" s="8">
        <v>1148</v>
      </c>
    </row>
    <row r="1913" spans="1:9" x14ac:dyDescent="0.2">
      <c r="A1913" t="s">
        <v>436</v>
      </c>
      <c r="B1913" t="s">
        <v>552</v>
      </c>
      <c r="C1913" t="str">
        <f t="shared" si="104"/>
        <v>19734370000000</v>
      </c>
      <c r="D1913" t="s">
        <v>2090</v>
      </c>
      <c r="E1913" t="str">
        <f>"19734376012272"</f>
        <v>19734376012272</v>
      </c>
      <c r="F1913" s="8">
        <v>1381</v>
      </c>
      <c r="G1913" s="8">
        <v>6546</v>
      </c>
      <c r="H1913" s="8">
        <v>235</v>
      </c>
      <c r="I1913" s="8">
        <v>1148</v>
      </c>
    </row>
    <row r="1914" spans="1:9" x14ac:dyDescent="0.2">
      <c r="A1914" t="s">
        <v>436</v>
      </c>
      <c r="B1914" t="s">
        <v>552</v>
      </c>
      <c r="C1914" t="str">
        <f t="shared" si="104"/>
        <v>19734370000000</v>
      </c>
      <c r="D1914" t="s">
        <v>2094</v>
      </c>
      <c r="E1914" t="str">
        <f>"19734376012413"</f>
        <v>19734376012413</v>
      </c>
      <c r="F1914" s="8">
        <v>823</v>
      </c>
      <c r="G1914" s="8">
        <v>7016</v>
      </c>
      <c r="H1914" s="8">
        <v>235</v>
      </c>
      <c r="I1914" s="8">
        <v>1148</v>
      </c>
    </row>
    <row r="1915" spans="1:9" x14ac:dyDescent="0.2">
      <c r="A1915" t="s">
        <v>436</v>
      </c>
      <c r="B1915" t="s">
        <v>552</v>
      </c>
      <c r="C1915" t="str">
        <f t="shared" si="104"/>
        <v>19734370000000</v>
      </c>
      <c r="D1915" t="s">
        <v>3246</v>
      </c>
      <c r="E1915" t="str">
        <f>"19734376012348"</f>
        <v>19734376012348</v>
      </c>
      <c r="F1915" s="8">
        <v>1470</v>
      </c>
      <c r="G1915" s="8">
        <v>6352</v>
      </c>
      <c r="H1915" s="8">
        <v>235</v>
      </c>
      <c r="I1915" s="8">
        <v>1148</v>
      </c>
    </row>
    <row r="1916" spans="1:9" x14ac:dyDescent="0.2">
      <c r="A1916" t="s">
        <v>436</v>
      </c>
      <c r="B1916" t="s">
        <v>552</v>
      </c>
      <c r="C1916" t="str">
        <f t="shared" si="104"/>
        <v>19734370000000</v>
      </c>
      <c r="D1916" t="s">
        <v>3736</v>
      </c>
      <c r="E1916" t="str">
        <f>"19734376012397"</f>
        <v>19734376012397</v>
      </c>
      <c r="F1916" s="8">
        <v>835</v>
      </c>
      <c r="G1916" s="8">
        <v>6928</v>
      </c>
      <c r="H1916" s="8">
        <v>235</v>
      </c>
      <c r="I1916" s="8">
        <v>1148</v>
      </c>
    </row>
    <row r="1917" spans="1:9" x14ac:dyDescent="0.2">
      <c r="A1917" t="s">
        <v>436</v>
      </c>
      <c r="B1917" t="s">
        <v>552</v>
      </c>
      <c r="C1917" t="str">
        <f t="shared" si="104"/>
        <v>19734370000000</v>
      </c>
      <c r="D1917" t="s">
        <v>3737</v>
      </c>
      <c r="E1917" t="str">
        <f>"19734376120877"</f>
        <v>19734376120877</v>
      </c>
      <c r="F1917" s="8">
        <v>1180</v>
      </c>
      <c r="G1917" s="8">
        <v>6565</v>
      </c>
      <c r="H1917" s="8">
        <v>235</v>
      </c>
      <c r="I1917" s="8">
        <v>1148</v>
      </c>
    </row>
    <row r="1918" spans="1:9" x14ac:dyDescent="0.2">
      <c r="A1918" t="s">
        <v>436</v>
      </c>
      <c r="B1918" t="s">
        <v>552</v>
      </c>
      <c r="C1918" t="str">
        <f t="shared" si="104"/>
        <v>19734370000000</v>
      </c>
      <c r="D1918" t="s">
        <v>3738</v>
      </c>
      <c r="E1918" t="str">
        <f>"19734371931963"</f>
        <v>19734371931963</v>
      </c>
      <c r="F1918" s="8">
        <v>1072</v>
      </c>
      <c r="G1918" s="8">
        <v>6567</v>
      </c>
      <c r="H1918" s="8">
        <v>235</v>
      </c>
      <c r="I1918" s="8">
        <v>1148</v>
      </c>
    </row>
    <row r="1919" spans="1:9" x14ac:dyDescent="0.2">
      <c r="A1919" t="s">
        <v>436</v>
      </c>
      <c r="B1919" t="s">
        <v>552</v>
      </c>
      <c r="C1919" t="str">
        <f t="shared" si="104"/>
        <v>19734370000000</v>
      </c>
      <c r="D1919" t="s">
        <v>3739</v>
      </c>
      <c r="E1919" t="str">
        <f>"19734376012322"</f>
        <v>19734376012322</v>
      </c>
      <c r="F1919" s="8">
        <v>1259</v>
      </c>
      <c r="G1919" s="8">
        <v>6345</v>
      </c>
      <c r="H1919" s="8">
        <v>235</v>
      </c>
      <c r="I1919" s="8">
        <v>1148</v>
      </c>
    </row>
    <row r="1920" spans="1:9" x14ac:dyDescent="0.2">
      <c r="A1920" t="s">
        <v>436</v>
      </c>
      <c r="B1920" t="s">
        <v>552</v>
      </c>
      <c r="C1920" t="str">
        <f t="shared" si="104"/>
        <v>19734370000000</v>
      </c>
      <c r="D1920" t="s">
        <v>3740</v>
      </c>
      <c r="E1920" t="str">
        <f>"19734376012405"</f>
        <v>19734376012405</v>
      </c>
      <c r="F1920" s="8">
        <v>776</v>
      </c>
      <c r="G1920" s="8">
        <v>6781</v>
      </c>
      <c r="H1920" s="8">
        <v>235</v>
      </c>
      <c r="I1920" s="8">
        <v>1148</v>
      </c>
    </row>
    <row r="1921" spans="1:9" x14ac:dyDescent="0.2">
      <c r="A1921" t="s">
        <v>436</v>
      </c>
      <c r="B1921" t="s">
        <v>552</v>
      </c>
      <c r="C1921" t="str">
        <f t="shared" si="104"/>
        <v>19734370000000</v>
      </c>
      <c r="D1921" t="s">
        <v>3741</v>
      </c>
      <c r="E1921" t="str">
        <f>"19734376012306"</f>
        <v>19734376012306</v>
      </c>
      <c r="F1921" s="8">
        <v>1156</v>
      </c>
      <c r="G1921" s="8">
        <v>6377</v>
      </c>
      <c r="H1921" s="8">
        <v>235</v>
      </c>
      <c r="I1921" s="8">
        <v>1148</v>
      </c>
    </row>
    <row r="1922" spans="1:9" x14ac:dyDescent="0.2">
      <c r="A1922" t="s">
        <v>436</v>
      </c>
      <c r="B1922" t="s">
        <v>552</v>
      </c>
      <c r="C1922" t="str">
        <f t="shared" si="104"/>
        <v>19734370000000</v>
      </c>
      <c r="D1922" t="s">
        <v>2347</v>
      </c>
      <c r="E1922" t="str">
        <f>"19734376012389"</f>
        <v>19734376012389</v>
      </c>
      <c r="F1922" s="8">
        <v>837</v>
      </c>
      <c r="G1922" s="8">
        <v>6474</v>
      </c>
      <c r="H1922" s="8">
        <v>235</v>
      </c>
      <c r="I1922" s="8">
        <v>1148</v>
      </c>
    </row>
    <row r="1923" spans="1:9" x14ac:dyDescent="0.2">
      <c r="A1923" t="s">
        <v>436</v>
      </c>
      <c r="B1923" t="s">
        <v>552</v>
      </c>
      <c r="C1923" t="str">
        <f t="shared" si="104"/>
        <v>19734370000000</v>
      </c>
      <c r="D1923" t="s">
        <v>3742</v>
      </c>
      <c r="E1923" t="str">
        <f>"19734371932326"</f>
        <v>19734371932326</v>
      </c>
      <c r="F1923" s="8">
        <v>1212</v>
      </c>
      <c r="G1923" s="8">
        <v>6055</v>
      </c>
      <c r="H1923" s="8">
        <v>235</v>
      </c>
      <c r="I1923" s="8">
        <v>1148</v>
      </c>
    </row>
    <row r="1924" spans="1:9" x14ac:dyDescent="0.2">
      <c r="A1924" t="s">
        <v>436</v>
      </c>
      <c r="B1924" t="s">
        <v>552</v>
      </c>
      <c r="C1924" t="str">
        <f t="shared" si="104"/>
        <v>19734370000000</v>
      </c>
      <c r="D1924" t="s">
        <v>3743</v>
      </c>
      <c r="E1924" t="str">
        <f>"19734376057590"</f>
        <v>19734376057590</v>
      </c>
      <c r="F1924" s="8">
        <v>1124</v>
      </c>
      <c r="G1924" s="8">
        <v>2112</v>
      </c>
      <c r="H1924" s="8">
        <v>235</v>
      </c>
      <c r="I1924" s="8">
        <v>1148</v>
      </c>
    </row>
    <row r="1925" spans="1:9" x14ac:dyDescent="0.2">
      <c r="A1925" t="s">
        <v>436</v>
      </c>
      <c r="B1925" t="s">
        <v>552</v>
      </c>
      <c r="C1925" t="str">
        <f t="shared" si="104"/>
        <v>19734370000000</v>
      </c>
      <c r="D1925" t="s">
        <v>3744</v>
      </c>
      <c r="E1925" t="str">
        <f>"19734371996040"</f>
        <v>19734371996040</v>
      </c>
      <c r="F1925" s="8" t="s">
        <v>30</v>
      </c>
      <c r="G1925" s="8" t="s">
        <v>30</v>
      </c>
      <c r="H1925" s="8" t="s">
        <v>30</v>
      </c>
      <c r="I1925" s="8" t="s">
        <v>30</v>
      </c>
    </row>
    <row r="1926" spans="1:9" x14ac:dyDescent="0.2">
      <c r="A1926" t="s">
        <v>436</v>
      </c>
      <c r="B1926" t="s">
        <v>552</v>
      </c>
      <c r="C1926" t="str">
        <f t="shared" si="104"/>
        <v>19734370000000</v>
      </c>
      <c r="D1926" t="s">
        <v>3745</v>
      </c>
      <c r="E1926" t="str">
        <f>"19734376114441"</f>
        <v>19734376114441</v>
      </c>
      <c r="F1926" s="8" t="s">
        <v>30</v>
      </c>
      <c r="G1926" s="8" t="s">
        <v>30</v>
      </c>
      <c r="H1926" s="8" t="s">
        <v>30</v>
      </c>
      <c r="I1926" s="8" t="s">
        <v>30</v>
      </c>
    </row>
    <row r="1927" spans="1:9" x14ac:dyDescent="0.2">
      <c r="A1927" t="s">
        <v>436</v>
      </c>
      <c r="B1927" t="s">
        <v>552</v>
      </c>
      <c r="C1927" t="str">
        <f t="shared" si="104"/>
        <v>19734370000000</v>
      </c>
      <c r="D1927" t="s">
        <v>3746</v>
      </c>
      <c r="E1927" t="str">
        <f>"19734370140533"</f>
        <v>19734370140533</v>
      </c>
      <c r="F1927" s="8" t="s">
        <v>30</v>
      </c>
      <c r="G1927" s="8" t="s">
        <v>30</v>
      </c>
      <c r="H1927" s="8" t="s">
        <v>30</v>
      </c>
      <c r="I1927" s="8" t="s">
        <v>30</v>
      </c>
    </row>
    <row r="1928" spans="1:9" x14ac:dyDescent="0.2">
      <c r="A1928" t="s">
        <v>436</v>
      </c>
      <c r="B1928" t="s">
        <v>553</v>
      </c>
      <c r="C1928" t="str">
        <f t="shared" ref="C1928:C1944" si="105">"19644360000000"</f>
        <v>19644360000000</v>
      </c>
      <c r="D1928" t="s">
        <v>3747</v>
      </c>
      <c r="E1928" t="str">
        <f>"19644361931617"</f>
        <v>19644361931617</v>
      </c>
      <c r="F1928" s="8">
        <v>241</v>
      </c>
      <c r="G1928" s="8">
        <v>11601</v>
      </c>
      <c r="H1928" s="8">
        <v>1426</v>
      </c>
      <c r="I1928" s="8">
        <v>4706</v>
      </c>
    </row>
    <row r="1929" spans="1:9" x14ac:dyDescent="0.2">
      <c r="A1929" t="s">
        <v>436</v>
      </c>
      <c r="B1929" t="s">
        <v>553</v>
      </c>
      <c r="C1929" t="str">
        <f t="shared" si="105"/>
        <v>19644360000000</v>
      </c>
      <c r="D1929" t="s">
        <v>3748</v>
      </c>
      <c r="E1929" t="str">
        <f>"19644366012447"</f>
        <v>19644366012447</v>
      </c>
      <c r="F1929" s="8">
        <v>586</v>
      </c>
      <c r="G1929" s="8">
        <v>7762</v>
      </c>
      <c r="H1929" s="8">
        <v>1426</v>
      </c>
      <c r="I1929" s="8">
        <v>4706</v>
      </c>
    </row>
    <row r="1930" spans="1:9" x14ac:dyDescent="0.2">
      <c r="A1930" t="s">
        <v>436</v>
      </c>
      <c r="B1930" t="s">
        <v>553</v>
      </c>
      <c r="C1930" t="str">
        <f t="shared" si="105"/>
        <v>19644360000000</v>
      </c>
      <c r="D1930" t="s">
        <v>3749</v>
      </c>
      <c r="E1930" t="str">
        <f>"19644366012512"</f>
        <v>19644366012512</v>
      </c>
      <c r="F1930" s="8">
        <v>337</v>
      </c>
      <c r="G1930" s="8">
        <v>7690</v>
      </c>
      <c r="H1930" s="8">
        <v>1426</v>
      </c>
      <c r="I1930" s="8">
        <v>4706</v>
      </c>
    </row>
    <row r="1931" spans="1:9" x14ac:dyDescent="0.2">
      <c r="A1931" t="s">
        <v>436</v>
      </c>
      <c r="B1931" t="s">
        <v>553</v>
      </c>
      <c r="C1931" t="str">
        <f t="shared" si="105"/>
        <v>19644360000000</v>
      </c>
      <c r="D1931" t="s">
        <v>3750</v>
      </c>
      <c r="E1931" t="str">
        <f>"19644361932086"</f>
        <v>19644361932086</v>
      </c>
      <c r="F1931" s="8">
        <v>1363</v>
      </c>
      <c r="G1931" s="8">
        <v>6637</v>
      </c>
      <c r="H1931" s="8">
        <v>1426</v>
      </c>
      <c r="I1931" s="8">
        <v>4706</v>
      </c>
    </row>
    <row r="1932" spans="1:9" x14ac:dyDescent="0.2">
      <c r="A1932" t="s">
        <v>436</v>
      </c>
      <c r="B1932" t="s">
        <v>553</v>
      </c>
      <c r="C1932" t="str">
        <f t="shared" si="105"/>
        <v>19644360000000</v>
      </c>
      <c r="D1932" t="s">
        <v>3751</v>
      </c>
      <c r="E1932" t="str">
        <f>"19644366012645"</f>
        <v>19644366012645</v>
      </c>
      <c r="F1932" s="8">
        <v>198</v>
      </c>
      <c r="G1932" s="8">
        <v>7669</v>
      </c>
      <c r="H1932" s="8">
        <v>1426</v>
      </c>
      <c r="I1932" s="8">
        <v>4706</v>
      </c>
    </row>
    <row r="1933" spans="1:9" x14ac:dyDescent="0.2">
      <c r="A1933" t="s">
        <v>436</v>
      </c>
      <c r="B1933" t="s">
        <v>553</v>
      </c>
      <c r="C1933" t="str">
        <f t="shared" si="105"/>
        <v>19644360000000</v>
      </c>
      <c r="D1933" t="s">
        <v>3752</v>
      </c>
      <c r="E1933" t="str">
        <f>"19644366012538"</f>
        <v>19644366012538</v>
      </c>
      <c r="F1933" s="8">
        <v>725</v>
      </c>
      <c r="G1933" s="8">
        <v>6760</v>
      </c>
      <c r="H1933" s="8">
        <v>1426</v>
      </c>
      <c r="I1933" s="8">
        <v>4706</v>
      </c>
    </row>
    <row r="1934" spans="1:9" x14ac:dyDescent="0.2">
      <c r="A1934" t="s">
        <v>436</v>
      </c>
      <c r="B1934" t="s">
        <v>553</v>
      </c>
      <c r="C1934" t="str">
        <f t="shared" si="105"/>
        <v>19644360000000</v>
      </c>
      <c r="D1934" t="s">
        <v>1006</v>
      </c>
      <c r="E1934" t="str">
        <f>"19644366012470"</f>
        <v>19644366012470</v>
      </c>
      <c r="F1934" s="8">
        <v>451</v>
      </c>
      <c r="G1934" s="8">
        <v>6971</v>
      </c>
      <c r="H1934" s="8">
        <v>1426</v>
      </c>
      <c r="I1934" s="8">
        <v>4706</v>
      </c>
    </row>
    <row r="1935" spans="1:9" x14ac:dyDescent="0.2">
      <c r="A1935" t="s">
        <v>436</v>
      </c>
      <c r="B1935" t="s">
        <v>553</v>
      </c>
      <c r="C1935" t="str">
        <f t="shared" si="105"/>
        <v>19644360000000</v>
      </c>
      <c r="D1935" t="s">
        <v>3753</v>
      </c>
      <c r="E1935" t="str">
        <f>"19644361936418"</f>
        <v>19644361936418</v>
      </c>
      <c r="F1935" s="8">
        <v>1149</v>
      </c>
      <c r="G1935" s="8">
        <v>6147</v>
      </c>
      <c r="H1935" s="8">
        <v>1426</v>
      </c>
      <c r="I1935" s="8">
        <v>4706</v>
      </c>
    </row>
    <row r="1936" spans="1:9" x14ac:dyDescent="0.2">
      <c r="A1936" t="s">
        <v>436</v>
      </c>
      <c r="B1936" t="s">
        <v>553</v>
      </c>
      <c r="C1936" t="str">
        <f t="shared" si="105"/>
        <v>19644360000000</v>
      </c>
      <c r="D1936" t="s">
        <v>3754</v>
      </c>
      <c r="E1936" t="str">
        <f>"19644366012553"</f>
        <v>19644366012553</v>
      </c>
      <c r="F1936" s="8">
        <v>182</v>
      </c>
      <c r="G1936" s="8">
        <v>7070</v>
      </c>
      <c r="H1936" s="8">
        <v>1426</v>
      </c>
      <c r="I1936" s="8">
        <v>4706</v>
      </c>
    </row>
    <row r="1937" spans="1:9" x14ac:dyDescent="0.2">
      <c r="A1937" t="s">
        <v>436</v>
      </c>
      <c r="B1937" t="s">
        <v>553</v>
      </c>
      <c r="C1937" t="str">
        <f t="shared" si="105"/>
        <v>19644360000000</v>
      </c>
      <c r="D1937" t="s">
        <v>3636</v>
      </c>
      <c r="E1937" t="str">
        <f>"19644366012595"</f>
        <v>19644366012595</v>
      </c>
      <c r="F1937" s="8">
        <v>413</v>
      </c>
      <c r="G1937" s="8">
        <v>6611</v>
      </c>
      <c r="H1937" s="8">
        <v>1426</v>
      </c>
      <c r="I1937" s="8">
        <v>4706</v>
      </c>
    </row>
    <row r="1938" spans="1:9" x14ac:dyDescent="0.2">
      <c r="A1938" t="s">
        <v>436</v>
      </c>
      <c r="B1938" t="s">
        <v>553</v>
      </c>
      <c r="C1938" t="str">
        <f t="shared" si="105"/>
        <v>19644360000000</v>
      </c>
      <c r="D1938" t="s">
        <v>3755</v>
      </c>
      <c r="E1938" t="str">
        <f>"19644366012611"</f>
        <v>19644366012611</v>
      </c>
      <c r="F1938" s="8">
        <v>452</v>
      </c>
      <c r="G1938" s="8">
        <v>6184</v>
      </c>
      <c r="H1938" s="8">
        <v>1426</v>
      </c>
      <c r="I1938" s="8">
        <v>4706</v>
      </c>
    </row>
    <row r="1939" spans="1:9" x14ac:dyDescent="0.2">
      <c r="A1939" t="s">
        <v>436</v>
      </c>
      <c r="B1939" t="s">
        <v>553</v>
      </c>
      <c r="C1939" t="str">
        <f t="shared" si="105"/>
        <v>19644360000000</v>
      </c>
      <c r="D1939" t="s">
        <v>3756</v>
      </c>
      <c r="E1939" t="str">
        <f>"19644361938372"</f>
        <v>19644361938372</v>
      </c>
      <c r="F1939" s="8">
        <v>434</v>
      </c>
      <c r="G1939" s="8">
        <v>6146</v>
      </c>
      <c r="H1939" s="8">
        <v>1426</v>
      </c>
      <c r="I1939" s="8">
        <v>4706</v>
      </c>
    </row>
    <row r="1940" spans="1:9" x14ac:dyDescent="0.2">
      <c r="A1940" t="s">
        <v>436</v>
      </c>
      <c r="B1940" t="s">
        <v>553</v>
      </c>
      <c r="C1940" t="str">
        <f t="shared" si="105"/>
        <v>19644360000000</v>
      </c>
      <c r="D1940" t="s">
        <v>3757</v>
      </c>
      <c r="E1940" t="str">
        <f>"19644366012587"</f>
        <v>19644366012587</v>
      </c>
      <c r="F1940" s="8">
        <v>208</v>
      </c>
      <c r="G1940" s="8">
        <v>6359</v>
      </c>
      <c r="H1940" s="8">
        <v>1426</v>
      </c>
      <c r="I1940" s="8">
        <v>4706</v>
      </c>
    </row>
    <row r="1941" spans="1:9" x14ac:dyDescent="0.2">
      <c r="A1941" t="s">
        <v>436</v>
      </c>
      <c r="B1941" t="s">
        <v>553</v>
      </c>
      <c r="C1941" t="str">
        <f t="shared" si="105"/>
        <v>19644360000000</v>
      </c>
      <c r="D1941" t="s">
        <v>3758</v>
      </c>
      <c r="E1941" t="str">
        <f>"19644366012439"</f>
        <v>19644366012439</v>
      </c>
      <c r="F1941" s="8">
        <v>219</v>
      </c>
      <c r="G1941" s="8">
        <v>6005</v>
      </c>
      <c r="H1941" s="8">
        <v>1426</v>
      </c>
      <c r="I1941" s="8">
        <v>4706</v>
      </c>
    </row>
    <row r="1942" spans="1:9" x14ac:dyDescent="0.2">
      <c r="A1942" t="s">
        <v>436</v>
      </c>
      <c r="B1942" t="s">
        <v>553</v>
      </c>
      <c r="C1942" t="str">
        <f t="shared" si="105"/>
        <v>19644360000000</v>
      </c>
      <c r="D1942" t="s">
        <v>3759</v>
      </c>
      <c r="E1942" t="str">
        <f>"19644366012561"</f>
        <v>19644366012561</v>
      </c>
      <c r="F1942" s="8">
        <v>193</v>
      </c>
      <c r="G1942" s="8">
        <v>5823</v>
      </c>
      <c r="H1942" s="8">
        <v>1426</v>
      </c>
      <c r="I1942" s="8">
        <v>4706</v>
      </c>
    </row>
    <row r="1943" spans="1:9" x14ac:dyDescent="0.2">
      <c r="A1943" t="s">
        <v>436</v>
      </c>
      <c r="B1943" t="s">
        <v>553</v>
      </c>
      <c r="C1943" t="str">
        <f t="shared" si="105"/>
        <v>19644360000000</v>
      </c>
      <c r="D1943" t="s">
        <v>106</v>
      </c>
      <c r="E1943" t="str">
        <f>"19644366012546"</f>
        <v>19644366012546</v>
      </c>
      <c r="F1943" s="8">
        <v>215</v>
      </c>
      <c r="G1943" s="8">
        <v>3998</v>
      </c>
      <c r="H1943" s="8">
        <v>1426</v>
      </c>
      <c r="I1943" s="8">
        <v>4706</v>
      </c>
    </row>
    <row r="1944" spans="1:9" x14ac:dyDescent="0.2">
      <c r="A1944" t="s">
        <v>436</v>
      </c>
      <c r="B1944" t="s">
        <v>553</v>
      </c>
      <c r="C1944" t="str">
        <f t="shared" si="105"/>
        <v>19644360000000</v>
      </c>
      <c r="D1944" t="s">
        <v>3760</v>
      </c>
      <c r="E1944" t="str">
        <f>"19644360140525"</f>
        <v>19644360140525</v>
      </c>
      <c r="F1944" s="8" t="s">
        <v>30</v>
      </c>
      <c r="G1944" s="8" t="s">
        <v>30</v>
      </c>
      <c r="H1944" s="8" t="s">
        <v>30</v>
      </c>
      <c r="I1944" s="8" t="s">
        <v>30</v>
      </c>
    </row>
    <row r="1945" spans="1:9" x14ac:dyDescent="0.2">
      <c r="A1945" t="s">
        <v>436</v>
      </c>
      <c r="B1945" t="s">
        <v>556</v>
      </c>
      <c r="C1945" t="str">
        <f t="shared" ref="C1945:C1953" si="106">"19644440000000"</f>
        <v>19644440000000</v>
      </c>
      <c r="D1945" t="s">
        <v>3761</v>
      </c>
      <c r="E1945" t="str">
        <f>"19644440128322"</f>
        <v>19644440128322</v>
      </c>
      <c r="F1945" s="8">
        <v>3959</v>
      </c>
      <c r="G1945" s="8">
        <v>4812</v>
      </c>
      <c r="H1945" s="8">
        <v>928</v>
      </c>
      <c r="I1945" s="8">
        <v>4272</v>
      </c>
    </row>
    <row r="1946" spans="1:9" x14ac:dyDescent="0.2">
      <c r="A1946" t="s">
        <v>436</v>
      </c>
      <c r="B1946" t="s">
        <v>556</v>
      </c>
      <c r="C1946" t="str">
        <f t="shared" si="106"/>
        <v>19644440000000</v>
      </c>
      <c r="D1946" t="s">
        <v>3762</v>
      </c>
      <c r="E1946" t="str">
        <f>"19644446012660"</f>
        <v>19644446012660</v>
      </c>
      <c r="F1946" s="8">
        <v>0</v>
      </c>
      <c r="G1946" s="8">
        <v>8396</v>
      </c>
      <c r="H1946" s="8">
        <v>928</v>
      </c>
      <c r="I1946" s="8">
        <v>4272</v>
      </c>
    </row>
    <row r="1947" spans="1:9" x14ac:dyDescent="0.2">
      <c r="A1947" t="s">
        <v>436</v>
      </c>
      <c r="B1947" t="s">
        <v>556</v>
      </c>
      <c r="C1947" t="str">
        <f t="shared" si="106"/>
        <v>19644440000000</v>
      </c>
      <c r="D1947" t="s">
        <v>3763</v>
      </c>
      <c r="E1947" t="str">
        <f>"19644446012702"</f>
        <v>19644446012702</v>
      </c>
      <c r="F1947" s="8">
        <v>376</v>
      </c>
      <c r="G1947" s="8">
        <v>7034</v>
      </c>
      <c r="H1947" s="8">
        <v>928</v>
      </c>
      <c r="I1947" s="8">
        <v>4272</v>
      </c>
    </row>
    <row r="1948" spans="1:9" x14ac:dyDescent="0.2">
      <c r="A1948" t="s">
        <v>436</v>
      </c>
      <c r="B1948" t="s">
        <v>556</v>
      </c>
      <c r="C1948" t="str">
        <f t="shared" si="106"/>
        <v>19644440000000</v>
      </c>
      <c r="D1948" t="s">
        <v>3764</v>
      </c>
      <c r="E1948" t="str">
        <f>"19644446012686"</f>
        <v>19644446012686</v>
      </c>
      <c r="F1948" s="8">
        <v>8</v>
      </c>
      <c r="G1948" s="8">
        <v>7110</v>
      </c>
      <c r="H1948" s="8">
        <v>928</v>
      </c>
      <c r="I1948" s="8">
        <v>4272</v>
      </c>
    </row>
    <row r="1949" spans="1:9" x14ac:dyDescent="0.2">
      <c r="A1949" t="s">
        <v>436</v>
      </c>
      <c r="B1949" t="s">
        <v>556</v>
      </c>
      <c r="C1949" t="str">
        <f t="shared" si="106"/>
        <v>19644440000000</v>
      </c>
      <c r="D1949" t="s">
        <v>3765</v>
      </c>
      <c r="E1949" t="str">
        <f>"19644441932201"</f>
        <v>19644441932201</v>
      </c>
      <c r="F1949" s="8">
        <v>210</v>
      </c>
      <c r="G1949" s="8">
        <v>6599</v>
      </c>
      <c r="H1949" s="8">
        <v>928</v>
      </c>
      <c r="I1949" s="8">
        <v>4272</v>
      </c>
    </row>
    <row r="1950" spans="1:9" x14ac:dyDescent="0.2">
      <c r="A1950" t="s">
        <v>436</v>
      </c>
      <c r="B1950" t="s">
        <v>556</v>
      </c>
      <c r="C1950" t="str">
        <f t="shared" si="106"/>
        <v>19644440000000</v>
      </c>
      <c r="D1950" t="s">
        <v>3766</v>
      </c>
      <c r="E1950" t="str">
        <f>"19644446012694"</f>
        <v>19644446012694</v>
      </c>
      <c r="F1950" s="8">
        <v>5</v>
      </c>
      <c r="G1950" s="8">
        <v>6576</v>
      </c>
      <c r="H1950" s="8">
        <v>928</v>
      </c>
      <c r="I1950" s="8">
        <v>4272</v>
      </c>
    </row>
    <row r="1951" spans="1:9" x14ac:dyDescent="0.2">
      <c r="A1951" t="s">
        <v>436</v>
      </c>
      <c r="B1951" t="s">
        <v>556</v>
      </c>
      <c r="C1951" t="str">
        <f t="shared" si="106"/>
        <v>19644440000000</v>
      </c>
      <c r="D1951" t="s">
        <v>3767</v>
      </c>
      <c r="E1951" t="str">
        <f>"19644446012678"</f>
        <v>19644446012678</v>
      </c>
      <c r="F1951" s="8">
        <v>9</v>
      </c>
      <c r="G1951" s="8">
        <v>6335</v>
      </c>
      <c r="H1951" s="8">
        <v>928</v>
      </c>
      <c r="I1951" s="8">
        <v>4272</v>
      </c>
    </row>
    <row r="1952" spans="1:9" x14ac:dyDescent="0.2">
      <c r="A1952" t="s">
        <v>436</v>
      </c>
      <c r="B1952" t="s">
        <v>556</v>
      </c>
      <c r="C1952" t="str">
        <f t="shared" si="106"/>
        <v>19644440000000</v>
      </c>
      <c r="D1952" t="s">
        <v>3768</v>
      </c>
      <c r="E1952" t="str">
        <f>"19644446057608"</f>
        <v>19644446057608</v>
      </c>
      <c r="F1952" s="8">
        <v>0</v>
      </c>
      <c r="G1952" s="8">
        <v>6003</v>
      </c>
      <c r="H1952" s="8">
        <v>928</v>
      </c>
      <c r="I1952" s="8">
        <v>4272</v>
      </c>
    </row>
    <row r="1953" spans="1:9" x14ac:dyDescent="0.2">
      <c r="A1953" t="s">
        <v>436</v>
      </c>
      <c r="B1953" t="s">
        <v>556</v>
      </c>
      <c r="C1953" t="str">
        <f t="shared" si="106"/>
        <v>19644440000000</v>
      </c>
      <c r="D1953" t="s">
        <v>3769</v>
      </c>
      <c r="E1953" t="str">
        <f>"19644441932656"</f>
        <v>19644441932656</v>
      </c>
      <c r="F1953" s="8" t="s">
        <v>30</v>
      </c>
      <c r="G1953" s="8" t="s">
        <v>30</v>
      </c>
      <c r="H1953" s="8" t="s">
        <v>30</v>
      </c>
      <c r="I1953" s="8" t="s">
        <v>30</v>
      </c>
    </row>
    <row r="1954" spans="1:9" x14ac:dyDescent="0.2">
      <c r="A1954" t="s">
        <v>436</v>
      </c>
      <c r="B1954" t="s">
        <v>564</v>
      </c>
      <c r="C1954" t="str">
        <f t="shared" ref="C1954:C1974" si="107">"19644510000000"</f>
        <v>19644510000000</v>
      </c>
      <c r="D1954" t="s">
        <v>3770</v>
      </c>
      <c r="E1954" t="str">
        <f>"19644511931625"</f>
        <v>19644511931625</v>
      </c>
      <c r="F1954" s="8">
        <v>278</v>
      </c>
      <c r="G1954" s="8">
        <v>11854</v>
      </c>
      <c r="H1954" s="8">
        <v>1185</v>
      </c>
      <c r="I1954" s="8">
        <v>3967</v>
      </c>
    </row>
    <row r="1955" spans="1:9" x14ac:dyDescent="0.2">
      <c r="A1955" t="s">
        <v>436</v>
      </c>
      <c r="B1955" t="s">
        <v>564</v>
      </c>
      <c r="C1955" t="str">
        <f t="shared" si="107"/>
        <v>19644510000000</v>
      </c>
      <c r="D1955" t="s">
        <v>3771</v>
      </c>
      <c r="E1955" t="str">
        <f>"19644510135335"</f>
        <v>19644510135335</v>
      </c>
      <c r="F1955" s="8">
        <v>278</v>
      </c>
      <c r="G1955" s="8">
        <v>11854</v>
      </c>
      <c r="H1955" s="8">
        <v>1185</v>
      </c>
      <c r="I1955" s="8">
        <v>3967</v>
      </c>
    </row>
    <row r="1956" spans="1:9" x14ac:dyDescent="0.2">
      <c r="A1956" t="s">
        <v>436</v>
      </c>
      <c r="B1956" t="s">
        <v>564</v>
      </c>
      <c r="C1956" t="str">
        <f t="shared" si="107"/>
        <v>19644510000000</v>
      </c>
      <c r="D1956" t="s">
        <v>3772</v>
      </c>
      <c r="E1956" t="str">
        <f>"19644516057632"</f>
        <v>19644516057632</v>
      </c>
      <c r="F1956" s="8">
        <v>178</v>
      </c>
      <c r="G1956" s="8">
        <v>7944</v>
      </c>
      <c r="H1956" s="8">
        <v>1185</v>
      </c>
      <c r="I1956" s="8">
        <v>3967</v>
      </c>
    </row>
    <row r="1957" spans="1:9" x14ac:dyDescent="0.2">
      <c r="A1957" t="s">
        <v>436</v>
      </c>
      <c r="B1957" t="s">
        <v>564</v>
      </c>
      <c r="C1957" t="str">
        <f t="shared" si="107"/>
        <v>19644510000000</v>
      </c>
      <c r="D1957" t="s">
        <v>3773</v>
      </c>
      <c r="E1957" t="str">
        <f>"19644511939164"</f>
        <v>19644511939164</v>
      </c>
      <c r="F1957" s="8">
        <v>154</v>
      </c>
      <c r="G1957" s="8">
        <v>7734</v>
      </c>
      <c r="H1957" s="8">
        <v>1187</v>
      </c>
      <c r="I1957" s="8">
        <v>4101</v>
      </c>
    </row>
    <row r="1958" spans="1:9" x14ac:dyDescent="0.2">
      <c r="A1958" t="s">
        <v>436</v>
      </c>
      <c r="B1958" t="s">
        <v>564</v>
      </c>
      <c r="C1958" t="str">
        <f t="shared" si="107"/>
        <v>19644510000000</v>
      </c>
      <c r="D1958" t="s">
        <v>3774</v>
      </c>
      <c r="E1958" t="str">
        <f>"19644516012793"</f>
        <v>19644516012793</v>
      </c>
      <c r="F1958" s="8">
        <v>355</v>
      </c>
      <c r="G1958" s="8">
        <v>4300</v>
      </c>
      <c r="H1958" s="8">
        <v>1118</v>
      </c>
      <c r="I1958" s="8">
        <v>7186</v>
      </c>
    </row>
    <row r="1959" spans="1:9" x14ac:dyDescent="0.2">
      <c r="A1959" t="s">
        <v>436</v>
      </c>
      <c r="B1959" t="s">
        <v>564</v>
      </c>
      <c r="C1959" t="str">
        <f t="shared" si="107"/>
        <v>19644510000000</v>
      </c>
      <c r="D1959" t="s">
        <v>3775</v>
      </c>
      <c r="E1959" t="str">
        <f>"19644516057640"</f>
        <v>19644516057640</v>
      </c>
      <c r="F1959" s="8">
        <v>236</v>
      </c>
      <c r="G1959" s="8">
        <v>7467</v>
      </c>
      <c r="H1959" s="8">
        <v>1185</v>
      </c>
      <c r="I1959" s="8">
        <v>3967</v>
      </c>
    </row>
    <row r="1960" spans="1:9" x14ac:dyDescent="0.2">
      <c r="A1960" t="s">
        <v>436</v>
      </c>
      <c r="B1960" t="s">
        <v>564</v>
      </c>
      <c r="C1960" t="str">
        <f t="shared" si="107"/>
        <v>19644510000000</v>
      </c>
      <c r="D1960" t="s">
        <v>3776</v>
      </c>
      <c r="E1960" t="str">
        <f>"19644516057624"</f>
        <v>19644516057624</v>
      </c>
      <c r="F1960" s="8">
        <v>287</v>
      </c>
      <c r="G1960" s="8">
        <v>7378</v>
      </c>
      <c r="H1960" s="8">
        <v>1185</v>
      </c>
      <c r="I1960" s="8">
        <v>3967</v>
      </c>
    </row>
    <row r="1961" spans="1:9" x14ac:dyDescent="0.2">
      <c r="A1961" t="s">
        <v>436</v>
      </c>
      <c r="B1961" t="s">
        <v>564</v>
      </c>
      <c r="C1961" t="str">
        <f t="shared" si="107"/>
        <v>19644510000000</v>
      </c>
      <c r="D1961" t="s">
        <v>3777</v>
      </c>
      <c r="E1961" t="str">
        <f>"19644516057616"</f>
        <v>19644516057616</v>
      </c>
      <c r="F1961" s="8">
        <v>349</v>
      </c>
      <c r="G1961" s="8">
        <v>7290</v>
      </c>
      <c r="H1961" s="8">
        <v>1185</v>
      </c>
      <c r="I1961" s="8">
        <v>3967</v>
      </c>
    </row>
    <row r="1962" spans="1:9" x14ac:dyDescent="0.2">
      <c r="A1962" t="s">
        <v>436</v>
      </c>
      <c r="B1962" t="s">
        <v>564</v>
      </c>
      <c r="C1962" t="str">
        <f t="shared" si="107"/>
        <v>19644510000000</v>
      </c>
      <c r="D1962" t="s">
        <v>3778</v>
      </c>
      <c r="E1962" t="str">
        <f>"19644516012835"</f>
        <v>19644516012835</v>
      </c>
      <c r="F1962" s="8">
        <v>251</v>
      </c>
      <c r="G1962" s="8">
        <v>4204</v>
      </c>
      <c r="H1962" s="8">
        <v>1118</v>
      </c>
      <c r="I1962" s="8">
        <v>7186</v>
      </c>
    </row>
    <row r="1963" spans="1:9" x14ac:dyDescent="0.2">
      <c r="A1963" t="s">
        <v>436</v>
      </c>
      <c r="B1963" t="s">
        <v>564</v>
      </c>
      <c r="C1963" t="str">
        <f t="shared" si="107"/>
        <v>19644510000000</v>
      </c>
      <c r="D1963" t="s">
        <v>3779</v>
      </c>
      <c r="E1963" t="str">
        <f>"19644511932441"</f>
        <v>19644511932441</v>
      </c>
      <c r="F1963" s="8">
        <v>202</v>
      </c>
      <c r="G1963" s="8">
        <v>7255</v>
      </c>
      <c r="H1963" s="8">
        <v>1187</v>
      </c>
      <c r="I1963" s="8">
        <v>4101</v>
      </c>
    </row>
    <row r="1964" spans="1:9" x14ac:dyDescent="0.2">
      <c r="A1964" t="s">
        <v>436</v>
      </c>
      <c r="B1964" t="s">
        <v>564</v>
      </c>
      <c r="C1964" t="str">
        <f t="shared" si="107"/>
        <v>19644510000000</v>
      </c>
      <c r="D1964" t="s">
        <v>3780</v>
      </c>
      <c r="E1964" t="str">
        <f>"19644516012876"</f>
        <v>19644516012876</v>
      </c>
      <c r="F1964" s="8">
        <v>269</v>
      </c>
      <c r="G1964" s="8">
        <v>4170</v>
      </c>
      <c r="H1964" s="8">
        <v>1118</v>
      </c>
      <c r="I1964" s="8">
        <v>7186</v>
      </c>
    </row>
    <row r="1965" spans="1:9" x14ac:dyDescent="0.2">
      <c r="A1965" t="s">
        <v>436</v>
      </c>
      <c r="B1965" t="s">
        <v>564</v>
      </c>
      <c r="C1965" t="str">
        <f t="shared" si="107"/>
        <v>19644510000000</v>
      </c>
      <c r="D1965" t="s">
        <v>3781</v>
      </c>
      <c r="E1965" t="str">
        <f>"19644516012868"</f>
        <v>19644516012868</v>
      </c>
      <c r="F1965" s="8">
        <v>420</v>
      </c>
      <c r="G1965" s="8">
        <v>3964</v>
      </c>
      <c r="H1965" s="8">
        <v>1118</v>
      </c>
      <c r="I1965" s="8">
        <v>7186</v>
      </c>
    </row>
    <row r="1966" spans="1:9" x14ac:dyDescent="0.2">
      <c r="A1966" t="s">
        <v>436</v>
      </c>
      <c r="B1966" t="s">
        <v>564</v>
      </c>
      <c r="C1966" t="str">
        <f t="shared" si="107"/>
        <v>19644510000000</v>
      </c>
      <c r="D1966" t="s">
        <v>3782</v>
      </c>
      <c r="E1966" t="str">
        <f>"19644516012751"</f>
        <v>19644516012751</v>
      </c>
      <c r="F1966" s="8">
        <v>365</v>
      </c>
      <c r="G1966" s="8">
        <v>4000</v>
      </c>
      <c r="H1966" s="8">
        <v>1118</v>
      </c>
      <c r="I1966" s="8">
        <v>7186</v>
      </c>
    </row>
    <row r="1967" spans="1:9" x14ac:dyDescent="0.2">
      <c r="A1967" t="s">
        <v>436</v>
      </c>
      <c r="B1967" t="s">
        <v>564</v>
      </c>
      <c r="C1967" t="str">
        <f t="shared" si="107"/>
        <v>19644510000000</v>
      </c>
      <c r="D1967" t="s">
        <v>3783</v>
      </c>
      <c r="E1967" t="str">
        <f>"19644516012819"</f>
        <v>19644516012819</v>
      </c>
      <c r="F1967" s="8">
        <v>480</v>
      </c>
      <c r="G1967" s="8">
        <v>3652</v>
      </c>
      <c r="H1967" s="8">
        <v>1118</v>
      </c>
      <c r="I1967" s="8">
        <v>7186</v>
      </c>
    </row>
    <row r="1968" spans="1:9" x14ac:dyDescent="0.2">
      <c r="A1968" t="s">
        <v>436</v>
      </c>
      <c r="B1968" t="s">
        <v>564</v>
      </c>
      <c r="C1968" t="str">
        <f t="shared" si="107"/>
        <v>19644510000000</v>
      </c>
      <c r="D1968" t="s">
        <v>3784</v>
      </c>
      <c r="E1968" t="str">
        <f>"19644516012900"</f>
        <v>19644516012900</v>
      </c>
      <c r="F1968" s="8">
        <v>228</v>
      </c>
      <c r="G1968" s="8">
        <v>3822</v>
      </c>
      <c r="H1968" s="8">
        <v>1118</v>
      </c>
      <c r="I1968" s="8">
        <v>7186</v>
      </c>
    </row>
    <row r="1969" spans="1:9" x14ac:dyDescent="0.2">
      <c r="A1969" t="s">
        <v>436</v>
      </c>
      <c r="B1969" t="s">
        <v>564</v>
      </c>
      <c r="C1969" t="str">
        <f t="shared" si="107"/>
        <v>19644510000000</v>
      </c>
      <c r="D1969" t="s">
        <v>3785</v>
      </c>
      <c r="E1969" t="str">
        <f>"19644516012801"</f>
        <v>19644516012801</v>
      </c>
      <c r="F1969" s="8">
        <v>200</v>
      </c>
      <c r="G1969" s="8">
        <v>3805</v>
      </c>
      <c r="H1969" s="8">
        <v>1118</v>
      </c>
      <c r="I1969" s="8">
        <v>7186</v>
      </c>
    </row>
    <row r="1970" spans="1:9" x14ac:dyDescent="0.2">
      <c r="A1970" t="s">
        <v>436</v>
      </c>
      <c r="B1970" t="s">
        <v>564</v>
      </c>
      <c r="C1970" t="str">
        <f t="shared" si="107"/>
        <v>19644510000000</v>
      </c>
      <c r="D1970" t="s">
        <v>3786</v>
      </c>
      <c r="E1970" t="str">
        <f>"19644516012736"</f>
        <v>19644516012736</v>
      </c>
      <c r="F1970" s="8">
        <v>283</v>
      </c>
      <c r="G1970" s="8">
        <v>3715</v>
      </c>
      <c r="H1970" s="8">
        <v>1118</v>
      </c>
      <c r="I1970" s="8">
        <v>7186</v>
      </c>
    </row>
    <row r="1971" spans="1:9" x14ac:dyDescent="0.2">
      <c r="A1971" t="s">
        <v>436</v>
      </c>
      <c r="B1971" t="s">
        <v>564</v>
      </c>
      <c r="C1971" t="str">
        <f t="shared" si="107"/>
        <v>19644510000000</v>
      </c>
      <c r="D1971" t="s">
        <v>2540</v>
      </c>
      <c r="E1971" t="str">
        <f>"19644516114235"</f>
        <v>19644516114235</v>
      </c>
      <c r="F1971" s="8">
        <v>480</v>
      </c>
      <c r="G1971" s="8">
        <v>3433</v>
      </c>
      <c r="H1971" s="8">
        <v>1118</v>
      </c>
      <c r="I1971" s="8">
        <v>7186</v>
      </c>
    </row>
    <row r="1972" spans="1:9" x14ac:dyDescent="0.2">
      <c r="A1972" t="s">
        <v>436</v>
      </c>
      <c r="B1972" t="s">
        <v>564</v>
      </c>
      <c r="C1972" t="str">
        <f t="shared" si="107"/>
        <v>19644510000000</v>
      </c>
      <c r="D1972" t="s">
        <v>3787</v>
      </c>
      <c r="E1972" t="str">
        <f>"19644516012785"</f>
        <v>19644516012785</v>
      </c>
      <c r="F1972" s="8">
        <v>220</v>
      </c>
      <c r="G1972" s="8">
        <v>3670</v>
      </c>
      <c r="H1972" s="8">
        <v>1118</v>
      </c>
      <c r="I1972" s="8">
        <v>7186</v>
      </c>
    </row>
    <row r="1973" spans="1:9" x14ac:dyDescent="0.2">
      <c r="A1973" t="s">
        <v>436</v>
      </c>
      <c r="B1973" t="s">
        <v>564</v>
      </c>
      <c r="C1973" t="str">
        <f t="shared" si="107"/>
        <v>19644510000000</v>
      </c>
      <c r="D1973" t="s">
        <v>3788</v>
      </c>
      <c r="E1973" t="str">
        <f>"19644516012777"</f>
        <v>19644516012777</v>
      </c>
      <c r="F1973" s="8">
        <v>266</v>
      </c>
      <c r="G1973" s="8">
        <v>3174</v>
      </c>
      <c r="H1973" s="8">
        <v>1118</v>
      </c>
      <c r="I1973" s="8">
        <v>7186</v>
      </c>
    </row>
    <row r="1974" spans="1:9" x14ac:dyDescent="0.2">
      <c r="A1974" t="s">
        <v>436</v>
      </c>
      <c r="B1974" t="s">
        <v>564</v>
      </c>
      <c r="C1974" t="str">
        <f t="shared" si="107"/>
        <v>19644510000000</v>
      </c>
      <c r="D1974" t="s">
        <v>3789</v>
      </c>
      <c r="E1974" t="str">
        <f>"19644516012744"</f>
        <v>19644516012744</v>
      </c>
      <c r="F1974" s="8">
        <v>330</v>
      </c>
      <c r="G1974" s="8">
        <v>3073</v>
      </c>
      <c r="H1974" s="8">
        <v>1118</v>
      </c>
      <c r="I1974" s="8">
        <v>7186</v>
      </c>
    </row>
    <row r="1975" spans="1:9" x14ac:dyDescent="0.2">
      <c r="A1975" t="s">
        <v>436</v>
      </c>
      <c r="B1975" t="s">
        <v>566</v>
      </c>
      <c r="C1975" t="str">
        <f t="shared" ref="C1975:C1981" si="108">"19644690000000"</f>
        <v>19644690000000</v>
      </c>
      <c r="D1975" t="s">
        <v>3790</v>
      </c>
      <c r="E1975" t="str">
        <f>"19644691936079"</f>
        <v>19644691936079</v>
      </c>
      <c r="F1975" s="8">
        <v>1091</v>
      </c>
      <c r="G1975" s="8">
        <v>16320</v>
      </c>
      <c r="H1975" s="8">
        <v>1803</v>
      </c>
      <c r="I1975" s="8">
        <v>5805</v>
      </c>
    </row>
    <row r="1976" spans="1:9" x14ac:dyDescent="0.2">
      <c r="A1976" t="s">
        <v>436</v>
      </c>
      <c r="B1976" t="s">
        <v>566</v>
      </c>
      <c r="C1976" t="str">
        <f t="shared" si="108"/>
        <v>19644690000000</v>
      </c>
      <c r="D1976" t="s">
        <v>3791</v>
      </c>
      <c r="E1976" t="str">
        <f>"19644691932482"</f>
        <v>19644691932482</v>
      </c>
      <c r="F1976" s="8">
        <v>304</v>
      </c>
      <c r="G1976" s="8">
        <v>8274</v>
      </c>
      <c r="H1976" s="8">
        <v>1803</v>
      </c>
      <c r="I1976" s="8">
        <v>5805</v>
      </c>
    </row>
    <row r="1977" spans="1:9" x14ac:dyDescent="0.2">
      <c r="A1977" t="s">
        <v>436</v>
      </c>
      <c r="B1977" t="s">
        <v>566</v>
      </c>
      <c r="C1977" t="str">
        <f t="shared" si="108"/>
        <v>19644690000000</v>
      </c>
      <c r="D1977" t="s">
        <v>3792</v>
      </c>
      <c r="E1977" t="str">
        <f>"19644696012918"</f>
        <v>19644696012918</v>
      </c>
      <c r="F1977" s="8">
        <v>234</v>
      </c>
      <c r="G1977" s="8">
        <v>6704</v>
      </c>
      <c r="H1977" s="8">
        <v>1803</v>
      </c>
      <c r="I1977" s="8">
        <v>5805</v>
      </c>
    </row>
    <row r="1978" spans="1:9" x14ac:dyDescent="0.2">
      <c r="A1978" t="s">
        <v>436</v>
      </c>
      <c r="B1978" t="s">
        <v>566</v>
      </c>
      <c r="C1978" t="str">
        <f t="shared" si="108"/>
        <v>19644690000000</v>
      </c>
      <c r="D1978" t="s">
        <v>3793</v>
      </c>
      <c r="E1978" t="str">
        <f>"19644696012926"</f>
        <v>19644696012926</v>
      </c>
      <c r="F1978" s="8">
        <v>311</v>
      </c>
      <c r="G1978" s="8">
        <v>6351</v>
      </c>
      <c r="H1978" s="8">
        <v>1803</v>
      </c>
      <c r="I1978" s="8">
        <v>5805</v>
      </c>
    </row>
    <row r="1979" spans="1:9" x14ac:dyDescent="0.2">
      <c r="A1979" t="s">
        <v>436</v>
      </c>
      <c r="B1979" t="s">
        <v>566</v>
      </c>
      <c r="C1979" t="str">
        <f t="shared" si="108"/>
        <v>19644690000000</v>
      </c>
      <c r="D1979" t="s">
        <v>3794</v>
      </c>
      <c r="E1979" t="str">
        <f>"19644696012959"</f>
        <v>19644696012959</v>
      </c>
      <c r="F1979" s="8">
        <v>137</v>
      </c>
      <c r="G1979" s="8">
        <v>6315</v>
      </c>
      <c r="H1979" s="8">
        <v>1803</v>
      </c>
      <c r="I1979" s="8">
        <v>5805</v>
      </c>
    </row>
    <row r="1980" spans="1:9" x14ac:dyDescent="0.2">
      <c r="A1980" t="s">
        <v>436</v>
      </c>
      <c r="B1980" t="s">
        <v>566</v>
      </c>
      <c r="C1980" t="str">
        <f t="shared" si="108"/>
        <v>19644690000000</v>
      </c>
      <c r="D1980" t="s">
        <v>3795</v>
      </c>
      <c r="E1980" t="str">
        <f>"19644696012934"</f>
        <v>19644696012934</v>
      </c>
      <c r="F1980" s="8">
        <v>197</v>
      </c>
      <c r="G1980" s="8">
        <v>5453</v>
      </c>
      <c r="H1980" s="8">
        <v>1803</v>
      </c>
      <c r="I1980" s="8">
        <v>5805</v>
      </c>
    </row>
    <row r="1981" spans="1:9" x14ac:dyDescent="0.2">
      <c r="A1981" t="s">
        <v>436</v>
      </c>
      <c r="B1981" t="s">
        <v>566</v>
      </c>
      <c r="C1981" t="str">
        <f t="shared" si="108"/>
        <v>19644690000000</v>
      </c>
      <c r="D1981" t="s">
        <v>3796</v>
      </c>
      <c r="E1981" t="str">
        <f>"19644696012942"</f>
        <v>19644696012942</v>
      </c>
      <c r="F1981" s="8">
        <v>184</v>
      </c>
      <c r="G1981" s="8">
        <v>5279</v>
      </c>
      <c r="H1981" s="8">
        <v>1803</v>
      </c>
      <c r="I1981" s="8">
        <v>5805</v>
      </c>
    </row>
    <row r="1982" spans="1:9" x14ac:dyDescent="0.2">
      <c r="A1982" t="s">
        <v>436</v>
      </c>
      <c r="B1982" t="s">
        <v>567</v>
      </c>
      <c r="C1982" t="str">
        <f t="shared" ref="C1982:C1994" si="109">"19644850000000"</f>
        <v>19644850000000</v>
      </c>
      <c r="D1982" t="s">
        <v>3797</v>
      </c>
      <c r="E1982" t="str">
        <f>"19644856013023"</f>
        <v>19644856013023</v>
      </c>
      <c r="F1982" s="8">
        <v>667</v>
      </c>
      <c r="G1982" s="8">
        <v>11305</v>
      </c>
      <c r="H1982" s="8">
        <v>876</v>
      </c>
      <c r="I1982" s="8">
        <v>2948</v>
      </c>
    </row>
    <row r="1983" spans="1:9" x14ac:dyDescent="0.2">
      <c r="A1983" t="s">
        <v>436</v>
      </c>
      <c r="B1983" t="s">
        <v>567</v>
      </c>
      <c r="C1983" t="str">
        <f t="shared" si="109"/>
        <v>19644850000000</v>
      </c>
      <c r="D1983" t="s">
        <v>3798</v>
      </c>
      <c r="E1983" t="str">
        <f>"19644856089148"</f>
        <v>19644856089148</v>
      </c>
      <c r="F1983" s="8">
        <v>436</v>
      </c>
      <c r="G1983" s="8">
        <v>10778</v>
      </c>
      <c r="H1983" s="8">
        <v>876</v>
      </c>
      <c r="I1983" s="8">
        <v>2948</v>
      </c>
    </row>
    <row r="1984" spans="1:9" x14ac:dyDescent="0.2">
      <c r="A1984" t="s">
        <v>436</v>
      </c>
      <c r="B1984" t="s">
        <v>567</v>
      </c>
      <c r="C1984" t="str">
        <f t="shared" si="109"/>
        <v>19644850000000</v>
      </c>
      <c r="D1984" t="s">
        <v>3799</v>
      </c>
      <c r="E1984" t="str">
        <f>"19644856013031"</f>
        <v>19644856013031</v>
      </c>
      <c r="F1984" s="8">
        <v>1417</v>
      </c>
      <c r="G1984" s="8">
        <v>9625</v>
      </c>
      <c r="H1984" s="8">
        <v>876</v>
      </c>
      <c r="I1984" s="8">
        <v>2948</v>
      </c>
    </row>
    <row r="1985" spans="1:9" x14ac:dyDescent="0.2">
      <c r="A1985" t="s">
        <v>436</v>
      </c>
      <c r="B1985" t="s">
        <v>567</v>
      </c>
      <c r="C1985" t="str">
        <f t="shared" si="109"/>
        <v>19644850000000</v>
      </c>
      <c r="D1985" t="s">
        <v>1629</v>
      </c>
      <c r="E1985" t="str">
        <f>"19644856013007"</f>
        <v>19644856013007</v>
      </c>
      <c r="F1985" s="8">
        <v>683</v>
      </c>
      <c r="G1985" s="8">
        <v>10350</v>
      </c>
      <c r="H1985" s="8">
        <v>876</v>
      </c>
      <c r="I1985" s="8">
        <v>2948</v>
      </c>
    </row>
    <row r="1986" spans="1:9" x14ac:dyDescent="0.2">
      <c r="A1986" t="s">
        <v>436</v>
      </c>
      <c r="B1986" t="s">
        <v>567</v>
      </c>
      <c r="C1986" t="str">
        <f t="shared" si="109"/>
        <v>19644850000000</v>
      </c>
      <c r="D1986" t="s">
        <v>321</v>
      </c>
      <c r="E1986" t="str">
        <f>"19644856013072"</f>
        <v>19644856013072</v>
      </c>
      <c r="F1986" s="8">
        <v>523</v>
      </c>
      <c r="G1986" s="8">
        <v>9250</v>
      </c>
      <c r="H1986" s="8">
        <v>876</v>
      </c>
      <c r="I1986" s="8">
        <v>2948</v>
      </c>
    </row>
    <row r="1987" spans="1:9" x14ac:dyDescent="0.2">
      <c r="A1987" t="s">
        <v>436</v>
      </c>
      <c r="B1987" t="s">
        <v>567</v>
      </c>
      <c r="C1987" t="str">
        <f t="shared" si="109"/>
        <v>19644850000000</v>
      </c>
      <c r="D1987" t="s">
        <v>3800</v>
      </c>
      <c r="E1987" t="str">
        <f>"19644856013106"</f>
        <v>19644856013106</v>
      </c>
      <c r="F1987" s="8">
        <v>720</v>
      </c>
      <c r="G1987" s="8">
        <v>8942</v>
      </c>
      <c r="H1987" s="8">
        <v>876</v>
      </c>
      <c r="I1987" s="8">
        <v>2948</v>
      </c>
    </row>
    <row r="1988" spans="1:9" x14ac:dyDescent="0.2">
      <c r="A1988" t="s">
        <v>436</v>
      </c>
      <c r="B1988" t="s">
        <v>567</v>
      </c>
      <c r="C1988" t="str">
        <f t="shared" si="109"/>
        <v>19644850000000</v>
      </c>
      <c r="D1988" t="s">
        <v>3801</v>
      </c>
      <c r="E1988" t="str">
        <f>"19644856013114"</f>
        <v>19644856013114</v>
      </c>
      <c r="F1988" s="8">
        <v>109</v>
      </c>
      <c r="G1988" s="8">
        <v>8113</v>
      </c>
      <c r="H1988" s="8">
        <v>876</v>
      </c>
      <c r="I1988" s="8">
        <v>2948</v>
      </c>
    </row>
    <row r="1989" spans="1:9" x14ac:dyDescent="0.2">
      <c r="A1989" t="s">
        <v>436</v>
      </c>
      <c r="B1989" t="s">
        <v>567</v>
      </c>
      <c r="C1989" t="str">
        <f t="shared" si="109"/>
        <v>19644850000000</v>
      </c>
      <c r="D1989" t="s">
        <v>3802</v>
      </c>
      <c r="E1989" t="str">
        <f>"19644856012975"</f>
        <v>19644856012975</v>
      </c>
      <c r="F1989" s="8">
        <v>521</v>
      </c>
      <c r="G1989" s="8">
        <v>7209</v>
      </c>
      <c r="H1989" s="8">
        <v>876</v>
      </c>
      <c r="I1989" s="8">
        <v>2948</v>
      </c>
    </row>
    <row r="1990" spans="1:9" x14ac:dyDescent="0.2">
      <c r="A1990" t="s">
        <v>436</v>
      </c>
      <c r="B1990" t="s">
        <v>567</v>
      </c>
      <c r="C1990" t="str">
        <f t="shared" si="109"/>
        <v>19644850000000</v>
      </c>
      <c r="D1990" t="s">
        <v>3803</v>
      </c>
      <c r="E1990" t="str">
        <f>"19644856013015"</f>
        <v>19644856013015</v>
      </c>
      <c r="F1990" s="8">
        <v>403</v>
      </c>
      <c r="G1990" s="8">
        <v>7013</v>
      </c>
      <c r="H1990" s="8">
        <v>876</v>
      </c>
      <c r="I1990" s="8">
        <v>2948</v>
      </c>
    </row>
    <row r="1991" spans="1:9" x14ac:dyDescent="0.2">
      <c r="A1991" t="s">
        <v>436</v>
      </c>
      <c r="B1991" t="s">
        <v>567</v>
      </c>
      <c r="C1991" t="str">
        <f t="shared" si="109"/>
        <v>19644850000000</v>
      </c>
      <c r="D1991" t="s">
        <v>3804</v>
      </c>
      <c r="E1991" t="str">
        <f>"19644856013080"</f>
        <v>19644856013080</v>
      </c>
      <c r="F1991" s="8">
        <v>148</v>
      </c>
      <c r="G1991" s="8">
        <v>7213</v>
      </c>
      <c r="H1991" s="8">
        <v>876</v>
      </c>
      <c r="I1991" s="8">
        <v>2948</v>
      </c>
    </row>
    <row r="1992" spans="1:9" x14ac:dyDescent="0.2">
      <c r="A1992" t="s">
        <v>436</v>
      </c>
      <c r="B1992" t="s">
        <v>567</v>
      </c>
      <c r="C1992" t="str">
        <f t="shared" si="109"/>
        <v>19644850000000</v>
      </c>
      <c r="D1992" t="s">
        <v>2297</v>
      </c>
      <c r="E1992" t="str">
        <f>"19644856013049"</f>
        <v>19644856013049</v>
      </c>
      <c r="F1992" s="8">
        <v>469</v>
      </c>
      <c r="G1992" s="8">
        <v>6679</v>
      </c>
      <c r="H1992" s="8">
        <v>876</v>
      </c>
      <c r="I1992" s="8">
        <v>2948</v>
      </c>
    </row>
    <row r="1993" spans="1:9" x14ac:dyDescent="0.2">
      <c r="A1993" t="s">
        <v>436</v>
      </c>
      <c r="B1993" t="s">
        <v>567</v>
      </c>
      <c r="C1993" t="str">
        <f t="shared" si="109"/>
        <v>19644850000000</v>
      </c>
      <c r="D1993" t="s">
        <v>3805</v>
      </c>
      <c r="E1993" t="str">
        <f>"19644856012991"</f>
        <v>19644856012991</v>
      </c>
      <c r="F1993" s="8">
        <v>177</v>
      </c>
      <c r="G1993" s="8">
        <v>6568</v>
      </c>
      <c r="H1993" s="8">
        <v>876</v>
      </c>
      <c r="I1993" s="8">
        <v>2948</v>
      </c>
    </row>
    <row r="1994" spans="1:9" x14ac:dyDescent="0.2">
      <c r="A1994" t="s">
        <v>436</v>
      </c>
      <c r="B1994" t="s">
        <v>567</v>
      </c>
      <c r="C1994" t="str">
        <f t="shared" si="109"/>
        <v>19644850000000</v>
      </c>
      <c r="D1994" t="s">
        <v>2080</v>
      </c>
      <c r="E1994" t="str">
        <f>"19644856013098"</f>
        <v>19644856013098</v>
      </c>
      <c r="F1994" s="8">
        <v>104</v>
      </c>
      <c r="G1994" s="8">
        <v>6558</v>
      </c>
      <c r="H1994" s="8">
        <v>876</v>
      </c>
      <c r="I1994" s="8">
        <v>2948</v>
      </c>
    </row>
    <row r="1995" spans="1:9" x14ac:dyDescent="0.2">
      <c r="A1995" t="s">
        <v>436</v>
      </c>
      <c r="B1995" t="s">
        <v>568</v>
      </c>
      <c r="C1995" t="str">
        <f t="shared" ref="C1995:C2000" si="110">"19644770000000"</f>
        <v>19644770000000</v>
      </c>
      <c r="D1995" t="s">
        <v>3806</v>
      </c>
      <c r="E1995" t="str">
        <f>"19644770122929"</f>
        <v>19644770122929</v>
      </c>
      <c r="F1995" s="8">
        <v>113</v>
      </c>
      <c r="G1995" s="8">
        <v>14259</v>
      </c>
      <c r="H1995" s="8">
        <v>3265</v>
      </c>
      <c r="I1995" s="8">
        <v>7655</v>
      </c>
    </row>
    <row r="1996" spans="1:9" x14ac:dyDescent="0.2">
      <c r="A1996" t="s">
        <v>436</v>
      </c>
      <c r="B1996" t="s">
        <v>568</v>
      </c>
      <c r="C1996" t="str">
        <f t="shared" si="110"/>
        <v>19644770000000</v>
      </c>
      <c r="D1996" t="s">
        <v>3807</v>
      </c>
      <c r="E1996" t="str">
        <f>"19644776108294"</f>
        <v>19644776108294</v>
      </c>
      <c r="F1996" s="8">
        <v>300</v>
      </c>
      <c r="G1996" s="8">
        <v>5176</v>
      </c>
      <c r="H1996" s="8">
        <v>3265</v>
      </c>
      <c r="I1996" s="8">
        <v>7655</v>
      </c>
    </row>
    <row r="1997" spans="1:9" x14ac:dyDescent="0.2">
      <c r="A1997" t="s">
        <v>436</v>
      </c>
      <c r="B1997" t="s">
        <v>568</v>
      </c>
      <c r="C1997" t="str">
        <f t="shared" si="110"/>
        <v>19644770000000</v>
      </c>
      <c r="D1997" t="s">
        <v>1711</v>
      </c>
      <c r="E1997" t="str">
        <f>"19644770129197"</f>
        <v>19644770129197</v>
      </c>
      <c r="F1997" s="8">
        <v>208</v>
      </c>
      <c r="G1997" s="8">
        <v>4579</v>
      </c>
      <c r="H1997" s="8">
        <v>3265</v>
      </c>
      <c r="I1997" s="8">
        <v>7655</v>
      </c>
    </row>
    <row r="1998" spans="1:9" x14ac:dyDescent="0.2">
      <c r="A1998" t="s">
        <v>436</v>
      </c>
      <c r="B1998" t="s">
        <v>568</v>
      </c>
      <c r="C1998" t="str">
        <f t="shared" si="110"/>
        <v>19644770000000</v>
      </c>
      <c r="D1998" t="s">
        <v>3808</v>
      </c>
      <c r="E1998" t="str">
        <f>"19644776114227"</f>
        <v>19644776114227</v>
      </c>
      <c r="F1998" s="8">
        <v>89</v>
      </c>
      <c r="G1998" s="8">
        <v>4506</v>
      </c>
      <c r="H1998" s="8">
        <v>3265</v>
      </c>
      <c r="I1998" s="8">
        <v>7655</v>
      </c>
    </row>
    <row r="1999" spans="1:9" x14ac:dyDescent="0.2">
      <c r="A1999" t="s">
        <v>436</v>
      </c>
      <c r="B1999" t="s">
        <v>568</v>
      </c>
      <c r="C1999" t="str">
        <f t="shared" si="110"/>
        <v>19644770000000</v>
      </c>
      <c r="D1999" t="s">
        <v>1708</v>
      </c>
      <c r="E1999" t="str">
        <f>"19644776106421"</f>
        <v>19644776106421</v>
      </c>
      <c r="F1999" s="8">
        <v>104</v>
      </c>
      <c r="G1999" s="8">
        <v>4033</v>
      </c>
      <c r="H1999" s="8">
        <v>3265</v>
      </c>
      <c r="I1999" s="8">
        <v>7655</v>
      </c>
    </row>
    <row r="2000" spans="1:9" x14ac:dyDescent="0.2">
      <c r="A2000" t="s">
        <v>436</v>
      </c>
      <c r="B2000" t="s">
        <v>568</v>
      </c>
      <c r="C2000" t="str">
        <f t="shared" si="110"/>
        <v>19644770000000</v>
      </c>
      <c r="D2000" t="s">
        <v>3809</v>
      </c>
      <c r="E2000" t="str">
        <f>"19644776012967"</f>
        <v>19644776012967</v>
      </c>
      <c r="F2000" s="8">
        <v>98</v>
      </c>
      <c r="G2000" s="8">
        <v>3468</v>
      </c>
      <c r="H2000" s="8">
        <v>3265</v>
      </c>
      <c r="I2000" s="8">
        <v>7655</v>
      </c>
    </row>
    <row r="2001" spans="1:9" x14ac:dyDescent="0.2">
      <c r="A2001" t="s">
        <v>436</v>
      </c>
      <c r="B2001" t="s">
        <v>575</v>
      </c>
      <c r="C2001" t="str">
        <f t="shared" ref="C2001:C2015" si="111">"19645010000000"</f>
        <v>19645010000000</v>
      </c>
      <c r="D2001" t="s">
        <v>3810</v>
      </c>
      <c r="E2001" t="str">
        <f>"19645016013197"</f>
        <v>19645016013197</v>
      </c>
      <c r="F2001" s="8">
        <v>294</v>
      </c>
      <c r="G2001" s="8">
        <v>7106</v>
      </c>
      <c r="H2001" s="8">
        <v>1591</v>
      </c>
      <c r="I2001" s="8">
        <v>4855</v>
      </c>
    </row>
    <row r="2002" spans="1:9" x14ac:dyDescent="0.2">
      <c r="A2002" t="s">
        <v>436</v>
      </c>
      <c r="B2002" t="s">
        <v>575</v>
      </c>
      <c r="C2002" t="str">
        <f t="shared" si="111"/>
        <v>19645010000000</v>
      </c>
      <c r="D2002" t="s">
        <v>3811</v>
      </c>
      <c r="E2002" t="str">
        <f>"19645016013130"</f>
        <v>19645016013130</v>
      </c>
      <c r="F2002" s="8">
        <v>400</v>
      </c>
      <c r="G2002" s="8">
        <v>6656</v>
      </c>
      <c r="H2002" s="8">
        <v>1591</v>
      </c>
      <c r="I2002" s="8">
        <v>4855</v>
      </c>
    </row>
    <row r="2003" spans="1:9" x14ac:dyDescent="0.2">
      <c r="A2003" t="s">
        <v>436</v>
      </c>
      <c r="B2003" t="s">
        <v>575</v>
      </c>
      <c r="C2003" t="str">
        <f t="shared" si="111"/>
        <v>19645010000000</v>
      </c>
      <c r="D2003" t="s">
        <v>3812</v>
      </c>
      <c r="E2003" t="str">
        <f>"19645016013163"</f>
        <v>19645016013163</v>
      </c>
      <c r="F2003" s="8">
        <v>361</v>
      </c>
      <c r="G2003" s="8">
        <v>6644</v>
      </c>
      <c r="H2003" s="8">
        <v>1591</v>
      </c>
      <c r="I2003" s="8">
        <v>4855</v>
      </c>
    </row>
    <row r="2004" spans="1:9" x14ac:dyDescent="0.2">
      <c r="A2004" t="s">
        <v>436</v>
      </c>
      <c r="B2004" t="s">
        <v>575</v>
      </c>
      <c r="C2004" t="str">
        <f t="shared" si="111"/>
        <v>19645010000000</v>
      </c>
      <c r="D2004" t="s">
        <v>3813</v>
      </c>
      <c r="E2004" t="str">
        <f>"19645016013288"</f>
        <v>19645016013288</v>
      </c>
      <c r="F2004" s="8">
        <v>270</v>
      </c>
      <c r="G2004" s="8">
        <v>6681</v>
      </c>
      <c r="H2004" s="8">
        <v>1591</v>
      </c>
      <c r="I2004" s="8">
        <v>4855</v>
      </c>
    </row>
    <row r="2005" spans="1:9" x14ac:dyDescent="0.2">
      <c r="A2005" t="s">
        <v>436</v>
      </c>
      <c r="B2005" t="s">
        <v>575</v>
      </c>
      <c r="C2005" t="str">
        <f t="shared" si="111"/>
        <v>19645010000000</v>
      </c>
      <c r="D2005" t="s">
        <v>3814</v>
      </c>
      <c r="E2005" t="str">
        <f>"19645016013221"</f>
        <v>19645016013221</v>
      </c>
      <c r="F2005" s="8">
        <v>435</v>
      </c>
      <c r="G2005" s="8">
        <v>6393</v>
      </c>
      <c r="H2005" s="8">
        <v>1591</v>
      </c>
      <c r="I2005" s="8">
        <v>4855</v>
      </c>
    </row>
    <row r="2006" spans="1:9" x14ac:dyDescent="0.2">
      <c r="A2006" t="s">
        <v>436</v>
      </c>
      <c r="B2006" t="s">
        <v>575</v>
      </c>
      <c r="C2006" t="str">
        <f t="shared" si="111"/>
        <v>19645010000000</v>
      </c>
      <c r="D2006" t="s">
        <v>1708</v>
      </c>
      <c r="E2006" t="str">
        <f>"19645016013155"</f>
        <v>19645016013155</v>
      </c>
      <c r="F2006" s="8">
        <v>200</v>
      </c>
      <c r="G2006" s="8">
        <v>6363</v>
      </c>
      <c r="H2006" s="8">
        <v>1591</v>
      </c>
      <c r="I2006" s="8">
        <v>4855</v>
      </c>
    </row>
    <row r="2007" spans="1:9" x14ac:dyDescent="0.2">
      <c r="A2007" t="s">
        <v>436</v>
      </c>
      <c r="B2007" t="s">
        <v>575</v>
      </c>
      <c r="C2007" t="str">
        <f t="shared" si="111"/>
        <v>19645010000000</v>
      </c>
      <c r="D2007" t="s">
        <v>3815</v>
      </c>
      <c r="E2007" t="str">
        <f>"19645016013171"</f>
        <v>19645016013171</v>
      </c>
      <c r="F2007" s="8">
        <v>159</v>
      </c>
      <c r="G2007" s="8">
        <v>6379</v>
      </c>
      <c r="H2007" s="8">
        <v>1591</v>
      </c>
      <c r="I2007" s="8">
        <v>4855</v>
      </c>
    </row>
    <row r="2008" spans="1:9" x14ac:dyDescent="0.2">
      <c r="A2008" t="s">
        <v>436</v>
      </c>
      <c r="B2008" t="s">
        <v>575</v>
      </c>
      <c r="C2008" t="str">
        <f t="shared" si="111"/>
        <v>19645010000000</v>
      </c>
      <c r="D2008" t="s">
        <v>3816</v>
      </c>
      <c r="E2008" t="str">
        <f>"19645016013189"</f>
        <v>19645016013189</v>
      </c>
      <c r="F2008" s="8">
        <v>262</v>
      </c>
      <c r="G2008" s="8">
        <v>6267</v>
      </c>
      <c r="H2008" s="8">
        <v>1591</v>
      </c>
      <c r="I2008" s="8">
        <v>4855</v>
      </c>
    </row>
    <row r="2009" spans="1:9" x14ac:dyDescent="0.2">
      <c r="A2009" t="s">
        <v>436</v>
      </c>
      <c r="B2009" t="s">
        <v>575</v>
      </c>
      <c r="C2009" t="str">
        <f t="shared" si="111"/>
        <v>19645010000000</v>
      </c>
      <c r="D2009" t="s">
        <v>3817</v>
      </c>
      <c r="E2009" t="str">
        <f>"19645016013148"</f>
        <v>19645016013148</v>
      </c>
      <c r="F2009" s="8">
        <v>240</v>
      </c>
      <c r="G2009" s="8">
        <v>6207</v>
      </c>
      <c r="H2009" s="8">
        <v>1591</v>
      </c>
      <c r="I2009" s="8">
        <v>4855</v>
      </c>
    </row>
    <row r="2010" spans="1:9" x14ac:dyDescent="0.2">
      <c r="A2010" t="s">
        <v>436</v>
      </c>
      <c r="B2010" t="s">
        <v>575</v>
      </c>
      <c r="C2010" t="str">
        <f t="shared" si="111"/>
        <v>19645010000000</v>
      </c>
      <c r="D2010" t="s">
        <v>3818</v>
      </c>
      <c r="E2010" t="str">
        <f>"19645016013247"</f>
        <v>19645016013247</v>
      </c>
      <c r="F2010" s="8">
        <v>231</v>
      </c>
      <c r="G2010" s="8">
        <v>6167</v>
      </c>
      <c r="H2010" s="8">
        <v>1591</v>
      </c>
      <c r="I2010" s="8">
        <v>4855</v>
      </c>
    </row>
    <row r="2011" spans="1:9" x14ac:dyDescent="0.2">
      <c r="A2011" t="s">
        <v>436</v>
      </c>
      <c r="B2011" t="s">
        <v>575</v>
      </c>
      <c r="C2011" t="str">
        <f t="shared" si="111"/>
        <v>19645010000000</v>
      </c>
      <c r="D2011" t="s">
        <v>3781</v>
      </c>
      <c r="E2011" t="str">
        <f>"19645016013254"</f>
        <v>19645016013254</v>
      </c>
      <c r="F2011" s="8">
        <v>237</v>
      </c>
      <c r="G2011" s="8">
        <v>6053</v>
      </c>
      <c r="H2011" s="8">
        <v>1591</v>
      </c>
      <c r="I2011" s="8">
        <v>4855</v>
      </c>
    </row>
    <row r="2012" spans="1:9" x14ac:dyDescent="0.2">
      <c r="A2012" t="s">
        <v>436</v>
      </c>
      <c r="B2012" t="s">
        <v>575</v>
      </c>
      <c r="C2012" t="str">
        <f t="shared" si="111"/>
        <v>19645010000000</v>
      </c>
      <c r="D2012" t="s">
        <v>1848</v>
      </c>
      <c r="E2012" t="str">
        <f>"19645016013296"</f>
        <v>19645016013296</v>
      </c>
      <c r="F2012" s="8">
        <v>224</v>
      </c>
      <c r="G2012" s="8">
        <v>6038</v>
      </c>
      <c r="H2012" s="8">
        <v>1591</v>
      </c>
      <c r="I2012" s="8">
        <v>4855</v>
      </c>
    </row>
    <row r="2013" spans="1:9" x14ac:dyDescent="0.2">
      <c r="A2013" t="s">
        <v>436</v>
      </c>
      <c r="B2013" t="s">
        <v>575</v>
      </c>
      <c r="C2013" t="str">
        <f t="shared" si="111"/>
        <v>19645010000000</v>
      </c>
      <c r="D2013" t="s">
        <v>3819</v>
      </c>
      <c r="E2013" t="str">
        <f>"19645016013205"</f>
        <v>19645016013205</v>
      </c>
      <c r="F2013" s="8">
        <v>336</v>
      </c>
      <c r="G2013" s="8">
        <v>5790</v>
      </c>
      <c r="H2013" s="8">
        <v>1591</v>
      </c>
      <c r="I2013" s="8">
        <v>4855</v>
      </c>
    </row>
    <row r="2014" spans="1:9" x14ac:dyDescent="0.2">
      <c r="A2014" t="s">
        <v>436</v>
      </c>
      <c r="B2014" t="s">
        <v>575</v>
      </c>
      <c r="C2014" t="str">
        <f t="shared" si="111"/>
        <v>19645010000000</v>
      </c>
      <c r="D2014" t="s">
        <v>2575</v>
      </c>
      <c r="E2014" t="str">
        <f>"19645016013262"</f>
        <v>19645016013262</v>
      </c>
      <c r="F2014" s="8">
        <v>209</v>
      </c>
      <c r="G2014" s="8">
        <v>5838</v>
      </c>
      <c r="H2014" s="8">
        <v>1591</v>
      </c>
      <c r="I2014" s="8">
        <v>4855</v>
      </c>
    </row>
    <row r="2015" spans="1:9" x14ac:dyDescent="0.2">
      <c r="A2015" t="s">
        <v>436</v>
      </c>
      <c r="B2015" t="s">
        <v>575</v>
      </c>
      <c r="C2015" t="str">
        <f t="shared" si="111"/>
        <v>19645010000000</v>
      </c>
      <c r="D2015" t="s">
        <v>3820</v>
      </c>
      <c r="E2015" t="str">
        <f>"19645016013270"</f>
        <v>19645016013270</v>
      </c>
      <c r="F2015" s="8">
        <v>0</v>
      </c>
      <c r="G2015" s="8">
        <v>217</v>
      </c>
      <c r="H2015" s="8">
        <v>1591</v>
      </c>
      <c r="I2015" s="8">
        <v>4855</v>
      </c>
    </row>
    <row r="2016" spans="1:9" x14ac:dyDescent="0.2">
      <c r="A2016" t="s">
        <v>436</v>
      </c>
      <c r="B2016" t="s">
        <v>576</v>
      </c>
      <c r="C2016" t="str">
        <f t="shared" ref="C2016:C2022" si="112">"19645190000000"</f>
        <v>19645190000000</v>
      </c>
      <c r="D2016" t="s">
        <v>3821</v>
      </c>
      <c r="E2016" t="str">
        <f>"19645191996123"</f>
        <v>19645191996123</v>
      </c>
      <c r="F2016" s="8">
        <v>423</v>
      </c>
      <c r="G2016" s="8">
        <v>36123</v>
      </c>
      <c r="H2016" s="8">
        <v>814</v>
      </c>
      <c r="I2016" s="8">
        <v>2638</v>
      </c>
    </row>
    <row r="2017" spans="1:9" x14ac:dyDescent="0.2">
      <c r="A2017" t="s">
        <v>436</v>
      </c>
      <c r="B2017" t="s">
        <v>576</v>
      </c>
      <c r="C2017" t="str">
        <f t="shared" si="112"/>
        <v>19645190000000</v>
      </c>
      <c r="D2017" t="s">
        <v>3822</v>
      </c>
      <c r="E2017" t="str">
        <f>"19645191938919"</f>
        <v>19645191938919</v>
      </c>
      <c r="F2017" s="8">
        <v>1414</v>
      </c>
      <c r="G2017" s="8">
        <v>13940</v>
      </c>
      <c r="H2017" s="8">
        <v>814</v>
      </c>
      <c r="I2017" s="8">
        <v>1989</v>
      </c>
    </row>
    <row r="2018" spans="1:9" x14ac:dyDescent="0.2">
      <c r="A2018" t="s">
        <v>436</v>
      </c>
      <c r="B2018" t="s">
        <v>576</v>
      </c>
      <c r="C2018" t="str">
        <f t="shared" si="112"/>
        <v>19645190000000</v>
      </c>
      <c r="D2018" t="s">
        <v>3823</v>
      </c>
      <c r="E2018" t="str">
        <f>"19645191932680"</f>
        <v>19645191932680</v>
      </c>
      <c r="F2018" s="8">
        <v>1696</v>
      </c>
      <c r="G2018" s="8">
        <v>11475</v>
      </c>
      <c r="H2018" s="8">
        <v>814</v>
      </c>
      <c r="I2018" s="8">
        <v>2031</v>
      </c>
    </row>
    <row r="2019" spans="1:9" x14ac:dyDescent="0.2">
      <c r="A2019" t="s">
        <v>436</v>
      </c>
      <c r="B2019" t="s">
        <v>576</v>
      </c>
      <c r="C2019" t="str">
        <f t="shared" si="112"/>
        <v>19645190000000</v>
      </c>
      <c r="D2019" t="s">
        <v>3824</v>
      </c>
      <c r="E2019" t="str">
        <f>"19645191995661"</f>
        <v>19645191995661</v>
      </c>
      <c r="F2019" s="8">
        <v>1662</v>
      </c>
      <c r="G2019" s="8">
        <v>11225</v>
      </c>
      <c r="H2019" s="8">
        <v>814</v>
      </c>
      <c r="I2019" s="8">
        <v>2101</v>
      </c>
    </row>
    <row r="2020" spans="1:9" x14ac:dyDescent="0.2">
      <c r="A2020" t="s">
        <v>436</v>
      </c>
      <c r="B2020" t="s">
        <v>576</v>
      </c>
      <c r="C2020" t="str">
        <f t="shared" si="112"/>
        <v>19645190000000</v>
      </c>
      <c r="D2020" t="s">
        <v>3825</v>
      </c>
      <c r="E2020" t="str">
        <f>"19645191932664"</f>
        <v>19645191932664</v>
      </c>
      <c r="F2020" s="8">
        <v>1602</v>
      </c>
      <c r="G2020" s="8">
        <v>10301</v>
      </c>
      <c r="H2020" s="8">
        <v>814</v>
      </c>
      <c r="I2020" s="8">
        <v>2046</v>
      </c>
    </row>
    <row r="2021" spans="1:9" x14ac:dyDescent="0.2">
      <c r="A2021" t="s">
        <v>436</v>
      </c>
      <c r="B2021" t="s">
        <v>576</v>
      </c>
      <c r="C2021" t="str">
        <f t="shared" si="112"/>
        <v>19645190000000</v>
      </c>
      <c r="D2021" t="s">
        <v>3826</v>
      </c>
      <c r="E2021" t="str">
        <f>"19645191937481"</f>
        <v>19645191937481</v>
      </c>
      <c r="F2021" s="8">
        <v>1186</v>
      </c>
      <c r="G2021" s="8">
        <v>9341</v>
      </c>
      <c r="H2021" s="8">
        <v>814</v>
      </c>
      <c r="I2021" s="8">
        <v>2040</v>
      </c>
    </row>
    <row r="2022" spans="1:9" x14ac:dyDescent="0.2">
      <c r="A2022" t="s">
        <v>436</v>
      </c>
      <c r="B2022" t="s">
        <v>576</v>
      </c>
      <c r="C2022" t="str">
        <f t="shared" si="112"/>
        <v>19645190000000</v>
      </c>
      <c r="D2022" t="s">
        <v>2364</v>
      </c>
      <c r="E2022" t="str">
        <f>"19645191930320"</f>
        <v>19645191930320</v>
      </c>
      <c r="F2022" s="8">
        <v>1286</v>
      </c>
      <c r="G2022" s="8">
        <v>9029</v>
      </c>
      <c r="H2022" s="8">
        <v>814</v>
      </c>
      <c r="I2022" s="8">
        <v>2021</v>
      </c>
    </row>
    <row r="2023" spans="1:9" x14ac:dyDescent="0.2">
      <c r="A2023" t="s">
        <v>436</v>
      </c>
      <c r="B2023" t="s">
        <v>577</v>
      </c>
      <c r="C2023" t="str">
        <f t="shared" ref="C2023:C2036" si="113">"19645270000000"</f>
        <v>19645270000000</v>
      </c>
      <c r="D2023" t="s">
        <v>3827</v>
      </c>
      <c r="E2023" t="str">
        <f>"19645276013411"</f>
        <v>19645276013411</v>
      </c>
      <c r="F2023" s="8">
        <v>273</v>
      </c>
      <c r="G2023" s="8">
        <v>6007</v>
      </c>
      <c r="H2023" s="8">
        <v>2074</v>
      </c>
      <c r="I2023" s="8">
        <v>7845</v>
      </c>
    </row>
    <row r="2024" spans="1:9" x14ac:dyDescent="0.2">
      <c r="A2024" t="s">
        <v>436</v>
      </c>
      <c r="B2024" t="s">
        <v>577</v>
      </c>
      <c r="C2024" t="str">
        <f t="shared" si="113"/>
        <v>19645270000000</v>
      </c>
      <c r="D2024" t="s">
        <v>3828</v>
      </c>
      <c r="E2024" t="str">
        <f>"19645276013338"</f>
        <v>19645276013338</v>
      </c>
      <c r="F2024" s="8">
        <v>269</v>
      </c>
      <c r="G2024" s="8">
        <v>5065</v>
      </c>
      <c r="H2024" s="8">
        <v>2074</v>
      </c>
      <c r="I2024" s="8">
        <v>7845</v>
      </c>
    </row>
    <row r="2025" spans="1:9" x14ac:dyDescent="0.2">
      <c r="A2025" t="s">
        <v>436</v>
      </c>
      <c r="B2025" t="s">
        <v>577</v>
      </c>
      <c r="C2025" t="str">
        <f t="shared" si="113"/>
        <v>19645270000000</v>
      </c>
      <c r="D2025" t="s">
        <v>3829</v>
      </c>
      <c r="E2025" t="str">
        <f>"19645276013403"</f>
        <v>19645276013403</v>
      </c>
      <c r="F2025" s="8">
        <v>275</v>
      </c>
      <c r="G2025" s="8">
        <v>4886</v>
      </c>
      <c r="H2025" s="8">
        <v>2074</v>
      </c>
      <c r="I2025" s="8">
        <v>7845</v>
      </c>
    </row>
    <row r="2026" spans="1:9" x14ac:dyDescent="0.2">
      <c r="A2026" t="s">
        <v>436</v>
      </c>
      <c r="B2026" t="s">
        <v>577</v>
      </c>
      <c r="C2026" t="str">
        <f t="shared" si="113"/>
        <v>19645270000000</v>
      </c>
      <c r="D2026" t="s">
        <v>3830</v>
      </c>
      <c r="E2026" t="str">
        <f>"19645276013304"</f>
        <v>19645276013304</v>
      </c>
      <c r="F2026" s="8">
        <v>357</v>
      </c>
      <c r="G2026" s="8">
        <v>4692</v>
      </c>
      <c r="H2026" s="8">
        <v>2074</v>
      </c>
      <c r="I2026" s="8">
        <v>7845</v>
      </c>
    </row>
    <row r="2027" spans="1:9" x14ac:dyDescent="0.2">
      <c r="A2027" t="s">
        <v>436</v>
      </c>
      <c r="B2027" t="s">
        <v>577</v>
      </c>
      <c r="C2027" t="str">
        <f t="shared" si="113"/>
        <v>19645270000000</v>
      </c>
      <c r="D2027" t="s">
        <v>2575</v>
      </c>
      <c r="E2027" t="str">
        <f>"19645276013379"</f>
        <v>19645276013379</v>
      </c>
      <c r="F2027" s="8">
        <v>198</v>
      </c>
      <c r="G2027" s="8">
        <v>4404</v>
      </c>
      <c r="H2027" s="8">
        <v>2074</v>
      </c>
      <c r="I2027" s="8">
        <v>7845</v>
      </c>
    </row>
    <row r="2028" spans="1:9" x14ac:dyDescent="0.2">
      <c r="A2028" t="s">
        <v>436</v>
      </c>
      <c r="B2028" t="s">
        <v>577</v>
      </c>
      <c r="C2028" t="str">
        <f t="shared" si="113"/>
        <v>19645270000000</v>
      </c>
      <c r="D2028" t="s">
        <v>3831</v>
      </c>
      <c r="E2028" t="str">
        <f>"19645276013387"</f>
        <v>19645276013387</v>
      </c>
      <c r="F2028" s="8">
        <v>156</v>
      </c>
      <c r="G2028" s="8">
        <v>4396</v>
      </c>
      <c r="H2028" s="8">
        <v>2074</v>
      </c>
      <c r="I2028" s="8">
        <v>7845</v>
      </c>
    </row>
    <row r="2029" spans="1:9" x14ac:dyDescent="0.2">
      <c r="A2029" t="s">
        <v>436</v>
      </c>
      <c r="B2029" t="s">
        <v>577</v>
      </c>
      <c r="C2029" t="str">
        <f t="shared" si="113"/>
        <v>19645270000000</v>
      </c>
      <c r="D2029" t="s">
        <v>3832</v>
      </c>
      <c r="E2029" t="str">
        <f>"19645276013353"</f>
        <v>19645276013353</v>
      </c>
      <c r="F2029" s="8">
        <v>193</v>
      </c>
      <c r="G2029" s="8">
        <v>4291</v>
      </c>
      <c r="H2029" s="8">
        <v>2074</v>
      </c>
      <c r="I2029" s="8">
        <v>7845</v>
      </c>
    </row>
    <row r="2030" spans="1:9" x14ac:dyDescent="0.2">
      <c r="A2030" t="s">
        <v>436</v>
      </c>
      <c r="B2030" t="s">
        <v>577</v>
      </c>
      <c r="C2030" t="str">
        <f t="shared" si="113"/>
        <v>19645270000000</v>
      </c>
      <c r="D2030" t="s">
        <v>3815</v>
      </c>
      <c r="E2030" t="str">
        <f>"19645276013312"</f>
        <v>19645276013312</v>
      </c>
      <c r="F2030" s="8">
        <v>182</v>
      </c>
      <c r="G2030" s="8">
        <v>4277</v>
      </c>
      <c r="H2030" s="8">
        <v>2074</v>
      </c>
      <c r="I2030" s="8">
        <v>7845</v>
      </c>
    </row>
    <row r="2031" spans="1:9" x14ac:dyDescent="0.2">
      <c r="A2031" t="s">
        <v>436</v>
      </c>
      <c r="B2031" t="s">
        <v>577</v>
      </c>
      <c r="C2031" t="str">
        <f t="shared" si="113"/>
        <v>19645270000000</v>
      </c>
      <c r="D2031" t="s">
        <v>3833</v>
      </c>
      <c r="E2031" t="str">
        <f>"19645271932698"</f>
        <v>19645271932698</v>
      </c>
      <c r="F2031" s="8">
        <v>234</v>
      </c>
      <c r="G2031" s="8">
        <v>3318</v>
      </c>
      <c r="H2031" s="8">
        <v>2074</v>
      </c>
      <c r="I2031" s="8">
        <v>7845</v>
      </c>
    </row>
    <row r="2032" spans="1:9" x14ac:dyDescent="0.2">
      <c r="A2032" t="s">
        <v>436</v>
      </c>
      <c r="B2032" t="s">
        <v>577</v>
      </c>
      <c r="C2032" t="str">
        <f t="shared" si="113"/>
        <v>19645270000000</v>
      </c>
      <c r="D2032" t="s">
        <v>3834</v>
      </c>
      <c r="E2032" t="str">
        <f>"19645271932706"</f>
        <v>19645271932706</v>
      </c>
      <c r="F2032" s="8">
        <v>119</v>
      </c>
      <c r="G2032" s="8">
        <v>2155</v>
      </c>
      <c r="H2032" s="8">
        <v>2074</v>
      </c>
      <c r="I2032" s="8">
        <v>7845</v>
      </c>
    </row>
    <row r="2033" spans="1:9" x14ac:dyDescent="0.2">
      <c r="A2033" t="s">
        <v>436</v>
      </c>
      <c r="B2033" t="s">
        <v>577</v>
      </c>
      <c r="C2033" t="str">
        <f t="shared" si="113"/>
        <v>19645270000000</v>
      </c>
      <c r="D2033" t="s">
        <v>3835</v>
      </c>
      <c r="E2033" t="str">
        <f>"19645276061295"</f>
        <v>19645276061295</v>
      </c>
      <c r="F2033" s="8">
        <v>277</v>
      </c>
      <c r="G2033" s="8">
        <v>1782</v>
      </c>
      <c r="H2033" s="8">
        <v>2074</v>
      </c>
      <c r="I2033" s="8">
        <v>7845</v>
      </c>
    </row>
    <row r="2034" spans="1:9" x14ac:dyDescent="0.2">
      <c r="A2034" t="s">
        <v>436</v>
      </c>
      <c r="B2034" t="s">
        <v>577</v>
      </c>
      <c r="C2034" t="str">
        <f t="shared" si="113"/>
        <v>19645270000000</v>
      </c>
      <c r="D2034" t="s">
        <v>3836</v>
      </c>
      <c r="E2034" t="str">
        <f>"19645276061287"</f>
        <v>19645276061287</v>
      </c>
      <c r="F2034" s="8">
        <v>289</v>
      </c>
      <c r="G2034" s="8">
        <v>1723</v>
      </c>
      <c r="H2034" s="8">
        <v>2074</v>
      </c>
      <c r="I2034" s="8">
        <v>7845</v>
      </c>
    </row>
    <row r="2035" spans="1:9" x14ac:dyDescent="0.2">
      <c r="A2035" t="s">
        <v>436</v>
      </c>
      <c r="B2035" t="s">
        <v>577</v>
      </c>
      <c r="C2035" t="str">
        <f t="shared" si="113"/>
        <v>19645270000000</v>
      </c>
      <c r="D2035" t="s">
        <v>3837</v>
      </c>
      <c r="E2035" t="str">
        <f>"19645270133835"</f>
        <v>19645270133835</v>
      </c>
      <c r="F2035" s="8">
        <v>65</v>
      </c>
      <c r="G2035" s="8">
        <v>1863</v>
      </c>
      <c r="H2035" s="8">
        <v>2074</v>
      </c>
      <c r="I2035" s="8">
        <v>7845</v>
      </c>
    </row>
    <row r="2036" spans="1:9" x14ac:dyDescent="0.2">
      <c r="A2036" t="s">
        <v>436</v>
      </c>
      <c r="B2036" t="s">
        <v>577</v>
      </c>
      <c r="C2036" t="str">
        <f t="shared" si="113"/>
        <v>19645270000000</v>
      </c>
      <c r="D2036" t="s">
        <v>3838</v>
      </c>
      <c r="E2036" t="str">
        <f>"19645276057681"</f>
        <v>19645276057681</v>
      </c>
      <c r="F2036" s="8">
        <v>227</v>
      </c>
      <c r="G2036" s="8">
        <v>1579</v>
      </c>
      <c r="H2036" s="8">
        <v>2074</v>
      </c>
      <c r="I2036" s="8">
        <v>7845</v>
      </c>
    </row>
    <row r="2037" spans="1:9" x14ac:dyDescent="0.2">
      <c r="A2037" t="s">
        <v>436</v>
      </c>
      <c r="B2037" t="s">
        <v>579</v>
      </c>
      <c r="C2037" t="str">
        <f>"19645350000000"</f>
        <v>19645350000000</v>
      </c>
      <c r="D2037" t="s">
        <v>3839</v>
      </c>
      <c r="E2037" t="str">
        <f>"19645351930353"</f>
        <v>19645351930353</v>
      </c>
      <c r="F2037" s="8">
        <v>469</v>
      </c>
      <c r="G2037" s="8">
        <v>10451</v>
      </c>
      <c r="H2037" s="8">
        <v>388</v>
      </c>
      <c r="I2037" s="8">
        <v>3422</v>
      </c>
    </row>
    <row r="2038" spans="1:9" x14ac:dyDescent="0.2">
      <c r="A2038" t="s">
        <v>436</v>
      </c>
      <c r="B2038" t="s">
        <v>579</v>
      </c>
      <c r="C2038" t="str">
        <f>"19645350000000"</f>
        <v>19645350000000</v>
      </c>
      <c r="D2038" t="s">
        <v>3840</v>
      </c>
      <c r="E2038" t="str">
        <f>"19645356116248"</f>
        <v>19645356116248</v>
      </c>
      <c r="F2038" s="8">
        <v>980</v>
      </c>
      <c r="G2038" s="8">
        <v>7671</v>
      </c>
      <c r="H2038" s="8">
        <v>388</v>
      </c>
      <c r="I2038" s="8">
        <v>3422</v>
      </c>
    </row>
    <row r="2039" spans="1:9" x14ac:dyDescent="0.2">
      <c r="A2039" t="s">
        <v>436</v>
      </c>
      <c r="B2039" t="s">
        <v>579</v>
      </c>
      <c r="C2039" t="str">
        <f>"19645350000000"</f>
        <v>19645350000000</v>
      </c>
      <c r="D2039" t="s">
        <v>3841</v>
      </c>
      <c r="E2039" t="str">
        <f>"19645356013452"</f>
        <v>19645356013452</v>
      </c>
      <c r="F2039" s="8">
        <v>1167</v>
      </c>
      <c r="G2039" s="8">
        <v>7133</v>
      </c>
      <c r="H2039" s="8">
        <v>388</v>
      </c>
      <c r="I2039" s="8">
        <v>3422</v>
      </c>
    </row>
    <row r="2040" spans="1:9" x14ac:dyDescent="0.2">
      <c r="A2040" t="s">
        <v>436</v>
      </c>
      <c r="B2040" t="s">
        <v>579</v>
      </c>
      <c r="C2040" t="str">
        <f>"19645350000000"</f>
        <v>19645350000000</v>
      </c>
      <c r="D2040" t="s">
        <v>3842</v>
      </c>
      <c r="E2040" t="str">
        <f>"19645356013429"</f>
        <v>19645356013429</v>
      </c>
      <c r="F2040" s="8">
        <v>781</v>
      </c>
      <c r="G2040" s="8">
        <v>7035</v>
      </c>
      <c r="H2040" s="8">
        <v>388</v>
      </c>
      <c r="I2040" s="8">
        <v>3422</v>
      </c>
    </row>
    <row r="2041" spans="1:9" x14ac:dyDescent="0.2">
      <c r="A2041" t="s">
        <v>436</v>
      </c>
      <c r="B2041" t="s">
        <v>579</v>
      </c>
      <c r="C2041" t="str">
        <f>"19645350000000"</f>
        <v>19645350000000</v>
      </c>
      <c r="D2041" t="s">
        <v>3843</v>
      </c>
      <c r="E2041" t="str">
        <f>"19645351932763"</f>
        <v>19645351932763</v>
      </c>
      <c r="F2041" s="8">
        <v>1052</v>
      </c>
      <c r="G2041" s="8">
        <v>6698</v>
      </c>
      <c r="H2041" s="8">
        <v>388</v>
      </c>
      <c r="I2041" s="8">
        <v>3422</v>
      </c>
    </row>
    <row r="2042" spans="1:9" x14ac:dyDescent="0.2">
      <c r="A2042" t="s">
        <v>436</v>
      </c>
      <c r="B2042" t="s">
        <v>600</v>
      </c>
      <c r="C2042" t="str">
        <f t="shared" ref="C2042:C2052" si="114">"19645500000000"</f>
        <v>19645500000000</v>
      </c>
      <c r="D2042" t="s">
        <v>3844</v>
      </c>
      <c r="E2042" t="str">
        <f>"19645506013528"</f>
        <v>19645506013528</v>
      </c>
      <c r="F2042" s="8">
        <v>589</v>
      </c>
      <c r="G2042" s="8">
        <v>8947</v>
      </c>
      <c r="H2042" s="8">
        <v>2788</v>
      </c>
      <c r="I2042" s="8">
        <v>4238</v>
      </c>
    </row>
    <row r="2043" spans="1:9" x14ac:dyDescent="0.2">
      <c r="A2043" t="s">
        <v>436</v>
      </c>
      <c r="B2043" t="s">
        <v>600</v>
      </c>
      <c r="C2043" t="str">
        <f t="shared" si="114"/>
        <v>19645500000000</v>
      </c>
      <c r="D2043" t="s">
        <v>3845</v>
      </c>
      <c r="E2043" t="str">
        <f>"19645506101497"</f>
        <v>19645506101497</v>
      </c>
      <c r="F2043" s="8">
        <v>399</v>
      </c>
      <c r="G2043" s="8">
        <v>8826</v>
      </c>
      <c r="H2043" s="8">
        <v>2788</v>
      </c>
      <c r="I2043" s="8">
        <v>4238</v>
      </c>
    </row>
    <row r="2044" spans="1:9" x14ac:dyDescent="0.2">
      <c r="A2044" t="s">
        <v>436</v>
      </c>
      <c r="B2044" t="s">
        <v>600</v>
      </c>
      <c r="C2044" t="str">
        <f t="shared" si="114"/>
        <v>19645500000000</v>
      </c>
      <c r="D2044" t="s">
        <v>3846</v>
      </c>
      <c r="E2044" t="str">
        <f>"19645506013544"</f>
        <v>19645506013544</v>
      </c>
      <c r="F2044" s="8">
        <v>689</v>
      </c>
      <c r="G2044" s="8">
        <v>7894</v>
      </c>
      <c r="H2044" s="8">
        <v>2788</v>
      </c>
      <c r="I2044" s="8">
        <v>4238</v>
      </c>
    </row>
    <row r="2045" spans="1:9" x14ac:dyDescent="0.2">
      <c r="A2045" t="s">
        <v>436</v>
      </c>
      <c r="B2045" t="s">
        <v>600</v>
      </c>
      <c r="C2045" t="str">
        <f t="shared" si="114"/>
        <v>19645500000000</v>
      </c>
      <c r="D2045" t="s">
        <v>3847</v>
      </c>
      <c r="E2045" t="str">
        <f>"19645500138172"</f>
        <v>19645500138172</v>
      </c>
      <c r="F2045" s="8">
        <v>386</v>
      </c>
      <c r="G2045" s="8">
        <v>7770</v>
      </c>
      <c r="H2045" s="8">
        <v>2788</v>
      </c>
      <c r="I2045" s="8">
        <v>4238</v>
      </c>
    </row>
    <row r="2046" spans="1:9" x14ac:dyDescent="0.2">
      <c r="A2046" t="s">
        <v>436</v>
      </c>
      <c r="B2046" t="s">
        <v>600</v>
      </c>
      <c r="C2046" t="str">
        <f t="shared" si="114"/>
        <v>19645500000000</v>
      </c>
      <c r="D2046" t="s">
        <v>3848</v>
      </c>
      <c r="E2046" t="str">
        <f>"19645506013601"</f>
        <v>19645506013601</v>
      </c>
      <c r="F2046" s="8">
        <v>258</v>
      </c>
      <c r="G2046" s="8">
        <v>7841</v>
      </c>
      <c r="H2046" s="8">
        <v>2788</v>
      </c>
      <c r="I2046" s="8">
        <v>4238</v>
      </c>
    </row>
    <row r="2047" spans="1:9" x14ac:dyDescent="0.2">
      <c r="A2047" t="s">
        <v>436</v>
      </c>
      <c r="B2047" t="s">
        <v>600</v>
      </c>
      <c r="C2047" t="str">
        <f t="shared" si="114"/>
        <v>19645500000000</v>
      </c>
      <c r="D2047" t="s">
        <v>3849</v>
      </c>
      <c r="E2047" t="str">
        <f>"19645506013536"</f>
        <v>19645506013536</v>
      </c>
      <c r="F2047" s="8">
        <v>601</v>
      </c>
      <c r="G2047" s="8">
        <v>7291</v>
      </c>
      <c r="H2047" s="8">
        <v>2788</v>
      </c>
      <c r="I2047" s="8">
        <v>4238</v>
      </c>
    </row>
    <row r="2048" spans="1:9" x14ac:dyDescent="0.2">
      <c r="A2048" t="s">
        <v>436</v>
      </c>
      <c r="B2048" t="s">
        <v>600</v>
      </c>
      <c r="C2048" t="str">
        <f t="shared" si="114"/>
        <v>19645500000000</v>
      </c>
      <c r="D2048" t="s">
        <v>3850</v>
      </c>
      <c r="E2048" t="str">
        <f>"19645506013551"</f>
        <v>19645506013551</v>
      </c>
      <c r="F2048" s="8">
        <v>518</v>
      </c>
      <c r="G2048" s="8">
        <v>7242</v>
      </c>
      <c r="H2048" s="8">
        <v>2788</v>
      </c>
      <c r="I2048" s="8">
        <v>4238</v>
      </c>
    </row>
    <row r="2049" spans="1:9" x14ac:dyDescent="0.2">
      <c r="A2049" t="s">
        <v>436</v>
      </c>
      <c r="B2049" t="s">
        <v>600</v>
      </c>
      <c r="C2049" t="str">
        <f t="shared" si="114"/>
        <v>19645500000000</v>
      </c>
      <c r="D2049" t="s">
        <v>3851</v>
      </c>
      <c r="E2049" t="str">
        <f>"19645506013510"</f>
        <v>19645506013510</v>
      </c>
      <c r="F2049" s="8">
        <v>348</v>
      </c>
      <c r="G2049" s="8">
        <v>7358</v>
      </c>
      <c r="H2049" s="8">
        <v>2788</v>
      </c>
      <c r="I2049" s="8">
        <v>4238</v>
      </c>
    </row>
    <row r="2050" spans="1:9" x14ac:dyDescent="0.2">
      <c r="A2050" t="s">
        <v>436</v>
      </c>
      <c r="B2050" t="s">
        <v>600</v>
      </c>
      <c r="C2050" t="str">
        <f t="shared" si="114"/>
        <v>19645500000000</v>
      </c>
      <c r="D2050" t="s">
        <v>3852</v>
      </c>
      <c r="E2050" t="str">
        <f>"19645506105886"</f>
        <v>19645506105886</v>
      </c>
      <c r="F2050" s="8">
        <v>473</v>
      </c>
      <c r="G2050" s="8">
        <v>6778</v>
      </c>
      <c r="H2050" s="8">
        <v>2788</v>
      </c>
      <c r="I2050" s="8">
        <v>4238</v>
      </c>
    </row>
    <row r="2051" spans="1:9" x14ac:dyDescent="0.2">
      <c r="A2051" t="s">
        <v>436</v>
      </c>
      <c r="B2051" t="s">
        <v>600</v>
      </c>
      <c r="C2051" t="str">
        <f t="shared" si="114"/>
        <v>19645500000000</v>
      </c>
      <c r="D2051" t="s">
        <v>3853</v>
      </c>
      <c r="E2051" t="str">
        <f>"19645506013593"</f>
        <v>19645506013593</v>
      </c>
      <c r="F2051" s="8">
        <v>497</v>
      </c>
      <c r="G2051" s="8">
        <v>6291</v>
      </c>
      <c r="H2051" s="8">
        <v>2788</v>
      </c>
      <c r="I2051" s="8">
        <v>4238</v>
      </c>
    </row>
    <row r="2052" spans="1:9" x14ac:dyDescent="0.2">
      <c r="A2052" t="s">
        <v>436</v>
      </c>
      <c r="B2052" t="s">
        <v>600</v>
      </c>
      <c r="C2052" t="str">
        <f t="shared" si="114"/>
        <v>19645500000000</v>
      </c>
      <c r="D2052" t="s">
        <v>3854</v>
      </c>
      <c r="E2052" t="str">
        <f>"19645506013585"</f>
        <v>19645506013585</v>
      </c>
      <c r="F2052" s="8">
        <v>275</v>
      </c>
      <c r="G2052" s="8">
        <v>6176</v>
      </c>
      <c r="H2052" s="8">
        <v>2788</v>
      </c>
      <c r="I2052" s="8">
        <v>4238</v>
      </c>
    </row>
    <row r="2053" spans="1:9" x14ac:dyDescent="0.2">
      <c r="A2053" t="s">
        <v>436</v>
      </c>
      <c r="B2053" t="s">
        <v>602</v>
      </c>
      <c r="C2053" t="str">
        <f t="shared" ref="C2053:C2084" si="115">"19645680000000"</f>
        <v>19645680000000</v>
      </c>
      <c r="D2053" t="s">
        <v>3855</v>
      </c>
      <c r="E2053" t="str">
        <f>"19645681996156"</f>
        <v>19645681996156</v>
      </c>
      <c r="F2053" s="8">
        <v>0</v>
      </c>
      <c r="G2053" s="8">
        <v>43145</v>
      </c>
      <c r="H2053" s="8">
        <v>393</v>
      </c>
      <c r="I2053" s="8">
        <v>3230</v>
      </c>
    </row>
    <row r="2054" spans="1:9" x14ac:dyDescent="0.2">
      <c r="A2054" t="s">
        <v>436</v>
      </c>
      <c r="B2054" t="s">
        <v>602</v>
      </c>
      <c r="C2054" t="str">
        <f t="shared" si="115"/>
        <v>19645680000000</v>
      </c>
      <c r="D2054" t="s">
        <v>3856</v>
      </c>
      <c r="E2054" t="str">
        <f>"19645686099022"</f>
        <v>19645686099022</v>
      </c>
      <c r="F2054" s="8">
        <v>4187</v>
      </c>
      <c r="G2054" s="8">
        <v>30458</v>
      </c>
      <c r="H2054" s="8">
        <v>368</v>
      </c>
      <c r="I2054" s="8">
        <v>3426</v>
      </c>
    </row>
    <row r="2055" spans="1:9" x14ac:dyDescent="0.2">
      <c r="A2055" t="s">
        <v>436</v>
      </c>
      <c r="B2055" t="s">
        <v>602</v>
      </c>
      <c r="C2055" t="str">
        <f t="shared" si="115"/>
        <v>19645680000000</v>
      </c>
      <c r="D2055" t="s">
        <v>3857</v>
      </c>
      <c r="E2055" t="str">
        <f>"19645681933472"</f>
        <v>19645681933472</v>
      </c>
      <c r="F2055" s="8">
        <v>1918</v>
      </c>
      <c r="G2055" s="8">
        <v>17415</v>
      </c>
      <c r="H2055" s="8">
        <v>393</v>
      </c>
      <c r="I2055" s="8">
        <v>3230</v>
      </c>
    </row>
    <row r="2056" spans="1:9" x14ac:dyDescent="0.2">
      <c r="A2056" t="s">
        <v>436</v>
      </c>
      <c r="B2056" t="s">
        <v>602</v>
      </c>
      <c r="C2056" t="str">
        <f t="shared" si="115"/>
        <v>19645680000000</v>
      </c>
      <c r="D2056" t="s">
        <v>3858</v>
      </c>
      <c r="E2056" t="str">
        <f>"19645686013775"</f>
        <v>19645686013775</v>
      </c>
      <c r="F2056" s="8">
        <v>1217</v>
      </c>
      <c r="G2056" s="8">
        <v>8313</v>
      </c>
      <c r="H2056" s="8">
        <v>368</v>
      </c>
      <c r="I2056" s="8">
        <v>3426</v>
      </c>
    </row>
    <row r="2057" spans="1:9" x14ac:dyDescent="0.2">
      <c r="A2057" t="s">
        <v>436</v>
      </c>
      <c r="B2057" t="s">
        <v>602</v>
      </c>
      <c r="C2057" t="str">
        <f t="shared" si="115"/>
        <v>19645680000000</v>
      </c>
      <c r="D2057" t="s">
        <v>3859</v>
      </c>
      <c r="E2057" t="str">
        <f>"19645686057715"</f>
        <v>19645686057715</v>
      </c>
      <c r="F2057" s="8">
        <v>577</v>
      </c>
      <c r="G2057" s="8">
        <v>8565</v>
      </c>
      <c r="H2057" s="8">
        <v>368</v>
      </c>
      <c r="I2057" s="8">
        <v>2827</v>
      </c>
    </row>
    <row r="2058" spans="1:9" x14ac:dyDescent="0.2">
      <c r="A2058" t="s">
        <v>436</v>
      </c>
      <c r="B2058" t="s">
        <v>602</v>
      </c>
      <c r="C2058" t="str">
        <f t="shared" si="115"/>
        <v>19645680000000</v>
      </c>
      <c r="D2058" t="s">
        <v>3860</v>
      </c>
      <c r="E2058" t="str">
        <f>"19645686013635"</f>
        <v>19645686013635</v>
      </c>
      <c r="F2058" s="8">
        <v>1109</v>
      </c>
      <c r="G2058" s="8">
        <v>7429</v>
      </c>
      <c r="H2058" s="8">
        <v>368</v>
      </c>
      <c r="I2058" s="8">
        <v>3426</v>
      </c>
    </row>
    <row r="2059" spans="1:9" x14ac:dyDescent="0.2">
      <c r="A2059" t="s">
        <v>436</v>
      </c>
      <c r="B2059" t="s">
        <v>602</v>
      </c>
      <c r="C2059" t="str">
        <f t="shared" si="115"/>
        <v>19645680000000</v>
      </c>
      <c r="D2059" t="s">
        <v>3565</v>
      </c>
      <c r="E2059" t="str">
        <f>"19645686013627"</f>
        <v>19645686013627</v>
      </c>
      <c r="F2059" s="8">
        <v>623</v>
      </c>
      <c r="G2059" s="8">
        <v>7455</v>
      </c>
      <c r="H2059" s="8">
        <v>368</v>
      </c>
      <c r="I2059" s="8">
        <v>3426</v>
      </c>
    </row>
    <row r="2060" spans="1:9" x14ac:dyDescent="0.2">
      <c r="A2060" t="s">
        <v>436</v>
      </c>
      <c r="B2060" t="s">
        <v>602</v>
      </c>
      <c r="C2060" t="str">
        <f t="shared" si="115"/>
        <v>19645680000000</v>
      </c>
      <c r="D2060" t="s">
        <v>2910</v>
      </c>
      <c r="E2060" t="str">
        <f>"19645681934082"</f>
        <v>19645681934082</v>
      </c>
      <c r="F2060" s="8">
        <v>557</v>
      </c>
      <c r="G2060" s="8">
        <v>7560</v>
      </c>
      <c r="H2060" s="8">
        <v>393</v>
      </c>
      <c r="I2060" s="8">
        <v>3309</v>
      </c>
    </row>
    <row r="2061" spans="1:9" x14ac:dyDescent="0.2">
      <c r="A2061" t="s">
        <v>436</v>
      </c>
      <c r="B2061" t="s">
        <v>602</v>
      </c>
      <c r="C2061" t="str">
        <f t="shared" si="115"/>
        <v>19645680000000</v>
      </c>
      <c r="D2061" t="s">
        <v>3861</v>
      </c>
      <c r="E2061" t="str">
        <f>"19645686013692"</f>
        <v>19645686013692</v>
      </c>
      <c r="F2061" s="8">
        <v>190</v>
      </c>
      <c r="G2061" s="8">
        <v>7608</v>
      </c>
      <c r="H2061" s="8">
        <v>368</v>
      </c>
      <c r="I2061" s="8">
        <v>3426</v>
      </c>
    </row>
    <row r="2062" spans="1:9" x14ac:dyDescent="0.2">
      <c r="A2062" t="s">
        <v>436</v>
      </c>
      <c r="B2062" t="s">
        <v>602</v>
      </c>
      <c r="C2062" t="str">
        <f t="shared" si="115"/>
        <v>19645680000000</v>
      </c>
      <c r="D2062" t="s">
        <v>3862</v>
      </c>
      <c r="E2062" t="str">
        <f>"19645681932144"</f>
        <v>19645681932144</v>
      </c>
      <c r="F2062" s="8">
        <v>185</v>
      </c>
      <c r="G2062" s="8">
        <v>7121</v>
      </c>
      <c r="H2062" s="8">
        <v>393</v>
      </c>
      <c r="I2062" s="8">
        <v>3856</v>
      </c>
    </row>
    <row r="2063" spans="1:9" x14ac:dyDescent="0.2">
      <c r="A2063" t="s">
        <v>436</v>
      </c>
      <c r="B2063" t="s">
        <v>602</v>
      </c>
      <c r="C2063" t="str">
        <f t="shared" si="115"/>
        <v>19645680000000</v>
      </c>
      <c r="D2063" t="s">
        <v>3863</v>
      </c>
      <c r="E2063" t="str">
        <f>"19645686013742"</f>
        <v>19645686013742</v>
      </c>
      <c r="F2063" s="8">
        <v>577</v>
      </c>
      <c r="G2063" s="8">
        <v>7166</v>
      </c>
      <c r="H2063" s="8">
        <v>368</v>
      </c>
      <c r="I2063" s="8">
        <v>3426</v>
      </c>
    </row>
    <row r="2064" spans="1:9" x14ac:dyDescent="0.2">
      <c r="A2064" t="s">
        <v>436</v>
      </c>
      <c r="B2064" t="s">
        <v>602</v>
      </c>
      <c r="C2064" t="str">
        <f t="shared" si="115"/>
        <v>19645680000000</v>
      </c>
      <c r="D2064" t="s">
        <v>3864</v>
      </c>
      <c r="E2064" t="str">
        <f>"19645681933530"</f>
        <v>19645681933530</v>
      </c>
      <c r="F2064" s="8">
        <v>545</v>
      </c>
      <c r="G2064" s="8">
        <v>7329</v>
      </c>
      <c r="H2064" s="8">
        <v>393</v>
      </c>
      <c r="I2064" s="8">
        <v>3230</v>
      </c>
    </row>
    <row r="2065" spans="1:9" x14ac:dyDescent="0.2">
      <c r="A2065" t="s">
        <v>436</v>
      </c>
      <c r="B2065" t="s">
        <v>602</v>
      </c>
      <c r="C2065" t="str">
        <f t="shared" si="115"/>
        <v>19645680000000</v>
      </c>
      <c r="D2065" t="s">
        <v>3865</v>
      </c>
      <c r="E2065" t="str">
        <f>"19645686057723"</f>
        <v>19645686057723</v>
      </c>
      <c r="F2065" s="8">
        <v>495</v>
      </c>
      <c r="G2065" s="8">
        <v>7549</v>
      </c>
      <c r="H2065" s="8">
        <v>368</v>
      </c>
      <c r="I2065" s="8">
        <v>2827</v>
      </c>
    </row>
    <row r="2066" spans="1:9" x14ac:dyDescent="0.2">
      <c r="A2066" t="s">
        <v>436</v>
      </c>
      <c r="B2066" t="s">
        <v>602</v>
      </c>
      <c r="C2066" t="str">
        <f t="shared" si="115"/>
        <v>19645680000000</v>
      </c>
      <c r="D2066" t="s">
        <v>3866</v>
      </c>
      <c r="E2066" t="str">
        <f>"19645686013809"</f>
        <v>19645686013809</v>
      </c>
      <c r="F2066" s="8">
        <v>330</v>
      </c>
      <c r="G2066" s="8">
        <v>7104</v>
      </c>
      <c r="H2066" s="8">
        <v>368</v>
      </c>
      <c r="I2066" s="8">
        <v>3426</v>
      </c>
    </row>
    <row r="2067" spans="1:9" x14ac:dyDescent="0.2">
      <c r="A2067" t="s">
        <v>436</v>
      </c>
      <c r="B2067" t="s">
        <v>602</v>
      </c>
      <c r="C2067" t="str">
        <f t="shared" si="115"/>
        <v>19645680000000</v>
      </c>
      <c r="D2067" t="s">
        <v>3867</v>
      </c>
      <c r="E2067" t="str">
        <f>"19645686013833"</f>
        <v>19645686013833</v>
      </c>
      <c r="F2067" s="8">
        <v>217</v>
      </c>
      <c r="G2067" s="8">
        <v>7097</v>
      </c>
      <c r="H2067" s="8">
        <v>368</v>
      </c>
      <c r="I2067" s="8">
        <v>3426</v>
      </c>
    </row>
    <row r="2068" spans="1:9" x14ac:dyDescent="0.2">
      <c r="A2068" t="s">
        <v>436</v>
      </c>
      <c r="B2068" t="s">
        <v>602</v>
      </c>
      <c r="C2068" t="str">
        <f t="shared" si="115"/>
        <v>19645680000000</v>
      </c>
      <c r="D2068" t="s">
        <v>2093</v>
      </c>
      <c r="E2068" t="str">
        <f>"19645686013817"</f>
        <v>19645686013817</v>
      </c>
      <c r="F2068" s="8">
        <v>670</v>
      </c>
      <c r="G2068" s="8">
        <v>6638</v>
      </c>
      <c r="H2068" s="8">
        <v>368</v>
      </c>
      <c r="I2068" s="8">
        <v>3426</v>
      </c>
    </row>
    <row r="2069" spans="1:9" x14ac:dyDescent="0.2">
      <c r="A2069" t="s">
        <v>436</v>
      </c>
      <c r="B2069" t="s">
        <v>602</v>
      </c>
      <c r="C2069" t="str">
        <f t="shared" si="115"/>
        <v>19645680000000</v>
      </c>
      <c r="D2069" t="s">
        <v>2288</v>
      </c>
      <c r="E2069" t="str">
        <f>"19645686013767"</f>
        <v>19645686013767</v>
      </c>
      <c r="F2069" s="8">
        <v>773</v>
      </c>
      <c r="G2069" s="8">
        <v>6530</v>
      </c>
      <c r="H2069" s="8">
        <v>368</v>
      </c>
      <c r="I2069" s="8">
        <v>3426</v>
      </c>
    </row>
    <row r="2070" spans="1:9" x14ac:dyDescent="0.2">
      <c r="A2070" t="s">
        <v>436</v>
      </c>
      <c r="B2070" t="s">
        <v>602</v>
      </c>
      <c r="C2070" t="str">
        <f t="shared" si="115"/>
        <v>19645680000000</v>
      </c>
      <c r="D2070" t="s">
        <v>3868</v>
      </c>
      <c r="E2070" t="str">
        <f>"19645686061311"</f>
        <v>19645686061311</v>
      </c>
      <c r="F2070" s="8">
        <v>557</v>
      </c>
      <c r="G2070" s="8">
        <v>7304</v>
      </c>
      <c r="H2070" s="8">
        <v>368</v>
      </c>
      <c r="I2070" s="8">
        <v>2827</v>
      </c>
    </row>
    <row r="2071" spans="1:9" x14ac:dyDescent="0.2">
      <c r="A2071" t="s">
        <v>436</v>
      </c>
      <c r="B2071" t="s">
        <v>602</v>
      </c>
      <c r="C2071" t="str">
        <f t="shared" si="115"/>
        <v>19645680000000</v>
      </c>
      <c r="D2071" t="s">
        <v>3653</v>
      </c>
      <c r="E2071" t="str">
        <f>"19645686013718"</f>
        <v>19645686013718</v>
      </c>
      <c r="F2071" s="8">
        <v>764</v>
      </c>
      <c r="G2071" s="8">
        <v>6448</v>
      </c>
      <c r="H2071" s="8">
        <v>368</v>
      </c>
      <c r="I2071" s="8">
        <v>3426</v>
      </c>
    </row>
    <row r="2072" spans="1:9" x14ac:dyDescent="0.2">
      <c r="A2072" t="s">
        <v>436</v>
      </c>
      <c r="B2072" t="s">
        <v>602</v>
      </c>
      <c r="C2072" t="str">
        <f t="shared" si="115"/>
        <v>19645680000000</v>
      </c>
      <c r="D2072" t="s">
        <v>3443</v>
      </c>
      <c r="E2072" t="str">
        <f>"19645686013684"</f>
        <v>19645686013684</v>
      </c>
      <c r="F2072" s="8">
        <v>415</v>
      </c>
      <c r="G2072" s="8">
        <v>6771</v>
      </c>
      <c r="H2072" s="8">
        <v>368</v>
      </c>
      <c r="I2072" s="8">
        <v>3426</v>
      </c>
    </row>
    <row r="2073" spans="1:9" x14ac:dyDescent="0.2">
      <c r="A2073" t="s">
        <v>436</v>
      </c>
      <c r="B2073" t="s">
        <v>602</v>
      </c>
      <c r="C2073" t="str">
        <f t="shared" si="115"/>
        <v>19645680000000</v>
      </c>
      <c r="D2073" t="s">
        <v>3690</v>
      </c>
      <c r="E2073" t="str">
        <f>"19645686013650"</f>
        <v>19645686013650</v>
      </c>
      <c r="F2073" s="8">
        <v>329</v>
      </c>
      <c r="G2073" s="8">
        <v>6757</v>
      </c>
      <c r="H2073" s="8">
        <v>368</v>
      </c>
      <c r="I2073" s="8">
        <v>3426</v>
      </c>
    </row>
    <row r="2074" spans="1:9" x14ac:dyDescent="0.2">
      <c r="A2074" t="s">
        <v>436</v>
      </c>
      <c r="B2074" t="s">
        <v>602</v>
      </c>
      <c r="C2074" t="str">
        <f t="shared" si="115"/>
        <v>19645680000000</v>
      </c>
      <c r="D2074" t="s">
        <v>3869</v>
      </c>
      <c r="E2074" t="str">
        <f>"19645686013643"</f>
        <v>19645686013643</v>
      </c>
      <c r="F2074" s="8">
        <v>268</v>
      </c>
      <c r="G2074" s="8">
        <v>6811</v>
      </c>
      <c r="H2074" s="8">
        <v>368</v>
      </c>
      <c r="I2074" s="8">
        <v>3426</v>
      </c>
    </row>
    <row r="2075" spans="1:9" x14ac:dyDescent="0.2">
      <c r="A2075" t="s">
        <v>436</v>
      </c>
      <c r="B2075" t="s">
        <v>602</v>
      </c>
      <c r="C2075" t="str">
        <f t="shared" si="115"/>
        <v>19645680000000</v>
      </c>
      <c r="D2075" t="s">
        <v>3870</v>
      </c>
      <c r="E2075" t="str">
        <f>"19645686013734"</f>
        <v>19645686013734</v>
      </c>
      <c r="F2075" s="8">
        <v>216</v>
      </c>
      <c r="G2075" s="8">
        <v>6813</v>
      </c>
      <c r="H2075" s="8">
        <v>368</v>
      </c>
      <c r="I2075" s="8">
        <v>3426</v>
      </c>
    </row>
    <row r="2076" spans="1:9" x14ac:dyDescent="0.2">
      <c r="A2076" t="s">
        <v>436</v>
      </c>
      <c r="B2076" t="s">
        <v>602</v>
      </c>
      <c r="C2076" t="str">
        <f t="shared" si="115"/>
        <v>19645680000000</v>
      </c>
      <c r="D2076" t="s">
        <v>3871</v>
      </c>
      <c r="E2076" t="str">
        <f>"19645681996131"</f>
        <v>19645681996131</v>
      </c>
      <c r="F2076" s="8">
        <v>301</v>
      </c>
      <c r="G2076" s="8">
        <v>5946</v>
      </c>
      <c r="H2076" s="8">
        <v>393</v>
      </c>
      <c r="I2076" s="8">
        <v>4072</v>
      </c>
    </row>
    <row r="2077" spans="1:9" x14ac:dyDescent="0.2">
      <c r="A2077" t="s">
        <v>436</v>
      </c>
      <c r="B2077" t="s">
        <v>602</v>
      </c>
      <c r="C2077" t="str">
        <f t="shared" si="115"/>
        <v>19645680000000</v>
      </c>
      <c r="D2077" t="s">
        <v>3872</v>
      </c>
      <c r="E2077" t="str">
        <f>"19645686013841"</f>
        <v>19645686013841</v>
      </c>
      <c r="F2077" s="8">
        <v>458</v>
      </c>
      <c r="G2077" s="8">
        <v>6437</v>
      </c>
      <c r="H2077" s="8">
        <v>368</v>
      </c>
      <c r="I2077" s="8">
        <v>3426</v>
      </c>
    </row>
    <row r="2078" spans="1:9" x14ac:dyDescent="0.2">
      <c r="A2078" t="s">
        <v>436</v>
      </c>
      <c r="B2078" t="s">
        <v>602</v>
      </c>
      <c r="C2078" t="str">
        <f t="shared" si="115"/>
        <v>19645680000000</v>
      </c>
      <c r="D2078" t="s">
        <v>2328</v>
      </c>
      <c r="E2078" t="str">
        <f>"19645686013825"</f>
        <v>19645686013825</v>
      </c>
      <c r="F2078" s="8">
        <v>124</v>
      </c>
      <c r="G2078" s="8">
        <v>6756</v>
      </c>
      <c r="H2078" s="8">
        <v>368</v>
      </c>
      <c r="I2078" s="8">
        <v>3426</v>
      </c>
    </row>
    <row r="2079" spans="1:9" x14ac:dyDescent="0.2">
      <c r="A2079" t="s">
        <v>436</v>
      </c>
      <c r="B2079" t="s">
        <v>602</v>
      </c>
      <c r="C2079" t="str">
        <f t="shared" si="115"/>
        <v>19645680000000</v>
      </c>
      <c r="D2079" t="s">
        <v>3873</v>
      </c>
      <c r="E2079" t="str">
        <f>"19645686061303"</f>
        <v>19645686061303</v>
      </c>
      <c r="F2079" s="8">
        <v>195</v>
      </c>
      <c r="G2079" s="8">
        <v>7228</v>
      </c>
      <c r="H2079" s="8">
        <v>368</v>
      </c>
      <c r="I2079" s="8">
        <v>2827</v>
      </c>
    </row>
    <row r="2080" spans="1:9" x14ac:dyDescent="0.2">
      <c r="A2080" t="s">
        <v>436</v>
      </c>
      <c r="B2080" t="s">
        <v>602</v>
      </c>
      <c r="C2080" t="str">
        <f t="shared" si="115"/>
        <v>19645680000000</v>
      </c>
      <c r="D2080" t="s">
        <v>3874</v>
      </c>
      <c r="E2080" t="str">
        <f>"19645686013726"</f>
        <v>19645686013726</v>
      </c>
      <c r="F2080" s="8">
        <v>280</v>
      </c>
      <c r="G2080" s="8">
        <v>6453</v>
      </c>
      <c r="H2080" s="8">
        <v>368</v>
      </c>
      <c r="I2080" s="8">
        <v>3426</v>
      </c>
    </row>
    <row r="2081" spans="1:9" x14ac:dyDescent="0.2">
      <c r="A2081" t="s">
        <v>436</v>
      </c>
      <c r="B2081" t="s">
        <v>602</v>
      </c>
      <c r="C2081" t="str">
        <f t="shared" si="115"/>
        <v>19645680000000</v>
      </c>
      <c r="D2081" t="s">
        <v>3875</v>
      </c>
      <c r="E2081" t="str">
        <f>"19645686013619"</f>
        <v>19645686013619</v>
      </c>
      <c r="F2081" s="8">
        <v>518</v>
      </c>
      <c r="G2081" s="8">
        <v>6058</v>
      </c>
      <c r="H2081" s="8">
        <v>368</v>
      </c>
      <c r="I2081" s="8">
        <v>3426</v>
      </c>
    </row>
    <row r="2082" spans="1:9" x14ac:dyDescent="0.2">
      <c r="A2082" t="s">
        <v>436</v>
      </c>
      <c r="B2082" t="s">
        <v>602</v>
      </c>
      <c r="C2082" t="str">
        <f t="shared" si="115"/>
        <v>19645680000000</v>
      </c>
      <c r="D2082" t="s">
        <v>3876</v>
      </c>
      <c r="E2082" t="str">
        <f>"19645686013676"</f>
        <v>19645686013676</v>
      </c>
      <c r="F2082" s="8">
        <v>136</v>
      </c>
      <c r="G2082" s="8">
        <v>6369</v>
      </c>
      <c r="H2082" s="8">
        <v>368</v>
      </c>
      <c r="I2082" s="8">
        <v>3426</v>
      </c>
    </row>
    <row r="2083" spans="1:9" x14ac:dyDescent="0.2">
      <c r="A2083" t="s">
        <v>436</v>
      </c>
      <c r="B2083" t="s">
        <v>602</v>
      </c>
      <c r="C2083" t="str">
        <f t="shared" si="115"/>
        <v>19645680000000</v>
      </c>
      <c r="D2083" t="s">
        <v>3877</v>
      </c>
      <c r="E2083" t="str">
        <f>"19645686013783"</f>
        <v>19645686013783</v>
      </c>
      <c r="F2083" s="8">
        <v>176</v>
      </c>
      <c r="G2083" s="8">
        <v>6095</v>
      </c>
      <c r="H2083" s="8">
        <v>368</v>
      </c>
      <c r="I2083" s="8">
        <v>3426</v>
      </c>
    </row>
    <row r="2084" spans="1:9" x14ac:dyDescent="0.2">
      <c r="A2084" t="s">
        <v>436</v>
      </c>
      <c r="B2084" t="s">
        <v>602</v>
      </c>
      <c r="C2084" t="str">
        <f t="shared" si="115"/>
        <v>19645680000000</v>
      </c>
      <c r="D2084" t="s">
        <v>3878</v>
      </c>
      <c r="E2084" t="str">
        <f>"19645681995497"</f>
        <v>19645681995497</v>
      </c>
      <c r="F2084" s="8">
        <v>32</v>
      </c>
      <c r="G2084" s="8">
        <v>5731</v>
      </c>
      <c r="H2084" s="8">
        <v>393</v>
      </c>
      <c r="I2084" s="8">
        <v>3230</v>
      </c>
    </row>
    <row r="2085" spans="1:9" x14ac:dyDescent="0.2">
      <c r="A2085" t="s">
        <v>436</v>
      </c>
      <c r="B2085" t="s">
        <v>603</v>
      </c>
      <c r="C2085" t="str">
        <f t="shared" ref="C2085:C2094" si="116">"19645760000000"</f>
        <v>19645760000000</v>
      </c>
      <c r="D2085" t="s">
        <v>3879</v>
      </c>
      <c r="E2085" t="str">
        <f>"19645761939677"</f>
        <v>19645761939677</v>
      </c>
      <c r="F2085" s="8">
        <v>378</v>
      </c>
      <c r="G2085" s="8">
        <v>19264</v>
      </c>
      <c r="H2085" s="8">
        <v>911</v>
      </c>
      <c r="I2085" s="8">
        <v>3095</v>
      </c>
    </row>
    <row r="2086" spans="1:9" x14ac:dyDescent="0.2">
      <c r="A2086" t="s">
        <v>436</v>
      </c>
      <c r="B2086" t="s">
        <v>603</v>
      </c>
      <c r="C2086" t="str">
        <f t="shared" si="116"/>
        <v>19645760000000</v>
      </c>
      <c r="D2086" t="s">
        <v>3880</v>
      </c>
      <c r="E2086" t="str">
        <f>"19645760131060"</f>
        <v>19645760131060</v>
      </c>
      <c r="F2086" s="8">
        <v>378</v>
      </c>
      <c r="G2086" s="8">
        <v>13849</v>
      </c>
      <c r="H2086" s="8">
        <v>911</v>
      </c>
      <c r="I2086" s="8">
        <v>3095</v>
      </c>
    </row>
    <row r="2087" spans="1:9" x14ac:dyDescent="0.2">
      <c r="A2087" t="s">
        <v>436</v>
      </c>
      <c r="B2087" t="s">
        <v>603</v>
      </c>
      <c r="C2087" t="str">
        <f t="shared" si="116"/>
        <v>19645760000000</v>
      </c>
      <c r="D2087" t="s">
        <v>3881</v>
      </c>
      <c r="E2087" t="str">
        <f>"19645766013924"</f>
        <v>19645766013924</v>
      </c>
      <c r="F2087" s="8">
        <v>378</v>
      </c>
      <c r="G2087" s="8">
        <v>7702</v>
      </c>
      <c r="H2087" s="8">
        <v>911</v>
      </c>
      <c r="I2087" s="8">
        <v>3095</v>
      </c>
    </row>
    <row r="2088" spans="1:9" x14ac:dyDescent="0.2">
      <c r="A2088" t="s">
        <v>436</v>
      </c>
      <c r="B2088" t="s">
        <v>603</v>
      </c>
      <c r="C2088" t="str">
        <f t="shared" si="116"/>
        <v>19645760000000</v>
      </c>
      <c r="D2088" t="s">
        <v>3882</v>
      </c>
      <c r="E2088" t="str">
        <f>"19645766013908"</f>
        <v>19645766013908</v>
      </c>
      <c r="F2088" s="8">
        <v>378</v>
      </c>
      <c r="G2088" s="8">
        <v>7510</v>
      </c>
      <c r="H2088" s="8">
        <v>911</v>
      </c>
      <c r="I2088" s="8">
        <v>3095</v>
      </c>
    </row>
    <row r="2089" spans="1:9" x14ac:dyDescent="0.2">
      <c r="A2089" t="s">
        <v>436</v>
      </c>
      <c r="B2089" t="s">
        <v>603</v>
      </c>
      <c r="C2089" t="str">
        <f t="shared" si="116"/>
        <v>19645760000000</v>
      </c>
      <c r="D2089" t="s">
        <v>2106</v>
      </c>
      <c r="E2089" t="str">
        <f>"19645766013916"</f>
        <v>19645766013916</v>
      </c>
      <c r="F2089" s="8">
        <v>916</v>
      </c>
      <c r="G2089" s="8">
        <v>6649</v>
      </c>
      <c r="H2089" s="8">
        <v>911</v>
      </c>
      <c r="I2089" s="8">
        <v>3095</v>
      </c>
    </row>
    <row r="2090" spans="1:9" x14ac:dyDescent="0.2">
      <c r="A2090" t="s">
        <v>436</v>
      </c>
      <c r="B2090" t="s">
        <v>603</v>
      </c>
      <c r="C2090" t="str">
        <f t="shared" si="116"/>
        <v>19645760000000</v>
      </c>
      <c r="D2090" t="s">
        <v>3883</v>
      </c>
      <c r="E2090" t="str">
        <f>"19645766013866"</f>
        <v>19645766013866</v>
      </c>
      <c r="F2090" s="8">
        <v>378</v>
      </c>
      <c r="G2090" s="8">
        <v>7144</v>
      </c>
      <c r="H2090" s="8">
        <v>911</v>
      </c>
      <c r="I2090" s="8">
        <v>3095</v>
      </c>
    </row>
    <row r="2091" spans="1:9" x14ac:dyDescent="0.2">
      <c r="A2091" t="s">
        <v>436</v>
      </c>
      <c r="B2091" t="s">
        <v>603</v>
      </c>
      <c r="C2091" t="str">
        <f t="shared" si="116"/>
        <v>19645760000000</v>
      </c>
      <c r="D2091" t="s">
        <v>3884</v>
      </c>
      <c r="E2091" t="str">
        <f>"19645766057731"</f>
        <v>19645766057731</v>
      </c>
      <c r="F2091" s="8">
        <v>172</v>
      </c>
      <c r="G2091" s="8">
        <v>7296</v>
      </c>
      <c r="H2091" s="8">
        <v>911</v>
      </c>
      <c r="I2091" s="8">
        <v>3095</v>
      </c>
    </row>
    <row r="2092" spans="1:9" x14ac:dyDescent="0.2">
      <c r="A2092" t="s">
        <v>436</v>
      </c>
      <c r="B2092" t="s">
        <v>603</v>
      </c>
      <c r="C2092" t="str">
        <f t="shared" si="116"/>
        <v>19645760000000</v>
      </c>
      <c r="D2092" t="s">
        <v>3885</v>
      </c>
      <c r="E2092" t="str">
        <f>"19645761933597"</f>
        <v>19645761933597</v>
      </c>
      <c r="F2092" s="8">
        <v>98</v>
      </c>
      <c r="G2092" s="8">
        <v>7075</v>
      </c>
      <c r="H2092" s="8">
        <v>911</v>
      </c>
      <c r="I2092" s="8">
        <v>3095</v>
      </c>
    </row>
    <row r="2093" spans="1:9" x14ac:dyDescent="0.2">
      <c r="A2093" t="s">
        <v>436</v>
      </c>
      <c r="B2093" t="s">
        <v>603</v>
      </c>
      <c r="C2093" t="str">
        <f t="shared" si="116"/>
        <v>19645760000000</v>
      </c>
      <c r="D2093" t="s">
        <v>3886</v>
      </c>
      <c r="E2093" t="str">
        <f>"19645766061329"</f>
        <v>19645766061329</v>
      </c>
      <c r="F2093" s="8">
        <v>427</v>
      </c>
      <c r="G2093" s="8">
        <v>6692</v>
      </c>
      <c r="H2093" s="8">
        <v>911</v>
      </c>
      <c r="I2093" s="8">
        <v>3095</v>
      </c>
    </row>
    <row r="2094" spans="1:9" x14ac:dyDescent="0.2">
      <c r="A2094" t="s">
        <v>436</v>
      </c>
      <c r="B2094" t="s">
        <v>603</v>
      </c>
      <c r="C2094" t="str">
        <f t="shared" si="116"/>
        <v>19645760000000</v>
      </c>
      <c r="D2094" t="s">
        <v>3887</v>
      </c>
      <c r="E2094" t="str">
        <f>"19645766013882"</f>
        <v>19645766013882</v>
      </c>
      <c r="F2094" s="8">
        <v>378</v>
      </c>
      <c r="G2094" s="8">
        <v>6546</v>
      </c>
      <c r="H2094" s="8">
        <v>911</v>
      </c>
      <c r="I2094" s="8">
        <v>3095</v>
      </c>
    </row>
    <row r="2095" spans="1:9" x14ac:dyDescent="0.2">
      <c r="A2095" t="s">
        <v>436</v>
      </c>
      <c r="B2095" t="s">
        <v>607</v>
      </c>
      <c r="C2095" t="str">
        <f>"19645840000000"</f>
        <v>19645840000000</v>
      </c>
      <c r="D2095" t="s">
        <v>3888</v>
      </c>
      <c r="E2095" t="str">
        <f>"19645846013940"</f>
        <v>19645846013940</v>
      </c>
      <c r="F2095" s="8">
        <v>66274</v>
      </c>
      <c r="G2095" s="8">
        <v>65721</v>
      </c>
      <c r="H2095" s="8">
        <v>0</v>
      </c>
      <c r="I2095" s="8">
        <v>0</v>
      </c>
    </row>
    <row r="2096" spans="1:9" x14ac:dyDescent="0.2">
      <c r="A2096" t="s">
        <v>436</v>
      </c>
      <c r="B2096" t="s">
        <v>611</v>
      </c>
      <c r="C2096" t="str">
        <f t="shared" ref="C2096:C2131" si="117">"19734450000000"</f>
        <v>19734450000000</v>
      </c>
      <c r="D2096" t="s">
        <v>3889</v>
      </c>
      <c r="E2096" t="str">
        <f>"19734451996560"</f>
        <v>19734451996560</v>
      </c>
      <c r="F2096" s="8">
        <v>26</v>
      </c>
      <c r="G2096" s="8">
        <v>57240</v>
      </c>
      <c r="H2096" s="8">
        <v>1949</v>
      </c>
      <c r="I2096" s="8">
        <v>4705</v>
      </c>
    </row>
    <row r="2097" spans="1:9" x14ac:dyDescent="0.2">
      <c r="A2097" t="s">
        <v>436</v>
      </c>
      <c r="B2097" t="s">
        <v>611</v>
      </c>
      <c r="C2097" t="str">
        <f t="shared" si="117"/>
        <v>19734450000000</v>
      </c>
      <c r="D2097" t="s">
        <v>3890</v>
      </c>
      <c r="E2097" t="str">
        <f>"19734450125351"</f>
        <v>19734450125351</v>
      </c>
      <c r="F2097" s="8">
        <v>0</v>
      </c>
      <c r="G2097" s="8">
        <v>49392</v>
      </c>
      <c r="H2097" s="8">
        <v>1949</v>
      </c>
      <c r="I2097" s="8">
        <v>4705</v>
      </c>
    </row>
    <row r="2098" spans="1:9" x14ac:dyDescent="0.2">
      <c r="A2098" t="s">
        <v>436</v>
      </c>
      <c r="B2098" t="s">
        <v>611</v>
      </c>
      <c r="C2098" t="str">
        <f t="shared" si="117"/>
        <v>19734450000000</v>
      </c>
      <c r="D2098" t="s">
        <v>3891</v>
      </c>
      <c r="E2098" t="str">
        <f>"19734451933316"</f>
        <v>19734451933316</v>
      </c>
      <c r="F2098" s="8">
        <v>694</v>
      </c>
      <c r="G2098" s="8">
        <v>33094</v>
      </c>
      <c r="H2098" s="8">
        <v>1949</v>
      </c>
      <c r="I2098" s="8">
        <v>4705</v>
      </c>
    </row>
    <row r="2099" spans="1:9" x14ac:dyDescent="0.2">
      <c r="A2099" t="s">
        <v>436</v>
      </c>
      <c r="B2099" t="s">
        <v>611</v>
      </c>
      <c r="C2099" t="str">
        <f t="shared" si="117"/>
        <v>19734450000000</v>
      </c>
      <c r="D2099" t="s">
        <v>3425</v>
      </c>
      <c r="E2099" t="str">
        <f>"19734456069710"</f>
        <v>19734456069710</v>
      </c>
      <c r="F2099" s="8">
        <v>21</v>
      </c>
      <c r="G2099" s="8">
        <v>30986</v>
      </c>
      <c r="H2099" s="8">
        <v>1949</v>
      </c>
      <c r="I2099" s="8">
        <v>4705</v>
      </c>
    </row>
    <row r="2100" spans="1:9" x14ac:dyDescent="0.2">
      <c r="A2100" t="s">
        <v>436</v>
      </c>
      <c r="B2100" t="s">
        <v>611</v>
      </c>
      <c r="C2100" t="str">
        <f t="shared" si="117"/>
        <v>19734450000000</v>
      </c>
      <c r="D2100" t="s">
        <v>3892</v>
      </c>
      <c r="E2100" t="str">
        <f>"19734451938935"</f>
        <v>19734451938935</v>
      </c>
      <c r="F2100" s="8">
        <v>674</v>
      </c>
      <c r="G2100" s="8">
        <v>12878</v>
      </c>
      <c r="H2100" s="8">
        <v>1949</v>
      </c>
      <c r="I2100" s="8">
        <v>4705</v>
      </c>
    </row>
    <row r="2101" spans="1:9" x14ac:dyDescent="0.2">
      <c r="A2101" t="s">
        <v>436</v>
      </c>
      <c r="B2101" t="s">
        <v>611</v>
      </c>
      <c r="C2101" t="str">
        <f t="shared" si="117"/>
        <v>19734450000000</v>
      </c>
      <c r="D2101" t="s">
        <v>3893</v>
      </c>
      <c r="E2101" t="str">
        <f>"19734451939925"</f>
        <v>19734451939925</v>
      </c>
      <c r="F2101" s="8">
        <v>724</v>
      </c>
      <c r="G2101" s="8">
        <v>8923</v>
      </c>
      <c r="H2101" s="8">
        <v>1949</v>
      </c>
      <c r="I2101" s="8">
        <v>4705</v>
      </c>
    </row>
    <row r="2102" spans="1:9" x14ac:dyDescent="0.2">
      <c r="A2102" t="s">
        <v>436</v>
      </c>
      <c r="B2102" t="s">
        <v>611</v>
      </c>
      <c r="C2102" t="str">
        <f t="shared" si="117"/>
        <v>19734450000000</v>
      </c>
      <c r="D2102" t="s">
        <v>3636</v>
      </c>
      <c r="E2102" t="str">
        <f>"19734456014351"</f>
        <v>19734456014351</v>
      </c>
      <c r="F2102" s="8">
        <v>639</v>
      </c>
      <c r="G2102" s="8">
        <v>8966</v>
      </c>
      <c r="H2102" s="8">
        <v>1949</v>
      </c>
      <c r="I2102" s="8">
        <v>4705</v>
      </c>
    </row>
    <row r="2103" spans="1:9" x14ac:dyDescent="0.2">
      <c r="A2103" t="s">
        <v>436</v>
      </c>
      <c r="B2103" t="s">
        <v>611</v>
      </c>
      <c r="C2103" t="str">
        <f t="shared" si="117"/>
        <v>19734450000000</v>
      </c>
      <c r="D2103" t="s">
        <v>3894</v>
      </c>
      <c r="E2103" t="str">
        <f>"19734451934801"</f>
        <v>19734451934801</v>
      </c>
      <c r="F2103" s="8">
        <v>663</v>
      </c>
      <c r="G2103" s="8">
        <v>8382</v>
      </c>
      <c r="H2103" s="8">
        <v>1949</v>
      </c>
      <c r="I2103" s="8">
        <v>4705</v>
      </c>
    </row>
    <row r="2104" spans="1:9" x14ac:dyDescent="0.2">
      <c r="A2104" t="s">
        <v>436</v>
      </c>
      <c r="B2104" t="s">
        <v>611</v>
      </c>
      <c r="C2104" t="str">
        <f t="shared" si="117"/>
        <v>19734450000000</v>
      </c>
      <c r="D2104" t="s">
        <v>3895</v>
      </c>
      <c r="E2104" t="str">
        <f>"19734456014328"</f>
        <v>19734456014328</v>
      </c>
      <c r="F2104" s="8">
        <v>499</v>
      </c>
      <c r="G2104" s="8">
        <v>8146</v>
      </c>
      <c r="H2104" s="8">
        <v>1949</v>
      </c>
      <c r="I2104" s="8">
        <v>4705</v>
      </c>
    </row>
    <row r="2105" spans="1:9" x14ac:dyDescent="0.2">
      <c r="A2105" t="s">
        <v>436</v>
      </c>
      <c r="B2105" t="s">
        <v>611</v>
      </c>
      <c r="C2105" t="str">
        <f t="shared" si="117"/>
        <v>19734450000000</v>
      </c>
      <c r="D2105" t="s">
        <v>3896</v>
      </c>
      <c r="E2105" t="str">
        <f>"19734456014393"</f>
        <v>19734456014393</v>
      </c>
      <c r="F2105" s="8">
        <v>802</v>
      </c>
      <c r="G2105" s="8">
        <v>7795</v>
      </c>
      <c r="H2105" s="8">
        <v>1949</v>
      </c>
      <c r="I2105" s="8">
        <v>4705</v>
      </c>
    </row>
    <row r="2106" spans="1:9" x14ac:dyDescent="0.2">
      <c r="A2106" t="s">
        <v>436</v>
      </c>
      <c r="B2106" t="s">
        <v>611</v>
      </c>
      <c r="C2106" t="str">
        <f t="shared" si="117"/>
        <v>19734450000000</v>
      </c>
      <c r="D2106" t="s">
        <v>3897</v>
      </c>
      <c r="E2106" t="str">
        <f>"19734456014138"</f>
        <v>19734456014138</v>
      </c>
      <c r="F2106" s="8">
        <v>769</v>
      </c>
      <c r="G2106" s="8">
        <v>7822</v>
      </c>
      <c r="H2106" s="8">
        <v>1949</v>
      </c>
      <c r="I2106" s="8">
        <v>4705</v>
      </c>
    </row>
    <row r="2107" spans="1:9" x14ac:dyDescent="0.2">
      <c r="A2107" t="s">
        <v>436</v>
      </c>
      <c r="B2107" t="s">
        <v>611</v>
      </c>
      <c r="C2107" t="str">
        <f t="shared" si="117"/>
        <v>19734450000000</v>
      </c>
      <c r="D2107" t="s">
        <v>3898</v>
      </c>
      <c r="E2107" t="str">
        <f>"19734456014252"</f>
        <v>19734456014252</v>
      </c>
      <c r="F2107" s="8">
        <v>709</v>
      </c>
      <c r="G2107" s="8">
        <v>7880</v>
      </c>
      <c r="H2107" s="8">
        <v>1949</v>
      </c>
      <c r="I2107" s="8">
        <v>4705</v>
      </c>
    </row>
    <row r="2108" spans="1:9" x14ac:dyDescent="0.2">
      <c r="A2108" t="s">
        <v>436</v>
      </c>
      <c r="B2108" t="s">
        <v>611</v>
      </c>
      <c r="C2108" t="str">
        <f t="shared" si="117"/>
        <v>19734450000000</v>
      </c>
      <c r="D2108" t="s">
        <v>3899</v>
      </c>
      <c r="E2108" t="str">
        <f>"19734456022263"</f>
        <v>19734456022263</v>
      </c>
      <c r="F2108" s="8">
        <v>556</v>
      </c>
      <c r="G2108" s="8">
        <v>7922</v>
      </c>
      <c r="H2108" s="8">
        <v>1949</v>
      </c>
      <c r="I2108" s="8">
        <v>4705</v>
      </c>
    </row>
    <row r="2109" spans="1:9" x14ac:dyDescent="0.2">
      <c r="A2109" t="s">
        <v>436</v>
      </c>
      <c r="B2109" t="s">
        <v>611</v>
      </c>
      <c r="C2109" t="str">
        <f t="shared" si="117"/>
        <v>19734450000000</v>
      </c>
      <c r="D2109" t="s">
        <v>3900</v>
      </c>
      <c r="E2109" t="str">
        <f>"19734456068811"</f>
        <v>19734456068811</v>
      </c>
      <c r="F2109" s="8">
        <v>621</v>
      </c>
      <c r="G2109" s="8">
        <v>7836</v>
      </c>
      <c r="H2109" s="8">
        <v>1949</v>
      </c>
      <c r="I2109" s="8">
        <v>4705</v>
      </c>
    </row>
    <row r="2110" spans="1:9" x14ac:dyDescent="0.2">
      <c r="A2110" t="s">
        <v>436</v>
      </c>
      <c r="B2110" t="s">
        <v>611</v>
      </c>
      <c r="C2110" t="str">
        <f t="shared" si="117"/>
        <v>19734450000000</v>
      </c>
      <c r="D2110" t="s">
        <v>2819</v>
      </c>
      <c r="E2110" t="str">
        <f>"19734456014302"</f>
        <v>19734456014302</v>
      </c>
      <c r="F2110" s="8">
        <v>735</v>
      </c>
      <c r="G2110" s="8">
        <v>7639</v>
      </c>
      <c r="H2110" s="8">
        <v>1949</v>
      </c>
      <c r="I2110" s="8">
        <v>4705</v>
      </c>
    </row>
    <row r="2111" spans="1:9" x14ac:dyDescent="0.2">
      <c r="A2111" t="s">
        <v>436</v>
      </c>
      <c r="B2111" t="s">
        <v>611</v>
      </c>
      <c r="C2111" t="str">
        <f t="shared" si="117"/>
        <v>19734450000000</v>
      </c>
      <c r="D2111" t="s">
        <v>3901</v>
      </c>
      <c r="E2111" t="str">
        <f>"19734456014120"</f>
        <v>19734456014120</v>
      </c>
      <c r="F2111" s="8">
        <v>612</v>
      </c>
      <c r="G2111" s="8">
        <v>7603</v>
      </c>
      <c r="H2111" s="8">
        <v>1949</v>
      </c>
      <c r="I2111" s="8">
        <v>4705</v>
      </c>
    </row>
    <row r="2112" spans="1:9" x14ac:dyDescent="0.2">
      <c r="A2112" t="s">
        <v>436</v>
      </c>
      <c r="B2112" t="s">
        <v>611</v>
      </c>
      <c r="C2112" t="str">
        <f t="shared" si="117"/>
        <v>19734450000000</v>
      </c>
      <c r="D2112" t="s">
        <v>3902</v>
      </c>
      <c r="E2112" t="str">
        <f>"19734450122465"</f>
        <v>19734450122465</v>
      </c>
      <c r="F2112" s="8">
        <v>417</v>
      </c>
      <c r="G2112" s="8">
        <v>7787</v>
      </c>
      <c r="H2112" s="8">
        <v>1949</v>
      </c>
      <c r="I2112" s="8">
        <v>4705</v>
      </c>
    </row>
    <row r="2113" spans="1:9" x14ac:dyDescent="0.2">
      <c r="A2113" t="s">
        <v>436</v>
      </c>
      <c r="B2113" t="s">
        <v>611</v>
      </c>
      <c r="C2113" t="str">
        <f t="shared" si="117"/>
        <v>19734450000000</v>
      </c>
      <c r="D2113" t="s">
        <v>2220</v>
      </c>
      <c r="E2113" t="str">
        <f>"19734456014385"</f>
        <v>19734456014385</v>
      </c>
      <c r="F2113" s="8">
        <v>754</v>
      </c>
      <c r="G2113" s="8">
        <v>7441</v>
      </c>
      <c r="H2113" s="8">
        <v>1949</v>
      </c>
      <c r="I2113" s="8">
        <v>4705</v>
      </c>
    </row>
    <row r="2114" spans="1:9" x14ac:dyDescent="0.2">
      <c r="A2114" t="s">
        <v>436</v>
      </c>
      <c r="B2114" t="s">
        <v>611</v>
      </c>
      <c r="C2114" t="str">
        <f t="shared" si="117"/>
        <v>19734450000000</v>
      </c>
      <c r="D2114" t="s">
        <v>3903</v>
      </c>
      <c r="E2114" t="str">
        <f>"19734456014419"</f>
        <v>19734456014419</v>
      </c>
      <c r="F2114" s="8">
        <v>705</v>
      </c>
      <c r="G2114" s="8">
        <v>7358</v>
      </c>
      <c r="H2114" s="8">
        <v>1949</v>
      </c>
      <c r="I2114" s="8">
        <v>4705</v>
      </c>
    </row>
    <row r="2115" spans="1:9" x14ac:dyDescent="0.2">
      <c r="A2115" t="s">
        <v>436</v>
      </c>
      <c r="B2115" t="s">
        <v>611</v>
      </c>
      <c r="C2115" t="str">
        <f t="shared" si="117"/>
        <v>19734450000000</v>
      </c>
      <c r="D2115" t="s">
        <v>3904</v>
      </c>
      <c r="E2115" t="str">
        <f>"19734456022396"</f>
        <v>19734456022396</v>
      </c>
      <c r="F2115" s="8">
        <v>597</v>
      </c>
      <c r="G2115" s="8">
        <v>7415</v>
      </c>
      <c r="H2115" s="8">
        <v>1949</v>
      </c>
      <c r="I2115" s="8">
        <v>4705</v>
      </c>
    </row>
    <row r="2116" spans="1:9" x14ac:dyDescent="0.2">
      <c r="A2116" t="s">
        <v>436</v>
      </c>
      <c r="B2116" t="s">
        <v>611</v>
      </c>
      <c r="C2116" t="str">
        <f t="shared" si="117"/>
        <v>19734450000000</v>
      </c>
      <c r="D2116" t="s">
        <v>3905</v>
      </c>
      <c r="E2116" t="str">
        <f>"19734451939834"</f>
        <v>19734451939834</v>
      </c>
      <c r="F2116" s="8">
        <v>491</v>
      </c>
      <c r="G2116" s="8">
        <v>7426</v>
      </c>
      <c r="H2116" s="8">
        <v>1949</v>
      </c>
      <c r="I2116" s="8">
        <v>4705</v>
      </c>
    </row>
    <row r="2117" spans="1:9" x14ac:dyDescent="0.2">
      <c r="A2117" t="s">
        <v>436</v>
      </c>
      <c r="B2117" t="s">
        <v>611</v>
      </c>
      <c r="C2117" t="str">
        <f t="shared" si="117"/>
        <v>19734450000000</v>
      </c>
      <c r="D2117" t="s">
        <v>3906</v>
      </c>
      <c r="E2117" t="str">
        <f>"19734456014153"</f>
        <v>19734456014153</v>
      </c>
      <c r="F2117" s="8">
        <v>826</v>
      </c>
      <c r="G2117" s="8">
        <v>7004</v>
      </c>
      <c r="H2117" s="8">
        <v>1949</v>
      </c>
      <c r="I2117" s="8">
        <v>4705</v>
      </c>
    </row>
    <row r="2118" spans="1:9" x14ac:dyDescent="0.2">
      <c r="A2118" t="s">
        <v>436</v>
      </c>
      <c r="B2118" t="s">
        <v>611</v>
      </c>
      <c r="C2118" t="str">
        <f t="shared" si="117"/>
        <v>19734450000000</v>
      </c>
      <c r="D2118" t="s">
        <v>3907</v>
      </c>
      <c r="E2118" t="str">
        <f>"19734456014377"</f>
        <v>19734456014377</v>
      </c>
      <c r="F2118" s="8">
        <v>653</v>
      </c>
      <c r="G2118" s="8">
        <v>7098</v>
      </c>
      <c r="H2118" s="8">
        <v>1949</v>
      </c>
      <c r="I2118" s="8">
        <v>4705</v>
      </c>
    </row>
    <row r="2119" spans="1:9" x14ac:dyDescent="0.2">
      <c r="A2119" t="s">
        <v>436</v>
      </c>
      <c r="B2119" t="s">
        <v>611</v>
      </c>
      <c r="C2119" t="str">
        <f t="shared" si="117"/>
        <v>19734450000000</v>
      </c>
      <c r="D2119" t="s">
        <v>3908</v>
      </c>
      <c r="E2119" t="str">
        <f>"19734456014286"</f>
        <v>19734456014286</v>
      </c>
      <c r="F2119" s="8">
        <v>453</v>
      </c>
      <c r="G2119" s="8">
        <v>7274</v>
      </c>
      <c r="H2119" s="8">
        <v>1949</v>
      </c>
      <c r="I2119" s="8">
        <v>4705</v>
      </c>
    </row>
    <row r="2120" spans="1:9" x14ac:dyDescent="0.2">
      <c r="A2120" t="s">
        <v>436</v>
      </c>
      <c r="B2120" t="s">
        <v>611</v>
      </c>
      <c r="C2120" t="str">
        <f t="shared" si="117"/>
        <v>19734450000000</v>
      </c>
      <c r="D2120" t="s">
        <v>3909</v>
      </c>
      <c r="E2120" t="str">
        <f>"19734456014336"</f>
        <v>19734456014336</v>
      </c>
      <c r="F2120" s="8">
        <v>813</v>
      </c>
      <c r="G2120" s="8">
        <v>6845</v>
      </c>
      <c r="H2120" s="8">
        <v>1949</v>
      </c>
      <c r="I2120" s="8">
        <v>4705</v>
      </c>
    </row>
    <row r="2121" spans="1:9" x14ac:dyDescent="0.2">
      <c r="A2121" t="s">
        <v>436</v>
      </c>
      <c r="B2121" t="s">
        <v>611</v>
      </c>
      <c r="C2121" t="str">
        <f t="shared" si="117"/>
        <v>19734450000000</v>
      </c>
      <c r="D2121" t="s">
        <v>1642</v>
      </c>
      <c r="E2121" t="str">
        <f>"19734456014260"</f>
        <v>19734456014260</v>
      </c>
      <c r="F2121" s="8">
        <v>380</v>
      </c>
      <c r="G2121" s="8">
        <v>7157</v>
      </c>
      <c r="H2121" s="8">
        <v>1949</v>
      </c>
      <c r="I2121" s="8">
        <v>4705</v>
      </c>
    </row>
    <row r="2122" spans="1:9" x14ac:dyDescent="0.2">
      <c r="A2122" t="s">
        <v>436</v>
      </c>
      <c r="B2122" t="s">
        <v>611</v>
      </c>
      <c r="C2122" t="str">
        <f t="shared" si="117"/>
        <v>19734450000000</v>
      </c>
      <c r="D2122" t="s">
        <v>3910</v>
      </c>
      <c r="E2122" t="str">
        <f>"19734451935246"</f>
        <v>19734451935246</v>
      </c>
      <c r="F2122" s="8">
        <v>455</v>
      </c>
      <c r="G2122" s="8">
        <v>6992</v>
      </c>
      <c r="H2122" s="8">
        <v>1949</v>
      </c>
      <c r="I2122" s="8">
        <v>4705</v>
      </c>
    </row>
    <row r="2123" spans="1:9" x14ac:dyDescent="0.2">
      <c r="A2123" t="s">
        <v>436</v>
      </c>
      <c r="B2123" t="s">
        <v>611</v>
      </c>
      <c r="C2123" t="str">
        <f t="shared" si="117"/>
        <v>19734450000000</v>
      </c>
      <c r="D2123" t="s">
        <v>3911</v>
      </c>
      <c r="E2123" t="str">
        <f>"19734456014112"</f>
        <v>19734456014112</v>
      </c>
      <c r="F2123" s="8">
        <v>634</v>
      </c>
      <c r="G2123" s="8">
        <v>6746</v>
      </c>
      <c r="H2123" s="8">
        <v>1949</v>
      </c>
      <c r="I2123" s="8">
        <v>4705</v>
      </c>
    </row>
    <row r="2124" spans="1:9" x14ac:dyDescent="0.2">
      <c r="A2124" t="s">
        <v>436</v>
      </c>
      <c r="B2124" t="s">
        <v>611</v>
      </c>
      <c r="C2124" t="str">
        <f t="shared" si="117"/>
        <v>19734450000000</v>
      </c>
      <c r="D2124" t="s">
        <v>3912</v>
      </c>
      <c r="E2124" t="str">
        <f>"19734456014179"</f>
        <v>19734456014179</v>
      </c>
      <c r="F2124" s="8">
        <v>496</v>
      </c>
      <c r="G2124" s="8">
        <v>6833</v>
      </c>
      <c r="H2124" s="8">
        <v>1949</v>
      </c>
      <c r="I2124" s="8">
        <v>4705</v>
      </c>
    </row>
    <row r="2125" spans="1:9" x14ac:dyDescent="0.2">
      <c r="A2125" t="s">
        <v>436</v>
      </c>
      <c r="B2125" t="s">
        <v>611</v>
      </c>
      <c r="C2125" t="str">
        <f t="shared" si="117"/>
        <v>19734450000000</v>
      </c>
      <c r="D2125" t="s">
        <v>3913</v>
      </c>
      <c r="E2125" t="str">
        <f>"19734456014237"</f>
        <v>19734456014237</v>
      </c>
      <c r="F2125" s="8">
        <v>579</v>
      </c>
      <c r="G2125" s="8">
        <v>6663</v>
      </c>
      <c r="H2125" s="8">
        <v>1949</v>
      </c>
      <c r="I2125" s="8">
        <v>4705</v>
      </c>
    </row>
    <row r="2126" spans="1:9" x14ac:dyDescent="0.2">
      <c r="A2126" t="s">
        <v>436</v>
      </c>
      <c r="B2126" t="s">
        <v>611</v>
      </c>
      <c r="C2126" t="str">
        <f t="shared" si="117"/>
        <v>19734450000000</v>
      </c>
      <c r="D2126" t="s">
        <v>3914</v>
      </c>
      <c r="E2126" t="str">
        <f>"19734456014369"</f>
        <v>19734456014369</v>
      </c>
      <c r="F2126" s="8">
        <v>623</v>
      </c>
      <c r="G2126" s="8">
        <v>6541</v>
      </c>
      <c r="H2126" s="8">
        <v>1949</v>
      </c>
      <c r="I2126" s="8">
        <v>4705</v>
      </c>
    </row>
    <row r="2127" spans="1:9" x14ac:dyDescent="0.2">
      <c r="A2127" t="s">
        <v>436</v>
      </c>
      <c r="B2127" t="s">
        <v>611</v>
      </c>
      <c r="C2127" t="str">
        <f t="shared" si="117"/>
        <v>19734450000000</v>
      </c>
      <c r="D2127" t="s">
        <v>3915</v>
      </c>
      <c r="E2127" t="str">
        <f>"19734456014310"</f>
        <v>19734456014310</v>
      </c>
      <c r="F2127" s="8">
        <v>259</v>
      </c>
      <c r="G2127" s="8">
        <v>6818</v>
      </c>
      <c r="H2127" s="8">
        <v>1949</v>
      </c>
      <c r="I2127" s="8">
        <v>4705</v>
      </c>
    </row>
    <row r="2128" spans="1:9" x14ac:dyDescent="0.2">
      <c r="A2128" t="s">
        <v>436</v>
      </c>
      <c r="B2128" t="s">
        <v>611</v>
      </c>
      <c r="C2128" t="str">
        <f t="shared" si="117"/>
        <v>19734450000000</v>
      </c>
      <c r="D2128" t="s">
        <v>3916</v>
      </c>
      <c r="E2128" t="str">
        <f>"19734456014294"</f>
        <v>19734456014294</v>
      </c>
      <c r="F2128" s="8">
        <v>330</v>
      </c>
      <c r="G2128" s="8">
        <v>6571</v>
      </c>
      <c r="H2128" s="8">
        <v>1949</v>
      </c>
      <c r="I2128" s="8">
        <v>4705</v>
      </c>
    </row>
    <row r="2129" spans="1:9" x14ac:dyDescent="0.2">
      <c r="A2129" t="s">
        <v>436</v>
      </c>
      <c r="B2129" t="s">
        <v>611</v>
      </c>
      <c r="C2129" t="str">
        <f t="shared" si="117"/>
        <v>19734450000000</v>
      </c>
      <c r="D2129" t="s">
        <v>3917</v>
      </c>
      <c r="E2129" t="str">
        <f>"19734456014203"</f>
        <v>19734456014203</v>
      </c>
      <c r="F2129" s="8">
        <v>309</v>
      </c>
      <c r="G2129" s="8">
        <v>6248</v>
      </c>
      <c r="H2129" s="8">
        <v>1949</v>
      </c>
      <c r="I2129" s="8">
        <v>4705</v>
      </c>
    </row>
    <row r="2130" spans="1:9" x14ac:dyDescent="0.2">
      <c r="A2130" t="s">
        <v>436</v>
      </c>
      <c r="B2130" t="s">
        <v>611</v>
      </c>
      <c r="C2130" t="str">
        <f t="shared" si="117"/>
        <v>19734450000000</v>
      </c>
      <c r="D2130" t="s">
        <v>3918</v>
      </c>
      <c r="E2130" t="str">
        <f>"19734456014278"</f>
        <v>19734456014278</v>
      </c>
      <c r="F2130" s="8">
        <v>121</v>
      </c>
      <c r="G2130" s="8">
        <v>6359</v>
      </c>
      <c r="H2130" s="8">
        <v>1949</v>
      </c>
      <c r="I2130" s="8">
        <v>4705</v>
      </c>
    </row>
    <row r="2131" spans="1:9" x14ac:dyDescent="0.2">
      <c r="A2131" t="s">
        <v>436</v>
      </c>
      <c r="B2131" t="s">
        <v>611</v>
      </c>
      <c r="C2131" t="str">
        <f t="shared" si="117"/>
        <v>19734450000000</v>
      </c>
      <c r="D2131" t="s">
        <v>3919</v>
      </c>
      <c r="E2131" t="str">
        <f>"19734456066757"</f>
        <v>19734456066757</v>
      </c>
      <c r="F2131" s="8">
        <v>175</v>
      </c>
      <c r="G2131" s="8">
        <v>6215</v>
      </c>
      <c r="H2131" s="8">
        <v>1949</v>
      </c>
      <c r="I2131" s="8">
        <v>4705</v>
      </c>
    </row>
    <row r="2132" spans="1:9" x14ac:dyDescent="0.2">
      <c r="A2132" t="s">
        <v>436</v>
      </c>
      <c r="B2132" t="s">
        <v>612</v>
      </c>
      <c r="C2132" t="str">
        <f t="shared" ref="C2132:C2142" si="118">"19645920000000"</f>
        <v>19645920000000</v>
      </c>
      <c r="D2132" t="s">
        <v>3920</v>
      </c>
      <c r="E2132" t="str">
        <f>"19645926014013"</f>
        <v>19645926014013</v>
      </c>
      <c r="F2132" s="8">
        <v>784</v>
      </c>
      <c r="G2132" s="8">
        <v>9597</v>
      </c>
      <c r="H2132" s="8">
        <v>2653</v>
      </c>
      <c r="I2132" s="8">
        <v>4176</v>
      </c>
    </row>
    <row r="2133" spans="1:9" x14ac:dyDescent="0.2">
      <c r="A2133" t="s">
        <v>436</v>
      </c>
      <c r="B2133" t="s">
        <v>612</v>
      </c>
      <c r="C2133" t="str">
        <f t="shared" si="118"/>
        <v>19645920000000</v>
      </c>
      <c r="D2133" t="s">
        <v>3921</v>
      </c>
      <c r="E2133" t="str">
        <f>"19645926013999"</f>
        <v>19645926013999</v>
      </c>
      <c r="F2133" s="8">
        <v>1673</v>
      </c>
      <c r="G2133" s="8">
        <v>8211</v>
      </c>
      <c r="H2133" s="8">
        <v>2653</v>
      </c>
      <c r="I2133" s="8">
        <v>4176</v>
      </c>
    </row>
    <row r="2134" spans="1:9" x14ac:dyDescent="0.2">
      <c r="A2134" t="s">
        <v>436</v>
      </c>
      <c r="B2134" t="s">
        <v>612</v>
      </c>
      <c r="C2134" t="str">
        <f t="shared" si="118"/>
        <v>19645920000000</v>
      </c>
      <c r="D2134" t="s">
        <v>3922</v>
      </c>
      <c r="E2134" t="str">
        <f>"19645926115265"</f>
        <v>19645926115265</v>
      </c>
      <c r="F2134" s="8">
        <v>936</v>
      </c>
      <c r="G2134" s="8">
        <v>8200</v>
      </c>
      <c r="H2134" s="8">
        <v>2653</v>
      </c>
      <c r="I2134" s="8">
        <v>4176</v>
      </c>
    </row>
    <row r="2135" spans="1:9" x14ac:dyDescent="0.2">
      <c r="A2135" t="s">
        <v>436</v>
      </c>
      <c r="B2135" t="s">
        <v>612</v>
      </c>
      <c r="C2135" t="str">
        <f t="shared" si="118"/>
        <v>19645920000000</v>
      </c>
      <c r="D2135" t="s">
        <v>3923</v>
      </c>
      <c r="E2135" t="str">
        <f>"19645926013973"</f>
        <v>19645926013973</v>
      </c>
      <c r="F2135" s="8">
        <v>742</v>
      </c>
      <c r="G2135" s="8">
        <v>8284</v>
      </c>
      <c r="H2135" s="8">
        <v>2653</v>
      </c>
      <c r="I2135" s="8">
        <v>4176</v>
      </c>
    </row>
    <row r="2136" spans="1:9" x14ac:dyDescent="0.2">
      <c r="A2136" t="s">
        <v>436</v>
      </c>
      <c r="B2136" t="s">
        <v>612</v>
      </c>
      <c r="C2136" t="str">
        <f t="shared" si="118"/>
        <v>19645920000000</v>
      </c>
      <c r="D2136" t="s">
        <v>3924</v>
      </c>
      <c r="E2136" t="str">
        <f>"19645926013957"</f>
        <v>19645926013957</v>
      </c>
      <c r="F2136" s="8">
        <v>1018</v>
      </c>
      <c r="G2136" s="8">
        <v>7834</v>
      </c>
      <c r="H2136" s="8">
        <v>2653</v>
      </c>
      <c r="I2136" s="8">
        <v>4176</v>
      </c>
    </row>
    <row r="2137" spans="1:9" x14ac:dyDescent="0.2">
      <c r="A2137" t="s">
        <v>436</v>
      </c>
      <c r="B2137" t="s">
        <v>612</v>
      </c>
      <c r="C2137" t="str">
        <f t="shared" si="118"/>
        <v>19645920000000</v>
      </c>
      <c r="D2137" t="s">
        <v>3925</v>
      </c>
      <c r="E2137" t="str">
        <f>"19645926117246"</f>
        <v>19645926117246</v>
      </c>
      <c r="F2137" s="8">
        <v>874</v>
      </c>
      <c r="G2137" s="8">
        <v>7792</v>
      </c>
      <c r="H2137" s="8">
        <v>2653</v>
      </c>
      <c r="I2137" s="8">
        <v>4176</v>
      </c>
    </row>
    <row r="2138" spans="1:9" x14ac:dyDescent="0.2">
      <c r="A2138" t="s">
        <v>436</v>
      </c>
      <c r="B2138" t="s">
        <v>612</v>
      </c>
      <c r="C2138" t="str">
        <f t="shared" si="118"/>
        <v>19645920000000</v>
      </c>
      <c r="D2138" t="s">
        <v>3926</v>
      </c>
      <c r="E2138" t="str">
        <f>"19645926014021"</f>
        <v>19645926014021</v>
      </c>
      <c r="F2138" s="8">
        <v>786</v>
      </c>
      <c r="G2138" s="8">
        <v>7724</v>
      </c>
      <c r="H2138" s="8">
        <v>2653</v>
      </c>
      <c r="I2138" s="8">
        <v>4176</v>
      </c>
    </row>
    <row r="2139" spans="1:9" x14ac:dyDescent="0.2">
      <c r="A2139" t="s">
        <v>436</v>
      </c>
      <c r="B2139" t="s">
        <v>612</v>
      </c>
      <c r="C2139" t="str">
        <f t="shared" si="118"/>
        <v>19645920000000</v>
      </c>
      <c r="D2139" t="s">
        <v>3927</v>
      </c>
      <c r="E2139" t="str">
        <f>"19645926013965"</f>
        <v>19645926013965</v>
      </c>
      <c r="F2139" s="8">
        <v>232</v>
      </c>
      <c r="G2139" s="8">
        <v>7958</v>
      </c>
      <c r="H2139" s="8">
        <v>2653</v>
      </c>
      <c r="I2139" s="8">
        <v>4176</v>
      </c>
    </row>
    <row r="2140" spans="1:9" x14ac:dyDescent="0.2">
      <c r="A2140" t="s">
        <v>436</v>
      </c>
      <c r="B2140" t="s">
        <v>612</v>
      </c>
      <c r="C2140" t="str">
        <f t="shared" si="118"/>
        <v>19645920000000</v>
      </c>
      <c r="D2140" t="s">
        <v>3928</v>
      </c>
      <c r="E2140" t="str">
        <f>"19645926013981"</f>
        <v>19645926013981</v>
      </c>
      <c r="F2140" s="8">
        <v>618</v>
      </c>
      <c r="G2140" s="8">
        <v>7458</v>
      </c>
      <c r="H2140" s="8">
        <v>2653</v>
      </c>
      <c r="I2140" s="8">
        <v>4176</v>
      </c>
    </row>
    <row r="2141" spans="1:9" x14ac:dyDescent="0.2">
      <c r="A2141" t="s">
        <v>436</v>
      </c>
      <c r="B2141" t="s">
        <v>612</v>
      </c>
      <c r="C2141" t="str">
        <f t="shared" si="118"/>
        <v>19645920000000</v>
      </c>
      <c r="D2141" t="s">
        <v>3929</v>
      </c>
      <c r="E2141" t="str">
        <f>"19645926014039"</f>
        <v>19645926014039</v>
      </c>
      <c r="F2141" s="8">
        <v>1022</v>
      </c>
      <c r="G2141" s="8">
        <v>6940</v>
      </c>
      <c r="H2141" s="8">
        <v>2653</v>
      </c>
      <c r="I2141" s="8">
        <v>4176</v>
      </c>
    </row>
    <row r="2142" spans="1:9" x14ac:dyDescent="0.2">
      <c r="A2142" t="s">
        <v>436</v>
      </c>
      <c r="B2142" t="s">
        <v>612</v>
      </c>
      <c r="C2142" t="str">
        <f t="shared" si="118"/>
        <v>19645920000000</v>
      </c>
      <c r="D2142" t="s">
        <v>3930</v>
      </c>
      <c r="E2142" t="str">
        <f>"19645920100354"</f>
        <v>19645920100354</v>
      </c>
      <c r="F2142" s="8">
        <v>465</v>
      </c>
      <c r="G2142" s="8">
        <v>9276</v>
      </c>
      <c r="H2142" s="8">
        <v>969</v>
      </c>
      <c r="I2142" s="8">
        <v>692</v>
      </c>
    </row>
    <row r="2143" spans="1:9" x14ac:dyDescent="0.2">
      <c r="A2143" t="s">
        <v>436</v>
      </c>
      <c r="B2143" t="s">
        <v>613</v>
      </c>
      <c r="C2143" t="str">
        <f>"19646000000000"</f>
        <v>19646000000000</v>
      </c>
      <c r="D2143" t="s">
        <v>3931</v>
      </c>
      <c r="E2143" t="str">
        <f>"19646006014047"</f>
        <v>19646006014047</v>
      </c>
      <c r="F2143" s="8">
        <v>400</v>
      </c>
      <c r="G2143" s="8">
        <v>8612</v>
      </c>
      <c r="H2143" s="8">
        <v>84</v>
      </c>
      <c r="I2143" s="8">
        <v>1228</v>
      </c>
    </row>
    <row r="2144" spans="1:9" x14ac:dyDescent="0.2">
      <c r="A2144" t="s">
        <v>436</v>
      </c>
      <c r="B2144" t="s">
        <v>613</v>
      </c>
      <c r="C2144" t="str">
        <f>"19646000000000"</f>
        <v>19646000000000</v>
      </c>
      <c r="D2144" t="s">
        <v>3932</v>
      </c>
      <c r="E2144" t="str">
        <f>"19646006095434"</f>
        <v>19646006095434</v>
      </c>
      <c r="F2144" s="8">
        <v>411</v>
      </c>
      <c r="G2144" s="8">
        <v>6854</v>
      </c>
      <c r="H2144" s="8">
        <v>131</v>
      </c>
      <c r="I2144" s="8">
        <v>1922</v>
      </c>
    </row>
    <row r="2145" spans="1:9" x14ac:dyDescent="0.2">
      <c r="A2145" t="s">
        <v>436</v>
      </c>
      <c r="B2145" t="s">
        <v>616</v>
      </c>
      <c r="C2145" t="str">
        <f>"19646260000000"</f>
        <v>19646260000000</v>
      </c>
      <c r="D2145" t="s">
        <v>3933</v>
      </c>
      <c r="E2145" t="str">
        <f>"19646266014427"</f>
        <v>19646266014427</v>
      </c>
      <c r="F2145" s="8">
        <v>457</v>
      </c>
      <c r="G2145" s="8">
        <v>8530</v>
      </c>
      <c r="H2145" s="8">
        <v>0</v>
      </c>
      <c r="I2145" s="8">
        <v>0</v>
      </c>
    </row>
    <row r="2146" spans="1:9" x14ac:dyDescent="0.2">
      <c r="A2146" t="s">
        <v>436</v>
      </c>
      <c r="B2146" t="s">
        <v>631</v>
      </c>
      <c r="C2146" t="str">
        <f t="shared" ref="C2146:C2162" si="119">"19646340000000"</f>
        <v>19646340000000</v>
      </c>
      <c r="D2146" t="s">
        <v>3934</v>
      </c>
      <c r="E2146" t="str">
        <f>"19646341934249"</f>
        <v>19646341934249</v>
      </c>
      <c r="F2146" s="8">
        <v>4326</v>
      </c>
      <c r="G2146" s="8">
        <v>24175</v>
      </c>
      <c r="H2146" s="8">
        <v>3073</v>
      </c>
      <c r="I2146" s="8">
        <v>7425</v>
      </c>
    </row>
    <row r="2147" spans="1:9" x14ac:dyDescent="0.2">
      <c r="A2147" t="s">
        <v>436</v>
      </c>
      <c r="B2147" t="s">
        <v>631</v>
      </c>
      <c r="C2147" t="str">
        <f t="shared" si="119"/>
        <v>19646340000000</v>
      </c>
      <c r="D2147" t="s">
        <v>3935</v>
      </c>
      <c r="E2147" t="str">
        <f>"19646346014526"</f>
        <v>19646346014526</v>
      </c>
      <c r="F2147" s="8">
        <v>2343</v>
      </c>
      <c r="G2147" s="8">
        <v>13095</v>
      </c>
      <c r="H2147" s="8">
        <v>3073</v>
      </c>
      <c r="I2147" s="8">
        <v>7425</v>
      </c>
    </row>
    <row r="2148" spans="1:9" x14ac:dyDescent="0.2">
      <c r="A2148" t="s">
        <v>436</v>
      </c>
      <c r="B2148" t="s">
        <v>631</v>
      </c>
      <c r="C2148" t="str">
        <f t="shared" si="119"/>
        <v>19646340000000</v>
      </c>
      <c r="D2148" t="s">
        <v>3936</v>
      </c>
      <c r="E2148" t="str">
        <f>"19646341996529"</f>
        <v>19646341996529</v>
      </c>
      <c r="F2148" s="8">
        <v>1071</v>
      </c>
      <c r="G2148" s="8">
        <v>5986</v>
      </c>
      <c r="H2148" s="8">
        <v>3073</v>
      </c>
      <c r="I2148" s="8">
        <v>7425</v>
      </c>
    </row>
    <row r="2149" spans="1:9" x14ac:dyDescent="0.2">
      <c r="A2149" t="s">
        <v>436</v>
      </c>
      <c r="B2149" t="s">
        <v>631</v>
      </c>
      <c r="C2149" t="str">
        <f t="shared" si="119"/>
        <v>19646340000000</v>
      </c>
      <c r="D2149" t="s">
        <v>3937</v>
      </c>
      <c r="E2149" t="str">
        <f>"19646346057749"</f>
        <v>19646346057749</v>
      </c>
      <c r="F2149" s="8">
        <v>975</v>
      </c>
      <c r="G2149" s="8">
        <v>5450</v>
      </c>
      <c r="H2149" s="8">
        <v>3073</v>
      </c>
      <c r="I2149" s="8">
        <v>7425</v>
      </c>
    </row>
    <row r="2150" spans="1:9" x14ac:dyDescent="0.2">
      <c r="A2150" t="s">
        <v>436</v>
      </c>
      <c r="B2150" t="s">
        <v>631</v>
      </c>
      <c r="C2150" t="str">
        <f t="shared" si="119"/>
        <v>19646340000000</v>
      </c>
      <c r="D2150" t="s">
        <v>3938</v>
      </c>
      <c r="E2150" t="str">
        <f>"19646346098768"</f>
        <v>19646346098768</v>
      </c>
      <c r="F2150" s="8">
        <v>872</v>
      </c>
      <c r="G2150" s="8">
        <v>4872</v>
      </c>
      <c r="H2150" s="8">
        <v>3073</v>
      </c>
      <c r="I2150" s="8">
        <v>7425</v>
      </c>
    </row>
    <row r="2151" spans="1:9" x14ac:dyDescent="0.2">
      <c r="A2151" t="s">
        <v>436</v>
      </c>
      <c r="B2151" t="s">
        <v>631</v>
      </c>
      <c r="C2151" t="str">
        <f t="shared" si="119"/>
        <v>19646340000000</v>
      </c>
      <c r="D2151" t="s">
        <v>3939</v>
      </c>
      <c r="E2151" t="str">
        <f>"19646346014443"</f>
        <v>19646346014443</v>
      </c>
      <c r="F2151" s="8">
        <v>842</v>
      </c>
      <c r="G2151" s="8">
        <v>4702</v>
      </c>
      <c r="H2151" s="8">
        <v>3073</v>
      </c>
      <c r="I2151" s="8">
        <v>7425</v>
      </c>
    </row>
    <row r="2152" spans="1:9" x14ac:dyDescent="0.2">
      <c r="A2152" t="s">
        <v>436</v>
      </c>
      <c r="B2152" t="s">
        <v>631</v>
      </c>
      <c r="C2152" t="str">
        <f t="shared" si="119"/>
        <v>19646340000000</v>
      </c>
      <c r="D2152" t="s">
        <v>3940</v>
      </c>
      <c r="E2152" t="str">
        <f>"19646346014492"</f>
        <v>19646346014492</v>
      </c>
      <c r="F2152" s="8">
        <v>835</v>
      </c>
      <c r="G2152" s="8">
        <v>4667</v>
      </c>
      <c r="H2152" s="8">
        <v>3073</v>
      </c>
      <c r="I2152" s="8">
        <v>7425</v>
      </c>
    </row>
    <row r="2153" spans="1:9" x14ac:dyDescent="0.2">
      <c r="A2153" t="s">
        <v>436</v>
      </c>
      <c r="B2153" t="s">
        <v>631</v>
      </c>
      <c r="C2153" t="str">
        <f t="shared" si="119"/>
        <v>19646340000000</v>
      </c>
      <c r="D2153" t="s">
        <v>3941</v>
      </c>
      <c r="E2153" t="str">
        <f>"19646346014542"</f>
        <v>19646346014542</v>
      </c>
      <c r="F2153" s="8">
        <v>769</v>
      </c>
      <c r="G2153" s="8">
        <v>4295</v>
      </c>
      <c r="H2153" s="8">
        <v>3073</v>
      </c>
      <c r="I2153" s="8">
        <v>7425</v>
      </c>
    </row>
    <row r="2154" spans="1:9" x14ac:dyDescent="0.2">
      <c r="A2154" t="s">
        <v>436</v>
      </c>
      <c r="B2154" t="s">
        <v>631</v>
      </c>
      <c r="C2154" t="str">
        <f t="shared" si="119"/>
        <v>19646340000000</v>
      </c>
      <c r="D2154" t="s">
        <v>2699</v>
      </c>
      <c r="E2154" t="str">
        <f>"19646346014476"</f>
        <v>19646346014476</v>
      </c>
      <c r="F2154" s="8">
        <v>760</v>
      </c>
      <c r="G2154" s="8">
        <v>4247</v>
      </c>
      <c r="H2154" s="8">
        <v>3073</v>
      </c>
      <c r="I2154" s="8">
        <v>7425</v>
      </c>
    </row>
    <row r="2155" spans="1:9" x14ac:dyDescent="0.2">
      <c r="A2155" t="s">
        <v>436</v>
      </c>
      <c r="B2155" t="s">
        <v>631</v>
      </c>
      <c r="C2155" t="str">
        <f t="shared" si="119"/>
        <v>19646340000000</v>
      </c>
      <c r="D2155" t="s">
        <v>3942</v>
      </c>
      <c r="E2155" t="str">
        <f>"19646346014435"</f>
        <v>19646346014435</v>
      </c>
      <c r="F2155" s="8">
        <v>493</v>
      </c>
      <c r="G2155" s="8">
        <v>4200</v>
      </c>
      <c r="H2155" s="8">
        <v>3073</v>
      </c>
      <c r="I2155" s="8">
        <v>7425</v>
      </c>
    </row>
    <row r="2156" spans="1:9" x14ac:dyDescent="0.2">
      <c r="A2156" t="s">
        <v>436</v>
      </c>
      <c r="B2156" t="s">
        <v>631</v>
      </c>
      <c r="C2156" t="str">
        <f t="shared" si="119"/>
        <v>19646340000000</v>
      </c>
      <c r="D2156" t="s">
        <v>3943</v>
      </c>
      <c r="E2156" t="str">
        <f>"19646346014534"</f>
        <v>19646346014534</v>
      </c>
      <c r="F2156" s="8">
        <v>696</v>
      </c>
      <c r="G2156" s="8">
        <v>3888</v>
      </c>
      <c r="H2156" s="8">
        <v>3073</v>
      </c>
      <c r="I2156" s="8">
        <v>7425</v>
      </c>
    </row>
    <row r="2157" spans="1:9" x14ac:dyDescent="0.2">
      <c r="A2157" t="s">
        <v>436</v>
      </c>
      <c r="B2157" t="s">
        <v>631</v>
      </c>
      <c r="C2157" t="str">
        <f t="shared" si="119"/>
        <v>19646340000000</v>
      </c>
      <c r="D2157" t="s">
        <v>3944</v>
      </c>
      <c r="E2157" t="str">
        <f>"19646346014450"</f>
        <v>19646346014450</v>
      </c>
      <c r="F2157" s="8">
        <v>639</v>
      </c>
      <c r="G2157" s="8">
        <v>3571</v>
      </c>
      <c r="H2157" s="8">
        <v>3073</v>
      </c>
      <c r="I2157" s="8">
        <v>7425</v>
      </c>
    </row>
    <row r="2158" spans="1:9" x14ac:dyDescent="0.2">
      <c r="A2158" t="s">
        <v>436</v>
      </c>
      <c r="B2158" t="s">
        <v>631</v>
      </c>
      <c r="C2158" t="str">
        <f t="shared" si="119"/>
        <v>19646340000000</v>
      </c>
      <c r="D2158" t="s">
        <v>3945</v>
      </c>
      <c r="E2158" t="str">
        <f>"19646341936046"</f>
        <v>19646341936046</v>
      </c>
      <c r="F2158" s="8">
        <v>579</v>
      </c>
      <c r="G2158" s="8">
        <v>3234</v>
      </c>
      <c r="H2158" s="8">
        <v>3073</v>
      </c>
      <c r="I2158" s="8">
        <v>7425</v>
      </c>
    </row>
    <row r="2159" spans="1:9" x14ac:dyDescent="0.2">
      <c r="A2159" t="s">
        <v>436</v>
      </c>
      <c r="B2159" t="s">
        <v>631</v>
      </c>
      <c r="C2159" t="str">
        <f t="shared" si="119"/>
        <v>19646340000000</v>
      </c>
      <c r="D2159" t="s">
        <v>3946</v>
      </c>
      <c r="E2159" t="str">
        <f>"19646346014559"</f>
        <v>19646346014559</v>
      </c>
      <c r="F2159" s="8">
        <v>528</v>
      </c>
      <c r="G2159" s="8">
        <v>2951</v>
      </c>
      <c r="H2159" s="8">
        <v>3073</v>
      </c>
      <c r="I2159" s="8">
        <v>7425</v>
      </c>
    </row>
    <row r="2160" spans="1:9" x14ac:dyDescent="0.2">
      <c r="A2160" t="s">
        <v>436</v>
      </c>
      <c r="B2160" t="s">
        <v>631</v>
      </c>
      <c r="C2160" t="str">
        <f t="shared" si="119"/>
        <v>19646340000000</v>
      </c>
      <c r="D2160" t="s">
        <v>3947</v>
      </c>
      <c r="E2160" t="str">
        <f>"19646346014575"</f>
        <v>19646346014575</v>
      </c>
      <c r="F2160" s="8">
        <v>498</v>
      </c>
      <c r="G2160" s="8">
        <v>2781</v>
      </c>
      <c r="H2160" s="8">
        <v>3073</v>
      </c>
      <c r="I2160" s="8">
        <v>7425</v>
      </c>
    </row>
    <row r="2161" spans="1:9" x14ac:dyDescent="0.2">
      <c r="A2161" t="s">
        <v>436</v>
      </c>
      <c r="B2161" t="s">
        <v>631</v>
      </c>
      <c r="C2161" t="str">
        <f t="shared" si="119"/>
        <v>19646340000000</v>
      </c>
      <c r="D2161" t="s">
        <v>3948</v>
      </c>
      <c r="E2161" t="str">
        <f>"19646346014518"</f>
        <v>19646346014518</v>
      </c>
      <c r="F2161" s="8">
        <v>458</v>
      </c>
      <c r="G2161" s="8">
        <v>2559</v>
      </c>
      <c r="H2161" s="8">
        <v>3073</v>
      </c>
      <c r="I2161" s="8">
        <v>7425</v>
      </c>
    </row>
    <row r="2162" spans="1:9" x14ac:dyDescent="0.2">
      <c r="A2162" t="s">
        <v>436</v>
      </c>
      <c r="B2162" t="s">
        <v>631</v>
      </c>
      <c r="C2162" t="str">
        <f t="shared" si="119"/>
        <v>19646340000000</v>
      </c>
      <c r="D2162" t="s">
        <v>3949</v>
      </c>
      <c r="E2162" t="str">
        <f>"19646341934231"</f>
        <v>19646341934231</v>
      </c>
      <c r="F2162" s="8">
        <v>417</v>
      </c>
      <c r="G2162" s="8">
        <v>2331</v>
      </c>
      <c r="H2162" s="8">
        <v>3073</v>
      </c>
      <c r="I2162" s="8">
        <v>7425</v>
      </c>
    </row>
    <row r="2163" spans="1:9" x14ac:dyDescent="0.2">
      <c r="A2163" t="s">
        <v>436</v>
      </c>
      <c r="B2163" t="s">
        <v>647</v>
      </c>
      <c r="C2163" t="str">
        <f t="shared" ref="C2163:C2169" si="120">"19646420000000"</f>
        <v>19646420000000</v>
      </c>
      <c r="D2163" t="s">
        <v>3950</v>
      </c>
      <c r="E2163" t="str">
        <f>"19646426014583"</f>
        <v>19646426014583</v>
      </c>
      <c r="F2163" s="8">
        <v>101</v>
      </c>
      <c r="G2163" s="8">
        <v>5759</v>
      </c>
      <c r="H2163" s="8">
        <v>1709</v>
      </c>
      <c r="I2163" s="8">
        <v>6131</v>
      </c>
    </row>
    <row r="2164" spans="1:9" x14ac:dyDescent="0.2">
      <c r="A2164" t="s">
        <v>436</v>
      </c>
      <c r="B2164" t="s">
        <v>647</v>
      </c>
      <c r="C2164" t="str">
        <f t="shared" si="120"/>
        <v>19646420000000</v>
      </c>
      <c r="D2164" t="s">
        <v>3951</v>
      </c>
      <c r="E2164" t="str">
        <f>"19646426108542"</f>
        <v>19646426108542</v>
      </c>
      <c r="F2164" s="8">
        <v>32</v>
      </c>
      <c r="G2164" s="8">
        <v>5248</v>
      </c>
      <c r="H2164" s="8">
        <v>1709</v>
      </c>
      <c r="I2164" s="8">
        <v>6131</v>
      </c>
    </row>
    <row r="2165" spans="1:9" x14ac:dyDescent="0.2">
      <c r="A2165" t="s">
        <v>436</v>
      </c>
      <c r="B2165" t="s">
        <v>647</v>
      </c>
      <c r="C2165" t="str">
        <f t="shared" si="120"/>
        <v>19646420000000</v>
      </c>
      <c r="D2165" t="s">
        <v>3952</v>
      </c>
      <c r="E2165" t="str">
        <f>"19646426106272"</f>
        <v>19646426106272</v>
      </c>
      <c r="F2165" s="8">
        <v>30</v>
      </c>
      <c r="G2165" s="8">
        <v>5052</v>
      </c>
      <c r="H2165" s="8">
        <v>1709</v>
      </c>
      <c r="I2165" s="8">
        <v>6131</v>
      </c>
    </row>
    <row r="2166" spans="1:9" x14ac:dyDescent="0.2">
      <c r="A2166" t="s">
        <v>436</v>
      </c>
      <c r="B2166" t="s">
        <v>647</v>
      </c>
      <c r="C2166" t="str">
        <f t="shared" si="120"/>
        <v>19646420000000</v>
      </c>
      <c r="D2166" t="s">
        <v>3953</v>
      </c>
      <c r="E2166" t="str">
        <f>"19646426105969"</f>
        <v>19646426105969</v>
      </c>
      <c r="F2166" s="8">
        <v>57</v>
      </c>
      <c r="G2166" s="8">
        <v>4817</v>
      </c>
      <c r="H2166" s="8">
        <v>1709</v>
      </c>
      <c r="I2166" s="8">
        <v>6131</v>
      </c>
    </row>
    <row r="2167" spans="1:9" x14ac:dyDescent="0.2">
      <c r="A2167" t="s">
        <v>436</v>
      </c>
      <c r="B2167" t="s">
        <v>647</v>
      </c>
      <c r="C2167" t="str">
        <f t="shared" si="120"/>
        <v>19646420000000</v>
      </c>
      <c r="D2167" t="s">
        <v>3954</v>
      </c>
      <c r="E2167" t="str">
        <f>"19646426014591"</f>
        <v>19646426014591</v>
      </c>
      <c r="F2167" s="8">
        <v>206</v>
      </c>
      <c r="G2167" s="8">
        <v>4593</v>
      </c>
      <c r="H2167" s="8">
        <v>1709</v>
      </c>
      <c r="I2167" s="8">
        <v>6131</v>
      </c>
    </row>
    <row r="2168" spans="1:9" x14ac:dyDescent="0.2">
      <c r="A2168" t="s">
        <v>436</v>
      </c>
      <c r="B2168" t="s">
        <v>647</v>
      </c>
      <c r="C2168" t="str">
        <f t="shared" si="120"/>
        <v>19646420000000</v>
      </c>
      <c r="D2168" t="s">
        <v>1910</v>
      </c>
      <c r="E2168" t="str">
        <f>"19646426014609"</f>
        <v>19646426014609</v>
      </c>
      <c r="F2168" s="8">
        <v>245</v>
      </c>
      <c r="G2168" s="8">
        <v>4548</v>
      </c>
      <c r="H2168" s="8">
        <v>1709</v>
      </c>
      <c r="I2168" s="8">
        <v>6131</v>
      </c>
    </row>
    <row r="2169" spans="1:9" x14ac:dyDescent="0.2">
      <c r="A2169" t="s">
        <v>436</v>
      </c>
      <c r="B2169" t="s">
        <v>647</v>
      </c>
      <c r="C2169" t="str">
        <f t="shared" si="120"/>
        <v>19646420000000</v>
      </c>
      <c r="D2169" t="s">
        <v>3955</v>
      </c>
      <c r="E2169" t="str">
        <f>"19646420120956"</f>
        <v>19646420120956</v>
      </c>
      <c r="F2169" s="8">
        <v>0</v>
      </c>
      <c r="G2169" s="8">
        <v>324</v>
      </c>
      <c r="H2169" s="8">
        <v>1709</v>
      </c>
      <c r="I2169" s="8">
        <v>6131</v>
      </c>
    </row>
    <row r="2170" spans="1:9" x14ac:dyDescent="0.2">
      <c r="A2170" t="s">
        <v>436</v>
      </c>
      <c r="B2170" t="s">
        <v>665</v>
      </c>
      <c r="C2170" t="str">
        <f>"19646590000000"</f>
        <v>19646590000000</v>
      </c>
      <c r="D2170" t="s">
        <v>3956</v>
      </c>
      <c r="E2170" t="str">
        <f>"19646596014658"</f>
        <v>19646596014658</v>
      </c>
      <c r="F2170" s="8">
        <v>201</v>
      </c>
      <c r="G2170" s="8">
        <v>8854</v>
      </c>
      <c r="H2170" s="8">
        <v>324</v>
      </c>
      <c r="I2170" s="8">
        <v>3311</v>
      </c>
    </row>
    <row r="2171" spans="1:9" x14ac:dyDescent="0.2">
      <c r="A2171" t="s">
        <v>436</v>
      </c>
      <c r="B2171" t="s">
        <v>665</v>
      </c>
      <c r="C2171" t="str">
        <f>"19646590000000"</f>
        <v>19646590000000</v>
      </c>
      <c r="D2171" t="s">
        <v>3957</v>
      </c>
      <c r="E2171" t="str">
        <f>"19646596014633"</f>
        <v>19646596014633</v>
      </c>
      <c r="F2171" s="8">
        <v>0</v>
      </c>
      <c r="G2171" s="8">
        <v>8816</v>
      </c>
      <c r="H2171" s="8">
        <v>324</v>
      </c>
      <c r="I2171" s="8">
        <v>3311</v>
      </c>
    </row>
    <row r="2172" spans="1:9" x14ac:dyDescent="0.2">
      <c r="A2172" t="s">
        <v>436</v>
      </c>
      <c r="B2172" t="s">
        <v>665</v>
      </c>
      <c r="C2172" t="str">
        <f>"19646590000000"</f>
        <v>19646590000000</v>
      </c>
      <c r="D2172" t="s">
        <v>3958</v>
      </c>
      <c r="E2172" t="str">
        <f>"19646591934611"</f>
        <v>19646591934611</v>
      </c>
      <c r="F2172" s="8">
        <v>317</v>
      </c>
      <c r="G2172" s="8">
        <v>8328</v>
      </c>
      <c r="H2172" s="8">
        <v>324</v>
      </c>
      <c r="I2172" s="8">
        <v>3311</v>
      </c>
    </row>
    <row r="2173" spans="1:9" x14ac:dyDescent="0.2">
      <c r="A2173" t="s">
        <v>436</v>
      </c>
      <c r="B2173" t="s">
        <v>665</v>
      </c>
      <c r="C2173" t="str">
        <f>"19646590000000"</f>
        <v>19646590000000</v>
      </c>
      <c r="D2173" t="s">
        <v>3959</v>
      </c>
      <c r="E2173" t="str">
        <f>"19646596014666"</f>
        <v>19646596014666</v>
      </c>
      <c r="F2173" s="8">
        <v>62</v>
      </c>
      <c r="G2173" s="8">
        <v>8468</v>
      </c>
      <c r="H2173" s="8">
        <v>324</v>
      </c>
      <c r="I2173" s="8">
        <v>3311</v>
      </c>
    </row>
    <row r="2174" spans="1:9" x14ac:dyDescent="0.2">
      <c r="A2174" t="s">
        <v>436</v>
      </c>
      <c r="B2174" t="s">
        <v>666</v>
      </c>
      <c r="C2174" t="str">
        <f t="shared" ref="C2174:C2194" si="121">"19646670000000"</f>
        <v>19646670000000</v>
      </c>
      <c r="D2174" t="s">
        <v>3960</v>
      </c>
      <c r="E2174" t="str">
        <f>"19646676108526"</f>
        <v>19646676108526</v>
      </c>
      <c r="F2174" s="8">
        <v>928</v>
      </c>
      <c r="G2174" s="8">
        <v>2712</v>
      </c>
      <c r="H2174" s="8">
        <v>2140</v>
      </c>
      <c r="I2174" s="8">
        <v>12665</v>
      </c>
    </row>
    <row r="2175" spans="1:9" x14ac:dyDescent="0.2">
      <c r="A2175" t="s">
        <v>436</v>
      </c>
      <c r="B2175" t="s">
        <v>666</v>
      </c>
      <c r="C2175" t="str">
        <f t="shared" si="121"/>
        <v>19646670000000</v>
      </c>
      <c r="D2175" t="s">
        <v>3961</v>
      </c>
      <c r="E2175" t="str">
        <f>"19646676014682"</f>
        <v>19646676014682</v>
      </c>
      <c r="F2175" s="8">
        <v>346</v>
      </c>
      <c r="G2175" s="8">
        <v>1071</v>
      </c>
      <c r="H2175" s="8">
        <v>2031</v>
      </c>
      <c r="I2175" s="8">
        <v>12025</v>
      </c>
    </row>
    <row r="2176" spans="1:9" x14ac:dyDescent="0.2">
      <c r="A2176" t="s">
        <v>436</v>
      </c>
      <c r="B2176" t="s">
        <v>666</v>
      </c>
      <c r="C2176" t="str">
        <f t="shared" si="121"/>
        <v>19646670000000</v>
      </c>
      <c r="D2176" t="s">
        <v>3962</v>
      </c>
      <c r="E2176" t="str">
        <f>"19646676117022"</f>
        <v>19646676117022</v>
      </c>
      <c r="F2176" s="8">
        <v>524</v>
      </c>
      <c r="G2176" s="8">
        <v>293</v>
      </c>
      <c r="H2176" s="8">
        <v>2060</v>
      </c>
      <c r="I2176" s="8">
        <v>12196</v>
      </c>
    </row>
    <row r="2177" spans="1:9" x14ac:dyDescent="0.2">
      <c r="A2177" t="s">
        <v>436</v>
      </c>
      <c r="B2177" t="s">
        <v>666</v>
      </c>
      <c r="C2177" t="str">
        <f t="shared" si="121"/>
        <v>19646670000000</v>
      </c>
      <c r="D2177" t="s">
        <v>3963</v>
      </c>
      <c r="E2177" t="str">
        <f>"19646676014740"</f>
        <v>19646676014740</v>
      </c>
      <c r="F2177" s="8">
        <v>380</v>
      </c>
      <c r="G2177" s="8">
        <v>135</v>
      </c>
      <c r="H2177" s="8">
        <v>2060</v>
      </c>
      <c r="I2177" s="8">
        <v>12196</v>
      </c>
    </row>
    <row r="2178" spans="1:9" x14ac:dyDescent="0.2">
      <c r="A2178" t="s">
        <v>436</v>
      </c>
      <c r="B2178" t="s">
        <v>666</v>
      </c>
      <c r="C2178" t="str">
        <f t="shared" si="121"/>
        <v>19646670000000</v>
      </c>
      <c r="D2178" t="s">
        <v>3964</v>
      </c>
      <c r="E2178" t="str">
        <f>"19646676014690"</f>
        <v>19646676014690</v>
      </c>
      <c r="F2178" s="8">
        <v>178</v>
      </c>
      <c r="G2178" s="8">
        <v>151</v>
      </c>
      <c r="H2178" s="8">
        <v>2068</v>
      </c>
      <c r="I2178" s="8">
        <v>12239</v>
      </c>
    </row>
    <row r="2179" spans="1:9" x14ac:dyDescent="0.2">
      <c r="A2179" t="s">
        <v>436</v>
      </c>
      <c r="B2179" t="s">
        <v>666</v>
      </c>
      <c r="C2179" t="str">
        <f t="shared" si="121"/>
        <v>19646670000000</v>
      </c>
      <c r="D2179" t="s">
        <v>2243</v>
      </c>
      <c r="E2179" t="str">
        <f>"19646676108401"</f>
        <v>19646676108401</v>
      </c>
      <c r="F2179" s="8">
        <v>300</v>
      </c>
      <c r="G2179" s="8">
        <v>166</v>
      </c>
      <c r="H2179" s="8">
        <v>2044</v>
      </c>
      <c r="I2179" s="8">
        <v>12098</v>
      </c>
    </row>
    <row r="2180" spans="1:9" x14ac:dyDescent="0.2">
      <c r="A2180" t="s">
        <v>436</v>
      </c>
      <c r="B2180" t="s">
        <v>666</v>
      </c>
      <c r="C2180" t="str">
        <f t="shared" si="121"/>
        <v>19646670000000</v>
      </c>
      <c r="D2180" t="s">
        <v>3965</v>
      </c>
      <c r="E2180" t="str">
        <f>"19646670133462"</f>
        <v>19646670133462</v>
      </c>
      <c r="F2180" s="8">
        <v>224</v>
      </c>
      <c r="G2180" s="8">
        <v>140</v>
      </c>
      <c r="H2180" s="8">
        <v>2053</v>
      </c>
      <c r="I2180" s="8">
        <v>12152</v>
      </c>
    </row>
    <row r="2181" spans="1:9" x14ac:dyDescent="0.2">
      <c r="A2181" t="s">
        <v>436</v>
      </c>
      <c r="B2181" t="s">
        <v>666</v>
      </c>
      <c r="C2181" t="str">
        <f t="shared" si="121"/>
        <v>19646670000000</v>
      </c>
      <c r="D2181" t="s">
        <v>3966</v>
      </c>
      <c r="E2181" t="str">
        <f>"19646670106070"</f>
        <v>19646670106070</v>
      </c>
      <c r="F2181" s="8">
        <v>227</v>
      </c>
      <c r="G2181" s="8">
        <v>115</v>
      </c>
      <c r="H2181" s="8">
        <v>2050</v>
      </c>
      <c r="I2181" s="8">
        <v>12134</v>
      </c>
    </row>
    <row r="2182" spans="1:9" x14ac:dyDescent="0.2">
      <c r="A2182" t="s">
        <v>436</v>
      </c>
      <c r="B2182" t="s">
        <v>666</v>
      </c>
      <c r="C2182" t="str">
        <f t="shared" si="121"/>
        <v>19646670000000</v>
      </c>
      <c r="D2182" t="s">
        <v>3967</v>
      </c>
      <c r="E2182" t="str">
        <f>"19646676109276"</f>
        <v>19646676109276</v>
      </c>
      <c r="F2182" s="8">
        <v>146</v>
      </c>
      <c r="G2182" s="8">
        <v>113</v>
      </c>
      <c r="H2182" s="8">
        <v>2062</v>
      </c>
      <c r="I2182" s="8">
        <v>12204</v>
      </c>
    </row>
    <row r="2183" spans="1:9" x14ac:dyDescent="0.2">
      <c r="A2183" t="s">
        <v>436</v>
      </c>
      <c r="B2183" t="s">
        <v>666</v>
      </c>
      <c r="C2183" t="str">
        <f t="shared" si="121"/>
        <v>19646670000000</v>
      </c>
      <c r="D2183" t="s">
        <v>3968</v>
      </c>
      <c r="E2183" t="str">
        <f>"19646670124099"</f>
        <v>19646670124099</v>
      </c>
      <c r="F2183" s="8">
        <v>150</v>
      </c>
      <c r="G2183" s="8">
        <v>83</v>
      </c>
      <c r="H2183" s="8">
        <v>2062</v>
      </c>
      <c r="I2183" s="8">
        <v>12204</v>
      </c>
    </row>
    <row r="2184" spans="1:9" x14ac:dyDescent="0.2">
      <c r="A2184" t="s">
        <v>436</v>
      </c>
      <c r="B2184" t="s">
        <v>666</v>
      </c>
      <c r="C2184" t="str">
        <f t="shared" si="121"/>
        <v>19646670000000</v>
      </c>
      <c r="D2184" t="s">
        <v>3969</v>
      </c>
      <c r="E2184" t="str">
        <f>"19646670119313"</f>
        <v>19646670119313</v>
      </c>
      <c r="F2184" s="8">
        <v>192</v>
      </c>
      <c r="G2184" s="8">
        <v>126</v>
      </c>
      <c r="H2184" s="8">
        <v>2049</v>
      </c>
      <c r="I2184" s="8">
        <v>12127</v>
      </c>
    </row>
    <row r="2185" spans="1:9" x14ac:dyDescent="0.2">
      <c r="A2185" t="s">
        <v>436</v>
      </c>
      <c r="B2185" t="s">
        <v>666</v>
      </c>
      <c r="C2185" t="str">
        <f t="shared" si="121"/>
        <v>19646670000000</v>
      </c>
      <c r="D2185" t="s">
        <v>3877</v>
      </c>
      <c r="E2185" t="str">
        <f>"19646676014724"</f>
        <v>19646676014724</v>
      </c>
      <c r="F2185" s="8">
        <v>170</v>
      </c>
      <c r="G2185" s="8">
        <v>149</v>
      </c>
      <c r="H2185" s="8">
        <v>2046</v>
      </c>
      <c r="I2185" s="8">
        <v>12113</v>
      </c>
    </row>
    <row r="2186" spans="1:9" x14ac:dyDescent="0.2">
      <c r="A2186" t="s">
        <v>436</v>
      </c>
      <c r="B2186" t="s">
        <v>666</v>
      </c>
      <c r="C2186" t="str">
        <f t="shared" si="121"/>
        <v>19646670000000</v>
      </c>
      <c r="D2186" t="s">
        <v>3970</v>
      </c>
      <c r="E2186" t="str">
        <f>"19646676014674"</f>
        <v>19646676014674</v>
      </c>
      <c r="F2186" s="8">
        <v>228</v>
      </c>
      <c r="G2186" s="8">
        <v>73</v>
      </c>
      <c r="H2186" s="8">
        <v>2048</v>
      </c>
      <c r="I2186" s="8">
        <v>12124</v>
      </c>
    </row>
    <row r="2187" spans="1:9" x14ac:dyDescent="0.2">
      <c r="A2187" t="s">
        <v>436</v>
      </c>
      <c r="B2187" t="s">
        <v>666</v>
      </c>
      <c r="C2187" t="str">
        <f t="shared" si="121"/>
        <v>19646670000000</v>
      </c>
      <c r="D2187" t="s">
        <v>3971</v>
      </c>
      <c r="E2187" t="str">
        <f>"19646676108419"</f>
        <v>19646676108419</v>
      </c>
      <c r="F2187" s="8">
        <v>229</v>
      </c>
      <c r="G2187" s="8">
        <v>158</v>
      </c>
      <c r="H2187" s="8">
        <v>2035</v>
      </c>
      <c r="I2187" s="8">
        <v>12047</v>
      </c>
    </row>
    <row r="2188" spans="1:9" x14ac:dyDescent="0.2">
      <c r="A2188" t="s">
        <v>436</v>
      </c>
      <c r="B2188" t="s">
        <v>666</v>
      </c>
      <c r="C2188" t="str">
        <f t="shared" si="121"/>
        <v>19646670000000</v>
      </c>
      <c r="D2188" t="s">
        <v>3972</v>
      </c>
      <c r="E2188" t="str">
        <f>"19646671996420"</f>
        <v>19646671996420</v>
      </c>
      <c r="F2188" s="8">
        <v>248</v>
      </c>
      <c r="G2188" s="8">
        <v>132</v>
      </c>
      <c r="H2188" s="8">
        <v>2036</v>
      </c>
      <c r="I2188" s="8">
        <v>12052</v>
      </c>
    </row>
    <row r="2189" spans="1:9" x14ac:dyDescent="0.2">
      <c r="A2189" t="s">
        <v>436</v>
      </c>
      <c r="B2189" t="s">
        <v>666</v>
      </c>
      <c r="C2189" t="str">
        <f t="shared" si="121"/>
        <v>19646670000000</v>
      </c>
      <c r="D2189" t="s">
        <v>2777</v>
      </c>
      <c r="E2189" t="str">
        <f>"19646676014757"</f>
        <v>19646676014757</v>
      </c>
      <c r="F2189" s="8">
        <v>271</v>
      </c>
      <c r="G2189" s="8">
        <v>106</v>
      </c>
      <c r="H2189" s="8">
        <v>2036</v>
      </c>
      <c r="I2189" s="8">
        <v>12054</v>
      </c>
    </row>
    <row r="2190" spans="1:9" x14ac:dyDescent="0.2">
      <c r="A2190" t="s">
        <v>436</v>
      </c>
      <c r="B2190" t="s">
        <v>666</v>
      </c>
      <c r="C2190" t="str">
        <f t="shared" si="121"/>
        <v>19646670000000</v>
      </c>
      <c r="D2190" t="s">
        <v>3973</v>
      </c>
      <c r="E2190" t="str">
        <f>"19646676014708"</f>
        <v>19646676014708</v>
      </c>
      <c r="F2190" s="8">
        <v>195</v>
      </c>
      <c r="G2190" s="8">
        <v>203</v>
      </c>
      <c r="H2190" s="8">
        <v>2033</v>
      </c>
      <c r="I2190" s="8">
        <v>12032</v>
      </c>
    </row>
    <row r="2191" spans="1:9" x14ac:dyDescent="0.2">
      <c r="A2191" t="s">
        <v>436</v>
      </c>
      <c r="B2191" t="s">
        <v>666</v>
      </c>
      <c r="C2191" t="str">
        <f t="shared" si="121"/>
        <v>19646670000000</v>
      </c>
      <c r="D2191" t="s">
        <v>3974</v>
      </c>
      <c r="E2191" t="str">
        <f>"19646676113294"</f>
        <v>19646676113294</v>
      </c>
      <c r="F2191" s="8">
        <v>272</v>
      </c>
      <c r="G2191" s="8">
        <v>109</v>
      </c>
      <c r="H2191" s="8">
        <v>2034</v>
      </c>
      <c r="I2191" s="8">
        <v>12038</v>
      </c>
    </row>
    <row r="2192" spans="1:9" x14ac:dyDescent="0.2">
      <c r="A2192" t="s">
        <v>436</v>
      </c>
      <c r="B2192" t="s">
        <v>666</v>
      </c>
      <c r="C2192" t="str">
        <f t="shared" si="121"/>
        <v>19646670000000</v>
      </c>
      <c r="D2192" t="s">
        <v>3975</v>
      </c>
      <c r="E2192" t="str">
        <f>"19646676108393"</f>
        <v>19646676108393</v>
      </c>
      <c r="F2192" s="8">
        <v>159</v>
      </c>
      <c r="G2192" s="8">
        <v>209</v>
      </c>
      <c r="H2192" s="8">
        <v>2032</v>
      </c>
      <c r="I2192" s="8">
        <v>12031</v>
      </c>
    </row>
    <row r="2193" spans="1:9" x14ac:dyDescent="0.2">
      <c r="A2193" t="s">
        <v>436</v>
      </c>
      <c r="B2193" t="s">
        <v>666</v>
      </c>
      <c r="C2193" t="str">
        <f t="shared" si="121"/>
        <v>19646670000000</v>
      </c>
      <c r="D2193" t="s">
        <v>3976</v>
      </c>
      <c r="E2193" t="str">
        <f>"19646676014765"</f>
        <v>19646676014765</v>
      </c>
      <c r="F2193" s="8">
        <v>157</v>
      </c>
      <c r="G2193" s="8">
        <v>111</v>
      </c>
      <c r="H2193" s="8">
        <v>2041</v>
      </c>
      <c r="I2193" s="8">
        <v>12079</v>
      </c>
    </row>
    <row r="2194" spans="1:9" x14ac:dyDescent="0.2">
      <c r="A2194" t="s">
        <v>436</v>
      </c>
      <c r="B2194" t="s">
        <v>666</v>
      </c>
      <c r="C2194" t="str">
        <f t="shared" si="121"/>
        <v>19646670000000</v>
      </c>
      <c r="D2194" t="s">
        <v>3977</v>
      </c>
      <c r="E2194" t="str">
        <f>"19646676014716"</f>
        <v>19646676014716</v>
      </c>
      <c r="F2194" s="8">
        <v>166</v>
      </c>
      <c r="G2194" s="8">
        <v>94</v>
      </c>
      <c r="H2194" s="8">
        <v>2026</v>
      </c>
      <c r="I2194" s="8">
        <v>11994</v>
      </c>
    </row>
    <row r="2195" spans="1:9" x14ac:dyDescent="0.2">
      <c r="A2195" t="s">
        <v>436</v>
      </c>
      <c r="B2195" t="s">
        <v>668</v>
      </c>
      <c r="C2195" t="str">
        <f t="shared" ref="C2195:C2209" si="122">"19646830000000"</f>
        <v>19646830000000</v>
      </c>
      <c r="D2195" t="s">
        <v>3978</v>
      </c>
      <c r="E2195" t="str">
        <f>"19646836093025"</f>
        <v>19646836093025</v>
      </c>
      <c r="F2195" s="8">
        <v>1054</v>
      </c>
      <c r="G2195" s="8">
        <v>8611</v>
      </c>
      <c r="H2195" s="8">
        <v>281</v>
      </c>
      <c r="I2195" s="8">
        <v>2819</v>
      </c>
    </row>
    <row r="2196" spans="1:9" x14ac:dyDescent="0.2">
      <c r="A2196" t="s">
        <v>436</v>
      </c>
      <c r="B2196" t="s">
        <v>668</v>
      </c>
      <c r="C2196" t="str">
        <f t="shared" si="122"/>
        <v>19646830000000</v>
      </c>
      <c r="D2196" t="s">
        <v>3979</v>
      </c>
      <c r="E2196" t="str">
        <f>"19646831930080"</f>
        <v>19646831930080</v>
      </c>
      <c r="F2196" s="8">
        <v>607</v>
      </c>
      <c r="G2196" s="8">
        <v>6847</v>
      </c>
      <c r="H2196" s="8">
        <v>396</v>
      </c>
      <c r="I2196" s="8">
        <v>4828</v>
      </c>
    </row>
    <row r="2197" spans="1:9" x14ac:dyDescent="0.2">
      <c r="A2197" t="s">
        <v>436</v>
      </c>
      <c r="B2197" t="s">
        <v>668</v>
      </c>
      <c r="C2197" t="str">
        <f t="shared" si="122"/>
        <v>19646830000000</v>
      </c>
      <c r="D2197" t="s">
        <v>3980</v>
      </c>
      <c r="E2197" t="str">
        <f>"19646830116129"</f>
        <v>19646830116129</v>
      </c>
      <c r="F2197" s="8">
        <v>1175</v>
      </c>
      <c r="G2197" s="8">
        <v>8183</v>
      </c>
      <c r="H2197" s="8">
        <v>281</v>
      </c>
      <c r="I2197" s="8">
        <v>2819</v>
      </c>
    </row>
    <row r="2198" spans="1:9" x14ac:dyDescent="0.2">
      <c r="A2198" t="s">
        <v>436</v>
      </c>
      <c r="B2198" t="s">
        <v>668</v>
      </c>
      <c r="C2198" t="str">
        <f t="shared" si="122"/>
        <v>19646830000000</v>
      </c>
      <c r="D2198" t="s">
        <v>3981</v>
      </c>
      <c r="E2198" t="str">
        <f>"19646836014815"</f>
        <v>19646836014815</v>
      </c>
      <c r="F2198" s="8">
        <v>948</v>
      </c>
      <c r="G2198" s="8">
        <v>8380</v>
      </c>
      <c r="H2198" s="8">
        <v>281</v>
      </c>
      <c r="I2198" s="8">
        <v>2819</v>
      </c>
    </row>
    <row r="2199" spans="1:9" x14ac:dyDescent="0.2">
      <c r="A2199" t="s">
        <v>436</v>
      </c>
      <c r="B2199" t="s">
        <v>668</v>
      </c>
      <c r="C2199" t="str">
        <f t="shared" si="122"/>
        <v>19646830000000</v>
      </c>
      <c r="D2199" t="s">
        <v>3982</v>
      </c>
      <c r="E2199" t="str">
        <f>"19646836085658"</f>
        <v>19646836085658</v>
      </c>
      <c r="F2199" s="8">
        <v>1144</v>
      </c>
      <c r="G2199" s="8">
        <v>7819</v>
      </c>
      <c r="H2199" s="8">
        <v>281</v>
      </c>
      <c r="I2199" s="8">
        <v>2819</v>
      </c>
    </row>
    <row r="2200" spans="1:9" x14ac:dyDescent="0.2">
      <c r="A2200" t="s">
        <v>436</v>
      </c>
      <c r="B2200" t="s">
        <v>668</v>
      </c>
      <c r="C2200" t="str">
        <f t="shared" si="122"/>
        <v>19646830000000</v>
      </c>
      <c r="D2200" t="s">
        <v>3983</v>
      </c>
      <c r="E2200" t="str">
        <f>"19646830101154"</f>
        <v>19646830101154</v>
      </c>
      <c r="F2200" s="8">
        <v>816</v>
      </c>
      <c r="G2200" s="8">
        <v>7958</v>
      </c>
      <c r="H2200" s="8">
        <v>281</v>
      </c>
      <c r="I2200" s="8">
        <v>2819</v>
      </c>
    </row>
    <row r="2201" spans="1:9" x14ac:dyDescent="0.2">
      <c r="A2201" t="s">
        <v>436</v>
      </c>
      <c r="B2201" t="s">
        <v>668</v>
      </c>
      <c r="C2201" t="str">
        <f t="shared" si="122"/>
        <v>19646830000000</v>
      </c>
      <c r="D2201" t="s">
        <v>3984</v>
      </c>
      <c r="E2201" t="str">
        <f>"19646836110563"</f>
        <v>19646836110563</v>
      </c>
      <c r="F2201" s="8">
        <v>632</v>
      </c>
      <c r="G2201" s="8">
        <v>8070</v>
      </c>
      <c r="H2201" s="8">
        <v>281</v>
      </c>
      <c r="I2201" s="8">
        <v>2819</v>
      </c>
    </row>
    <row r="2202" spans="1:9" x14ac:dyDescent="0.2">
      <c r="A2202" t="s">
        <v>436</v>
      </c>
      <c r="B2202" t="s">
        <v>668</v>
      </c>
      <c r="C2202" t="str">
        <f t="shared" si="122"/>
        <v>19646830000000</v>
      </c>
      <c r="D2202" t="s">
        <v>3985</v>
      </c>
      <c r="E2202" t="str">
        <f>"19646831931781"</f>
        <v>19646831931781</v>
      </c>
      <c r="F2202" s="8">
        <v>198</v>
      </c>
      <c r="G2202" s="8">
        <v>6359</v>
      </c>
      <c r="H2202" s="8">
        <v>396</v>
      </c>
      <c r="I2202" s="8">
        <v>4828</v>
      </c>
    </row>
    <row r="2203" spans="1:9" x14ac:dyDescent="0.2">
      <c r="A2203" t="s">
        <v>436</v>
      </c>
      <c r="B2203" t="s">
        <v>668</v>
      </c>
      <c r="C2203" t="str">
        <f t="shared" si="122"/>
        <v>19646830000000</v>
      </c>
      <c r="D2203" t="s">
        <v>3986</v>
      </c>
      <c r="E2203" t="str">
        <f>"19646836066765"</f>
        <v>19646836066765</v>
      </c>
      <c r="F2203" s="8">
        <v>971</v>
      </c>
      <c r="G2203" s="8">
        <v>7364</v>
      </c>
      <c r="H2203" s="8">
        <v>281</v>
      </c>
      <c r="I2203" s="8">
        <v>2819</v>
      </c>
    </row>
    <row r="2204" spans="1:9" x14ac:dyDescent="0.2">
      <c r="A2204" t="s">
        <v>436</v>
      </c>
      <c r="B2204" t="s">
        <v>668</v>
      </c>
      <c r="C2204" t="str">
        <f t="shared" si="122"/>
        <v>19646830000000</v>
      </c>
      <c r="D2204" t="s">
        <v>3560</v>
      </c>
      <c r="E2204" t="str">
        <f>"19646836099030"</f>
        <v>19646836099030</v>
      </c>
      <c r="F2204" s="8">
        <v>884</v>
      </c>
      <c r="G2204" s="8">
        <v>7431</v>
      </c>
      <c r="H2204" s="8">
        <v>281</v>
      </c>
      <c r="I2204" s="8">
        <v>2819</v>
      </c>
    </row>
    <row r="2205" spans="1:9" x14ac:dyDescent="0.2">
      <c r="A2205" t="s">
        <v>436</v>
      </c>
      <c r="B2205" t="s">
        <v>668</v>
      </c>
      <c r="C2205" t="str">
        <f t="shared" si="122"/>
        <v>19646830000000</v>
      </c>
      <c r="D2205" t="s">
        <v>3987</v>
      </c>
      <c r="E2205" t="str">
        <f>"19646836014807"</f>
        <v>19646836014807</v>
      </c>
      <c r="F2205" s="8">
        <v>512</v>
      </c>
      <c r="G2205" s="8">
        <v>7791</v>
      </c>
      <c r="H2205" s="8">
        <v>281</v>
      </c>
      <c r="I2205" s="8">
        <v>2819</v>
      </c>
    </row>
    <row r="2206" spans="1:9" x14ac:dyDescent="0.2">
      <c r="A2206" t="s">
        <v>436</v>
      </c>
      <c r="B2206" t="s">
        <v>668</v>
      </c>
      <c r="C2206" t="str">
        <f t="shared" si="122"/>
        <v>19646830000000</v>
      </c>
      <c r="D2206" t="s">
        <v>3988</v>
      </c>
      <c r="E2206" t="str">
        <f>"19646836014823"</f>
        <v>19646836014823</v>
      </c>
      <c r="F2206" s="8">
        <v>580</v>
      </c>
      <c r="G2206" s="8">
        <v>7667</v>
      </c>
      <c r="H2206" s="8">
        <v>281</v>
      </c>
      <c r="I2206" s="8">
        <v>2819</v>
      </c>
    </row>
    <row r="2207" spans="1:9" x14ac:dyDescent="0.2">
      <c r="A2207" t="s">
        <v>436</v>
      </c>
      <c r="B2207" t="s">
        <v>668</v>
      </c>
      <c r="C2207" t="str">
        <f t="shared" si="122"/>
        <v>19646830000000</v>
      </c>
      <c r="D2207" t="s">
        <v>3989</v>
      </c>
      <c r="E2207" t="str">
        <f>"19646836014781"</f>
        <v>19646836014781</v>
      </c>
      <c r="F2207" s="8">
        <v>472</v>
      </c>
      <c r="G2207" s="8">
        <v>7759</v>
      </c>
      <c r="H2207" s="8">
        <v>281</v>
      </c>
      <c r="I2207" s="8">
        <v>2819</v>
      </c>
    </row>
    <row r="2208" spans="1:9" x14ac:dyDescent="0.2">
      <c r="A2208" t="s">
        <v>436</v>
      </c>
      <c r="B2208" t="s">
        <v>668</v>
      </c>
      <c r="C2208" t="str">
        <f t="shared" si="122"/>
        <v>19646830000000</v>
      </c>
      <c r="D2208" t="s">
        <v>3714</v>
      </c>
      <c r="E2208" t="str">
        <f>"19646836014799"</f>
        <v>19646836014799</v>
      </c>
      <c r="F2208" s="8">
        <v>378</v>
      </c>
      <c r="G2208" s="8">
        <v>7007</v>
      </c>
      <c r="H2208" s="8">
        <v>281</v>
      </c>
      <c r="I2208" s="8">
        <v>2819</v>
      </c>
    </row>
    <row r="2209" spans="1:9" x14ac:dyDescent="0.2">
      <c r="A2209" t="s">
        <v>436</v>
      </c>
      <c r="B2209" t="s">
        <v>668</v>
      </c>
      <c r="C2209" t="str">
        <f t="shared" si="122"/>
        <v>19646830000000</v>
      </c>
      <c r="D2209" t="s">
        <v>3990</v>
      </c>
      <c r="E2209" t="str">
        <f>"19646831931260"</f>
        <v>19646831931260</v>
      </c>
      <c r="F2209" s="8" t="s">
        <v>30</v>
      </c>
      <c r="G2209" s="8" t="s">
        <v>30</v>
      </c>
      <c r="H2209" s="8" t="s">
        <v>30</v>
      </c>
      <c r="I2209" s="8" t="s">
        <v>30</v>
      </c>
    </row>
    <row r="2210" spans="1:9" x14ac:dyDescent="0.2">
      <c r="A2210" t="s">
        <v>436</v>
      </c>
      <c r="B2210" t="s">
        <v>671</v>
      </c>
      <c r="C2210" t="str">
        <f t="shared" ref="C2210:C2217" si="123">"19646910000000"</f>
        <v>19646910000000</v>
      </c>
      <c r="D2210" t="s">
        <v>3991</v>
      </c>
      <c r="E2210" t="str">
        <f>"19646916014914"</f>
        <v>19646916014914</v>
      </c>
      <c r="F2210" s="8">
        <v>2658</v>
      </c>
      <c r="G2210" s="8">
        <v>9004</v>
      </c>
      <c r="H2210" s="8">
        <v>2002</v>
      </c>
      <c r="I2210" s="8">
        <v>4875</v>
      </c>
    </row>
    <row r="2211" spans="1:9" x14ac:dyDescent="0.2">
      <c r="A2211" t="s">
        <v>436</v>
      </c>
      <c r="B2211" t="s">
        <v>671</v>
      </c>
      <c r="C2211" t="str">
        <f t="shared" si="123"/>
        <v>19646910000000</v>
      </c>
      <c r="D2211" t="s">
        <v>3992</v>
      </c>
      <c r="E2211" t="str">
        <f>"19646916014856"</f>
        <v>19646916014856</v>
      </c>
      <c r="F2211" s="8">
        <v>677</v>
      </c>
      <c r="G2211" s="8">
        <v>10541</v>
      </c>
      <c r="H2211" s="8">
        <v>2002</v>
      </c>
      <c r="I2211" s="8">
        <v>4875</v>
      </c>
    </row>
    <row r="2212" spans="1:9" x14ac:dyDescent="0.2">
      <c r="A2212" t="s">
        <v>436</v>
      </c>
      <c r="B2212" t="s">
        <v>671</v>
      </c>
      <c r="C2212" t="str">
        <f t="shared" si="123"/>
        <v>19646910000000</v>
      </c>
      <c r="D2212" t="s">
        <v>3993</v>
      </c>
      <c r="E2212" t="str">
        <f>"19646916014831"</f>
        <v>19646916014831</v>
      </c>
      <c r="F2212" s="8">
        <v>759</v>
      </c>
      <c r="G2212" s="8">
        <v>8895</v>
      </c>
      <c r="H2212" s="8">
        <v>2002</v>
      </c>
      <c r="I2212" s="8">
        <v>4875</v>
      </c>
    </row>
    <row r="2213" spans="1:9" x14ac:dyDescent="0.2">
      <c r="A2213" t="s">
        <v>436</v>
      </c>
      <c r="B2213" t="s">
        <v>671</v>
      </c>
      <c r="C2213" t="str">
        <f t="shared" si="123"/>
        <v>19646910000000</v>
      </c>
      <c r="D2213" t="s">
        <v>3994</v>
      </c>
      <c r="E2213" t="str">
        <f>"19646916014898"</f>
        <v>19646916014898</v>
      </c>
      <c r="F2213" s="8">
        <v>615</v>
      </c>
      <c r="G2213" s="8">
        <v>8968</v>
      </c>
      <c r="H2213" s="8">
        <v>2002</v>
      </c>
      <c r="I2213" s="8">
        <v>4875</v>
      </c>
    </row>
    <row r="2214" spans="1:9" x14ac:dyDescent="0.2">
      <c r="A2214" t="s">
        <v>436</v>
      </c>
      <c r="B2214" t="s">
        <v>671</v>
      </c>
      <c r="C2214" t="str">
        <f t="shared" si="123"/>
        <v>19646910000000</v>
      </c>
      <c r="D2214" t="s">
        <v>3995</v>
      </c>
      <c r="E2214" t="str">
        <f>"19646916014930"</f>
        <v>19646916014930</v>
      </c>
      <c r="F2214" s="8">
        <v>691</v>
      </c>
      <c r="G2214" s="8">
        <v>8080</v>
      </c>
      <c r="H2214" s="8">
        <v>2002</v>
      </c>
      <c r="I2214" s="8">
        <v>4875</v>
      </c>
    </row>
    <row r="2215" spans="1:9" x14ac:dyDescent="0.2">
      <c r="A2215" t="s">
        <v>436</v>
      </c>
      <c r="B2215" t="s">
        <v>671</v>
      </c>
      <c r="C2215" t="str">
        <f t="shared" si="123"/>
        <v>19646910000000</v>
      </c>
      <c r="D2215" t="s">
        <v>2465</v>
      </c>
      <c r="E2215" t="str">
        <f>"19646916014906"</f>
        <v>19646916014906</v>
      </c>
      <c r="F2215" s="8">
        <v>697</v>
      </c>
      <c r="G2215" s="8">
        <v>7707</v>
      </c>
      <c r="H2215" s="8">
        <v>2002</v>
      </c>
      <c r="I2215" s="8">
        <v>4875</v>
      </c>
    </row>
    <row r="2216" spans="1:9" x14ac:dyDescent="0.2">
      <c r="A2216" t="s">
        <v>436</v>
      </c>
      <c r="B2216" t="s">
        <v>671</v>
      </c>
      <c r="C2216" t="str">
        <f t="shared" si="123"/>
        <v>19646910000000</v>
      </c>
      <c r="D2216" t="s">
        <v>3996</v>
      </c>
      <c r="E2216" t="str">
        <f>"19646916014922"</f>
        <v>19646916014922</v>
      </c>
      <c r="F2216" s="8">
        <v>387</v>
      </c>
      <c r="G2216" s="8">
        <v>7932</v>
      </c>
      <c r="H2216" s="8">
        <v>2002</v>
      </c>
      <c r="I2216" s="8">
        <v>4875</v>
      </c>
    </row>
    <row r="2217" spans="1:9" x14ac:dyDescent="0.2">
      <c r="A2217" t="s">
        <v>436</v>
      </c>
      <c r="B2217" t="s">
        <v>671</v>
      </c>
      <c r="C2217" t="str">
        <f t="shared" si="123"/>
        <v>19646910000000</v>
      </c>
      <c r="D2217" t="s">
        <v>3997</v>
      </c>
      <c r="E2217" t="str">
        <f>"19646910112144"</f>
        <v>19646910112144</v>
      </c>
      <c r="F2217" s="8">
        <v>462</v>
      </c>
      <c r="G2217" s="8">
        <v>7585</v>
      </c>
      <c r="H2217" s="8">
        <v>2002</v>
      </c>
      <c r="I2217" s="8">
        <v>4875</v>
      </c>
    </row>
    <row r="2218" spans="1:9" x14ac:dyDescent="0.2">
      <c r="A2218" t="s">
        <v>436</v>
      </c>
      <c r="B2218" t="s">
        <v>674</v>
      </c>
      <c r="C2218" t="str">
        <f t="shared" ref="C2218:C2224" si="124">"19647090000000"</f>
        <v>19647090000000</v>
      </c>
      <c r="D2218" t="s">
        <v>3998</v>
      </c>
      <c r="E2218" t="str">
        <f>"19647096014948"</f>
        <v>19647096014948</v>
      </c>
      <c r="F2218" s="8">
        <v>1115</v>
      </c>
      <c r="G2218" s="8">
        <v>7992</v>
      </c>
      <c r="H2218" s="8">
        <v>1352</v>
      </c>
      <c r="I2218" s="8">
        <v>3274</v>
      </c>
    </row>
    <row r="2219" spans="1:9" x14ac:dyDescent="0.2">
      <c r="A2219" t="s">
        <v>436</v>
      </c>
      <c r="B2219" t="s">
        <v>674</v>
      </c>
      <c r="C2219" t="str">
        <f t="shared" si="124"/>
        <v>19647090000000</v>
      </c>
      <c r="D2219" t="s">
        <v>3999</v>
      </c>
      <c r="E2219" t="str">
        <f>"19647090100610"</f>
        <v>19647090100610</v>
      </c>
      <c r="F2219" s="8">
        <v>1115</v>
      </c>
      <c r="G2219" s="8">
        <v>7992</v>
      </c>
      <c r="H2219" s="8">
        <v>1352</v>
      </c>
      <c r="I2219" s="8">
        <v>3274</v>
      </c>
    </row>
    <row r="2220" spans="1:9" x14ac:dyDescent="0.2">
      <c r="A2220" t="s">
        <v>436</v>
      </c>
      <c r="B2220" t="s">
        <v>674</v>
      </c>
      <c r="C2220" t="str">
        <f t="shared" si="124"/>
        <v>19647090000000</v>
      </c>
      <c r="D2220" t="s">
        <v>4000</v>
      </c>
      <c r="E2220" t="str">
        <f>"19647096014955"</f>
        <v>19647096014955</v>
      </c>
      <c r="F2220" s="8">
        <v>1115</v>
      </c>
      <c r="G2220" s="8">
        <v>7992</v>
      </c>
      <c r="H2220" s="8">
        <v>1352</v>
      </c>
      <c r="I2220" s="8">
        <v>3274</v>
      </c>
    </row>
    <row r="2221" spans="1:9" x14ac:dyDescent="0.2">
      <c r="A2221" t="s">
        <v>436</v>
      </c>
      <c r="B2221" t="s">
        <v>674</v>
      </c>
      <c r="C2221" t="str">
        <f t="shared" si="124"/>
        <v>19647090000000</v>
      </c>
      <c r="D2221" t="s">
        <v>1194</v>
      </c>
      <c r="E2221" t="str">
        <f>"19647096014963"</f>
        <v>19647096014963</v>
      </c>
      <c r="F2221" s="8">
        <v>1115</v>
      </c>
      <c r="G2221" s="8">
        <v>7992</v>
      </c>
      <c r="H2221" s="8">
        <v>1352</v>
      </c>
      <c r="I2221" s="8">
        <v>3274</v>
      </c>
    </row>
    <row r="2222" spans="1:9" x14ac:dyDescent="0.2">
      <c r="A2222" t="s">
        <v>436</v>
      </c>
      <c r="B2222" t="s">
        <v>674</v>
      </c>
      <c r="C2222" t="str">
        <f t="shared" si="124"/>
        <v>19647090000000</v>
      </c>
      <c r="D2222" t="s">
        <v>4001</v>
      </c>
      <c r="E2222" t="str">
        <f>"19647096106736"</f>
        <v>19647096106736</v>
      </c>
      <c r="F2222" s="8">
        <v>1115</v>
      </c>
      <c r="G2222" s="8">
        <v>7992</v>
      </c>
      <c r="H2222" s="8">
        <v>1352</v>
      </c>
      <c r="I2222" s="8">
        <v>3274</v>
      </c>
    </row>
    <row r="2223" spans="1:9" x14ac:dyDescent="0.2">
      <c r="A2223" t="s">
        <v>436</v>
      </c>
      <c r="B2223" t="s">
        <v>674</v>
      </c>
      <c r="C2223" t="str">
        <f t="shared" si="124"/>
        <v>19647090000000</v>
      </c>
      <c r="D2223" t="s">
        <v>4002</v>
      </c>
      <c r="E2223" t="str">
        <f>"19647096014971"</f>
        <v>19647096014971</v>
      </c>
      <c r="F2223" s="8">
        <v>1115</v>
      </c>
      <c r="G2223" s="8">
        <v>7992</v>
      </c>
      <c r="H2223" s="8">
        <v>1352</v>
      </c>
      <c r="I2223" s="8">
        <v>3274</v>
      </c>
    </row>
    <row r="2224" spans="1:9" x14ac:dyDescent="0.2">
      <c r="A2224" t="s">
        <v>436</v>
      </c>
      <c r="B2224" t="s">
        <v>674</v>
      </c>
      <c r="C2224" t="str">
        <f t="shared" si="124"/>
        <v>19647090000000</v>
      </c>
      <c r="D2224" t="s">
        <v>4003</v>
      </c>
      <c r="E2224" t="str">
        <f>"19647090135038"</f>
        <v>19647090135038</v>
      </c>
      <c r="F2224" s="8" t="s">
        <v>30</v>
      </c>
      <c r="G2224" s="8" t="s">
        <v>30</v>
      </c>
      <c r="H2224" s="8" t="s">
        <v>30</v>
      </c>
      <c r="I2224" s="8" t="s">
        <v>30</v>
      </c>
    </row>
    <row r="2225" spans="1:9" x14ac:dyDescent="0.2">
      <c r="A2225" t="s">
        <v>436</v>
      </c>
      <c r="B2225" t="s">
        <v>679</v>
      </c>
      <c r="C2225" t="str">
        <f t="shared" ref="C2225:C2233" si="125">"19647170000000"</f>
        <v>19647170000000</v>
      </c>
      <c r="D2225" t="s">
        <v>4004</v>
      </c>
      <c r="E2225" t="str">
        <f>"19647176015036"</f>
        <v>19647176015036</v>
      </c>
      <c r="F2225" s="8">
        <v>62</v>
      </c>
      <c r="G2225" s="8">
        <v>7841</v>
      </c>
      <c r="H2225" s="8">
        <v>1605</v>
      </c>
      <c r="I2225" s="8">
        <v>5390</v>
      </c>
    </row>
    <row r="2226" spans="1:9" x14ac:dyDescent="0.2">
      <c r="A2226" t="s">
        <v>436</v>
      </c>
      <c r="B2226" t="s">
        <v>679</v>
      </c>
      <c r="C2226" t="str">
        <f t="shared" si="125"/>
        <v>19647170000000</v>
      </c>
      <c r="D2226" t="s">
        <v>4005</v>
      </c>
      <c r="E2226" t="str">
        <f>"19647176015069"</f>
        <v>19647176015069</v>
      </c>
      <c r="F2226" s="8">
        <v>264</v>
      </c>
      <c r="G2226" s="8">
        <v>7468</v>
      </c>
      <c r="H2226" s="8">
        <v>1605</v>
      </c>
      <c r="I2226" s="8">
        <v>5390</v>
      </c>
    </row>
    <row r="2227" spans="1:9" x14ac:dyDescent="0.2">
      <c r="A2227" t="s">
        <v>436</v>
      </c>
      <c r="B2227" t="s">
        <v>679</v>
      </c>
      <c r="C2227" t="str">
        <f t="shared" si="125"/>
        <v>19647170000000</v>
      </c>
      <c r="D2227" t="s">
        <v>4006</v>
      </c>
      <c r="E2227" t="str">
        <f>"19647176014997"</f>
        <v>19647176014997</v>
      </c>
      <c r="F2227" s="8">
        <v>29</v>
      </c>
      <c r="G2227" s="8">
        <v>7102</v>
      </c>
      <c r="H2227" s="8">
        <v>1605</v>
      </c>
      <c r="I2227" s="8">
        <v>5390</v>
      </c>
    </row>
    <row r="2228" spans="1:9" x14ac:dyDescent="0.2">
      <c r="A2228" t="s">
        <v>436</v>
      </c>
      <c r="B2228" t="s">
        <v>679</v>
      </c>
      <c r="C2228" t="str">
        <f t="shared" si="125"/>
        <v>19647170000000</v>
      </c>
      <c r="D2228" t="s">
        <v>4007</v>
      </c>
      <c r="E2228" t="str">
        <f>"19647176015044"</f>
        <v>19647176015044</v>
      </c>
      <c r="F2228" s="8">
        <v>137</v>
      </c>
      <c r="G2228" s="8">
        <v>6318</v>
      </c>
      <c r="H2228" s="8">
        <v>1605</v>
      </c>
      <c r="I2228" s="8">
        <v>5390</v>
      </c>
    </row>
    <row r="2229" spans="1:9" x14ac:dyDescent="0.2">
      <c r="A2229" t="s">
        <v>436</v>
      </c>
      <c r="B2229" t="s">
        <v>679</v>
      </c>
      <c r="C2229" t="str">
        <f t="shared" si="125"/>
        <v>19647170000000</v>
      </c>
      <c r="D2229" t="s">
        <v>4008</v>
      </c>
      <c r="E2229" t="str">
        <f>"19647176015085"</f>
        <v>19647176015085</v>
      </c>
      <c r="F2229" s="8">
        <v>17</v>
      </c>
      <c r="G2229" s="8">
        <v>6207</v>
      </c>
      <c r="H2229" s="8">
        <v>1605</v>
      </c>
      <c r="I2229" s="8">
        <v>5390</v>
      </c>
    </row>
    <row r="2230" spans="1:9" x14ac:dyDescent="0.2">
      <c r="A2230" t="s">
        <v>436</v>
      </c>
      <c r="B2230" t="s">
        <v>679</v>
      </c>
      <c r="C2230" t="str">
        <f t="shared" si="125"/>
        <v>19647170000000</v>
      </c>
      <c r="D2230" t="s">
        <v>4009</v>
      </c>
      <c r="E2230" t="str">
        <f>"19647176015051"</f>
        <v>19647176015051</v>
      </c>
      <c r="F2230" s="8">
        <v>19</v>
      </c>
      <c r="G2230" s="8">
        <v>5499</v>
      </c>
      <c r="H2230" s="8">
        <v>1605</v>
      </c>
      <c r="I2230" s="8">
        <v>5390</v>
      </c>
    </row>
    <row r="2231" spans="1:9" x14ac:dyDescent="0.2">
      <c r="A2231" t="s">
        <v>436</v>
      </c>
      <c r="B2231" t="s">
        <v>679</v>
      </c>
      <c r="C2231" t="str">
        <f t="shared" si="125"/>
        <v>19647170000000</v>
      </c>
      <c r="D2231" t="s">
        <v>2783</v>
      </c>
      <c r="E2231" t="str">
        <f>"19647176015077"</f>
        <v>19647176015077</v>
      </c>
      <c r="F2231" s="8">
        <v>21</v>
      </c>
      <c r="G2231" s="8">
        <v>5158</v>
      </c>
      <c r="H2231" s="8">
        <v>1605</v>
      </c>
      <c r="I2231" s="8">
        <v>5390</v>
      </c>
    </row>
    <row r="2232" spans="1:9" x14ac:dyDescent="0.2">
      <c r="A2232" t="s">
        <v>436</v>
      </c>
      <c r="B2232" t="s">
        <v>679</v>
      </c>
      <c r="C2232" t="str">
        <f t="shared" si="125"/>
        <v>19647170000000</v>
      </c>
      <c r="D2232" t="s">
        <v>4010</v>
      </c>
      <c r="E2232" t="str">
        <f>"19647176015101"</f>
        <v>19647176015101</v>
      </c>
      <c r="F2232" s="8">
        <v>30</v>
      </c>
      <c r="G2232" s="8">
        <v>5061</v>
      </c>
      <c r="H2232" s="8">
        <v>1605</v>
      </c>
      <c r="I2232" s="8">
        <v>5390</v>
      </c>
    </row>
    <row r="2233" spans="1:9" x14ac:dyDescent="0.2">
      <c r="A2233" t="s">
        <v>436</v>
      </c>
      <c r="B2233" t="s">
        <v>679</v>
      </c>
      <c r="C2233" t="str">
        <f t="shared" si="125"/>
        <v>19647170000000</v>
      </c>
      <c r="D2233" t="s">
        <v>4011</v>
      </c>
      <c r="E2233" t="str">
        <f>"19647176015093"</f>
        <v>19647176015093</v>
      </c>
      <c r="F2233" s="8">
        <v>784</v>
      </c>
      <c r="G2233" s="8">
        <v>3044</v>
      </c>
      <c r="H2233" s="8">
        <v>1605</v>
      </c>
      <c r="I2233" s="8">
        <v>5390</v>
      </c>
    </row>
    <row r="2234" spans="1:9" x14ac:dyDescent="0.2">
      <c r="A2234" t="s">
        <v>436</v>
      </c>
      <c r="B2234" t="s">
        <v>680</v>
      </c>
      <c r="C2234" t="str">
        <f t="shared" ref="C2234:C2265" si="126">"19647250000000"</f>
        <v>19647250000000</v>
      </c>
      <c r="D2234" t="s">
        <v>4012</v>
      </c>
      <c r="E2234" t="str">
        <f>"19647250125153"</f>
        <v>19647250125153</v>
      </c>
      <c r="F2234" s="8">
        <v>987</v>
      </c>
      <c r="G2234" s="8">
        <v>43481</v>
      </c>
      <c r="H2234" s="8">
        <v>2315</v>
      </c>
      <c r="I2234" s="8">
        <v>8806</v>
      </c>
    </row>
    <row r="2235" spans="1:9" x14ac:dyDescent="0.2">
      <c r="A2235" t="s">
        <v>436</v>
      </c>
      <c r="B2235" t="s">
        <v>680</v>
      </c>
      <c r="C2235" t="str">
        <f t="shared" si="126"/>
        <v>19647250000000</v>
      </c>
      <c r="D2235" t="s">
        <v>4013</v>
      </c>
      <c r="E2235" t="str">
        <f>"19647251930411"</f>
        <v>19647251930411</v>
      </c>
      <c r="F2235" s="8">
        <v>1342</v>
      </c>
      <c r="G2235" s="8">
        <v>14301</v>
      </c>
      <c r="H2235" s="8">
        <v>1046</v>
      </c>
      <c r="I2235" s="8">
        <v>2809</v>
      </c>
    </row>
    <row r="2236" spans="1:9" x14ac:dyDescent="0.2">
      <c r="A2236" t="s">
        <v>436</v>
      </c>
      <c r="B2236" t="s">
        <v>680</v>
      </c>
      <c r="C2236" t="str">
        <f t="shared" si="126"/>
        <v>19647250000000</v>
      </c>
      <c r="D2236" t="s">
        <v>4014</v>
      </c>
      <c r="E2236" t="str">
        <f>"19647251937176"</f>
        <v>19647251937176</v>
      </c>
      <c r="F2236" s="8">
        <v>84</v>
      </c>
      <c r="G2236" s="8">
        <v>15613</v>
      </c>
      <c r="H2236" s="8">
        <v>1296</v>
      </c>
      <c r="I2236" s="8">
        <v>2465</v>
      </c>
    </row>
    <row r="2237" spans="1:9" x14ac:dyDescent="0.2">
      <c r="A2237" t="s">
        <v>436</v>
      </c>
      <c r="B2237" t="s">
        <v>680</v>
      </c>
      <c r="C2237" t="str">
        <f t="shared" si="126"/>
        <v>19647250000000</v>
      </c>
      <c r="D2237" t="s">
        <v>4015</v>
      </c>
      <c r="E2237" t="str">
        <f>"19647250107458"</f>
        <v>19647250107458</v>
      </c>
      <c r="F2237" s="8">
        <v>1223</v>
      </c>
      <c r="G2237" s="8">
        <v>10036</v>
      </c>
      <c r="H2237" s="8">
        <v>1523</v>
      </c>
      <c r="I2237" s="8">
        <v>3619</v>
      </c>
    </row>
    <row r="2238" spans="1:9" x14ac:dyDescent="0.2">
      <c r="A2238" t="s">
        <v>436</v>
      </c>
      <c r="B2238" t="s">
        <v>680</v>
      </c>
      <c r="C2238" t="str">
        <f t="shared" si="126"/>
        <v>19647250000000</v>
      </c>
      <c r="D2238" t="s">
        <v>2228</v>
      </c>
      <c r="E2238" t="str">
        <f>"19647256109292"</f>
        <v>19647256109292</v>
      </c>
      <c r="F2238" s="8">
        <v>1532</v>
      </c>
      <c r="G2238" s="8">
        <v>9484</v>
      </c>
      <c r="H2238" s="8">
        <v>1556</v>
      </c>
      <c r="I2238" s="8">
        <v>3823</v>
      </c>
    </row>
    <row r="2239" spans="1:9" x14ac:dyDescent="0.2">
      <c r="A2239" t="s">
        <v>436</v>
      </c>
      <c r="B2239" t="s">
        <v>680</v>
      </c>
      <c r="C2239" t="str">
        <f t="shared" si="126"/>
        <v>19647250000000</v>
      </c>
      <c r="D2239" t="s">
        <v>4016</v>
      </c>
      <c r="E2239" t="str">
        <f>"19647256015168"</f>
        <v>19647256015168</v>
      </c>
      <c r="F2239" s="8">
        <v>930</v>
      </c>
      <c r="G2239" s="8">
        <v>10062</v>
      </c>
      <c r="H2239" s="8">
        <v>1559</v>
      </c>
      <c r="I2239" s="8">
        <v>3843</v>
      </c>
    </row>
    <row r="2240" spans="1:9" x14ac:dyDescent="0.2">
      <c r="A2240" t="s">
        <v>436</v>
      </c>
      <c r="B2240" t="s">
        <v>680</v>
      </c>
      <c r="C2240" t="str">
        <f t="shared" si="126"/>
        <v>19647250000000</v>
      </c>
      <c r="D2240" t="s">
        <v>4017</v>
      </c>
      <c r="E2240" t="str">
        <f>"19647251995935"</f>
        <v>19647251995935</v>
      </c>
      <c r="F2240" s="8">
        <v>1266</v>
      </c>
      <c r="G2240" s="8">
        <v>10141</v>
      </c>
      <c r="H2240" s="8">
        <v>1432</v>
      </c>
      <c r="I2240" s="8">
        <v>3493</v>
      </c>
    </row>
    <row r="2241" spans="1:9" x14ac:dyDescent="0.2">
      <c r="A2241" t="s">
        <v>436</v>
      </c>
      <c r="B2241" t="s">
        <v>680</v>
      </c>
      <c r="C2241" t="str">
        <f t="shared" si="126"/>
        <v>19647250000000</v>
      </c>
      <c r="D2241" t="s">
        <v>4018</v>
      </c>
      <c r="E2241" t="str">
        <f>"19647256015408"</f>
        <v>19647256015408</v>
      </c>
      <c r="F2241" s="8">
        <v>823</v>
      </c>
      <c r="G2241" s="8">
        <v>10598</v>
      </c>
      <c r="H2241" s="8">
        <v>1253</v>
      </c>
      <c r="I2241" s="8">
        <v>3471</v>
      </c>
    </row>
    <row r="2242" spans="1:9" x14ac:dyDescent="0.2">
      <c r="A2242" t="s">
        <v>436</v>
      </c>
      <c r="B2242" t="s">
        <v>680</v>
      </c>
      <c r="C2242" t="str">
        <f t="shared" si="126"/>
        <v>19647250000000</v>
      </c>
      <c r="D2242" t="s">
        <v>348</v>
      </c>
      <c r="E2242" t="str">
        <f>"19647256015275"</f>
        <v>19647256015275</v>
      </c>
      <c r="F2242" s="8">
        <v>1439</v>
      </c>
      <c r="G2242" s="8">
        <v>9896</v>
      </c>
      <c r="H2242" s="8">
        <v>1462</v>
      </c>
      <c r="I2242" s="8">
        <v>3239</v>
      </c>
    </row>
    <row r="2243" spans="1:9" x14ac:dyDescent="0.2">
      <c r="A2243" t="s">
        <v>436</v>
      </c>
      <c r="B2243" t="s">
        <v>680</v>
      </c>
      <c r="C2243" t="str">
        <f t="shared" si="126"/>
        <v>19647250000000</v>
      </c>
      <c r="D2243" t="s">
        <v>4019</v>
      </c>
      <c r="E2243" t="str">
        <f>"19647251934470"</f>
        <v>19647251934470</v>
      </c>
      <c r="F2243" s="8">
        <v>988</v>
      </c>
      <c r="G2243" s="8">
        <v>9609</v>
      </c>
      <c r="H2243" s="8">
        <v>1433</v>
      </c>
      <c r="I2243" s="8">
        <v>3496</v>
      </c>
    </row>
    <row r="2244" spans="1:9" x14ac:dyDescent="0.2">
      <c r="A2244" t="s">
        <v>436</v>
      </c>
      <c r="B2244" t="s">
        <v>680</v>
      </c>
      <c r="C2244" t="str">
        <f t="shared" si="126"/>
        <v>19647250000000</v>
      </c>
      <c r="D2244" t="s">
        <v>4020</v>
      </c>
      <c r="E2244" t="str">
        <f>"19647256015507"</f>
        <v>19647256015507</v>
      </c>
      <c r="F2244" s="8">
        <v>762</v>
      </c>
      <c r="G2244" s="8">
        <v>9822</v>
      </c>
      <c r="H2244" s="8">
        <v>1490</v>
      </c>
      <c r="I2244" s="8">
        <v>3409</v>
      </c>
    </row>
    <row r="2245" spans="1:9" x14ac:dyDescent="0.2">
      <c r="A2245" t="s">
        <v>436</v>
      </c>
      <c r="B2245" t="s">
        <v>680</v>
      </c>
      <c r="C2245" t="str">
        <f t="shared" si="126"/>
        <v>19647250000000</v>
      </c>
      <c r="D2245" t="s">
        <v>4021</v>
      </c>
      <c r="E2245" t="str">
        <f>"19647256015374"</f>
        <v>19647256015374</v>
      </c>
      <c r="F2245" s="8">
        <v>917</v>
      </c>
      <c r="G2245" s="8">
        <v>9797</v>
      </c>
      <c r="H2245" s="8">
        <v>1469</v>
      </c>
      <c r="I2245" s="8">
        <v>3278</v>
      </c>
    </row>
    <row r="2246" spans="1:9" x14ac:dyDescent="0.2">
      <c r="A2246" t="s">
        <v>436</v>
      </c>
      <c r="B2246" t="s">
        <v>680</v>
      </c>
      <c r="C2246" t="str">
        <f t="shared" si="126"/>
        <v>19647250000000</v>
      </c>
      <c r="D2246" t="s">
        <v>4022</v>
      </c>
      <c r="E2246" t="str">
        <f>"19647256015135"</f>
        <v>19647256015135</v>
      </c>
      <c r="F2246" s="8">
        <v>1073</v>
      </c>
      <c r="G2246" s="8">
        <v>9289</v>
      </c>
      <c r="H2246" s="8">
        <v>1493</v>
      </c>
      <c r="I2246" s="8">
        <v>3427</v>
      </c>
    </row>
    <row r="2247" spans="1:9" x14ac:dyDescent="0.2">
      <c r="A2247" t="s">
        <v>436</v>
      </c>
      <c r="B2247" t="s">
        <v>680</v>
      </c>
      <c r="C2247" t="str">
        <f t="shared" si="126"/>
        <v>19647250000000</v>
      </c>
      <c r="D2247" t="s">
        <v>4023</v>
      </c>
      <c r="E2247" t="str">
        <f>"19647256015598"</f>
        <v>19647256015598</v>
      </c>
      <c r="F2247" s="8">
        <v>703</v>
      </c>
      <c r="G2247" s="8">
        <v>9857</v>
      </c>
      <c r="H2247" s="8">
        <v>1213</v>
      </c>
      <c r="I2247" s="8">
        <v>3402</v>
      </c>
    </row>
    <row r="2248" spans="1:9" x14ac:dyDescent="0.2">
      <c r="A2248" t="s">
        <v>436</v>
      </c>
      <c r="B2248" t="s">
        <v>680</v>
      </c>
      <c r="C2248" t="str">
        <f t="shared" si="126"/>
        <v>19647250000000</v>
      </c>
      <c r="D2248" t="s">
        <v>4024</v>
      </c>
      <c r="E2248" t="str">
        <f>"19647256057814"</f>
        <v>19647256057814</v>
      </c>
      <c r="F2248" s="8">
        <v>1555</v>
      </c>
      <c r="G2248" s="8">
        <v>8902</v>
      </c>
      <c r="H2248" s="8">
        <v>1424</v>
      </c>
      <c r="I2248" s="8">
        <v>3221</v>
      </c>
    </row>
    <row r="2249" spans="1:9" x14ac:dyDescent="0.2">
      <c r="A2249" t="s">
        <v>436</v>
      </c>
      <c r="B2249" t="s">
        <v>680</v>
      </c>
      <c r="C2249" t="str">
        <f t="shared" si="126"/>
        <v>19647250000000</v>
      </c>
      <c r="D2249" t="s">
        <v>4025</v>
      </c>
      <c r="E2249" t="str">
        <f>"19647256015283"</f>
        <v>19647256015283</v>
      </c>
      <c r="F2249" s="8">
        <v>651</v>
      </c>
      <c r="G2249" s="8">
        <v>10742</v>
      </c>
      <c r="H2249" s="8">
        <v>1086</v>
      </c>
      <c r="I2249" s="8">
        <v>2429</v>
      </c>
    </row>
    <row r="2250" spans="1:9" x14ac:dyDescent="0.2">
      <c r="A2250" t="s">
        <v>436</v>
      </c>
      <c r="B2250" t="s">
        <v>680</v>
      </c>
      <c r="C2250" t="str">
        <f t="shared" si="126"/>
        <v>19647250000000</v>
      </c>
      <c r="D2250" t="s">
        <v>2344</v>
      </c>
      <c r="E2250" t="str">
        <f>"19647256015499"</f>
        <v>19647256015499</v>
      </c>
      <c r="F2250" s="8">
        <v>1181</v>
      </c>
      <c r="G2250" s="8">
        <v>8675</v>
      </c>
      <c r="H2250" s="8">
        <v>1262</v>
      </c>
      <c r="I2250" s="8">
        <v>3706</v>
      </c>
    </row>
    <row r="2251" spans="1:9" x14ac:dyDescent="0.2">
      <c r="A2251" t="s">
        <v>436</v>
      </c>
      <c r="B2251" t="s">
        <v>680</v>
      </c>
      <c r="C2251" t="str">
        <f t="shared" si="126"/>
        <v>19647250000000</v>
      </c>
      <c r="D2251" t="s">
        <v>4026</v>
      </c>
      <c r="E2251" t="str">
        <f>"19647256015382"</f>
        <v>19647256015382</v>
      </c>
      <c r="F2251" s="8">
        <v>1122</v>
      </c>
      <c r="G2251" s="8">
        <v>9141</v>
      </c>
      <c r="H2251" s="8">
        <v>1441</v>
      </c>
      <c r="I2251" s="8">
        <v>3108</v>
      </c>
    </row>
    <row r="2252" spans="1:9" x14ac:dyDescent="0.2">
      <c r="A2252" t="s">
        <v>436</v>
      </c>
      <c r="B2252" t="s">
        <v>680</v>
      </c>
      <c r="C2252" t="str">
        <f t="shared" si="126"/>
        <v>19647250000000</v>
      </c>
      <c r="D2252" t="s">
        <v>2306</v>
      </c>
      <c r="E2252" t="str">
        <f>"19647256015259"</f>
        <v>19647256015259</v>
      </c>
      <c r="F2252" s="8">
        <v>827</v>
      </c>
      <c r="G2252" s="8">
        <v>9407</v>
      </c>
      <c r="H2252" s="8">
        <v>1206</v>
      </c>
      <c r="I2252" s="8">
        <v>3359</v>
      </c>
    </row>
    <row r="2253" spans="1:9" x14ac:dyDescent="0.2">
      <c r="A2253" t="s">
        <v>436</v>
      </c>
      <c r="B2253" t="s">
        <v>680</v>
      </c>
      <c r="C2253" t="str">
        <f t="shared" si="126"/>
        <v>19647250000000</v>
      </c>
      <c r="D2253" t="s">
        <v>4027</v>
      </c>
      <c r="E2253" t="str">
        <f>"19647256057798"</f>
        <v>19647256057798</v>
      </c>
      <c r="F2253" s="8">
        <v>911</v>
      </c>
      <c r="G2253" s="8">
        <v>8918</v>
      </c>
      <c r="H2253" s="8">
        <v>1414</v>
      </c>
      <c r="I2253" s="8">
        <v>3155</v>
      </c>
    </row>
    <row r="2254" spans="1:9" x14ac:dyDescent="0.2">
      <c r="A2254" t="s">
        <v>436</v>
      </c>
      <c r="B2254" t="s">
        <v>680</v>
      </c>
      <c r="C2254" t="str">
        <f t="shared" si="126"/>
        <v>19647250000000</v>
      </c>
      <c r="D2254" t="s">
        <v>4028</v>
      </c>
      <c r="E2254" t="str">
        <f>"19647256108013"</f>
        <v>19647256108013</v>
      </c>
      <c r="F2254" s="8">
        <v>1019</v>
      </c>
      <c r="G2254" s="8">
        <v>8550</v>
      </c>
      <c r="H2254" s="8">
        <v>1474</v>
      </c>
      <c r="I2254" s="8">
        <v>3308</v>
      </c>
    </row>
    <row r="2255" spans="1:9" x14ac:dyDescent="0.2">
      <c r="A2255" t="s">
        <v>436</v>
      </c>
      <c r="B2255" t="s">
        <v>680</v>
      </c>
      <c r="C2255" t="str">
        <f t="shared" si="126"/>
        <v>19647250000000</v>
      </c>
      <c r="D2255" t="s">
        <v>2898</v>
      </c>
      <c r="E2255" t="str">
        <f>"19647256015671"</f>
        <v>19647256015671</v>
      </c>
      <c r="F2255" s="8">
        <v>1362</v>
      </c>
      <c r="G2255" s="8">
        <v>8209</v>
      </c>
      <c r="H2255" s="8">
        <v>1472</v>
      </c>
      <c r="I2255" s="8">
        <v>3300</v>
      </c>
    </row>
    <row r="2256" spans="1:9" x14ac:dyDescent="0.2">
      <c r="A2256" t="s">
        <v>436</v>
      </c>
      <c r="B2256" t="s">
        <v>680</v>
      </c>
      <c r="C2256" t="str">
        <f t="shared" si="126"/>
        <v>19647250000000</v>
      </c>
      <c r="D2256" t="s">
        <v>280</v>
      </c>
      <c r="E2256" t="str">
        <f>"19647256015325"</f>
        <v>19647256015325</v>
      </c>
      <c r="F2256" s="8">
        <v>1030</v>
      </c>
      <c r="G2256" s="8">
        <v>8879</v>
      </c>
      <c r="H2256" s="8">
        <v>1404</v>
      </c>
      <c r="I2256" s="8">
        <v>2878</v>
      </c>
    </row>
    <row r="2257" spans="1:9" x14ac:dyDescent="0.2">
      <c r="A2257" t="s">
        <v>436</v>
      </c>
      <c r="B2257" t="s">
        <v>680</v>
      </c>
      <c r="C2257" t="str">
        <f t="shared" si="126"/>
        <v>19647250000000</v>
      </c>
      <c r="D2257" t="s">
        <v>4029</v>
      </c>
      <c r="E2257" t="str">
        <f>"19647256015333"</f>
        <v>19647256015333</v>
      </c>
      <c r="F2257" s="8">
        <v>538</v>
      </c>
      <c r="G2257" s="8">
        <v>9387</v>
      </c>
      <c r="H2257" s="8">
        <v>1161</v>
      </c>
      <c r="I2257" s="8">
        <v>3079</v>
      </c>
    </row>
    <row r="2258" spans="1:9" x14ac:dyDescent="0.2">
      <c r="A2258" t="s">
        <v>436</v>
      </c>
      <c r="B2258" t="s">
        <v>680</v>
      </c>
      <c r="C2258" t="str">
        <f t="shared" si="126"/>
        <v>19647250000000</v>
      </c>
      <c r="D2258" t="s">
        <v>4030</v>
      </c>
      <c r="E2258" t="str">
        <f>"19647251996503"</f>
        <v>19647251996503</v>
      </c>
      <c r="F2258" s="8">
        <v>393</v>
      </c>
      <c r="G2258" s="8">
        <v>10257</v>
      </c>
      <c r="H2258" s="8">
        <v>1020</v>
      </c>
      <c r="I2258" s="8">
        <v>2465</v>
      </c>
    </row>
    <row r="2259" spans="1:9" x14ac:dyDescent="0.2">
      <c r="A2259" t="s">
        <v>436</v>
      </c>
      <c r="B2259" t="s">
        <v>680</v>
      </c>
      <c r="C2259" t="str">
        <f t="shared" si="126"/>
        <v>19647250000000</v>
      </c>
      <c r="D2259" t="s">
        <v>4031</v>
      </c>
      <c r="E2259" t="str">
        <f>"19647256057780"</f>
        <v>19647256057780</v>
      </c>
      <c r="F2259" s="8">
        <v>1098</v>
      </c>
      <c r="G2259" s="8">
        <v>7867</v>
      </c>
      <c r="H2259" s="8">
        <v>1446</v>
      </c>
      <c r="I2259" s="8">
        <v>3355</v>
      </c>
    </row>
    <row r="2260" spans="1:9" x14ac:dyDescent="0.2">
      <c r="A2260" t="s">
        <v>436</v>
      </c>
      <c r="B2260" t="s">
        <v>680</v>
      </c>
      <c r="C2260" t="str">
        <f t="shared" si="126"/>
        <v>19647250000000</v>
      </c>
      <c r="D2260" t="s">
        <v>4032</v>
      </c>
      <c r="E2260" t="str">
        <f>"19647256015556"</f>
        <v>19647256015556</v>
      </c>
      <c r="F2260" s="8">
        <v>952</v>
      </c>
      <c r="G2260" s="8">
        <v>9102</v>
      </c>
      <c r="H2260" s="8">
        <v>1082</v>
      </c>
      <c r="I2260" s="8">
        <v>2623</v>
      </c>
    </row>
    <row r="2261" spans="1:9" x14ac:dyDescent="0.2">
      <c r="A2261" t="s">
        <v>436</v>
      </c>
      <c r="B2261" t="s">
        <v>680</v>
      </c>
      <c r="C2261" t="str">
        <f t="shared" si="126"/>
        <v>19647250000000</v>
      </c>
      <c r="D2261" t="s">
        <v>2349</v>
      </c>
      <c r="E2261" t="str">
        <f>"19647256015515"</f>
        <v>19647256015515</v>
      </c>
      <c r="F2261" s="8">
        <v>605</v>
      </c>
      <c r="G2261" s="8">
        <v>8697</v>
      </c>
      <c r="H2261" s="8">
        <v>1405</v>
      </c>
      <c r="I2261" s="8">
        <v>2881</v>
      </c>
    </row>
    <row r="2262" spans="1:9" x14ac:dyDescent="0.2">
      <c r="A2262" t="s">
        <v>436</v>
      </c>
      <c r="B2262" t="s">
        <v>680</v>
      </c>
      <c r="C2262" t="str">
        <f t="shared" si="126"/>
        <v>19647250000000</v>
      </c>
      <c r="D2262" t="s">
        <v>4033</v>
      </c>
      <c r="E2262" t="str">
        <f>"19647256057848"</f>
        <v>19647256057848</v>
      </c>
      <c r="F2262" s="8">
        <v>1060</v>
      </c>
      <c r="G2262" s="8">
        <v>7583</v>
      </c>
      <c r="H2262" s="8">
        <v>1463</v>
      </c>
      <c r="I2262" s="8">
        <v>3463</v>
      </c>
    </row>
    <row r="2263" spans="1:9" x14ac:dyDescent="0.2">
      <c r="A2263" t="s">
        <v>436</v>
      </c>
      <c r="B2263" t="s">
        <v>680</v>
      </c>
      <c r="C2263" t="str">
        <f t="shared" si="126"/>
        <v>19647250000000</v>
      </c>
      <c r="D2263" t="s">
        <v>4034</v>
      </c>
      <c r="E2263" t="str">
        <f>"19647256015267"</f>
        <v>19647256015267</v>
      </c>
      <c r="F2263" s="8">
        <v>505</v>
      </c>
      <c r="G2263" s="8">
        <v>8829</v>
      </c>
      <c r="H2263" s="8">
        <v>1151</v>
      </c>
      <c r="I2263" s="8">
        <v>3057</v>
      </c>
    </row>
    <row r="2264" spans="1:9" x14ac:dyDescent="0.2">
      <c r="A2264" t="s">
        <v>436</v>
      </c>
      <c r="B2264" t="s">
        <v>680</v>
      </c>
      <c r="C2264" t="str">
        <f t="shared" si="126"/>
        <v>19647250000000</v>
      </c>
      <c r="D2264" t="s">
        <v>4035</v>
      </c>
      <c r="E2264" t="str">
        <f>"19647256015663"</f>
        <v>19647256015663</v>
      </c>
      <c r="F2264" s="8">
        <v>457</v>
      </c>
      <c r="G2264" s="8">
        <v>8783</v>
      </c>
      <c r="H2264" s="8">
        <v>1178</v>
      </c>
      <c r="I2264" s="8">
        <v>3006</v>
      </c>
    </row>
    <row r="2265" spans="1:9" x14ac:dyDescent="0.2">
      <c r="A2265" t="s">
        <v>436</v>
      </c>
      <c r="B2265" t="s">
        <v>680</v>
      </c>
      <c r="C2265" t="str">
        <f t="shared" si="126"/>
        <v>19647250000000</v>
      </c>
      <c r="D2265" t="s">
        <v>2203</v>
      </c>
      <c r="E2265" t="str">
        <f>"19647256015184"</f>
        <v>19647256015184</v>
      </c>
      <c r="F2265" s="8">
        <v>809</v>
      </c>
      <c r="G2265" s="8">
        <v>8287</v>
      </c>
      <c r="H2265" s="8">
        <v>1401</v>
      </c>
      <c r="I2265" s="8">
        <v>2856</v>
      </c>
    </row>
    <row r="2266" spans="1:9" x14ac:dyDescent="0.2">
      <c r="A2266" t="s">
        <v>436</v>
      </c>
      <c r="B2266" t="s">
        <v>680</v>
      </c>
      <c r="C2266" t="str">
        <f t="shared" ref="C2266:C2297" si="127">"19647250000000"</f>
        <v>19647250000000</v>
      </c>
      <c r="D2266" t="s">
        <v>4036</v>
      </c>
      <c r="E2266" t="str">
        <f>"19647256015200"</f>
        <v>19647256015200</v>
      </c>
      <c r="F2266" s="8">
        <v>1064</v>
      </c>
      <c r="G2266" s="8">
        <v>7671</v>
      </c>
      <c r="H2266" s="8">
        <v>1444</v>
      </c>
      <c r="I2266" s="8">
        <v>3123</v>
      </c>
    </row>
    <row r="2267" spans="1:9" x14ac:dyDescent="0.2">
      <c r="A2267" t="s">
        <v>436</v>
      </c>
      <c r="B2267" t="s">
        <v>680</v>
      </c>
      <c r="C2267" t="str">
        <f t="shared" si="127"/>
        <v>19647250000000</v>
      </c>
      <c r="D2267" t="s">
        <v>4037</v>
      </c>
      <c r="E2267" t="str">
        <f>"19647256015622"</f>
        <v>19647256015622</v>
      </c>
      <c r="F2267" s="8">
        <v>634</v>
      </c>
      <c r="G2267" s="8">
        <v>8704</v>
      </c>
      <c r="H2267" s="8">
        <v>1359</v>
      </c>
      <c r="I2267" s="8">
        <v>2595</v>
      </c>
    </row>
    <row r="2268" spans="1:9" x14ac:dyDescent="0.2">
      <c r="A2268" t="s">
        <v>436</v>
      </c>
      <c r="B2268" t="s">
        <v>680</v>
      </c>
      <c r="C2268" t="str">
        <f t="shared" si="127"/>
        <v>19647250000000</v>
      </c>
      <c r="D2268" t="s">
        <v>4038</v>
      </c>
      <c r="E2268" t="str">
        <f>"19647256015317"</f>
        <v>19647256015317</v>
      </c>
      <c r="F2268" s="8">
        <v>459</v>
      </c>
      <c r="G2268" s="8">
        <v>9048</v>
      </c>
      <c r="H2268" s="8">
        <v>1118</v>
      </c>
      <c r="I2268" s="8">
        <v>2630</v>
      </c>
    </row>
    <row r="2269" spans="1:9" x14ac:dyDescent="0.2">
      <c r="A2269" t="s">
        <v>436</v>
      </c>
      <c r="B2269" t="s">
        <v>680</v>
      </c>
      <c r="C2269" t="str">
        <f t="shared" si="127"/>
        <v>19647250000000</v>
      </c>
      <c r="D2269" t="s">
        <v>4039</v>
      </c>
      <c r="E2269" t="str">
        <f>"19647256015614"</f>
        <v>19647256015614</v>
      </c>
      <c r="F2269" s="8">
        <v>766</v>
      </c>
      <c r="G2269" s="8">
        <v>7739</v>
      </c>
      <c r="H2269" s="8">
        <v>1461</v>
      </c>
      <c r="I2269" s="8">
        <v>3232</v>
      </c>
    </row>
    <row r="2270" spans="1:9" x14ac:dyDescent="0.2">
      <c r="A2270" t="s">
        <v>436</v>
      </c>
      <c r="B2270" t="s">
        <v>680</v>
      </c>
      <c r="C2270" t="str">
        <f t="shared" si="127"/>
        <v>19647250000000</v>
      </c>
      <c r="D2270" t="s">
        <v>4040</v>
      </c>
      <c r="E2270" t="str">
        <f>"19647250115535"</f>
        <v>19647250115535</v>
      </c>
      <c r="F2270" s="8">
        <v>1121</v>
      </c>
      <c r="G2270" s="8">
        <v>7452</v>
      </c>
      <c r="H2270" s="8">
        <v>1419</v>
      </c>
      <c r="I2270" s="8">
        <v>3191</v>
      </c>
    </row>
    <row r="2271" spans="1:9" x14ac:dyDescent="0.2">
      <c r="A2271" t="s">
        <v>436</v>
      </c>
      <c r="B2271" t="s">
        <v>680</v>
      </c>
      <c r="C2271" t="str">
        <f t="shared" si="127"/>
        <v>19647250000000</v>
      </c>
      <c r="D2271" t="s">
        <v>4041</v>
      </c>
      <c r="E2271" t="str">
        <f>"19647256015580"</f>
        <v>19647256015580</v>
      </c>
      <c r="F2271" s="8">
        <v>302</v>
      </c>
      <c r="G2271" s="8">
        <v>9053</v>
      </c>
      <c r="H2271" s="8">
        <v>1128</v>
      </c>
      <c r="I2271" s="8">
        <v>2695</v>
      </c>
    </row>
    <row r="2272" spans="1:9" x14ac:dyDescent="0.2">
      <c r="A2272" t="s">
        <v>436</v>
      </c>
      <c r="B2272" t="s">
        <v>680</v>
      </c>
      <c r="C2272" t="str">
        <f t="shared" si="127"/>
        <v>19647250000000</v>
      </c>
      <c r="D2272" t="s">
        <v>2947</v>
      </c>
      <c r="E2272" t="str">
        <f>"19647256015416"</f>
        <v>19647256015416</v>
      </c>
      <c r="F2272" s="8">
        <v>835</v>
      </c>
      <c r="G2272" s="8">
        <v>8299</v>
      </c>
      <c r="H2272" s="8">
        <v>1371</v>
      </c>
      <c r="I2272" s="8">
        <v>2672</v>
      </c>
    </row>
    <row r="2273" spans="1:9" x14ac:dyDescent="0.2">
      <c r="A2273" t="s">
        <v>436</v>
      </c>
      <c r="B2273" t="s">
        <v>680</v>
      </c>
      <c r="C2273" t="str">
        <f t="shared" si="127"/>
        <v>19647250000000</v>
      </c>
      <c r="D2273" t="s">
        <v>2921</v>
      </c>
      <c r="E2273" t="str">
        <f>"19647256015473"</f>
        <v>19647256015473</v>
      </c>
      <c r="F2273" s="8">
        <v>455</v>
      </c>
      <c r="G2273" s="8">
        <v>8690</v>
      </c>
      <c r="H2273" s="8">
        <v>1150</v>
      </c>
      <c r="I2273" s="8">
        <v>2831</v>
      </c>
    </row>
    <row r="2274" spans="1:9" x14ac:dyDescent="0.2">
      <c r="A2274" t="s">
        <v>436</v>
      </c>
      <c r="B2274" t="s">
        <v>680</v>
      </c>
      <c r="C2274" t="str">
        <f t="shared" si="127"/>
        <v>19647250000000</v>
      </c>
      <c r="D2274" t="s">
        <v>2922</v>
      </c>
      <c r="E2274" t="str">
        <f>"19647256015143"</f>
        <v>19647256015143</v>
      </c>
      <c r="F2274" s="8">
        <v>494</v>
      </c>
      <c r="G2274" s="8">
        <v>8371</v>
      </c>
      <c r="H2274" s="8">
        <v>1401</v>
      </c>
      <c r="I2274" s="8">
        <v>2856</v>
      </c>
    </row>
    <row r="2275" spans="1:9" x14ac:dyDescent="0.2">
      <c r="A2275" t="s">
        <v>436</v>
      </c>
      <c r="B2275" t="s">
        <v>680</v>
      </c>
      <c r="C2275" t="str">
        <f t="shared" si="127"/>
        <v>19647250000000</v>
      </c>
      <c r="D2275" t="s">
        <v>4042</v>
      </c>
      <c r="E2275" t="str">
        <f>"19647250135525"</f>
        <v>19647250135525</v>
      </c>
      <c r="F2275" s="8">
        <v>585</v>
      </c>
      <c r="G2275" s="8">
        <v>8764</v>
      </c>
      <c r="H2275" s="8">
        <v>1296</v>
      </c>
      <c r="I2275" s="8">
        <v>2465</v>
      </c>
    </row>
    <row r="2276" spans="1:9" x14ac:dyDescent="0.2">
      <c r="A2276" t="s">
        <v>436</v>
      </c>
      <c r="B2276" t="s">
        <v>680</v>
      </c>
      <c r="C2276" t="str">
        <f t="shared" si="127"/>
        <v>19647250000000</v>
      </c>
      <c r="D2276" t="s">
        <v>4043</v>
      </c>
      <c r="E2276" t="str">
        <f>"19647251934678"</f>
        <v>19647251934678</v>
      </c>
      <c r="F2276" s="8">
        <v>889</v>
      </c>
      <c r="G2276" s="8">
        <v>8205</v>
      </c>
      <c r="H2276" s="8">
        <v>1092</v>
      </c>
      <c r="I2276" s="8">
        <v>2910</v>
      </c>
    </row>
    <row r="2277" spans="1:9" x14ac:dyDescent="0.2">
      <c r="A2277" t="s">
        <v>436</v>
      </c>
      <c r="B2277" t="s">
        <v>680</v>
      </c>
      <c r="C2277" t="str">
        <f t="shared" si="127"/>
        <v>19647250000000</v>
      </c>
      <c r="D2277" t="s">
        <v>4044</v>
      </c>
      <c r="E2277" t="str">
        <f>"19647256015192"</f>
        <v>19647256015192</v>
      </c>
      <c r="F2277" s="8">
        <v>233</v>
      </c>
      <c r="G2277" s="8">
        <v>9191</v>
      </c>
      <c r="H2277" s="8">
        <v>1078</v>
      </c>
      <c r="I2277" s="8">
        <v>2560</v>
      </c>
    </row>
    <row r="2278" spans="1:9" x14ac:dyDescent="0.2">
      <c r="A2278" t="s">
        <v>436</v>
      </c>
      <c r="B2278" t="s">
        <v>680</v>
      </c>
      <c r="C2278" t="str">
        <f t="shared" si="127"/>
        <v>19647250000000</v>
      </c>
      <c r="D2278" t="s">
        <v>4045</v>
      </c>
      <c r="E2278" t="str">
        <f>"19647256015689"</f>
        <v>19647256015689</v>
      </c>
      <c r="F2278" s="8">
        <v>938</v>
      </c>
      <c r="G2278" s="8">
        <v>7818</v>
      </c>
      <c r="H2278" s="8">
        <v>1404</v>
      </c>
      <c r="I2278" s="8">
        <v>2879</v>
      </c>
    </row>
    <row r="2279" spans="1:9" x14ac:dyDescent="0.2">
      <c r="A2279" t="s">
        <v>436</v>
      </c>
      <c r="B2279" t="s">
        <v>680</v>
      </c>
      <c r="C2279" t="str">
        <f t="shared" si="127"/>
        <v>19647250000000</v>
      </c>
      <c r="D2279" t="s">
        <v>4046</v>
      </c>
      <c r="E2279" t="str">
        <f>"19647251936947"</f>
        <v>19647251936947</v>
      </c>
      <c r="F2279" s="8">
        <v>517</v>
      </c>
      <c r="G2279" s="8">
        <v>8093</v>
      </c>
      <c r="H2279" s="8">
        <v>1119</v>
      </c>
      <c r="I2279" s="8">
        <v>3079</v>
      </c>
    </row>
    <row r="2280" spans="1:9" x14ac:dyDescent="0.2">
      <c r="A2280" t="s">
        <v>436</v>
      </c>
      <c r="B2280" t="s">
        <v>680</v>
      </c>
      <c r="C2280" t="str">
        <f t="shared" si="127"/>
        <v>19647250000000</v>
      </c>
      <c r="D2280" t="s">
        <v>4047</v>
      </c>
      <c r="E2280" t="str">
        <f>"19647250114603"</f>
        <v>19647250114603</v>
      </c>
      <c r="F2280" s="8">
        <v>866</v>
      </c>
      <c r="G2280" s="8">
        <v>7888</v>
      </c>
      <c r="H2280" s="8">
        <v>1371</v>
      </c>
      <c r="I2280" s="8">
        <v>2669</v>
      </c>
    </row>
    <row r="2281" spans="1:9" x14ac:dyDescent="0.2">
      <c r="A2281" t="s">
        <v>436</v>
      </c>
      <c r="B2281" t="s">
        <v>680</v>
      </c>
      <c r="C2281" t="str">
        <f t="shared" si="127"/>
        <v>19647250000000</v>
      </c>
      <c r="D2281" t="s">
        <v>4048</v>
      </c>
      <c r="E2281" t="str">
        <f>"19647256015481"</f>
        <v>19647256015481</v>
      </c>
      <c r="F2281" s="8">
        <v>392</v>
      </c>
      <c r="G2281" s="8">
        <v>8718</v>
      </c>
      <c r="H2281" s="8">
        <v>1078</v>
      </c>
      <c r="I2281" s="8">
        <v>2560</v>
      </c>
    </row>
    <row r="2282" spans="1:9" x14ac:dyDescent="0.2">
      <c r="A2282" t="s">
        <v>436</v>
      </c>
      <c r="B2282" t="s">
        <v>680</v>
      </c>
      <c r="C2282" t="str">
        <f t="shared" si="127"/>
        <v>19647250000000</v>
      </c>
      <c r="D2282" t="s">
        <v>4049</v>
      </c>
      <c r="E2282" t="str">
        <f>"19647251935758"</f>
        <v>19647251935758</v>
      </c>
      <c r="F2282" s="8">
        <v>700</v>
      </c>
      <c r="G2282" s="8">
        <v>7983</v>
      </c>
      <c r="H2282" s="8">
        <v>1097</v>
      </c>
      <c r="I2282" s="8">
        <v>2944</v>
      </c>
    </row>
    <row r="2283" spans="1:9" x14ac:dyDescent="0.2">
      <c r="A2283" t="s">
        <v>436</v>
      </c>
      <c r="B2283" t="s">
        <v>680</v>
      </c>
      <c r="C2283" t="str">
        <f t="shared" si="127"/>
        <v>19647250000000</v>
      </c>
      <c r="D2283" t="s">
        <v>4050</v>
      </c>
      <c r="E2283" t="str">
        <f>"19647256015572"</f>
        <v>19647256015572</v>
      </c>
      <c r="F2283" s="8">
        <v>890</v>
      </c>
      <c r="G2283" s="8">
        <v>7306</v>
      </c>
      <c r="H2283" s="8">
        <v>1407</v>
      </c>
      <c r="I2283" s="8">
        <v>3114</v>
      </c>
    </row>
    <row r="2284" spans="1:9" x14ac:dyDescent="0.2">
      <c r="A2284" t="s">
        <v>436</v>
      </c>
      <c r="B2284" t="s">
        <v>680</v>
      </c>
      <c r="C2284" t="str">
        <f t="shared" si="127"/>
        <v>19647250000000</v>
      </c>
      <c r="D2284" t="s">
        <v>4051</v>
      </c>
      <c r="E2284" t="str">
        <f>"19647256057822"</f>
        <v>19647256057822</v>
      </c>
      <c r="F2284" s="8">
        <v>580</v>
      </c>
      <c r="G2284" s="8">
        <v>7930</v>
      </c>
      <c r="H2284" s="8">
        <v>1121</v>
      </c>
      <c r="I2284" s="8">
        <v>3048</v>
      </c>
    </row>
    <row r="2285" spans="1:9" x14ac:dyDescent="0.2">
      <c r="A2285" t="s">
        <v>436</v>
      </c>
      <c r="B2285" t="s">
        <v>680</v>
      </c>
      <c r="C2285" t="str">
        <f t="shared" si="127"/>
        <v>19647250000000</v>
      </c>
      <c r="D2285" t="s">
        <v>4052</v>
      </c>
      <c r="E2285" t="str">
        <f>"19647256061345"</f>
        <v>19647256061345</v>
      </c>
      <c r="F2285" s="8">
        <v>1054</v>
      </c>
      <c r="G2285" s="8">
        <v>6965</v>
      </c>
      <c r="H2285" s="8">
        <v>1423</v>
      </c>
      <c r="I2285" s="8">
        <v>3213</v>
      </c>
    </row>
    <row r="2286" spans="1:9" x14ac:dyDescent="0.2">
      <c r="A2286" t="s">
        <v>436</v>
      </c>
      <c r="B2286" t="s">
        <v>680</v>
      </c>
      <c r="C2286" t="str">
        <f t="shared" si="127"/>
        <v>19647250000000</v>
      </c>
      <c r="D2286" t="s">
        <v>1715</v>
      </c>
      <c r="E2286" t="str">
        <f>"19647256015341"</f>
        <v>19647256015341</v>
      </c>
      <c r="F2286" s="8">
        <v>858</v>
      </c>
      <c r="G2286" s="8">
        <v>7315</v>
      </c>
      <c r="H2286" s="8">
        <v>1424</v>
      </c>
      <c r="I2286" s="8">
        <v>3002</v>
      </c>
    </row>
    <row r="2287" spans="1:9" x14ac:dyDescent="0.2">
      <c r="A2287" t="s">
        <v>436</v>
      </c>
      <c r="B2287" t="s">
        <v>680</v>
      </c>
      <c r="C2287" t="str">
        <f t="shared" si="127"/>
        <v>19647250000000</v>
      </c>
      <c r="D2287" t="s">
        <v>4053</v>
      </c>
      <c r="E2287" t="str">
        <f>"19647256015697"</f>
        <v>19647256015697</v>
      </c>
      <c r="F2287" s="8">
        <v>560</v>
      </c>
      <c r="G2287" s="8">
        <v>8021</v>
      </c>
      <c r="H2287" s="8">
        <v>1356</v>
      </c>
      <c r="I2287" s="8">
        <v>2577</v>
      </c>
    </row>
    <row r="2288" spans="1:9" x14ac:dyDescent="0.2">
      <c r="A2288" t="s">
        <v>436</v>
      </c>
      <c r="B2288" t="s">
        <v>680</v>
      </c>
      <c r="C2288" t="str">
        <f t="shared" si="127"/>
        <v>19647250000000</v>
      </c>
      <c r="D2288" t="s">
        <v>4054</v>
      </c>
      <c r="E2288" t="str">
        <f>"19647256015358"</f>
        <v>19647256015358</v>
      </c>
      <c r="F2288" s="8">
        <v>696</v>
      </c>
      <c r="G2288" s="8">
        <v>7274</v>
      </c>
      <c r="H2288" s="8">
        <v>1436</v>
      </c>
      <c r="I2288" s="8">
        <v>3078</v>
      </c>
    </row>
    <row r="2289" spans="1:9" x14ac:dyDescent="0.2">
      <c r="A2289" t="s">
        <v>436</v>
      </c>
      <c r="B2289" t="s">
        <v>680</v>
      </c>
      <c r="C2289" t="str">
        <f t="shared" si="127"/>
        <v>19647250000000</v>
      </c>
      <c r="D2289" t="s">
        <v>4055</v>
      </c>
      <c r="E2289" t="str">
        <f>"19647256015549"</f>
        <v>19647256015549</v>
      </c>
      <c r="F2289" s="8">
        <v>255</v>
      </c>
      <c r="G2289" s="8">
        <v>8772</v>
      </c>
      <c r="H2289" s="8">
        <v>1078</v>
      </c>
      <c r="I2289" s="8">
        <v>2378</v>
      </c>
    </row>
    <row r="2290" spans="1:9" x14ac:dyDescent="0.2">
      <c r="A2290" t="s">
        <v>436</v>
      </c>
      <c r="B2290" t="s">
        <v>680</v>
      </c>
      <c r="C2290" t="str">
        <f t="shared" si="127"/>
        <v>19647250000000</v>
      </c>
      <c r="D2290" t="s">
        <v>4056</v>
      </c>
      <c r="E2290" t="str">
        <f>"19647256015531"</f>
        <v>19647256015531</v>
      </c>
      <c r="F2290" s="8">
        <v>555</v>
      </c>
      <c r="G2290" s="8">
        <v>7340</v>
      </c>
      <c r="H2290" s="8">
        <v>1416</v>
      </c>
      <c r="I2290" s="8">
        <v>3169</v>
      </c>
    </row>
    <row r="2291" spans="1:9" x14ac:dyDescent="0.2">
      <c r="A2291" t="s">
        <v>436</v>
      </c>
      <c r="B2291" t="s">
        <v>680</v>
      </c>
      <c r="C2291" t="str">
        <f t="shared" si="127"/>
        <v>19647250000000</v>
      </c>
      <c r="D2291" t="s">
        <v>3250</v>
      </c>
      <c r="E2291" t="str">
        <f>"19647256061386"</f>
        <v>19647256061386</v>
      </c>
      <c r="F2291" s="8">
        <v>782</v>
      </c>
      <c r="G2291" s="8">
        <v>7150</v>
      </c>
      <c r="H2291" s="8">
        <v>1410</v>
      </c>
      <c r="I2291" s="8">
        <v>3134</v>
      </c>
    </row>
    <row r="2292" spans="1:9" x14ac:dyDescent="0.2">
      <c r="A2292" t="s">
        <v>436</v>
      </c>
      <c r="B2292" t="s">
        <v>680</v>
      </c>
      <c r="C2292" t="str">
        <f t="shared" si="127"/>
        <v>19647250000000</v>
      </c>
      <c r="D2292" t="s">
        <v>2347</v>
      </c>
      <c r="E2292" t="str">
        <f>"19647256015606"</f>
        <v>19647256015606</v>
      </c>
      <c r="F2292" s="8">
        <v>991</v>
      </c>
      <c r="G2292" s="8">
        <v>7439</v>
      </c>
      <c r="H2292" s="8">
        <v>1370</v>
      </c>
      <c r="I2292" s="8">
        <v>2667</v>
      </c>
    </row>
    <row r="2293" spans="1:9" x14ac:dyDescent="0.2">
      <c r="A2293" t="s">
        <v>436</v>
      </c>
      <c r="B2293" t="s">
        <v>680</v>
      </c>
      <c r="C2293" t="str">
        <f t="shared" si="127"/>
        <v>19647250000000</v>
      </c>
      <c r="D2293" t="s">
        <v>4057</v>
      </c>
      <c r="E2293" t="str">
        <f>"19647256057830"</f>
        <v>19647256057830</v>
      </c>
      <c r="F2293" s="8">
        <v>515</v>
      </c>
      <c r="G2293" s="8">
        <v>7789</v>
      </c>
      <c r="H2293" s="8">
        <v>1112</v>
      </c>
      <c r="I2293" s="8">
        <v>2991</v>
      </c>
    </row>
    <row r="2294" spans="1:9" x14ac:dyDescent="0.2">
      <c r="A2294" t="s">
        <v>436</v>
      </c>
      <c r="B2294" t="s">
        <v>680</v>
      </c>
      <c r="C2294" t="str">
        <f t="shared" si="127"/>
        <v>19647250000000</v>
      </c>
      <c r="D2294" t="s">
        <v>4058</v>
      </c>
      <c r="E2294" t="str">
        <f>"19647250127381"</f>
        <v>19647250127381</v>
      </c>
      <c r="F2294" s="8">
        <v>840</v>
      </c>
      <c r="G2294" s="8">
        <v>7793</v>
      </c>
      <c r="H2294" s="8">
        <v>1053</v>
      </c>
      <c r="I2294" s="8">
        <v>2671</v>
      </c>
    </row>
    <row r="2295" spans="1:9" x14ac:dyDescent="0.2">
      <c r="A2295" t="s">
        <v>436</v>
      </c>
      <c r="B2295" t="s">
        <v>680</v>
      </c>
      <c r="C2295" t="str">
        <f t="shared" si="127"/>
        <v>19647250000000</v>
      </c>
      <c r="D2295" t="s">
        <v>4059</v>
      </c>
      <c r="E2295" t="str">
        <f>"19647256015648"</f>
        <v>19647256015648</v>
      </c>
      <c r="F2295" s="8">
        <v>500</v>
      </c>
      <c r="G2295" s="8">
        <v>8167</v>
      </c>
      <c r="H2295" s="8">
        <v>1050</v>
      </c>
      <c r="I2295" s="8">
        <v>2606</v>
      </c>
    </row>
    <row r="2296" spans="1:9" x14ac:dyDescent="0.2">
      <c r="A2296" t="s">
        <v>436</v>
      </c>
      <c r="B2296" t="s">
        <v>680</v>
      </c>
      <c r="C2296" t="str">
        <f t="shared" si="127"/>
        <v>19647250000000</v>
      </c>
      <c r="D2296" t="s">
        <v>2243</v>
      </c>
      <c r="E2296" t="str">
        <f>"19647256015440"</f>
        <v>19647256015440</v>
      </c>
      <c r="F2296" s="8">
        <v>553</v>
      </c>
      <c r="G2296" s="8">
        <v>7816</v>
      </c>
      <c r="H2296" s="8">
        <v>1357</v>
      </c>
      <c r="I2296" s="8">
        <v>2581</v>
      </c>
    </row>
    <row r="2297" spans="1:9" x14ac:dyDescent="0.2">
      <c r="A2297" t="s">
        <v>436</v>
      </c>
      <c r="B2297" t="s">
        <v>680</v>
      </c>
      <c r="C2297" t="str">
        <f t="shared" si="127"/>
        <v>19647250000000</v>
      </c>
      <c r="D2297" t="s">
        <v>4060</v>
      </c>
      <c r="E2297" t="str">
        <f>"19647256057806"</f>
        <v>19647256057806</v>
      </c>
      <c r="F2297" s="8">
        <v>702</v>
      </c>
      <c r="G2297" s="8">
        <v>7186</v>
      </c>
      <c r="H2297" s="8">
        <v>1392</v>
      </c>
      <c r="I2297" s="8">
        <v>3020</v>
      </c>
    </row>
    <row r="2298" spans="1:9" x14ac:dyDescent="0.2">
      <c r="A2298" t="s">
        <v>436</v>
      </c>
      <c r="B2298" t="s">
        <v>680</v>
      </c>
      <c r="C2298" t="str">
        <f t="shared" ref="C2298:C2317" si="128">"19647250000000"</f>
        <v>19647250000000</v>
      </c>
      <c r="D2298" t="s">
        <v>4061</v>
      </c>
      <c r="E2298" t="str">
        <f>"19647256015432"</f>
        <v>19647256015432</v>
      </c>
      <c r="F2298" s="8">
        <v>1030</v>
      </c>
      <c r="G2298" s="8">
        <v>7334</v>
      </c>
      <c r="H2298" s="8">
        <v>1355</v>
      </c>
      <c r="I2298" s="8">
        <v>2573</v>
      </c>
    </row>
    <row r="2299" spans="1:9" x14ac:dyDescent="0.2">
      <c r="A2299" t="s">
        <v>436</v>
      </c>
      <c r="B2299" t="s">
        <v>680</v>
      </c>
      <c r="C2299" t="str">
        <f t="shared" si="128"/>
        <v>19647250000000</v>
      </c>
      <c r="D2299" t="s">
        <v>4062</v>
      </c>
      <c r="E2299" t="str">
        <f>"19647256116933"</f>
        <v>19647256116933</v>
      </c>
      <c r="F2299" s="8">
        <v>741</v>
      </c>
      <c r="G2299" s="8">
        <v>7465</v>
      </c>
      <c r="H2299" s="8">
        <v>1335</v>
      </c>
      <c r="I2299" s="8">
        <v>2666</v>
      </c>
    </row>
    <row r="2300" spans="1:9" x14ac:dyDescent="0.2">
      <c r="A2300" t="s">
        <v>436</v>
      </c>
      <c r="B2300" t="s">
        <v>680</v>
      </c>
      <c r="C2300" t="str">
        <f t="shared" si="128"/>
        <v>19647250000000</v>
      </c>
      <c r="D2300" t="s">
        <v>2346</v>
      </c>
      <c r="E2300" t="str">
        <f>"19647256061337"</f>
        <v>19647256061337</v>
      </c>
      <c r="F2300" s="8">
        <v>635</v>
      </c>
      <c r="G2300" s="8">
        <v>7620</v>
      </c>
      <c r="H2300" s="8">
        <v>1115</v>
      </c>
      <c r="I2300" s="8">
        <v>2833</v>
      </c>
    </row>
    <row r="2301" spans="1:9" x14ac:dyDescent="0.2">
      <c r="A2301" t="s">
        <v>436</v>
      </c>
      <c r="B2301" t="s">
        <v>680</v>
      </c>
      <c r="C2301" t="str">
        <f t="shared" si="128"/>
        <v>19647250000000</v>
      </c>
      <c r="D2301" t="s">
        <v>4063</v>
      </c>
      <c r="E2301" t="str">
        <f>"19647251995539"</f>
        <v>19647251995539</v>
      </c>
      <c r="F2301" s="8">
        <v>44</v>
      </c>
      <c r="G2301" s="8">
        <v>8634</v>
      </c>
      <c r="H2301" s="8">
        <v>1020</v>
      </c>
      <c r="I2301" s="8">
        <v>2465</v>
      </c>
    </row>
    <row r="2302" spans="1:9" x14ac:dyDescent="0.2">
      <c r="A2302" t="s">
        <v>436</v>
      </c>
      <c r="B2302" t="s">
        <v>680</v>
      </c>
      <c r="C2302" t="str">
        <f t="shared" si="128"/>
        <v>19647250000000</v>
      </c>
      <c r="D2302" t="s">
        <v>4064</v>
      </c>
      <c r="E2302" t="str">
        <f>"19647256112056"</f>
        <v>19647256112056</v>
      </c>
      <c r="F2302" s="8">
        <v>657</v>
      </c>
      <c r="G2302" s="8">
        <v>7570</v>
      </c>
      <c r="H2302" s="8">
        <v>1325</v>
      </c>
      <c r="I2302" s="8">
        <v>2606</v>
      </c>
    </row>
    <row r="2303" spans="1:9" x14ac:dyDescent="0.2">
      <c r="A2303" t="s">
        <v>436</v>
      </c>
      <c r="B2303" t="s">
        <v>680</v>
      </c>
      <c r="C2303" t="str">
        <f t="shared" si="128"/>
        <v>19647250000000</v>
      </c>
      <c r="D2303" t="s">
        <v>4065</v>
      </c>
      <c r="E2303" t="str">
        <f>"19647251939875"</f>
        <v>19647251939875</v>
      </c>
      <c r="F2303" s="8">
        <v>436</v>
      </c>
      <c r="G2303" s="8">
        <v>7685</v>
      </c>
      <c r="H2303" s="8">
        <v>1092</v>
      </c>
      <c r="I2303" s="8">
        <v>2912</v>
      </c>
    </row>
    <row r="2304" spans="1:9" x14ac:dyDescent="0.2">
      <c r="A2304" t="s">
        <v>436</v>
      </c>
      <c r="B2304" t="s">
        <v>680</v>
      </c>
      <c r="C2304" t="str">
        <f t="shared" si="128"/>
        <v>19647250000000</v>
      </c>
      <c r="D2304" t="s">
        <v>4066</v>
      </c>
      <c r="E2304" t="str">
        <f>"19647256061378"</f>
        <v>19647256061378</v>
      </c>
      <c r="F2304" s="8">
        <v>533</v>
      </c>
      <c r="G2304" s="8">
        <v>7315</v>
      </c>
      <c r="H2304" s="8">
        <v>1117</v>
      </c>
      <c r="I2304" s="8">
        <v>2841</v>
      </c>
    </row>
    <row r="2305" spans="1:9" x14ac:dyDescent="0.2">
      <c r="A2305" t="s">
        <v>436</v>
      </c>
      <c r="B2305" t="s">
        <v>680</v>
      </c>
      <c r="C2305" t="str">
        <f t="shared" si="128"/>
        <v>19647250000000</v>
      </c>
      <c r="D2305" t="s">
        <v>2500</v>
      </c>
      <c r="E2305" t="str">
        <f>"19647256015309"</f>
        <v>19647256015309</v>
      </c>
      <c r="F2305" s="8">
        <v>299</v>
      </c>
      <c r="G2305" s="8">
        <v>8013</v>
      </c>
      <c r="H2305" s="8">
        <v>1078</v>
      </c>
      <c r="I2305" s="8">
        <v>2378</v>
      </c>
    </row>
    <row r="2306" spans="1:9" x14ac:dyDescent="0.2">
      <c r="A2306" t="s">
        <v>436</v>
      </c>
      <c r="B2306" t="s">
        <v>680</v>
      </c>
      <c r="C2306" t="str">
        <f t="shared" si="128"/>
        <v>19647250000000</v>
      </c>
      <c r="D2306" t="s">
        <v>3728</v>
      </c>
      <c r="E2306" t="str">
        <f>"19647256015242"</f>
        <v>19647256015242</v>
      </c>
      <c r="F2306" s="8">
        <v>330</v>
      </c>
      <c r="G2306" s="8">
        <v>7979</v>
      </c>
      <c r="H2306" s="8">
        <v>1078</v>
      </c>
      <c r="I2306" s="8">
        <v>2378</v>
      </c>
    </row>
    <row r="2307" spans="1:9" x14ac:dyDescent="0.2">
      <c r="A2307" t="s">
        <v>436</v>
      </c>
      <c r="B2307" t="s">
        <v>680</v>
      </c>
      <c r="C2307" t="str">
        <f t="shared" si="128"/>
        <v>19647250000000</v>
      </c>
      <c r="D2307" t="s">
        <v>2955</v>
      </c>
      <c r="E2307" t="str">
        <f>"19647256015119"</f>
        <v>19647256015119</v>
      </c>
      <c r="F2307" s="8">
        <v>782</v>
      </c>
      <c r="G2307" s="8">
        <v>6744</v>
      </c>
      <c r="H2307" s="8">
        <v>1392</v>
      </c>
      <c r="I2307" s="8">
        <v>2799</v>
      </c>
    </row>
    <row r="2308" spans="1:9" x14ac:dyDescent="0.2">
      <c r="A2308" t="s">
        <v>436</v>
      </c>
      <c r="B2308" t="s">
        <v>680</v>
      </c>
      <c r="C2308" t="str">
        <f t="shared" si="128"/>
        <v>19647250000000</v>
      </c>
      <c r="D2308" t="s">
        <v>4067</v>
      </c>
      <c r="E2308" t="str">
        <f>"19647251995570"</f>
        <v>19647251995570</v>
      </c>
      <c r="F2308" s="8">
        <v>1</v>
      </c>
      <c r="G2308" s="8">
        <v>8036</v>
      </c>
      <c r="H2308" s="8">
        <v>1025</v>
      </c>
      <c r="I2308" s="8">
        <v>2497</v>
      </c>
    </row>
    <row r="2309" spans="1:9" x14ac:dyDescent="0.2">
      <c r="A2309" t="s">
        <v>436</v>
      </c>
      <c r="B2309" t="s">
        <v>680</v>
      </c>
      <c r="C2309" t="str">
        <f t="shared" si="128"/>
        <v>19647250000000</v>
      </c>
      <c r="D2309" t="s">
        <v>149</v>
      </c>
      <c r="E2309" t="str">
        <f>"19647256015424"</f>
        <v>19647256015424</v>
      </c>
      <c r="F2309" s="8">
        <v>758</v>
      </c>
      <c r="G2309" s="8">
        <v>6848</v>
      </c>
      <c r="H2309" s="8">
        <v>1355</v>
      </c>
      <c r="I2309" s="8">
        <v>2571</v>
      </c>
    </row>
    <row r="2310" spans="1:9" x14ac:dyDescent="0.2">
      <c r="A2310" t="s">
        <v>436</v>
      </c>
      <c r="B2310" t="s">
        <v>680</v>
      </c>
      <c r="C2310" t="str">
        <f t="shared" si="128"/>
        <v>19647250000000</v>
      </c>
      <c r="D2310" t="s">
        <v>4068</v>
      </c>
      <c r="E2310" t="str">
        <f>"19647256061360"</f>
        <v>19647256061360</v>
      </c>
      <c r="F2310" s="8">
        <v>584</v>
      </c>
      <c r="G2310" s="8">
        <v>6982</v>
      </c>
      <c r="H2310" s="8">
        <v>1105</v>
      </c>
      <c r="I2310" s="8">
        <v>2768</v>
      </c>
    </row>
    <row r="2311" spans="1:9" x14ac:dyDescent="0.2">
      <c r="A2311" t="s">
        <v>436</v>
      </c>
      <c r="B2311" t="s">
        <v>680</v>
      </c>
      <c r="C2311" t="str">
        <f t="shared" si="128"/>
        <v>19647250000000</v>
      </c>
      <c r="D2311" t="s">
        <v>4069</v>
      </c>
      <c r="E2311" t="str">
        <f>"19647250132381"</f>
        <v>19647250132381</v>
      </c>
      <c r="F2311" s="8">
        <v>156</v>
      </c>
      <c r="G2311" s="8">
        <v>7591</v>
      </c>
      <c r="H2311" s="8">
        <v>1050</v>
      </c>
      <c r="I2311" s="8">
        <v>2606</v>
      </c>
    </row>
    <row r="2312" spans="1:9" x14ac:dyDescent="0.2">
      <c r="A2312" t="s">
        <v>436</v>
      </c>
      <c r="B2312" t="s">
        <v>680</v>
      </c>
      <c r="C2312" t="str">
        <f t="shared" si="128"/>
        <v>19647250000000</v>
      </c>
      <c r="D2312" t="s">
        <v>4070</v>
      </c>
      <c r="E2312" t="str">
        <f>"19647250132324"</f>
        <v>19647250132324</v>
      </c>
      <c r="F2312" s="8">
        <v>182</v>
      </c>
      <c r="G2312" s="8">
        <v>7716</v>
      </c>
      <c r="H2312" s="8">
        <v>1020</v>
      </c>
      <c r="I2312" s="8">
        <v>2465</v>
      </c>
    </row>
    <row r="2313" spans="1:9" x14ac:dyDescent="0.2">
      <c r="A2313" t="s">
        <v>436</v>
      </c>
      <c r="B2313" t="s">
        <v>680</v>
      </c>
      <c r="C2313" t="str">
        <f t="shared" si="128"/>
        <v>19647250000000</v>
      </c>
      <c r="D2313" t="s">
        <v>3901</v>
      </c>
      <c r="E2313" t="str">
        <f>"19647256015150"</f>
        <v>19647256015150</v>
      </c>
      <c r="F2313" s="8">
        <v>192</v>
      </c>
      <c r="G2313" s="8">
        <v>7367</v>
      </c>
      <c r="H2313" s="8">
        <v>1078</v>
      </c>
      <c r="I2313" s="8">
        <v>2560</v>
      </c>
    </row>
    <row r="2314" spans="1:9" x14ac:dyDescent="0.2">
      <c r="A2314" t="s">
        <v>436</v>
      </c>
      <c r="B2314" t="s">
        <v>680</v>
      </c>
      <c r="C2314" t="str">
        <f t="shared" si="128"/>
        <v>19647250000000</v>
      </c>
      <c r="D2314" t="s">
        <v>3246</v>
      </c>
      <c r="E2314" t="str">
        <f>"19647256015457"</f>
        <v>19647256015457</v>
      </c>
      <c r="F2314" s="8">
        <v>219</v>
      </c>
      <c r="G2314" s="8">
        <v>6961</v>
      </c>
      <c r="H2314" s="8">
        <v>1081</v>
      </c>
      <c r="I2314" s="8">
        <v>2581</v>
      </c>
    </row>
    <row r="2315" spans="1:9" x14ac:dyDescent="0.2">
      <c r="A2315" t="s">
        <v>436</v>
      </c>
      <c r="B2315" t="s">
        <v>680</v>
      </c>
      <c r="C2315" t="str">
        <f t="shared" si="128"/>
        <v>19647250000000</v>
      </c>
      <c r="D2315" t="s">
        <v>4071</v>
      </c>
      <c r="E2315" t="str">
        <f>"19647256015465"</f>
        <v>19647256015465</v>
      </c>
      <c r="F2315" s="8">
        <v>169</v>
      </c>
      <c r="G2315" s="8">
        <v>6942</v>
      </c>
      <c r="H2315" s="8">
        <v>1084</v>
      </c>
      <c r="I2315" s="8">
        <v>2417</v>
      </c>
    </row>
    <row r="2316" spans="1:9" x14ac:dyDescent="0.2">
      <c r="A2316" t="s">
        <v>436</v>
      </c>
      <c r="B2316" t="s">
        <v>680</v>
      </c>
      <c r="C2316" t="str">
        <f t="shared" si="128"/>
        <v>19647250000000</v>
      </c>
      <c r="D2316" t="s">
        <v>4072</v>
      </c>
      <c r="E2316" t="str">
        <f>"19647256015366"</f>
        <v>19647256015366</v>
      </c>
      <c r="F2316" s="8">
        <v>191</v>
      </c>
      <c r="G2316" s="8">
        <v>6257</v>
      </c>
      <c r="H2316" s="8">
        <v>1079</v>
      </c>
      <c r="I2316" s="8">
        <v>2571</v>
      </c>
    </row>
    <row r="2317" spans="1:9" x14ac:dyDescent="0.2">
      <c r="A2317" t="s">
        <v>436</v>
      </c>
      <c r="B2317" t="s">
        <v>680</v>
      </c>
      <c r="C2317" t="str">
        <f t="shared" si="128"/>
        <v>19647250000000</v>
      </c>
      <c r="D2317" t="s">
        <v>4073</v>
      </c>
      <c r="E2317" t="str">
        <f>"19647250101741"</f>
        <v>19647250101741</v>
      </c>
      <c r="F2317" s="8" t="s">
        <v>30</v>
      </c>
      <c r="G2317" s="8" t="s">
        <v>30</v>
      </c>
      <c r="H2317" s="8" t="s">
        <v>30</v>
      </c>
      <c r="I2317" s="8" t="s">
        <v>30</v>
      </c>
    </row>
    <row r="2318" spans="1:9" x14ac:dyDescent="0.2">
      <c r="A2318" t="s">
        <v>436</v>
      </c>
      <c r="B2318" t="s">
        <v>683</v>
      </c>
      <c r="C2318" t="str">
        <f t="shared" ref="C2318:C2326" si="129">"19101990000000"</f>
        <v>19101990000000</v>
      </c>
      <c r="D2318" t="s">
        <v>4074</v>
      </c>
      <c r="E2318" t="str">
        <f>"19101990121954"</f>
        <v>19101990121954</v>
      </c>
      <c r="F2318" s="8">
        <v>16253</v>
      </c>
      <c r="G2318" s="8">
        <v>66558</v>
      </c>
      <c r="H2318" s="8">
        <v>6217</v>
      </c>
      <c r="I2318" s="8">
        <v>16780</v>
      </c>
    </row>
    <row r="2319" spans="1:9" x14ac:dyDescent="0.2">
      <c r="A2319" t="s">
        <v>436</v>
      </c>
      <c r="B2319" t="s">
        <v>683</v>
      </c>
      <c r="C2319" t="str">
        <f t="shared" si="129"/>
        <v>19101990000000</v>
      </c>
      <c r="D2319" t="s">
        <v>4075</v>
      </c>
      <c r="E2319" t="str">
        <f>"19101990121939"</f>
        <v>19101990121939</v>
      </c>
      <c r="F2319" s="8">
        <v>21337</v>
      </c>
      <c r="G2319" s="8">
        <v>61340</v>
      </c>
      <c r="H2319" s="8">
        <v>3429</v>
      </c>
      <c r="I2319" s="8">
        <v>14198</v>
      </c>
    </row>
    <row r="2320" spans="1:9" x14ac:dyDescent="0.2">
      <c r="A2320" t="s">
        <v>436</v>
      </c>
      <c r="B2320" t="s">
        <v>683</v>
      </c>
      <c r="C2320" t="str">
        <f t="shared" si="129"/>
        <v>19101990000000</v>
      </c>
      <c r="D2320" t="s">
        <v>4076</v>
      </c>
      <c r="E2320" t="str">
        <f>"19101990121822"</f>
        <v>19101990121822</v>
      </c>
      <c r="F2320" s="8">
        <v>20187</v>
      </c>
      <c r="G2320" s="8">
        <v>57457</v>
      </c>
      <c r="H2320" s="8">
        <v>4971</v>
      </c>
      <c r="I2320" s="8">
        <v>10256</v>
      </c>
    </row>
    <row r="2321" spans="1:9" x14ac:dyDescent="0.2">
      <c r="A2321" t="s">
        <v>436</v>
      </c>
      <c r="B2321" t="s">
        <v>683</v>
      </c>
      <c r="C2321" t="str">
        <f t="shared" si="129"/>
        <v>19101990000000</v>
      </c>
      <c r="D2321" t="s">
        <v>4077</v>
      </c>
      <c r="E2321" t="str">
        <f>"19101990121921"</f>
        <v>19101990121921</v>
      </c>
      <c r="F2321" s="8">
        <v>20620</v>
      </c>
      <c r="G2321" s="8">
        <v>49988</v>
      </c>
      <c r="H2321" s="8">
        <v>7358</v>
      </c>
      <c r="I2321" s="8">
        <v>9187</v>
      </c>
    </row>
    <row r="2322" spans="1:9" x14ac:dyDescent="0.2">
      <c r="A2322" t="s">
        <v>436</v>
      </c>
      <c r="B2322" t="s">
        <v>683</v>
      </c>
      <c r="C2322" t="str">
        <f t="shared" si="129"/>
        <v>19101990000000</v>
      </c>
      <c r="D2322" t="s">
        <v>4078</v>
      </c>
      <c r="E2322" t="str">
        <f>"19101990121905"</f>
        <v>19101990121905</v>
      </c>
      <c r="F2322" s="8">
        <v>17265</v>
      </c>
      <c r="G2322" s="8">
        <v>51158</v>
      </c>
      <c r="H2322" s="8">
        <v>6012</v>
      </c>
      <c r="I2322" s="8">
        <v>9972</v>
      </c>
    </row>
    <row r="2323" spans="1:9" x14ac:dyDescent="0.2">
      <c r="A2323" t="s">
        <v>436</v>
      </c>
      <c r="B2323" t="s">
        <v>683</v>
      </c>
      <c r="C2323" t="str">
        <f t="shared" si="129"/>
        <v>19101990000000</v>
      </c>
      <c r="D2323" t="s">
        <v>4079</v>
      </c>
      <c r="E2323" t="str">
        <f>"19101990121897"</f>
        <v>19101990121897</v>
      </c>
      <c r="F2323" s="8">
        <v>17392</v>
      </c>
      <c r="G2323" s="8">
        <v>51017</v>
      </c>
      <c r="H2323" s="8">
        <v>4465</v>
      </c>
      <c r="I2323" s="8">
        <v>9442</v>
      </c>
    </row>
    <row r="2324" spans="1:9" x14ac:dyDescent="0.2">
      <c r="A2324" t="s">
        <v>436</v>
      </c>
      <c r="B2324" t="s">
        <v>683</v>
      </c>
      <c r="C2324" t="str">
        <f t="shared" si="129"/>
        <v>19101990000000</v>
      </c>
      <c r="D2324" t="s">
        <v>4080</v>
      </c>
      <c r="E2324" t="str">
        <f>"19101991996214"</f>
        <v>19101991996214</v>
      </c>
      <c r="F2324" s="8">
        <v>14121</v>
      </c>
      <c r="G2324" s="8">
        <v>26316</v>
      </c>
      <c r="H2324" s="8">
        <v>4338</v>
      </c>
      <c r="I2324" s="8">
        <v>4348</v>
      </c>
    </row>
    <row r="2325" spans="1:9" x14ac:dyDescent="0.2">
      <c r="A2325" t="s">
        <v>436</v>
      </c>
      <c r="B2325" t="s">
        <v>683</v>
      </c>
      <c r="C2325" t="str">
        <f t="shared" si="129"/>
        <v>19101990000000</v>
      </c>
      <c r="D2325" t="s">
        <v>4081</v>
      </c>
      <c r="E2325" t="str">
        <f>"19101991933399"</f>
        <v>19101991933399</v>
      </c>
      <c r="F2325" s="8">
        <v>3039</v>
      </c>
      <c r="G2325" s="8">
        <v>14702</v>
      </c>
      <c r="H2325" s="8">
        <v>455</v>
      </c>
      <c r="I2325" s="8">
        <v>290</v>
      </c>
    </row>
    <row r="2326" spans="1:9" x14ac:dyDescent="0.2">
      <c r="A2326" t="s">
        <v>436</v>
      </c>
      <c r="B2326" t="s">
        <v>683</v>
      </c>
      <c r="C2326" t="str">
        <f t="shared" si="129"/>
        <v>19101990000000</v>
      </c>
      <c r="D2326" t="s">
        <v>4082</v>
      </c>
      <c r="E2326" t="str">
        <f>"19101991995869"</f>
        <v>19101991995869</v>
      </c>
      <c r="F2326" s="8">
        <v>3436</v>
      </c>
      <c r="G2326" s="8">
        <v>13353</v>
      </c>
      <c r="H2326" s="8">
        <v>475</v>
      </c>
      <c r="I2326" s="8">
        <v>444</v>
      </c>
    </row>
    <row r="2327" spans="1:9" x14ac:dyDescent="0.2">
      <c r="A2327" t="s">
        <v>436</v>
      </c>
      <c r="B2327" t="s">
        <v>686</v>
      </c>
      <c r="C2327" t="str">
        <f t="shared" ref="C2327:C2390" si="130">"19647330000000"</f>
        <v>19647330000000</v>
      </c>
      <c r="D2327" t="s">
        <v>4083</v>
      </c>
      <c r="E2327" t="str">
        <f>"19647336120794"</f>
        <v>19647336120794</v>
      </c>
      <c r="F2327" s="8">
        <v>15390</v>
      </c>
      <c r="G2327" s="8">
        <v>202432</v>
      </c>
      <c r="H2327" s="8">
        <v>908</v>
      </c>
      <c r="I2327" s="8">
        <v>1979</v>
      </c>
    </row>
    <row r="2328" spans="1:9" x14ac:dyDescent="0.2">
      <c r="A2328" t="s">
        <v>436</v>
      </c>
      <c r="B2328" t="s">
        <v>686</v>
      </c>
      <c r="C2328" t="str">
        <f t="shared" si="130"/>
        <v>19647330000000</v>
      </c>
      <c r="D2328" t="s">
        <v>4084</v>
      </c>
      <c r="E2328" t="str">
        <f>"19647331996651"</f>
        <v>19647331996651</v>
      </c>
      <c r="F2328" s="8">
        <v>16907</v>
      </c>
      <c r="G2328" s="8">
        <v>182064</v>
      </c>
      <c r="H2328" s="8">
        <v>904</v>
      </c>
      <c r="I2328" s="8">
        <v>1990</v>
      </c>
    </row>
    <row r="2329" spans="1:9" x14ac:dyDescent="0.2">
      <c r="A2329" t="s">
        <v>436</v>
      </c>
      <c r="B2329" t="s">
        <v>686</v>
      </c>
      <c r="C2329" t="str">
        <f t="shared" si="130"/>
        <v>19647330000000</v>
      </c>
      <c r="D2329" t="s">
        <v>4085</v>
      </c>
      <c r="E2329" t="str">
        <f>"19647336060578"</f>
        <v>19647336060578</v>
      </c>
      <c r="F2329" s="8">
        <v>3958</v>
      </c>
      <c r="G2329" s="8">
        <v>88256</v>
      </c>
      <c r="H2329" s="8">
        <v>931</v>
      </c>
      <c r="I2329" s="8">
        <v>2062</v>
      </c>
    </row>
    <row r="2330" spans="1:9" x14ac:dyDescent="0.2">
      <c r="A2330" t="s">
        <v>436</v>
      </c>
      <c r="B2330" t="s">
        <v>686</v>
      </c>
      <c r="C2330" t="str">
        <f t="shared" si="130"/>
        <v>19647330000000</v>
      </c>
      <c r="D2330" t="s">
        <v>4086</v>
      </c>
      <c r="E2330" t="str">
        <f>"19647331937085"</f>
        <v>19647331937085</v>
      </c>
      <c r="F2330" s="8">
        <v>6148</v>
      </c>
      <c r="G2330" s="8">
        <v>57688</v>
      </c>
      <c r="H2330" s="8">
        <v>906</v>
      </c>
      <c r="I2330" s="8">
        <v>1976</v>
      </c>
    </row>
    <row r="2331" spans="1:9" x14ac:dyDescent="0.2">
      <c r="A2331" t="s">
        <v>436</v>
      </c>
      <c r="B2331" t="s">
        <v>686</v>
      </c>
      <c r="C2331" t="str">
        <f t="shared" si="130"/>
        <v>19647330000000</v>
      </c>
      <c r="D2331" t="s">
        <v>4087</v>
      </c>
      <c r="E2331" t="str">
        <f>"19647336060586"</f>
        <v>19647336060586</v>
      </c>
      <c r="F2331" s="8">
        <v>2673</v>
      </c>
      <c r="G2331" s="8">
        <v>59830</v>
      </c>
      <c r="H2331" s="8">
        <v>924</v>
      </c>
      <c r="I2331" s="8">
        <v>2042</v>
      </c>
    </row>
    <row r="2332" spans="1:9" x14ac:dyDescent="0.2">
      <c r="A2332" t="s">
        <v>436</v>
      </c>
      <c r="B2332" t="s">
        <v>686</v>
      </c>
      <c r="C2332" t="str">
        <f t="shared" si="130"/>
        <v>19647330000000</v>
      </c>
      <c r="D2332" t="s">
        <v>4088</v>
      </c>
      <c r="E2332" t="str">
        <f>"19647336060461"</f>
        <v>19647336060461</v>
      </c>
      <c r="F2332" s="8">
        <v>1813</v>
      </c>
      <c r="G2332" s="8">
        <v>57339</v>
      </c>
      <c r="H2332" s="8">
        <v>919</v>
      </c>
      <c r="I2332" s="8">
        <v>2016</v>
      </c>
    </row>
    <row r="2333" spans="1:9" x14ac:dyDescent="0.2">
      <c r="A2333" t="s">
        <v>436</v>
      </c>
      <c r="B2333" t="s">
        <v>686</v>
      </c>
      <c r="C2333" t="str">
        <f t="shared" si="130"/>
        <v>19647330000000</v>
      </c>
      <c r="D2333" t="s">
        <v>4089</v>
      </c>
      <c r="E2333" t="str">
        <f>"19647331932391"</f>
        <v>19647331932391</v>
      </c>
      <c r="F2333" s="8">
        <v>5378</v>
      </c>
      <c r="G2333" s="8">
        <v>49553</v>
      </c>
      <c r="H2333" s="8">
        <v>924</v>
      </c>
      <c r="I2333" s="8">
        <v>2022</v>
      </c>
    </row>
    <row r="2334" spans="1:9" x14ac:dyDescent="0.2">
      <c r="A2334" t="s">
        <v>436</v>
      </c>
      <c r="B2334" t="s">
        <v>686</v>
      </c>
      <c r="C2334" t="str">
        <f t="shared" si="130"/>
        <v>19647330000000</v>
      </c>
      <c r="D2334" t="s">
        <v>4090</v>
      </c>
      <c r="E2334" t="str">
        <f>"19647336060495"</f>
        <v>19647336060495</v>
      </c>
      <c r="F2334" s="8">
        <v>1505</v>
      </c>
      <c r="G2334" s="8">
        <v>52358</v>
      </c>
      <c r="H2334" s="8">
        <v>923</v>
      </c>
      <c r="I2334" s="8">
        <v>2044</v>
      </c>
    </row>
    <row r="2335" spans="1:9" x14ac:dyDescent="0.2">
      <c r="A2335" t="s">
        <v>436</v>
      </c>
      <c r="B2335" t="s">
        <v>686</v>
      </c>
      <c r="C2335" t="str">
        <f t="shared" si="130"/>
        <v>19647330000000</v>
      </c>
      <c r="D2335" t="s">
        <v>4091</v>
      </c>
      <c r="E2335" t="str">
        <f>"19647336060503"</f>
        <v>19647336060503</v>
      </c>
      <c r="F2335" s="8">
        <v>1508</v>
      </c>
      <c r="G2335" s="8">
        <v>49062</v>
      </c>
      <c r="H2335" s="8">
        <v>922</v>
      </c>
      <c r="I2335" s="8">
        <v>2027</v>
      </c>
    </row>
    <row r="2336" spans="1:9" x14ac:dyDescent="0.2">
      <c r="A2336" t="s">
        <v>436</v>
      </c>
      <c r="B2336" t="s">
        <v>686</v>
      </c>
      <c r="C2336" t="str">
        <f t="shared" si="130"/>
        <v>19647330000000</v>
      </c>
      <c r="D2336" t="s">
        <v>4092</v>
      </c>
      <c r="E2336" t="str">
        <f>"19647331935717"</f>
        <v>19647331935717</v>
      </c>
      <c r="F2336" s="8">
        <v>1691</v>
      </c>
      <c r="G2336" s="8">
        <v>48139</v>
      </c>
      <c r="H2336" s="8">
        <v>920</v>
      </c>
      <c r="I2336" s="8">
        <v>2022</v>
      </c>
    </row>
    <row r="2337" spans="1:9" x14ac:dyDescent="0.2">
      <c r="A2337" t="s">
        <v>436</v>
      </c>
      <c r="B2337" t="s">
        <v>686</v>
      </c>
      <c r="C2337" t="str">
        <f t="shared" si="130"/>
        <v>19647330000000</v>
      </c>
      <c r="D2337" t="s">
        <v>4093</v>
      </c>
      <c r="E2337" t="str">
        <f>"19647336060545"</f>
        <v>19647336060545</v>
      </c>
      <c r="F2337" s="8">
        <v>804</v>
      </c>
      <c r="G2337" s="8">
        <v>47669</v>
      </c>
      <c r="H2337" s="8">
        <v>916</v>
      </c>
      <c r="I2337" s="8">
        <v>2033</v>
      </c>
    </row>
    <row r="2338" spans="1:9" x14ac:dyDescent="0.2">
      <c r="A2338" t="s">
        <v>436</v>
      </c>
      <c r="B2338" t="s">
        <v>686</v>
      </c>
      <c r="C2338" t="str">
        <f t="shared" si="130"/>
        <v>19647330000000</v>
      </c>
      <c r="D2338" t="s">
        <v>4094</v>
      </c>
      <c r="E2338" t="str">
        <f>"19647336060529"</f>
        <v>19647336060529</v>
      </c>
      <c r="F2338" s="8">
        <v>5085</v>
      </c>
      <c r="G2338" s="8">
        <v>42494</v>
      </c>
      <c r="H2338" s="8">
        <v>936</v>
      </c>
      <c r="I2338" s="8">
        <v>2069</v>
      </c>
    </row>
    <row r="2339" spans="1:9" x14ac:dyDescent="0.2">
      <c r="A2339" t="s">
        <v>436</v>
      </c>
      <c r="B2339" t="s">
        <v>686</v>
      </c>
      <c r="C2339" t="str">
        <f t="shared" si="130"/>
        <v>19647330000000</v>
      </c>
      <c r="D2339" t="s">
        <v>4095</v>
      </c>
      <c r="E2339" t="str">
        <f>"19647331939784"</f>
        <v>19647331939784</v>
      </c>
      <c r="F2339" s="8">
        <v>1141</v>
      </c>
      <c r="G2339" s="8">
        <v>45809</v>
      </c>
      <c r="H2339" s="8">
        <v>926</v>
      </c>
      <c r="I2339" s="8">
        <v>2048</v>
      </c>
    </row>
    <row r="2340" spans="1:9" x14ac:dyDescent="0.2">
      <c r="A2340" t="s">
        <v>436</v>
      </c>
      <c r="B2340" t="s">
        <v>686</v>
      </c>
      <c r="C2340" t="str">
        <f t="shared" si="130"/>
        <v>19647330000000</v>
      </c>
      <c r="D2340" t="s">
        <v>4096</v>
      </c>
      <c r="E2340" t="str">
        <f>"19647331931633"</f>
        <v>19647331931633</v>
      </c>
      <c r="F2340" s="8">
        <v>1388</v>
      </c>
      <c r="G2340" s="8">
        <v>45459</v>
      </c>
      <c r="H2340" s="8">
        <v>921</v>
      </c>
      <c r="I2340" s="8">
        <v>2023</v>
      </c>
    </row>
    <row r="2341" spans="1:9" x14ac:dyDescent="0.2">
      <c r="A2341" t="s">
        <v>436</v>
      </c>
      <c r="B2341" t="s">
        <v>686</v>
      </c>
      <c r="C2341" t="str">
        <f t="shared" si="130"/>
        <v>19647330000000</v>
      </c>
      <c r="D2341" t="s">
        <v>4097</v>
      </c>
      <c r="E2341" t="str">
        <f>"19647336060511"</f>
        <v>19647336060511</v>
      </c>
      <c r="F2341" s="8">
        <v>1282</v>
      </c>
      <c r="G2341" s="8">
        <v>43880</v>
      </c>
      <c r="H2341" s="8">
        <v>939</v>
      </c>
      <c r="I2341" s="8">
        <v>2082</v>
      </c>
    </row>
    <row r="2342" spans="1:9" x14ac:dyDescent="0.2">
      <c r="A2342" t="s">
        <v>436</v>
      </c>
      <c r="B2342" t="s">
        <v>686</v>
      </c>
      <c r="C2342" t="str">
        <f t="shared" si="130"/>
        <v>19647330000000</v>
      </c>
      <c r="D2342" t="s">
        <v>4098</v>
      </c>
      <c r="E2342" t="str">
        <f>"19647331931955"</f>
        <v>19647331931955</v>
      </c>
      <c r="F2342" s="8">
        <v>9839</v>
      </c>
      <c r="G2342" s="8">
        <v>30191</v>
      </c>
      <c r="H2342" s="8">
        <v>924</v>
      </c>
      <c r="I2342" s="8">
        <v>2092</v>
      </c>
    </row>
    <row r="2343" spans="1:9" x14ac:dyDescent="0.2">
      <c r="A2343" t="s">
        <v>436</v>
      </c>
      <c r="B2343" t="s">
        <v>686</v>
      </c>
      <c r="C2343" t="str">
        <f t="shared" si="130"/>
        <v>19647330000000</v>
      </c>
      <c r="D2343" t="s">
        <v>4099</v>
      </c>
      <c r="E2343" t="str">
        <f>"19647331930791"</f>
        <v>19647331930791</v>
      </c>
      <c r="F2343" s="8">
        <v>7295</v>
      </c>
      <c r="G2343" s="8">
        <v>31601</v>
      </c>
      <c r="H2343" s="8">
        <v>953</v>
      </c>
      <c r="I2343" s="8">
        <v>2136</v>
      </c>
    </row>
    <row r="2344" spans="1:9" x14ac:dyDescent="0.2">
      <c r="A2344" t="s">
        <v>436</v>
      </c>
      <c r="B2344" t="s">
        <v>686</v>
      </c>
      <c r="C2344" t="str">
        <f t="shared" si="130"/>
        <v>19647330000000</v>
      </c>
      <c r="D2344" t="s">
        <v>4100</v>
      </c>
      <c r="E2344" t="str">
        <f>"19647336019970"</f>
        <v>19647336019970</v>
      </c>
      <c r="F2344" s="8">
        <v>5501</v>
      </c>
      <c r="G2344" s="8">
        <v>32718</v>
      </c>
      <c r="H2344" s="8">
        <v>936</v>
      </c>
      <c r="I2344" s="8">
        <v>2067</v>
      </c>
    </row>
    <row r="2345" spans="1:9" x14ac:dyDescent="0.2">
      <c r="A2345" t="s">
        <v>436</v>
      </c>
      <c r="B2345" t="s">
        <v>686</v>
      </c>
      <c r="C2345" t="str">
        <f t="shared" si="130"/>
        <v>19647330000000</v>
      </c>
      <c r="D2345" t="s">
        <v>4101</v>
      </c>
      <c r="E2345" t="str">
        <f>"19647331930429"</f>
        <v>19647331930429</v>
      </c>
      <c r="F2345" s="8">
        <v>9833</v>
      </c>
      <c r="G2345" s="8">
        <v>27339</v>
      </c>
      <c r="H2345" s="8">
        <v>924</v>
      </c>
      <c r="I2345" s="8">
        <v>2124</v>
      </c>
    </row>
    <row r="2346" spans="1:9" x14ac:dyDescent="0.2">
      <c r="A2346" t="s">
        <v>436</v>
      </c>
      <c r="B2346" t="s">
        <v>686</v>
      </c>
      <c r="C2346" t="str">
        <f t="shared" si="130"/>
        <v>19647330000000</v>
      </c>
      <c r="D2346" t="s">
        <v>4102</v>
      </c>
      <c r="E2346" t="str">
        <f>"19647331930692"</f>
        <v>19647331930692</v>
      </c>
      <c r="F2346" s="8">
        <v>6078</v>
      </c>
      <c r="G2346" s="8">
        <v>28798</v>
      </c>
      <c r="H2346" s="8">
        <v>911</v>
      </c>
      <c r="I2346" s="8">
        <v>2004</v>
      </c>
    </row>
    <row r="2347" spans="1:9" x14ac:dyDescent="0.2">
      <c r="A2347" t="s">
        <v>436</v>
      </c>
      <c r="B2347" t="s">
        <v>686</v>
      </c>
      <c r="C2347" t="str">
        <f t="shared" si="130"/>
        <v>19647330000000</v>
      </c>
      <c r="D2347" t="s">
        <v>4103</v>
      </c>
      <c r="E2347" t="str">
        <f>"19647336069157"</f>
        <v>19647336069157</v>
      </c>
      <c r="F2347" s="8">
        <v>1955</v>
      </c>
      <c r="G2347" s="8">
        <v>32405</v>
      </c>
      <c r="H2347" s="8">
        <v>919</v>
      </c>
      <c r="I2347" s="8">
        <v>2013</v>
      </c>
    </row>
    <row r="2348" spans="1:9" x14ac:dyDescent="0.2">
      <c r="A2348" t="s">
        <v>436</v>
      </c>
      <c r="B2348" t="s">
        <v>686</v>
      </c>
      <c r="C2348" t="str">
        <f t="shared" si="130"/>
        <v>19647330000000</v>
      </c>
      <c r="D2348" t="s">
        <v>4104</v>
      </c>
      <c r="E2348" t="str">
        <f>"19647331931468"</f>
        <v>19647331931468</v>
      </c>
      <c r="F2348" s="8">
        <v>3276</v>
      </c>
      <c r="G2348" s="8">
        <v>30033</v>
      </c>
      <c r="H2348" s="8">
        <v>906</v>
      </c>
      <c r="I2348" s="8">
        <v>1976</v>
      </c>
    </row>
    <row r="2349" spans="1:9" x14ac:dyDescent="0.2">
      <c r="A2349" t="s">
        <v>436</v>
      </c>
      <c r="B2349" t="s">
        <v>686</v>
      </c>
      <c r="C2349" t="str">
        <f t="shared" si="130"/>
        <v>19647330000000</v>
      </c>
      <c r="D2349" t="s">
        <v>4105</v>
      </c>
      <c r="E2349" t="str">
        <f>"19647331930403"</f>
        <v>19647331930403</v>
      </c>
      <c r="F2349" s="8">
        <v>7412</v>
      </c>
      <c r="G2349" s="8">
        <v>25739</v>
      </c>
      <c r="H2349" s="8">
        <v>924</v>
      </c>
      <c r="I2349" s="8">
        <v>2070</v>
      </c>
    </row>
    <row r="2350" spans="1:9" x14ac:dyDescent="0.2">
      <c r="A2350" t="s">
        <v>436</v>
      </c>
      <c r="B2350" t="s">
        <v>686</v>
      </c>
      <c r="C2350" t="str">
        <f t="shared" si="130"/>
        <v>19647330000000</v>
      </c>
      <c r="D2350" t="s">
        <v>4106</v>
      </c>
      <c r="E2350" t="str">
        <f>"19647336019103"</f>
        <v>19647336019103</v>
      </c>
      <c r="F2350" s="8">
        <v>6329</v>
      </c>
      <c r="G2350" s="8">
        <v>25911</v>
      </c>
      <c r="H2350" s="8">
        <v>937</v>
      </c>
      <c r="I2350" s="8">
        <v>2081</v>
      </c>
    </row>
    <row r="2351" spans="1:9" x14ac:dyDescent="0.2">
      <c r="A2351" t="s">
        <v>436</v>
      </c>
      <c r="B2351" t="s">
        <v>686</v>
      </c>
      <c r="C2351" t="str">
        <f t="shared" si="130"/>
        <v>19647330000000</v>
      </c>
      <c r="D2351" t="s">
        <v>4107</v>
      </c>
      <c r="E2351" t="str">
        <f>"19647330109256"</f>
        <v>19647330109256</v>
      </c>
      <c r="F2351" s="8">
        <v>4186</v>
      </c>
      <c r="G2351" s="8">
        <v>26821</v>
      </c>
      <c r="H2351" s="8">
        <v>917</v>
      </c>
      <c r="I2351" s="8">
        <v>2042</v>
      </c>
    </row>
    <row r="2352" spans="1:9" x14ac:dyDescent="0.2">
      <c r="A2352" t="s">
        <v>436</v>
      </c>
      <c r="B2352" t="s">
        <v>686</v>
      </c>
      <c r="C2352" t="str">
        <f t="shared" si="130"/>
        <v>19647330000000</v>
      </c>
      <c r="D2352" t="s">
        <v>2359</v>
      </c>
      <c r="E2352" t="str">
        <f>"19647336017594"</f>
        <v>19647336017594</v>
      </c>
      <c r="F2352" s="8">
        <v>4986</v>
      </c>
      <c r="G2352" s="8">
        <v>24873</v>
      </c>
      <c r="H2352" s="8">
        <v>920</v>
      </c>
      <c r="I2352" s="8">
        <v>2060</v>
      </c>
    </row>
    <row r="2353" spans="1:9" x14ac:dyDescent="0.2">
      <c r="A2353" t="s">
        <v>436</v>
      </c>
      <c r="B2353" t="s">
        <v>686</v>
      </c>
      <c r="C2353" t="str">
        <f t="shared" si="130"/>
        <v>19647330000000</v>
      </c>
      <c r="D2353" t="s">
        <v>4108</v>
      </c>
      <c r="E2353" t="str">
        <f>"19647336119093"</f>
        <v>19647336119093</v>
      </c>
      <c r="F2353" s="8">
        <v>3452</v>
      </c>
      <c r="G2353" s="8">
        <v>26339</v>
      </c>
      <c r="H2353" s="8">
        <v>936</v>
      </c>
      <c r="I2353" s="8">
        <v>2069</v>
      </c>
    </row>
    <row r="2354" spans="1:9" x14ac:dyDescent="0.2">
      <c r="A2354" t="s">
        <v>436</v>
      </c>
      <c r="B2354" t="s">
        <v>686</v>
      </c>
      <c r="C2354" t="str">
        <f t="shared" si="130"/>
        <v>19647330000000</v>
      </c>
      <c r="D2354" t="s">
        <v>4109</v>
      </c>
      <c r="E2354" t="str">
        <f>"19647336015812"</f>
        <v>19647336015812</v>
      </c>
      <c r="F2354" s="8">
        <v>6725</v>
      </c>
      <c r="G2354" s="8">
        <v>22960</v>
      </c>
      <c r="H2354" s="8">
        <v>925</v>
      </c>
      <c r="I2354" s="8">
        <v>2085</v>
      </c>
    </row>
    <row r="2355" spans="1:9" x14ac:dyDescent="0.2">
      <c r="A2355" t="s">
        <v>436</v>
      </c>
      <c r="B2355" t="s">
        <v>686</v>
      </c>
      <c r="C2355" t="str">
        <f t="shared" si="130"/>
        <v>19647330000000</v>
      </c>
      <c r="D2355" t="s">
        <v>4110</v>
      </c>
      <c r="E2355" t="str">
        <f>"19647330109223"</f>
        <v>19647330109223</v>
      </c>
      <c r="F2355" s="8">
        <v>4007</v>
      </c>
      <c r="G2355" s="8">
        <v>25360</v>
      </c>
      <c r="H2355" s="8">
        <v>911</v>
      </c>
      <c r="I2355" s="8">
        <v>2083</v>
      </c>
    </row>
    <row r="2356" spans="1:9" x14ac:dyDescent="0.2">
      <c r="A2356" t="s">
        <v>436</v>
      </c>
      <c r="B2356" t="s">
        <v>686</v>
      </c>
      <c r="C2356" t="str">
        <f t="shared" si="130"/>
        <v>19647330000000</v>
      </c>
      <c r="D2356" t="s">
        <v>4111</v>
      </c>
      <c r="E2356" t="str">
        <f>"19647330109181"</f>
        <v>19647330109181</v>
      </c>
      <c r="F2356" s="8">
        <v>2533</v>
      </c>
      <c r="G2356" s="8">
        <v>26294</v>
      </c>
      <c r="H2356" s="8">
        <v>944</v>
      </c>
      <c r="I2356" s="8">
        <v>2093</v>
      </c>
    </row>
    <row r="2357" spans="1:9" x14ac:dyDescent="0.2">
      <c r="A2357" t="s">
        <v>436</v>
      </c>
      <c r="B2357" t="s">
        <v>686</v>
      </c>
      <c r="C2357" t="str">
        <f t="shared" si="130"/>
        <v>19647330000000</v>
      </c>
      <c r="D2357" t="s">
        <v>4112</v>
      </c>
      <c r="E2357" t="str">
        <f>"19647336019681"</f>
        <v>19647336019681</v>
      </c>
      <c r="F2357" s="8">
        <v>3418</v>
      </c>
      <c r="G2357" s="8">
        <v>25233</v>
      </c>
      <c r="H2357" s="8">
        <v>940</v>
      </c>
      <c r="I2357" s="8">
        <v>2095</v>
      </c>
    </row>
    <row r="2358" spans="1:9" x14ac:dyDescent="0.2">
      <c r="A2358" t="s">
        <v>436</v>
      </c>
      <c r="B2358" t="s">
        <v>686</v>
      </c>
      <c r="C2358" t="str">
        <f t="shared" si="130"/>
        <v>19647330000000</v>
      </c>
      <c r="D2358" t="s">
        <v>4113</v>
      </c>
      <c r="E2358" t="str">
        <f>"19647336016570"</f>
        <v>19647336016570</v>
      </c>
      <c r="F2358" s="8">
        <v>3821</v>
      </c>
      <c r="G2358" s="8">
        <v>23701</v>
      </c>
      <c r="H2358" s="8">
        <v>937</v>
      </c>
      <c r="I2358" s="8">
        <v>2073</v>
      </c>
    </row>
    <row r="2359" spans="1:9" x14ac:dyDescent="0.2">
      <c r="A2359" t="s">
        <v>436</v>
      </c>
      <c r="B2359" t="s">
        <v>686</v>
      </c>
      <c r="C2359" t="str">
        <f t="shared" si="130"/>
        <v>19647330000000</v>
      </c>
      <c r="D2359" t="s">
        <v>4114</v>
      </c>
      <c r="E2359" t="str">
        <f>"19647330102137"</f>
        <v>19647330102137</v>
      </c>
      <c r="F2359" s="8">
        <v>4230</v>
      </c>
      <c r="G2359" s="8">
        <v>23310</v>
      </c>
      <c r="H2359" s="8">
        <v>908</v>
      </c>
      <c r="I2359" s="8">
        <v>1975</v>
      </c>
    </row>
    <row r="2360" spans="1:9" x14ac:dyDescent="0.2">
      <c r="A2360" t="s">
        <v>436</v>
      </c>
      <c r="B2360" t="s">
        <v>686</v>
      </c>
      <c r="C2360" t="str">
        <f t="shared" si="130"/>
        <v>19647330000000</v>
      </c>
      <c r="D2360" t="s">
        <v>4115</v>
      </c>
      <c r="E2360" t="str">
        <f>"19647330109322"</f>
        <v>19647330109322</v>
      </c>
      <c r="F2360" s="8">
        <v>2018</v>
      </c>
      <c r="G2360" s="8">
        <v>25378</v>
      </c>
      <c r="H2360" s="8">
        <v>918</v>
      </c>
      <c r="I2360" s="8">
        <v>2037</v>
      </c>
    </row>
    <row r="2361" spans="1:9" x14ac:dyDescent="0.2">
      <c r="A2361" t="s">
        <v>436</v>
      </c>
      <c r="B2361" t="s">
        <v>686</v>
      </c>
      <c r="C2361" t="str">
        <f t="shared" si="130"/>
        <v>19647330000000</v>
      </c>
      <c r="D2361" t="s">
        <v>4116</v>
      </c>
      <c r="E2361" t="str">
        <f>"19647336015903"</f>
        <v>19647336015903</v>
      </c>
      <c r="F2361" s="8">
        <v>4220</v>
      </c>
      <c r="G2361" s="8">
        <v>22769</v>
      </c>
      <c r="H2361" s="8">
        <v>923</v>
      </c>
      <c r="I2361" s="8">
        <v>2042</v>
      </c>
    </row>
    <row r="2362" spans="1:9" x14ac:dyDescent="0.2">
      <c r="A2362" t="s">
        <v>436</v>
      </c>
      <c r="B2362" t="s">
        <v>686</v>
      </c>
      <c r="C2362" t="str">
        <f t="shared" si="130"/>
        <v>19647330000000</v>
      </c>
      <c r="D2362" t="s">
        <v>4117</v>
      </c>
      <c r="E2362" t="str">
        <f>"19647336018097"</f>
        <v>19647336018097</v>
      </c>
      <c r="F2362" s="8">
        <v>3257</v>
      </c>
      <c r="G2362" s="8">
        <v>23523</v>
      </c>
      <c r="H2362" s="8">
        <v>919</v>
      </c>
      <c r="I2362" s="8">
        <v>2053</v>
      </c>
    </row>
    <row r="2363" spans="1:9" x14ac:dyDescent="0.2">
      <c r="A2363" t="s">
        <v>436</v>
      </c>
      <c r="B2363" t="s">
        <v>686</v>
      </c>
      <c r="C2363" t="str">
        <f t="shared" si="130"/>
        <v>19647330000000</v>
      </c>
      <c r="D2363" t="s">
        <v>4118</v>
      </c>
      <c r="E2363" t="str">
        <f>"19647330101618"</f>
        <v>19647330101618</v>
      </c>
      <c r="F2363" s="8">
        <v>3573</v>
      </c>
      <c r="G2363" s="8">
        <v>23132</v>
      </c>
      <c r="H2363" s="8">
        <v>916</v>
      </c>
      <c r="I2363" s="8">
        <v>2033</v>
      </c>
    </row>
    <row r="2364" spans="1:9" x14ac:dyDescent="0.2">
      <c r="A2364" t="s">
        <v>436</v>
      </c>
      <c r="B2364" t="s">
        <v>686</v>
      </c>
      <c r="C2364" t="str">
        <f t="shared" si="130"/>
        <v>19647330000000</v>
      </c>
      <c r="D2364" t="s">
        <v>4119</v>
      </c>
      <c r="E2364" t="str">
        <f>"19647336016067"</f>
        <v>19647336016067</v>
      </c>
      <c r="F2364" s="8">
        <v>3505</v>
      </c>
      <c r="G2364" s="8">
        <v>22989</v>
      </c>
      <c r="H2364" s="8">
        <v>933</v>
      </c>
      <c r="I2364" s="8">
        <v>2062</v>
      </c>
    </row>
    <row r="2365" spans="1:9" x14ac:dyDescent="0.2">
      <c r="A2365" t="s">
        <v>436</v>
      </c>
      <c r="B2365" t="s">
        <v>686</v>
      </c>
      <c r="C2365" t="str">
        <f t="shared" si="130"/>
        <v>19647330000000</v>
      </c>
      <c r="D2365" t="s">
        <v>4120</v>
      </c>
      <c r="E2365" t="str">
        <f>"19647336015838"</f>
        <v>19647336015838</v>
      </c>
      <c r="F2365" s="8">
        <v>3485</v>
      </c>
      <c r="G2365" s="8">
        <v>22867</v>
      </c>
      <c r="H2365" s="8">
        <v>916</v>
      </c>
      <c r="I2365" s="8">
        <v>2032</v>
      </c>
    </row>
    <row r="2366" spans="1:9" x14ac:dyDescent="0.2">
      <c r="A2366" t="s">
        <v>436</v>
      </c>
      <c r="B2366" t="s">
        <v>686</v>
      </c>
      <c r="C2366" t="str">
        <f t="shared" si="130"/>
        <v>19647330000000</v>
      </c>
      <c r="D2366" t="s">
        <v>4121</v>
      </c>
      <c r="E2366" t="str">
        <f>"19647336016091"</f>
        <v>19647336016091</v>
      </c>
      <c r="F2366" s="8">
        <v>3607</v>
      </c>
      <c r="G2366" s="8">
        <v>22547</v>
      </c>
      <c r="H2366" s="8">
        <v>911</v>
      </c>
      <c r="I2366" s="8">
        <v>2090</v>
      </c>
    </row>
    <row r="2367" spans="1:9" x14ac:dyDescent="0.2">
      <c r="A2367" t="s">
        <v>436</v>
      </c>
      <c r="B2367" t="s">
        <v>686</v>
      </c>
      <c r="C2367" t="str">
        <f t="shared" si="130"/>
        <v>19647330000000</v>
      </c>
      <c r="D2367" t="s">
        <v>4122</v>
      </c>
      <c r="E2367" t="str">
        <f>"19647331931930"</f>
        <v>19647331931930</v>
      </c>
      <c r="F2367" s="8">
        <v>8172</v>
      </c>
      <c r="G2367" s="8">
        <v>17956</v>
      </c>
      <c r="H2367" s="8">
        <v>911</v>
      </c>
      <c r="I2367" s="8">
        <v>2061</v>
      </c>
    </row>
    <row r="2368" spans="1:9" x14ac:dyDescent="0.2">
      <c r="A2368" t="s">
        <v>436</v>
      </c>
      <c r="B2368" t="s">
        <v>686</v>
      </c>
      <c r="C2368" t="str">
        <f t="shared" si="130"/>
        <v>19647330000000</v>
      </c>
      <c r="D2368" t="s">
        <v>4123</v>
      </c>
      <c r="E2368" t="str">
        <f>"19647330109199"</f>
        <v>19647330109199</v>
      </c>
      <c r="F2368" s="8">
        <v>2695</v>
      </c>
      <c r="G2368" s="8">
        <v>23272</v>
      </c>
      <c r="H2368" s="8">
        <v>939</v>
      </c>
      <c r="I2368" s="8">
        <v>2077</v>
      </c>
    </row>
    <row r="2369" spans="1:9" x14ac:dyDescent="0.2">
      <c r="A2369" t="s">
        <v>436</v>
      </c>
      <c r="B2369" t="s">
        <v>686</v>
      </c>
      <c r="C2369" t="str">
        <f t="shared" si="130"/>
        <v>19647330000000</v>
      </c>
      <c r="D2369" t="s">
        <v>4124</v>
      </c>
      <c r="E2369" t="str">
        <f>"19647330101329"</f>
        <v>19647330101329</v>
      </c>
      <c r="F2369" s="8">
        <v>3857</v>
      </c>
      <c r="G2369" s="8">
        <v>22003</v>
      </c>
      <c r="H2369" s="8">
        <v>928</v>
      </c>
      <c r="I2369" s="8">
        <v>2058</v>
      </c>
    </row>
    <row r="2370" spans="1:9" x14ac:dyDescent="0.2">
      <c r="A2370" t="s">
        <v>436</v>
      </c>
      <c r="B2370" t="s">
        <v>686</v>
      </c>
      <c r="C2370" t="str">
        <f t="shared" si="130"/>
        <v>19647330000000</v>
      </c>
      <c r="D2370" t="s">
        <v>4125</v>
      </c>
      <c r="E2370" t="str">
        <f>"19647331932342"</f>
        <v>19647331932342</v>
      </c>
      <c r="F2370" s="8">
        <v>3813</v>
      </c>
      <c r="G2370" s="8">
        <v>21927</v>
      </c>
      <c r="H2370" s="8">
        <v>909</v>
      </c>
      <c r="I2370" s="8">
        <v>1977</v>
      </c>
    </row>
    <row r="2371" spans="1:9" x14ac:dyDescent="0.2">
      <c r="A2371" t="s">
        <v>436</v>
      </c>
      <c r="B2371" t="s">
        <v>686</v>
      </c>
      <c r="C2371" t="str">
        <f t="shared" si="130"/>
        <v>19647330000000</v>
      </c>
      <c r="D2371" t="s">
        <v>4126</v>
      </c>
      <c r="E2371" t="str">
        <f>"19647336019632"</f>
        <v>19647336019632</v>
      </c>
      <c r="F2371" s="8">
        <v>3016</v>
      </c>
      <c r="G2371" s="8">
        <v>22395</v>
      </c>
      <c r="H2371" s="8">
        <v>910</v>
      </c>
      <c r="I2371" s="8">
        <v>2079</v>
      </c>
    </row>
    <row r="2372" spans="1:9" x14ac:dyDescent="0.2">
      <c r="A2372" t="s">
        <v>436</v>
      </c>
      <c r="B2372" t="s">
        <v>686</v>
      </c>
      <c r="C2372" t="str">
        <f t="shared" si="130"/>
        <v>19647330000000</v>
      </c>
      <c r="D2372" t="s">
        <v>4127</v>
      </c>
      <c r="E2372" t="str">
        <f>"19647330120808"</f>
        <v>19647330120808</v>
      </c>
      <c r="F2372" s="8">
        <v>3130</v>
      </c>
      <c r="G2372" s="8">
        <v>22084</v>
      </c>
      <c r="H2372" s="8">
        <v>911</v>
      </c>
      <c r="I2372" s="8">
        <v>2002</v>
      </c>
    </row>
    <row r="2373" spans="1:9" x14ac:dyDescent="0.2">
      <c r="A2373" t="s">
        <v>436</v>
      </c>
      <c r="B2373" t="s">
        <v>686</v>
      </c>
      <c r="C2373" t="str">
        <f t="shared" si="130"/>
        <v>19647330000000</v>
      </c>
      <c r="D2373" t="s">
        <v>4128</v>
      </c>
      <c r="E2373" t="str">
        <f>"19647330106922"</f>
        <v>19647330106922</v>
      </c>
      <c r="F2373" s="8">
        <v>3597</v>
      </c>
      <c r="G2373" s="8">
        <v>21484</v>
      </c>
      <c r="H2373" s="8">
        <v>943</v>
      </c>
      <c r="I2373" s="8">
        <v>2071</v>
      </c>
    </row>
    <row r="2374" spans="1:9" x14ac:dyDescent="0.2">
      <c r="A2374" t="s">
        <v>436</v>
      </c>
      <c r="B2374" t="s">
        <v>686</v>
      </c>
      <c r="C2374" t="str">
        <f t="shared" si="130"/>
        <v>19647330000000</v>
      </c>
      <c r="D2374" t="s">
        <v>4129</v>
      </c>
      <c r="E2374" t="str">
        <f>"19647336016810"</f>
        <v>19647336016810</v>
      </c>
      <c r="F2374" s="8">
        <v>9538</v>
      </c>
      <c r="G2374" s="8">
        <v>15508</v>
      </c>
      <c r="H2374" s="8">
        <v>924</v>
      </c>
      <c r="I2374" s="8">
        <v>2094</v>
      </c>
    </row>
    <row r="2375" spans="1:9" x14ac:dyDescent="0.2">
      <c r="A2375" t="s">
        <v>436</v>
      </c>
      <c r="B2375" t="s">
        <v>686</v>
      </c>
      <c r="C2375" t="str">
        <f t="shared" si="130"/>
        <v>19647330000000</v>
      </c>
      <c r="D2375" t="s">
        <v>4130</v>
      </c>
      <c r="E2375" t="str">
        <f>"19647330135996"</f>
        <v>19647330135996</v>
      </c>
      <c r="F2375" s="8">
        <v>3840</v>
      </c>
      <c r="G2375" s="8">
        <v>21023</v>
      </c>
      <c r="H2375" s="8">
        <v>935</v>
      </c>
      <c r="I2375" s="8">
        <v>2066</v>
      </c>
    </row>
    <row r="2376" spans="1:9" x14ac:dyDescent="0.2">
      <c r="A2376" t="s">
        <v>436</v>
      </c>
      <c r="B2376" t="s">
        <v>686</v>
      </c>
      <c r="C2376" t="str">
        <f t="shared" si="130"/>
        <v>19647330000000</v>
      </c>
      <c r="D2376" t="s">
        <v>4131</v>
      </c>
      <c r="E2376" t="str">
        <f>"19647330106930"</f>
        <v>19647330106930</v>
      </c>
      <c r="F2376" s="8">
        <v>4104</v>
      </c>
      <c r="G2376" s="8">
        <v>20387</v>
      </c>
      <c r="H2376" s="8">
        <v>916</v>
      </c>
      <c r="I2376" s="8">
        <v>2031</v>
      </c>
    </row>
    <row r="2377" spans="1:9" x14ac:dyDescent="0.2">
      <c r="A2377" t="s">
        <v>436</v>
      </c>
      <c r="B2377" t="s">
        <v>686</v>
      </c>
      <c r="C2377" t="str">
        <f t="shared" si="130"/>
        <v>19647330000000</v>
      </c>
      <c r="D2377" t="s">
        <v>4132</v>
      </c>
      <c r="E2377" t="str">
        <f>"19647336019285"</f>
        <v>19647336019285</v>
      </c>
      <c r="F2377" s="8">
        <v>3307</v>
      </c>
      <c r="G2377" s="8">
        <v>21099</v>
      </c>
      <c r="H2377" s="8">
        <v>910</v>
      </c>
      <c r="I2377" s="8">
        <v>2074</v>
      </c>
    </row>
    <row r="2378" spans="1:9" x14ac:dyDescent="0.2">
      <c r="A2378" t="s">
        <v>436</v>
      </c>
      <c r="B2378" t="s">
        <v>686</v>
      </c>
      <c r="C2378" t="str">
        <f t="shared" si="130"/>
        <v>19647330000000</v>
      </c>
      <c r="D2378" t="s">
        <v>4133</v>
      </c>
      <c r="E2378" t="str">
        <f>"19647336015705"</f>
        <v>19647336015705</v>
      </c>
      <c r="F2378" s="8">
        <v>2953</v>
      </c>
      <c r="G2378" s="8">
        <v>21456</v>
      </c>
      <c r="H2378" s="8">
        <v>919</v>
      </c>
      <c r="I2378" s="8">
        <v>2050</v>
      </c>
    </row>
    <row r="2379" spans="1:9" x14ac:dyDescent="0.2">
      <c r="A2379" t="s">
        <v>436</v>
      </c>
      <c r="B2379" t="s">
        <v>686</v>
      </c>
      <c r="C2379" t="str">
        <f t="shared" si="130"/>
        <v>19647330000000</v>
      </c>
      <c r="D2379" t="s">
        <v>4134</v>
      </c>
      <c r="E2379" t="str">
        <f>"19647336018030"</f>
        <v>19647336018030</v>
      </c>
      <c r="F2379" s="8">
        <v>3677</v>
      </c>
      <c r="G2379" s="8">
        <v>20617</v>
      </c>
      <c r="H2379" s="8">
        <v>924</v>
      </c>
      <c r="I2379" s="8">
        <v>2074</v>
      </c>
    </row>
    <row r="2380" spans="1:9" x14ac:dyDescent="0.2">
      <c r="A2380" t="s">
        <v>436</v>
      </c>
      <c r="B2380" t="s">
        <v>686</v>
      </c>
      <c r="C2380" t="str">
        <f t="shared" si="130"/>
        <v>19647330000000</v>
      </c>
      <c r="D2380" t="s">
        <v>4135</v>
      </c>
      <c r="E2380" t="str">
        <f>"19647330109249"</f>
        <v>19647330109249</v>
      </c>
      <c r="F2380" s="8">
        <v>3076</v>
      </c>
      <c r="G2380" s="8">
        <v>20826</v>
      </c>
      <c r="H2380" s="8">
        <v>904</v>
      </c>
      <c r="I2380" s="8">
        <v>1985</v>
      </c>
    </row>
    <row r="2381" spans="1:9" x14ac:dyDescent="0.2">
      <c r="A2381" t="s">
        <v>436</v>
      </c>
      <c r="B2381" t="s">
        <v>686</v>
      </c>
      <c r="C2381" t="str">
        <f t="shared" si="130"/>
        <v>19647330000000</v>
      </c>
      <c r="D2381" t="s">
        <v>4136</v>
      </c>
      <c r="E2381" t="str">
        <f>"19647330109264"</f>
        <v>19647330109264</v>
      </c>
      <c r="F2381" s="8">
        <v>4064</v>
      </c>
      <c r="G2381" s="8">
        <v>19740</v>
      </c>
      <c r="H2381" s="8">
        <v>915</v>
      </c>
      <c r="I2381" s="8">
        <v>2032</v>
      </c>
    </row>
    <row r="2382" spans="1:9" x14ac:dyDescent="0.2">
      <c r="A2382" t="s">
        <v>436</v>
      </c>
      <c r="B2382" t="s">
        <v>686</v>
      </c>
      <c r="C2382" t="str">
        <f t="shared" si="130"/>
        <v>19647330000000</v>
      </c>
      <c r="D2382" t="s">
        <v>4137</v>
      </c>
      <c r="E2382" t="str">
        <f>"19647330109298"</f>
        <v>19647330109298</v>
      </c>
      <c r="F2382" s="8">
        <v>3152</v>
      </c>
      <c r="G2382" s="8">
        <v>20575</v>
      </c>
      <c r="H2382" s="8">
        <v>935</v>
      </c>
      <c r="I2382" s="8">
        <v>2072</v>
      </c>
    </row>
    <row r="2383" spans="1:9" x14ac:dyDescent="0.2">
      <c r="A2383" t="s">
        <v>436</v>
      </c>
      <c r="B2383" t="s">
        <v>686</v>
      </c>
      <c r="C2383" t="str">
        <f t="shared" si="130"/>
        <v>19647330000000</v>
      </c>
      <c r="D2383" t="s">
        <v>4138</v>
      </c>
      <c r="E2383" t="str">
        <f>"19647336058358"</f>
        <v>19647336058358</v>
      </c>
      <c r="F2383" s="8">
        <v>5671</v>
      </c>
      <c r="G2383" s="8">
        <v>17970</v>
      </c>
      <c r="H2383" s="8">
        <v>938</v>
      </c>
      <c r="I2383" s="8">
        <v>2060</v>
      </c>
    </row>
    <row r="2384" spans="1:9" x14ac:dyDescent="0.2">
      <c r="A2384" t="s">
        <v>436</v>
      </c>
      <c r="B2384" t="s">
        <v>686</v>
      </c>
      <c r="C2384" t="str">
        <f t="shared" si="130"/>
        <v>19647330000000</v>
      </c>
      <c r="D2384" t="s">
        <v>4139</v>
      </c>
      <c r="E2384" t="str">
        <f>"19647336017610"</f>
        <v>19647336017610</v>
      </c>
      <c r="F2384" s="8">
        <v>4119</v>
      </c>
      <c r="G2384" s="8">
        <v>19523</v>
      </c>
      <c r="H2384" s="8">
        <v>922</v>
      </c>
      <c r="I2384" s="8">
        <v>2057</v>
      </c>
    </row>
    <row r="2385" spans="1:9" x14ac:dyDescent="0.2">
      <c r="A2385" t="s">
        <v>436</v>
      </c>
      <c r="B2385" t="s">
        <v>686</v>
      </c>
      <c r="C2385" t="str">
        <f t="shared" si="130"/>
        <v>19647330000000</v>
      </c>
      <c r="D2385" t="s">
        <v>4140</v>
      </c>
      <c r="E2385" t="str">
        <f>"19647336058028"</f>
        <v>19647336058028</v>
      </c>
      <c r="F2385" s="8">
        <v>3487</v>
      </c>
      <c r="G2385" s="8">
        <v>19795</v>
      </c>
      <c r="H2385" s="8">
        <v>932</v>
      </c>
      <c r="I2385" s="8">
        <v>2155</v>
      </c>
    </row>
    <row r="2386" spans="1:9" x14ac:dyDescent="0.2">
      <c r="A2386" t="s">
        <v>436</v>
      </c>
      <c r="B2386" t="s">
        <v>686</v>
      </c>
      <c r="C2386" t="str">
        <f t="shared" si="130"/>
        <v>19647330000000</v>
      </c>
      <c r="D2386" t="s">
        <v>4141</v>
      </c>
      <c r="E2386" t="str">
        <f>"19647331930486"</f>
        <v>19647331930486</v>
      </c>
      <c r="F2386" s="8">
        <v>4944</v>
      </c>
      <c r="G2386" s="8">
        <v>18310</v>
      </c>
      <c r="H2386" s="8">
        <v>933</v>
      </c>
      <c r="I2386" s="8">
        <v>2074</v>
      </c>
    </row>
    <row r="2387" spans="1:9" x14ac:dyDescent="0.2">
      <c r="A2387" t="s">
        <v>436</v>
      </c>
      <c r="B2387" t="s">
        <v>686</v>
      </c>
      <c r="C2387" t="str">
        <f t="shared" si="130"/>
        <v>19647330000000</v>
      </c>
      <c r="D2387" t="s">
        <v>4142</v>
      </c>
      <c r="E2387" t="str">
        <f>"19647336019780"</f>
        <v>19647336019780</v>
      </c>
      <c r="F2387" s="8">
        <v>3530</v>
      </c>
      <c r="G2387" s="8">
        <v>19712</v>
      </c>
      <c r="H2387" s="8">
        <v>915</v>
      </c>
      <c r="I2387" s="8">
        <v>1999</v>
      </c>
    </row>
    <row r="2388" spans="1:9" x14ac:dyDescent="0.2">
      <c r="A2388" t="s">
        <v>436</v>
      </c>
      <c r="B2388" t="s">
        <v>686</v>
      </c>
      <c r="C2388" t="str">
        <f t="shared" si="130"/>
        <v>19647330000000</v>
      </c>
      <c r="D2388" t="s">
        <v>4143</v>
      </c>
      <c r="E2388" t="str">
        <f>"19647336016034"</f>
        <v>19647336016034</v>
      </c>
      <c r="F2388" s="8">
        <v>3182</v>
      </c>
      <c r="G2388" s="8">
        <v>20032</v>
      </c>
      <c r="H2388" s="8">
        <v>919</v>
      </c>
      <c r="I2388" s="8">
        <v>2020</v>
      </c>
    </row>
    <row r="2389" spans="1:9" x14ac:dyDescent="0.2">
      <c r="A2389" t="s">
        <v>436</v>
      </c>
      <c r="B2389" t="s">
        <v>686</v>
      </c>
      <c r="C2389" t="str">
        <f t="shared" si="130"/>
        <v>19647330000000</v>
      </c>
      <c r="D2389" t="s">
        <v>4144</v>
      </c>
      <c r="E2389" t="str">
        <f>"19647336017313"</f>
        <v>19647336017313</v>
      </c>
      <c r="F2389" s="8">
        <v>3264</v>
      </c>
      <c r="G2389" s="8">
        <v>19634</v>
      </c>
      <c r="H2389" s="8">
        <v>920</v>
      </c>
      <c r="I2389" s="8">
        <v>2021</v>
      </c>
    </row>
    <row r="2390" spans="1:9" x14ac:dyDescent="0.2">
      <c r="A2390" t="s">
        <v>436</v>
      </c>
      <c r="B2390" t="s">
        <v>686</v>
      </c>
      <c r="C2390" t="str">
        <f t="shared" si="130"/>
        <v>19647330000000</v>
      </c>
      <c r="D2390" t="s">
        <v>4145</v>
      </c>
      <c r="E2390" t="str">
        <f>"19647336017156"</f>
        <v>19647336017156</v>
      </c>
      <c r="F2390" s="8">
        <v>4681</v>
      </c>
      <c r="G2390" s="8">
        <v>18128</v>
      </c>
      <c r="H2390" s="8">
        <v>924</v>
      </c>
      <c r="I2390" s="8">
        <v>2095</v>
      </c>
    </row>
    <row r="2391" spans="1:9" x14ac:dyDescent="0.2">
      <c r="A2391" t="s">
        <v>436</v>
      </c>
      <c r="B2391" t="s">
        <v>686</v>
      </c>
      <c r="C2391" t="str">
        <f t="shared" ref="C2391:C2454" si="131">"19647330000000"</f>
        <v>19647330000000</v>
      </c>
      <c r="D2391" t="s">
        <v>4146</v>
      </c>
      <c r="E2391" t="str">
        <f>"19647336017297"</f>
        <v>19647336017297</v>
      </c>
      <c r="F2391" s="8">
        <v>3901</v>
      </c>
      <c r="G2391" s="8">
        <v>18924</v>
      </c>
      <c r="H2391" s="8">
        <v>917</v>
      </c>
      <c r="I2391" s="8">
        <v>2040</v>
      </c>
    </row>
    <row r="2392" spans="1:9" x14ac:dyDescent="0.2">
      <c r="A2392" t="s">
        <v>436</v>
      </c>
      <c r="B2392" t="s">
        <v>686</v>
      </c>
      <c r="C2392" t="str">
        <f t="shared" si="131"/>
        <v>19647330000000</v>
      </c>
      <c r="D2392" t="s">
        <v>2297</v>
      </c>
      <c r="E2392" t="str">
        <f>"19647336017818"</f>
        <v>19647336017818</v>
      </c>
      <c r="F2392" s="8">
        <v>2543</v>
      </c>
      <c r="G2392" s="8">
        <v>20217</v>
      </c>
      <c r="H2392" s="8">
        <v>935</v>
      </c>
      <c r="I2392" s="8">
        <v>2073</v>
      </c>
    </row>
    <row r="2393" spans="1:9" x14ac:dyDescent="0.2">
      <c r="A2393" t="s">
        <v>436</v>
      </c>
      <c r="B2393" t="s">
        <v>686</v>
      </c>
      <c r="C2393" t="str">
        <f t="shared" si="131"/>
        <v>19647330000000</v>
      </c>
      <c r="D2393" t="s">
        <v>4147</v>
      </c>
      <c r="E2393" t="str">
        <f>"19647336058101"</f>
        <v>19647336058101</v>
      </c>
      <c r="F2393" s="8">
        <v>3875</v>
      </c>
      <c r="G2393" s="8">
        <v>18912</v>
      </c>
      <c r="H2393" s="8">
        <v>918</v>
      </c>
      <c r="I2393" s="8">
        <v>2018</v>
      </c>
    </row>
    <row r="2394" spans="1:9" x14ac:dyDescent="0.2">
      <c r="A2394" t="s">
        <v>436</v>
      </c>
      <c r="B2394" t="s">
        <v>686</v>
      </c>
      <c r="C2394" t="str">
        <f t="shared" si="131"/>
        <v>19647330000000</v>
      </c>
      <c r="D2394" t="s">
        <v>4148</v>
      </c>
      <c r="E2394" t="str">
        <f>"19647331930619"</f>
        <v>19647331930619</v>
      </c>
      <c r="F2394" s="8">
        <v>3436</v>
      </c>
      <c r="G2394" s="8">
        <v>19139</v>
      </c>
      <c r="H2394" s="8">
        <v>939</v>
      </c>
      <c r="I2394" s="8">
        <v>2055</v>
      </c>
    </row>
    <row r="2395" spans="1:9" x14ac:dyDescent="0.2">
      <c r="A2395" t="s">
        <v>436</v>
      </c>
      <c r="B2395" t="s">
        <v>686</v>
      </c>
      <c r="C2395" t="str">
        <f t="shared" si="131"/>
        <v>19647330000000</v>
      </c>
      <c r="D2395" t="s">
        <v>4149</v>
      </c>
      <c r="E2395" t="str">
        <f>"19647331932128"</f>
        <v>19647331932128</v>
      </c>
      <c r="F2395" s="8">
        <v>2791</v>
      </c>
      <c r="G2395" s="8">
        <v>19711</v>
      </c>
      <c r="H2395" s="8">
        <v>924</v>
      </c>
      <c r="I2395" s="8">
        <v>2095</v>
      </c>
    </row>
    <row r="2396" spans="1:9" x14ac:dyDescent="0.2">
      <c r="A2396" t="s">
        <v>436</v>
      </c>
      <c r="B2396" t="s">
        <v>686</v>
      </c>
      <c r="C2396" t="str">
        <f t="shared" si="131"/>
        <v>19647330000000</v>
      </c>
      <c r="D2396" t="s">
        <v>4150</v>
      </c>
      <c r="E2396" t="str">
        <f>"19647331930064"</f>
        <v>19647331930064</v>
      </c>
      <c r="F2396" s="8">
        <v>2512</v>
      </c>
      <c r="G2396" s="8">
        <v>19891</v>
      </c>
      <c r="H2396" s="8">
        <v>921</v>
      </c>
      <c r="I2396" s="8">
        <v>2025</v>
      </c>
    </row>
    <row r="2397" spans="1:9" x14ac:dyDescent="0.2">
      <c r="A2397" t="s">
        <v>436</v>
      </c>
      <c r="B2397" t="s">
        <v>686</v>
      </c>
      <c r="C2397" t="str">
        <f t="shared" si="131"/>
        <v>19647330000000</v>
      </c>
      <c r="D2397" t="s">
        <v>4151</v>
      </c>
      <c r="E2397" t="str">
        <f>"19647331931989"</f>
        <v>19647331931989</v>
      </c>
      <c r="F2397" s="8">
        <v>5625</v>
      </c>
      <c r="G2397" s="8">
        <v>16830</v>
      </c>
      <c r="H2397" s="8">
        <v>906</v>
      </c>
      <c r="I2397" s="8">
        <v>1980</v>
      </c>
    </row>
    <row r="2398" spans="1:9" x14ac:dyDescent="0.2">
      <c r="A2398" t="s">
        <v>436</v>
      </c>
      <c r="B2398" t="s">
        <v>686</v>
      </c>
      <c r="C2398" t="str">
        <f t="shared" si="131"/>
        <v>19647330000000</v>
      </c>
      <c r="D2398" t="s">
        <v>4152</v>
      </c>
      <c r="E2398" t="str">
        <f>"19647331930783"</f>
        <v>19647331930783</v>
      </c>
      <c r="F2398" s="8">
        <v>2541</v>
      </c>
      <c r="G2398" s="8">
        <v>19623</v>
      </c>
      <c r="H2398" s="8">
        <v>946</v>
      </c>
      <c r="I2398" s="8">
        <v>2117</v>
      </c>
    </row>
    <row r="2399" spans="1:9" x14ac:dyDescent="0.2">
      <c r="A2399" t="s">
        <v>436</v>
      </c>
      <c r="B2399" t="s">
        <v>686</v>
      </c>
      <c r="C2399" t="str">
        <f t="shared" si="131"/>
        <v>19647330000000</v>
      </c>
      <c r="D2399" t="s">
        <v>4153</v>
      </c>
      <c r="E2399" t="str">
        <f>"19647336016414"</f>
        <v>19647336016414</v>
      </c>
      <c r="F2399" s="8">
        <v>4645</v>
      </c>
      <c r="G2399" s="8">
        <v>17536</v>
      </c>
      <c r="H2399" s="8">
        <v>941</v>
      </c>
      <c r="I2399" s="8">
        <v>2087</v>
      </c>
    </row>
    <row r="2400" spans="1:9" x14ac:dyDescent="0.2">
      <c r="A2400" t="s">
        <v>436</v>
      </c>
      <c r="B2400" t="s">
        <v>686</v>
      </c>
      <c r="C2400" t="str">
        <f t="shared" si="131"/>
        <v>19647330000000</v>
      </c>
      <c r="D2400" t="s">
        <v>4154</v>
      </c>
      <c r="E2400" t="str">
        <f>"19647336058044"</f>
        <v>19647336058044</v>
      </c>
      <c r="F2400" s="8">
        <v>4026</v>
      </c>
      <c r="G2400" s="8">
        <v>18110</v>
      </c>
      <c r="H2400" s="8">
        <v>924</v>
      </c>
      <c r="I2400" s="8">
        <v>2079</v>
      </c>
    </row>
    <row r="2401" spans="1:9" x14ac:dyDescent="0.2">
      <c r="A2401" t="s">
        <v>436</v>
      </c>
      <c r="B2401" t="s">
        <v>686</v>
      </c>
      <c r="C2401" t="str">
        <f t="shared" si="131"/>
        <v>19647330000000</v>
      </c>
      <c r="D2401" t="s">
        <v>4155</v>
      </c>
      <c r="E2401" t="str">
        <f>"19647331931518"</f>
        <v>19647331931518</v>
      </c>
      <c r="F2401" s="8">
        <v>1566</v>
      </c>
      <c r="G2401" s="8">
        <v>20467</v>
      </c>
      <c r="H2401" s="8">
        <v>934</v>
      </c>
      <c r="I2401" s="8">
        <v>2071</v>
      </c>
    </row>
    <row r="2402" spans="1:9" x14ac:dyDescent="0.2">
      <c r="A2402" t="s">
        <v>436</v>
      </c>
      <c r="B2402" t="s">
        <v>686</v>
      </c>
      <c r="C2402" t="str">
        <f t="shared" si="131"/>
        <v>19647330000000</v>
      </c>
      <c r="D2402" t="s">
        <v>4156</v>
      </c>
      <c r="E2402" t="str">
        <f>"19647331931336"</f>
        <v>19647331931336</v>
      </c>
      <c r="F2402" s="8">
        <v>3763</v>
      </c>
      <c r="G2402" s="8">
        <v>18179</v>
      </c>
      <c r="H2402" s="8">
        <v>942</v>
      </c>
      <c r="I2402" s="8">
        <v>2093</v>
      </c>
    </row>
    <row r="2403" spans="1:9" x14ac:dyDescent="0.2">
      <c r="A2403" t="s">
        <v>436</v>
      </c>
      <c r="B2403" t="s">
        <v>686</v>
      </c>
      <c r="C2403" t="str">
        <f t="shared" si="131"/>
        <v>19647330000000</v>
      </c>
      <c r="D2403" t="s">
        <v>4157</v>
      </c>
      <c r="E2403" t="str">
        <f>"19647330117028"</f>
        <v>19647330117028</v>
      </c>
      <c r="F2403" s="8">
        <v>4179</v>
      </c>
      <c r="G2403" s="8">
        <v>17815</v>
      </c>
      <c r="H2403" s="8">
        <v>919</v>
      </c>
      <c r="I2403" s="8">
        <v>2029</v>
      </c>
    </row>
    <row r="2404" spans="1:9" x14ac:dyDescent="0.2">
      <c r="A2404" t="s">
        <v>436</v>
      </c>
      <c r="B2404" t="s">
        <v>686</v>
      </c>
      <c r="C2404" t="str">
        <f t="shared" si="131"/>
        <v>19647330000000</v>
      </c>
      <c r="D2404" t="s">
        <v>4158</v>
      </c>
      <c r="E2404" t="str">
        <f>"19647336018568"</f>
        <v>19647336018568</v>
      </c>
      <c r="F2404" s="8">
        <v>4597</v>
      </c>
      <c r="G2404" s="8">
        <v>17252</v>
      </c>
      <c r="H2404" s="8">
        <v>932</v>
      </c>
      <c r="I2404" s="8">
        <v>2155</v>
      </c>
    </row>
    <row r="2405" spans="1:9" x14ac:dyDescent="0.2">
      <c r="A2405" t="s">
        <v>436</v>
      </c>
      <c r="B2405" t="s">
        <v>686</v>
      </c>
      <c r="C2405" t="str">
        <f t="shared" si="131"/>
        <v>19647330000000</v>
      </c>
      <c r="D2405" t="s">
        <v>4159</v>
      </c>
      <c r="E2405" t="str">
        <f>"19647336017669"</f>
        <v>19647336017669</v>
      </c>
      <c r="F2405" s="8">
        <v>2791</v>
      </c>
      <c r="G2405" s="8">
        <v>18921</v>
      </c>
      <c r="H2405" s="8">
        <v>916</v>
      </c>
      <c r="I2405" s="8">
        <v>2036</v>
      </c>
    </row>
    <row r="2406" spans="1:9" x14ac:dyDescent="0.2">
      <c r="A2406" t="s">
        <v>436</v>
      </c>
      <c r="B2406" t="s">
        <v>686</v>
      </c>
      <c r="C2406" t="str">
        <f t="shared" si="131"/>
        <v>19647330000000</v>
      </c>
      <c r="D2406" t="s">
        <v>4160</v>
      </c>
      <c r="E2406" t="str">
        <f>"19647336058127"</f>
        <v>19647336058127</v>
      </c>
      <c r="F2406" s="8">
        <v>3783</v>
      </c>
      <c r="G2406" s="8">
        <v>17802</v>
      </c>
      <c r="H2406" s="8">
        <v>937</v>
      </c>
      <c r="I2406" s="8">
        <v>2077</v>
      </c>
    </row>
    <row r="2407" spans="1:9" x14ac:dyDescent="0.2">
      <c r="A2407" t="s">
        <v>436</v>
      </c>
      <c r="B2407" t="s">
        <v>686</v>
      </c>
      <c r="C2407" t="str">
        <f t="shared" si="131"/>
        <v>19647330000000</v>
      </c>
      <c r="D2407" t="s">
        <v>4161</v>
      </c>
      <c r="E2407" t="str">
        <f>"19647336016513"</f>
        <v>19647336016513</v>
      </c>
      <c r="F2407" s="8">
        <v>3114</v>
      </c>
      <c r="G2407" s="8">
        <v>18452</v>
      </c>
      <c r="H2407" s="8">
        <v>915</v>
      </c>
      <c r="I2407" s="8">
        <v>2034</v>
      </c>
    </row>
    <row r="2408" spans="1:9" x14ac:dyDescent="0.2">
      <c r="A2408" t="s">
        <v>436</v>
      </c>
      <c r="B2408" t="s">
        <v>686</v>
      </c>
      <c r="C2408" t="str">
        <f t="shared" si="131"/>
        <v>19647330000000</v>
      </c>
      <c r="D2408" t="s">
        <v>4162</v>
      </c>
      <c r="E2408" t="str">
        <f>"19647336017826"</f>
        <v>19647336017826</v>
      </c>
      <c r="F2408" s="8">
        <v>1887</v>
      </c>
      <c r="G2408" s="8">
        <v>19621</v>
      </c>
      <c r="H2408" s="8">
        <v>921</v>
      </c>
      <c r="I2408" s="8">
        <v>2026</v>
      </c>
    </row>
    <row r="2409" spans="1:9" x14ac:dyDescent="0.2">
      <c r="A2409" t="s">
        <v>436</v>
      </c>
      <c r="B2409" t="s">
        <v>686</v>
      </c>
      <c r="C2409" t="str">
        <f t="shared" si="131"/>
        <v>19647330000000</v>
      </c>
      <c r="D2409" t="s">
        <v>4163</v>
      </c>
      <c r="E2409" t="str">
        <f>"19647336018428"</f>
        <v>19647336018428</v>
      </c>
      <c r="F2409" s="8">
        <v>3244</v>
      </c>
      <c r="G2409" s="8">
        <v>18241</v>
      </c>
      <c r="H2409" s="8">
        <v>925</v>
      </c>
      <c r="I2409" s="8">
        <v>2045</v>
      </c>
    </row>
    <row r="2410" spans="1:9" x14ac:dyDescent="0.2">
      <c r="A2410" t="s">
        <v>436</v>
      </c>
      <c r="B2410" t="s">
        <v>686</v>
      </c>
      <c r="C2410" t="str">
        <f t="shared" si="131"/>
        <v>19647330000000</v>
      </c>
      <c r="D2410" t="s">
        <v>4164</v>
      </c>
      <c r="E2410" t="str">
        <f>"19647336018717"</f>
        <v>19647336018717</v>
      </c>
      <c r="F2410" s="8">
        <v>3011</v>
      </c>
      <c r="G2410" s="8">
        <v>18391</v>
      </c>
      <c r="H2410" s="8">
        <v>935</v>
      </c>
      <c r="I2410" s="8">
        <v>2071</v>
      </c>
    </row>
    <row r="2411" spans="1:9" x14ac:dyDescent="0.2">
      <c r="A2411" t="s">
        <v>436</v>
      </c>
      <c r="B2411" t="s">
        <v>686</v>
      </c>
      <c r="C2411" t="str">
        <f t="shared" si="131"/>
        <v>19647330000000</v>
      </c>
      <c r="D2411" t="s">
        <v>4165</v>
      </c>
      <c r="E2411" t="str">
        <f>"19647336061394"</f>
        <v>19647336061394</v>
      </c>
      <c r="F2411" s="8">
        <v>2415</v>
      </c>
      <c r="G2411" s="8">
        <v>18911</v>
      </c>
      <c r="H2411" s="8">
        <v>924</v>
      </c>
      <c r="I2411" s="8">
        <v>2094</v>
      </c>
    </row>
    <row r="2412" spans="1:9" x14ac:dyDescent="0.2">
      <c r="A2412" t="s">
        <v>436</v>
      </c>
      <c r="B2412" t="s">
        <v>686</v>
      </c>
      <c r="C2412" t="str">
        <f t="shared" si="131"/>
        <v>19647330000000</v>
      </c>
      <c r="D2412" t="s">
        <v>4166</v>
      </c>
      <c r="E2412" t="str">
        <f>"19647330133744"</f>
        <v>19647330133744</v>
      </c>
      <c r="F2412" s="8">
        <v>2683</v>
      </c>
      <c r="G2412" s="8">
        <v>18616</v>
      </c>
      <c r="H2412" s="8">
        <v>917</v>
      </c>
      <c r="I2412" s="8">
        <v>2037</v>
      </c>
    </row>
    <row r="2413" spans="1:9" x14ac:dyDescent="0.2">
      <c r="A2413" t="s">
        <v>436</v>
      </c>
      <c r="B2413" t="s">
        <v>686</v>
      </c>
      <c r="C2413" t="str">
        <f t="shared" si="131"/>
        <v>19647330000000</v>
      </c>
      <c r="D2413" t="s">
        <v>4167</v>
      </c>
      <c r="E2413" t="str">
        <f>"19647336016216"</f>
        <v>19647336016216</v>
      </c>
      <c r="F2413" s="8">
        <v>4313</v>
      </c>
      <c r="G2413" s="8">
        <v>16794</v>
      </c>
      <c r="H2413" s="8">
        <v>921</v>
      </c>
      <c r="I2413" s="8">
        <v>2055</v>
      </c>
    </row>
    <row r="2414" spans="1:9" x14ac:dyDescent="0.2">
      <c r="A2414" t="s">
        <v>436</v>
      </c>
      <c r="B2414" t="s">
        <v>686</v>
      </c>
      <c r="C2414" t="str">
        <f t="shared" si="131"/>
        <v>19647330000000</v>
      </c>
      <c r="D2414" t="s">
        <v>4168</v>
      </c>
      <c r="E2414" t="str">
        <f>"19647331939305"</f>
        <v>19647331939305</v>
      </c>
      <c r="F2414" s="8">
        <v>4330</v>
      </c>
      <c r="G2414" s="8">
        <v>16649</v>
      </c>
      <c r="H2414" s="8">
        <v>924</v>
      </c>
      <c r="I2414" s="8">
        <v>2073</v>
      </c>
    </row>
    <row r="2415" spans="1:9" x14ac:dyDescent="0.2">
      <c r="A2415" t="s">
        <v>436</v>
      </c>
      <c r="B2415" t="s">
        <v>686</v>
      </c>
      <c r="C2415" t="str">
        <f t="shared" si="131"/>
        <v>19647330000000</v>
      </c>
      <c r="D2415" t="s">
        <v>4169</v>
      </c>
      <c r="E2415" t="str">
        <f>"19647336066286"</f>
        <v>19647336066286</v>
      </c>
      <c r="F2415" s="8">
        <v>2202</v>
      </c>
      <c r="G2415" s="8">
        <v>18744</v>
      </c>
      <c r="H2415" s="8">
        <v>935</v>
      </c>
      <c r="I2415" s="8">
        <v>2066</v>
      </c>
    </row>
    <row r="2416" spans="1:9" x14ac:dyDescent="0.2">
      <c r="A2416" t="s">
        <v>436</v>
      </c>
      <c r="B2416" t="s">
        <v>686</v>
      </c>
      <c r="C2416" t="str">
        <f t="shared" si="131"/>
        <v>19647330000000</v>
      </c>
      <c r="D2416" t="s">
        <v>4170</v>
      </c>
      <c r="E2416" t="str">
        <f>"19647336019772"</f>
        <v>19647336019772</v>
      </c>
      <c r="F2416" s="8">
        <v>2574</v>
      </c>
      <c r="G2416" s="8">
        <v>18313</v>
      </c>
      <c r="H2416" s="8">
        <v>938</v>
      </c>
      <c r="I2416" s="8">
        <v>2083</v>
      </c>
    </row>
    <row r="2417" spans="1:9" x14ac:dyDescent="0.2">
      <c r="A2417" t="s">
        <v>436</v>
      </c>
      <c r="B2417" t="s">
        <v>686</v>
      </c>
      <c r="C2417" t="str">
        <f t="shared" si="131"/>
        <v>19647330000000</v>
      </c>
      <c r="D2417" t="s">
        <v>4171</v>
      </c>
      <c r="E2417" t="str">
        <f>"19647336018972"</f>
        <v>19647336018972</v>
      </c>
      <c r="F2417" s="8">
        <v>3573</v>
      </c>
      <c r="G2417" s="8">
        <v>17411</v>
      </c>
      <c r="H2417" s="8">
        <v>904</v>
      </c>
      <c r="I2417" s="8">
        <v>1986</v>
      </c>
    </row>
    <row r="2418" spans="1:9" x14ac:dyDescent="0.2">
      <c r="A2418" t="s">
        <v>436</v>
      </c>
      <c r="B2418" t="s">
        <v>686</v>
      </c>
      <c r="C2418" t="str">
        <f t="shared" si="131"/>
        <v>19647330000000</v>
      </c>
      <c r="D2418" t="s">
        <v>4172</v>
      </c>
      <c r="E2418" t="str">
        <f>"19647330140046"</f>
        <v>19647330140046</v>
      </c>
      <c r="F2418" s="8">
        <v>2034</v>
      </c>
      <c r="G2418" s="8">
        <v>18866</v>
      </c>
      <c r="H2418" s="8">
        <v>917</v>
      </c>
      <c r="I2418" s="8">
        <v>2006</v>
      </c>
    </row>
    <row r="2419" spans="1:9" x14ac:dyDescent="0.2">
      <c r="A2419" t="s">
        <v>436</v>
      </c>
      <c r="B2419" t="s">
        <v>686</v>
      </c>
      <c r="C2419" t="str">
        <f t="shared" si="131"/>
        <v>19647330000000</v>
      </c>
      <c r="D2419" t="s">
        <v>4173</v>
      </c>
      <c r="E2419" t="str">
        <f>"19647336017081"</f>
        <v>19647336017081</v>
      </c>
      <c r="F2419" s="8">
        <v>2193</v>
      </c>
      <c r="G2419" s="8">
        <v>18619</v>
      </c>
      <c r="H2419" s="8">
        <v>917</v>
      </c>
      <c r="I2419" s="8">
        <v>2040</v>
      </c>
    </row>
    <row r="2420" spans="1:9" x14ac:dyDescent="0.2">
      <c r="A2420" t="s">
        <v>436</v>
      </c>
      <c r="B2420" t="s">
        <v>686</v>
      </c>
      <c r="C2420" t="str">
        <f t="shared" si="131"/>
        <v>19647330000000</v>
      </c>
      <c r="D2420" t="s">
        <v>4174</v>
      </c>
      <c r="E2420" t="str">
        <f>"19647331931971"</f>
        <v>19647331931971</v>
      </c>
      <c r="F2420" s="8">
        <v>5021</v>
      </c>
      <c r="G2420" s="8">
        <v>15835</v>
      </c>
      <c r="H2420" s="8">
        <v>911</v>
      </c>
      <c r="I2420" s="8">
        <v>2002</v>
      </c>
    </row>
    <row r="2421" spans="1:9" x14ac:dyDescent="0.2">
      <c r="A2421" t="s">
        <v>436</v>
      </c>
      <c r="B2421" t="s">
        <v>686</v>
      </c>
      <c r="C2421" t="str">
        <f t="shared" si="131"/>
        <v>19647330000000</v>
      </c>
      <c r="D2421" t="s">
        <v>4175</v>
      </c>
      <c r="E2421" t="str">
        <f>"19647330109280"</f>
        <v>19647330109280</v>
      </c>
      <c r="F2421" s="8">
        <v>2983</v>
      </c>
      <c r="G2421" s="8">
        <v>17667</v>
      </c>
      <c r="H2421" s="8">
        <v>917</v>
      </c>
      <c r="I2421" s="8">
        <v>2035</v>
      </c>
    </row>
    <row r="2422" spans="1:9" x14ac:dyDescent="0.2">
      <c r="A2422" t="s">
        <v>436</v>
      </c>
      <c r="B2422" t="s">
        <v>686</v>
      </c>
      <c r="C2422" t="str">
        <f t="shared" si="131"/>
        <v>19647330000000</v>
      </c>
      <c r="D2422" t="s">
        <v>4176</v>
      </c>
      <c r="E2422" t="str">
        <f>"19647330126474"</f>
        <v>19647330126474</v>
      </c>
      <c r="F2422" s="8">
        <v>3220</v>
      </c>
      <c r="G2422" s="8">
        <v>17401</v>
      </c>
      <c r="H2422" s="8">
        <v>919</v>
      </c>
      <c r="I2422" s="8">
        <v>2045</v>
      </c>
    </row>
    <row r="2423" spans="1:9" x14ac:dyDescent="0.2">
      <c r="A2423" t="s">
        <v>436</v>
      </c>
      <c r="B2423" t="s">
        <v>686</v>
      </c>
      <c r="C2423" t="str">
        <f t="shared" si="131"/>
        <v>19647330000000</v>
      </c>
      <c r="D2423" t="s">
        <v>4177</v>
      </c>
      <c r="E2423" t="str">
        <f>"19647336016711"</f>
        <v>19647336016711</v>
      </c>
      <c r="F2423" s="8">
        <v>2430</v>
      </c>
      <c r="G2423" s="8">
        <v>18098</v>
      </c>
      <c r="H2423" s="8">
        <v>918</v>
      </c>
      <c r="I2423" s="8">
        <v>2048</v>
      </c>
    </row>
    <row r="2424" spans="1:9" x14ac:dyDescent="0.2">
      <c r="A2424" t="s">
        <v>436</v>
      </c>
      <c r="B2424" t="s">
        <v>686</v>
      </c>
      <c r="C2424" t="str">
        <f t="shared" si="131"/>
        <v>19647330000000</v>
      </c>
      <c r="D2424" t="s">
        <v>4178</v>
      </c>
      <c r="E2424" t="str">
        <f>"19647336016083"</f>
        <v>19647336016083</v>
      </c>
      <c r="F2424" s="8">
        <v>2085</v>
      </c>
      <c r="G2424" s="8">
        <v>18271</v>
      </c>
      <c r="H2424" s="8">
        <v>937</v>
      </c>
      <c r="I2424" s="8">
        <v>2062</v>
      </c>
    </row>
    <row r="2425" spans="1:9" x14ac:dyDescent="0.2">
      <c r="A2425" t="s">
        <v>436</v>
      </c>
      <c r="B2425" t="s">
        <v>686</v>
      </c>
      <c r="C2425" t="str">
        <f t="shared" si="131"/>
        <v>19647330000000</v>
      </c>
      <c r="D2425" t="s">
        <v>4179</v>
      </c>
      <c r="E2425" t="str">
        <f>"19647336017230"</f>
        <v>19647336017230</v>
      </c>
      <c r="F2425" s="8">
        <v>2361</v>
      </c>
      <c r="G2425" s="8">
        <v>18012</v>
      </c>
      <c r="H2425" s="8">
        <v>918</v>
      </c>
      <c r="I2425" s="8">
        <v>2041</v>
      </c>
    </row>
    <row r="2426" spans="1:9" x14ac:dyDescent="0.2">
      <c r="A2426" t="s">
        <v>436</v>
      </c>
      <c r="B2426" t="s">
        <v>686</v>
      </c>
      <c r="C2426" t="str">
        <f t="shared" si="131"/>
        <v>19647330000000</v>
      </c>
      <c r="D2426" t="s">
        <v>4180</v>
      </c>
      <c r="E2426" t="str">
        <f>"19647331931377"</f>
        <v>19647331931377</v>
      </c>
      <c r="F2426" s="8">
        <v>4585</v>
      </c>
      <c r="G2426" s="8">
        <v>15716</v>
      </c>
      <c r="H2426" s="8">
        <v>927</v>
      </c>
      <c r="I2426" s="8">
        <v>2047</v>
      </c>
    </row>
    <row r="2427" spans="1:9" x14ac:dyDescent="0.2">
      <c r="A2427" t="s">
        <v>436</v>
      </c>
      <c r="B2427" t="s">
        <v>686</v>
      </c>
      <c r="C2427" t="str">
        <f t="shared" si="131"/>
        <v>19647330000000</v>
      </c>
      <c r="D2427" t="s">
        <v>4181</v>
      </c>
      <c r="E2427" t="str">
        <f>"19647331930296"</f>
        <v>19647331930296</v>
      </c>
      <c r="F2427" s="8">
        <v>5430</v>
      </c>
      <c r="G2427" s="8">
        <v>14933</v>
      </c>
      <c r="H2427" s="8">
        <v>904</v>
      </c>
      <c r="I2427" s="8">
        <v>1986</v>
      </c>
    </row>
    <row r="2428" spans="1:9" x14ac:dyDescent="0.2">
      <c r="A2428" t="s">
        <v>436</v>
      </c>
      <c r="B2428" t="s">
        <v>686</v>
      </c>
      <c r="C2428" t="str">
        <f t="shared" si="131"/>
        <v>19647330000000</v>
      </c>
      <c r="D2428" t="s">
        <v>4182</v>
      </c>
      <c r="E2428" t="str">
        <f>"19647336019749"</f>
        <v>19647336019749</v>
      </c>
      <c r="F2428" s="8">
        <v>4376</v>
      </c>
      <c r="G2428" s="8">
        <v>15841</v>
      </c>
      <c r="H2428" s="8">
        <v>915</v>
      </c>
      <c r="I2428" s="8">
        <v>2021</v>
      </c>
    </row>
    <row r="2429" spans="1:9" x14ac:dyDescent="0.2">
      <c r="A2429" t="s">
        <v>436</v>
      </c>
      <c r="B2429" t="s">
        <v>686</v>
      </c>
      <c r="C2429" t="str">
        <f t="shared" si="131"/>
        <v>19647330000000</v>
      </c>
      <c r="D2429" t="s">
        <v>3158</v>
      </c>
      <c r="E2429" t="str">
        <f>"19647330109439"</f>
        <v>19647330109439</v>
      </c>
      <c r="F2429" s="8">
        <v>3550</v>
      </c>
      <c r="G2429" s="8">
        <v>16564</v>
      </c>
      <c r="H2429" s="8">
        <v>919</v>
      </c>
      <c r="I2429" s="8">
        <v>2053</v>
      </c>
    </row>
    <row r="2430" spans="1:9" x14ac:dyDescent="0.2">
      <c r="A2430" t="s">
        <v>436</v>
      </c>
      <c r="B2430" t="s">
        <v>686</v>
      </c>
      <c r="C2430" t="str">
        <f t="shared" si="131"/>
        <v>19647330000000</v>
      </c>
      <c r="D2430" t="s">
        <v>4183</v>
      </c>
      <c r="E2430" t="str">
        <f>"19647336019095"</f>
        <v>19647336019095</v>
      </c>
      <c r="F2430" s="8">
        <v>4055</v>
      </c>
      <c r="G2430" s="8">
        <v>16028</v>
      </c>
      <c r="H2430" s="8">
        <v>910</v>
      </c>
      <c r="I2430" s="8">
        <v>2062</v>
      </c>
    </row>
    <row r="2431" spans="1:9" x14ac:dyDescent="0.2">
      <c r="A2431" t="s">
        <v>436</v>
      </c>
      <c r="B2431" t="s">
        <v>686</v>
      </c>
      <c r="C2431" t="str">
        <f t="shared" si="131"/>
        <v>19647330000000</v>
      </c>
      <c r="D2431" t="s">
        <v>4184</v>
      </c>
      <c r="E2431" t="str">
        <f>"19647336016075"</f>
        <v>19647336016075</v>
      </c>
      <c r="F2431" s="8">
        <v>2479</v>
      </c>
      <c r="G2431" s="8">
        <v>17582</v>
      </c>
      <c r="H2431" s="8">
        <v>910</v>
      </c>
      <c r="I2431" s="8">
        <v>2073</v>
      </c>
    </row>
    <row r="2432" spans="1:9" x14ac:dyDescent="0.2">
      <c r="A2432" t="s">
        <v>436</v>
      </c>
      <c r="B2432" t="s">
        <v>686</v>
      </c>
      <c r="C2432" t="str">
        <f t="shared" si="131"/>
        <v>19647330000000</v>
      </c>
      <c r="D2432" t="s">
        <v>4185</v>
      </c>
      <c r="E2432" t="str">
        <f>"19647331932250"</f>
        <v>19647331932250</v>
      </c>
      <c r="F2432" s="8">
        <v>3761</v>
      </c>
      <c r="G2432" s="8">
        <v>16376</v>
      </c>
      <c r="H2432" s="8">
        <v>908</v>
      </c>
      <c r="I2432" s="8">
        <v>1974</v>
      </c>
    </row>
    <row r="2433" spans="1:9" x14ac:dyDescent="0.2">
      <c r="A2433" t="s">
        <v>436</v>
      </c>
      <c r="B2433" t="s">
        <v>686</v>
      </c>
      <c r="C2433" t="str">
        <f t="shared" si="131"/>
        <v>19647330000000</v>
      </c>
      <c r="D2433" t="s">
        <v>4186</v>
      </c>
      <c r="E2433" t="str">
        <f>"19647330122416"</f>
        <v>19647330122416</v>
      </c>
      <c r="F2433" s="8">
        <v>3250</v>
      </c>
      <c r="G2433" s="8">
        <v>16772</v>
      </c>
      <c r="H2433" s="8">
        <v>924</v>
      </c>
      <c r="I2433" s="8">
        <v>2043</v>
      </c>
    </row>
    <row r="2434" spans="1:9" x14ac:dyDescent="0.2">
      <c r="A2434" t="s">
        <v>436</v>
      </c>
      <c r="B2434" t="s">
        <v>686</v>
      </c>
      <c r="C2434" t="str">
        <f t="shared" si="131"/>
        <v>19647330000000</v>
      </c>
      <c r="D2434" t="s">
        <v>4187</v>
      </c>
      <c r="E2434" t="str">
        <f>"19647336016224"</f>
        <v>19647336016224</v>
      </c>
      <c r="F2434" s="8">
        <v>2812</v>
      </c>
      <c r="G2434" s="8">
        <v>17196</v>
      </c>
      <c r="H2434" s="8">
        <v>921</v>
      </c>
      <c r="I2434" s="8">
        <v>2026</v>
      </c>
    </row>
    <row r="2435" spans="1:9" x14ac:dyDescent="0.2">
      <c r="A2435" t="s">
        <v>436</v>
      </c>
      <c r="B2435" t="s">
        <v>686</v>
      </c>
      <c r="C2435" t="str">
        <f t="shared" si="131"/>
        <v>19647330000000</v>
      </c>
      <c r="D2435" t="s">
        <v>4188</v>
      </c>
      <c r="E2435" t="str">
        <f>"19647336017305"</f>
        <v>19647336017305</v>
      </c>
      <c r="F2435" s="8">
        <v>2714</v>
      </c>
      <c r="G2435" s="8">
        <v>17204</v>
      </c>
      <c r="H2435" s="8">
        <v>914</v>
      </c>
      <c r="I2435" s="8">
        <v>2030</v>
      </c>
    </row>
    <row r="2436" spans="1:9" x14ac:dyDescent="0.2">
      <c r="A2436" t="s">
        <v>436</v>
      </c>
      <c r="B2436" t="s">
        <v>686</v>
      </c>
      <c r="C2436" t="str">
        <f t="shared" si="131"/>
        <v>19647330000000</v>
      </c>
      <c r="D2436" t="s">
        <v>4189</v>
      </c>
      <c r="E2436" t="str">
        <f>"19647336017289"</f>
        <v>19647336017289</v>
      </c>
      <c r="F2436" s="8">
        <v>2152</v>
      </c>
      <c r="G2436" s="8">
        <v>17778</v>
      </c>
      <c r="H2436" s="8">
        <v>918</v>
      </c>
      <c r="I2436" s="8">
        <v>2009</v>
      </c>
    </row>
    <row r="2437" spans="1:9" x14ac:dyDescent="0.2">
      <c r="A2437" t="s">
        <v>436</v>
      </c>
      <c r="B2437" t="s">
        <v>686</v>
      </c>
      <c r="C2437" t="str">
        <f t="shared" si="131"/>
        <v>19647330000000</v>
      </c>
      <c r="D2437" t="s">
        <v>4190</v>
      </c>
      <c r="E2437" t="str">
        <f>"19647336017271"</f>
        <v>19647336017271</v>
      </c>
      <c r="F2437" s="8">
        <v>2218</v>
      </c>
      <c r="G2437" s="8">
        <v>17675</v>
      </c>
      <c r="H2437" s="8">
        <v>915</v>
      </c>
      <c r="I2437" s="8">
        <v>2036</v>
      </c>
    </row>
    <row r="2438" spans="1:9" x14ac:dyDescent="0.2">
      <c r="A2438" t="s">
        <v>436</v>
      </c>
      <c r="B2438" t="s">
        <v>686</v>
      </c>
      <c r="C2438" t="str">
        <f t="shared" si="131"/>
        <v>19647330000000</v>
      </c>
      <c r="D2438" t="s">
        <v>4191</v>
      </c>
      <c r="E2438" t="str">
        <f>"19647331932821"</f>
        <v>19647331932821</v>
      </c>
      <c r="F2438" s="8">
        <v>2129</v>
      </c>
      <c r="G2438" s="8">
        <v>17625</v>
      </c>
      <c r="H2438" s="8">
        <v>914</v>
      </c>
      <c r="I2438" s="8">
        <v>2161</v>
      </c>
    </row>
    <row r="2439" spans="1:9" x14ac:dyDescent="0.2">
      <c r="A2439" t="s">
        <v>436</v>
      </c>
      <c r="B2439" t="s">
        <v>686</v>
      </c>
      <c r="C2439" t="str">
        <f t="shared" si="131"/>
        <v>19647330000000</v>
      </c>
      <c r="D2439" t="s">
        <v>4192</v>
      </c>
      <c r="E2439" t="str">
        <f>"19647330102764"</f>
        <v>19647330102764</v>
      </c>
      <c r="F2439" s="8">
        <v>4068</v>
      </c>
      <c r="G2439" s="8">
        <v>15754</v>
      </c>
      <c r="H2439" s="8">
        <v>935</v>
      </c>
      <c r="I2439" s="8">
        <v>2068</v>
      </c>
    </row>
    <row r="2440" spans="1:9" x14ac:dyDescent="0.2">
      <c r="A2440" t="s">
        <v>436</v>
      </c>
      <c r="B2440" t="s">
        <v>686</v>
      </c>
      <c r="C2440" t="str">
        <f t="shared" si="131"/>
        <v>19647330000000</v>
      </c>
      <c r="D2440" t="s">
        <v>4193</v>
      </c>
      <c r="E2440" t="str">
        <f>"19647336016208"</f>
        <v>19647336016208</v>
      </c>
      <c r="F2440" s="8">
        <v>3557</v>
      </c>
      <c r="G2440" s="8">
        <v>16265</v>
      </c>
      <c r="H2440" s="8">
        <v>925</v>
      </c>
      <c r="I2440" s="8">
        <v>2050</v>
      </c>
    </row>
    <row r="2441" spans="1:9" x14ac:dyDescent="0.2">
      <c r="A2441" t="s">
        <v>436</v>
      </c>
      <c r="B2441" t="s">
        <v>686</v>
      </c>
      <c r="C2441" t="str">
        <f t="shared" si="131"/>
        <v>19647330000000</v>
      </c>
      <c r="D2441" t="s">
        <v>4194</v>
      </c>
      <c r="E2441" t="str">
        <f>"19647336017115"</f>
        <v>19647336017115</v>
      </c>
      <c r="F2441" s="8">
        <v>2935</v>
      </c>
      <c r="G2441" s="8">
        <v>16784</v>
      </c>
      <c r="H2441" s="8">
        <v>918</v>
      </c>
      <c r="I2441" s="8">
        <v>2046</v>
      </c>
    </row>
    <row r="2442" spans="1:9" x14ac:dyDescent="0.2">
      <c r="A2442" t="s">
        <v>436</v>
      </c>
      <c r="B2442" t="s">
        <v>686</v>
      </c>
      <c r="C2442" t="str">
        <f t="shared" si="131"/>
        <v>19647330000000</v>
      </c>
      <c r="D2442" t="s">
        <v>4195</v>
      </c>
      <c r="E2442" t="str">
        <f>"19647331931435"</f>
        <v>19647331931435</v>
      </c>
      <c r="F2442" s="8">
        <v>2931</v>
      </c>
      <c r="G2442" s="8">
        <v>16769</v>
      </c>
      <c r="H2442" s="8">
        <v>909</v>
      </c>
      <c r="I2442" s="8">
        <v>1976</v>
      </c>
    </row>
    <row r="2443" spans="1:9" x14ac:dyDescent="0.2">
      <c r="A2443" t="s">
        <v>436</v>
      </c>
      <c r="B2443" t="s">
        <v>686</v>
      </c>
      <c r="C2443" t="str">
        <f t="shared" si="131"/>
        <v>19647330000000</v>
      </c>
      <c r="D2443" t="s">
        <v>4196</v>
      </c>
      <c r="E2443" t="str">
        <f>"19647330122341"</f>
        <v>19647330122341</v>
      </c>
      <c r="F2443" s="8">
        <v>2754</v>
      </c>
      <c r="G2443" s="8">
        <v>16859</v>
      </c>
      <c r="H2443" s="8">
        <v>917</v>
      </c>
      <c r="I2443" s="8">
        <v>2039</v>
      </c>
    </row>
    <row r="2444" spans="1:9" x14ac:dyDescent="0.2">
      <c r="A2444" t="s">
        <v>436</v>
      </c>
      <c r="B2444" t="s">
        <v>686</v>
      </c>
      <c r="C2444" t="str">
        <f t="shared" si="131"/>
        <v>19647330000000</v>
      </c>
      <c r="D2444" t="s">
        <v>4197</v>
      </c>
      <c r="E2444" t="str">
        <f>"19647336017917"</f>
        <v>19647336017917</v>
      </c>
      <c r="F2444" s="8">
        <v>2226</v>
      </c>
      <c r="G2444" s="8">
        <v>17432</v>
      </c>
      <c r="H2444" s="8">
        <v>904</v>
      </c>
      <c r="I2444" s="8">
        <v>1986</v>
      </c>
    </row>
    <row r="2445" spans="1:9" x14ac:dyDescent="0.2">
      <c r="A2445" t="s">
        <v>436</v>
      </c>
      <c r="B2445" t="s">
        <v>686</v>
      </c>
      <c r="C2445" t="str">
        <f t="shared" si="131"/>
        <v>19647330000000</v>
      </c>
      <c r="D2445" t="s">
        <v>4198</v>
      </c>
      <c r="E2445" t="str">
        <f>"19647336017800"</f>
        <v>19647336017800</v>
      </c>
      <c r="F2445" s="8">
        <v>3444</v>
      </c>
      <c r="G2445" s="8">
        <v>16157</v>
      </c>
      <c r="H2445" s="8">
        <v>914</v>
      </c>
      <c r="I2445" s="8">
        <v>2023</v>
      </c>
    </row>
    <row r="2446" spans="1:9" x14ac:dyDescent="0.2">
      <c r="A2446" t="s">
        <v>436</v>
      </c>
      <c r="B2446" t="s">
        <v>686</v>
      </c>
      <c r="C2446" t="str">
        <f t="shared" si="131"/>
        <v>19647330000000</v>
      </c>
      <c r="D2446" t="s">
        <v>4199</v>
      </c>
      <c r="E2446" t="str">
        <f>"19647331995794"</f>
        <v>19647331995794</v>
      </c>
      <c r="F2446" s="8">
        <v>1863</v>
      </c>
      <c r="G2446" s="8">
        <v>17714</v>
      </c>
      <c r="H2446" s="8">
        <v>911</v>
      </c>
      <c r="I2446" s="8">
        <v>2034</v>
      </c>
    </row>
    <row r="2447" spans="1:9" x14ac:dyDescent="0.2">
      <c r="A2447" t="s">
        <v>436</v>
      </c>
      <c r="B2447" t="s">
        <v>686</v>
      </c>
      <c r="C2447" t="str">
        <f t="shared" si="131"/>
        <v>19647330000000</v>
      </c>
      <c r="D2447" t="s">
        <v>4200</v>
      </c>
      <c r="E2447" t="str">
        <f>"19647336104814"</f>
        <v>19647336104814</v>
      </c>
      <c r="F2447" s="8">
        <v>3792</v>
      </c>
      <c r="G2447" s="8">
        <v>15511</v>
      </c>
      <c r="H2447" s="8">
        <v>942</v>
      </c>
      <c r="I2447" s="8">
        <v>2069</v>
      </c>
    </row>
    <row r="2448" spans="1:9" x14ac:dyDescent="0.2">
      <c r="A2448" t="s">
        <v>436</v>
      </c>
      <c r="B2448" t="s">
        <v>686</v>
      </c>
      <c r="C2448" t="str">
        <f t="shared" si="131"/>
        <v>19647330000000</v>
      </c>
      <c r="D2448" t="s">
        <v>3735</v>
      </c>
      <c r="E2448" t="str">
        <f>"19647336071443"</f>
        <v>19647336071443</v>
      </c>
      <c r="F2448" s="8">
        <v>3345</v>
      </c>
      <c r="G2448" s="8">
        <v>15937</v>
      </c>
      <c r="H2448" s="8">
        <v>920</v>
      </c>
      <c r="I2448" s="8">
        <v>2058</v>
      </c>
    </row>
    <row r="2449" spans="1:9" x14ac:dyDescent="0.2">
      <c r="A2449" t="s">
        <v>436</v>
      </c>
      <c r="B2449" t="s">
        <v>686</v>
      </c>
      <c r="C2449" t="str">
        <f t="shared" si="131"/>
        <v>19647330000000</v>
      </c>
      <c r="D2449" t="s">
        <v>4201</v>
      </c>
      <c r="E2449" t="str">
        <f>"19647330112037"</f>
        <v>19647330112037</v>
      </c>
      <c r="F2449" s="8">
        <v>2427</v>
      </c>
      <c r="G2449" s="8">
        <v>16896</v>
      </c>
      <c r="H2449" s="8">
        <v>919</v>
      </c>
      <c r="I2449" s="8">
        <v>2014</v>
      </c>
    </row>
    <row r="2450" spans="1:9" x14ac:dyDescent="0.2">
      <c r="A2450" t="s">
        <v>436</v>
      </c>
      <c r="B2450" t="s">
        <v>686</v>
      </c>
      <c r="C2450" t="str">
        <f t="shared" si="131"/>
        <v>19647330000000</v>
      </c>
      <c r="D2450" t="s">
        <v>4202</v>
      </c>
      <c r="E2450" t="str">
        <f>"19647336018261"</f>
        <v>19647336018261</v>
      </c>
      <c r="F2450" s="8">
        <v>2600</v>
      </c>
      <c r="G2450" s="8">
        <v>16682</v>
      </c>
      <c r="H2450" s="8">
        <v>916</v>
      </c>
      <c r="I2450" s="8">
        <v>2035</v>
      </c>
    </row>
    <row r="2451" spans="1:9" x14ac:dyDescent="0.2">
      <c r="A2451" t="s">
        <v>436</v>
      </c>
      <c r="B2451" t="s">
        <v>686</v>
      </c>
      <c r="C2451" t="str">
        <f t="shared" si="131"/>
        <v>19647330000000</v>
      </c>
      <c r="D2451" t="s">
        <v>4203</v>
      </c>
      <c r="E2451" t="str">
        <f>"19647336016653"</f>
        <v>19647336016653</v>
      </c>
      <c r="F2451" s="8">
        <v>2372</v>
      </c>
      <c r="G2451" s="8">
        <v>16838</v>
      </c>
      <c r="H2451" s="8">
        <v>936</v>
      </c>
      <c r="I2451" s="8">
        <v>2068</v>
      </c>
    </row>
    <row r="2452" spans="1:9" x14ac:dyDescent="0.2">
      <c r="A2452" t="s">
        <v>436</v>
      </c>
      <c r="B2452" t="s">
        <v>686</v>
      </c>
      <c r="C2452" t="str">
        <f t="shared" si="131"/>
        <v>19647330000000</v>
      </c>
      <c r="D2452" t="s">
        <v>4204</v>
      </c>
      <c r="E2452" t="str">
        <f>"19647336019160"</f>
        <v>19647336019160</v>
      </c>
      <c r="F2452" s="8">
        <v>2436</v>
      </c>
      <c r="G2452" s="8">
        <v>16763</v>
      </c>
      <c r="H2452" s="8">
        <v>937</v>
      </c>
      <c r="I2452" s="8">
        <v>2071</v>
      </c>
    </row>
    <row r="2453" spans="1:9" x14ac:dyDescent="0.2">
      <c r="A2453" t="s">
        <v>436</v>
      </c>
      <c r="B2453" t="s">
        <v>686</v>
      </c>
      <c r="C2453" t="str">
        <f t="shared" si="131"/>
        <v>19647330000000</v>
      </c>
      <c r="D2453" t="s">
        <v>4205</v>
      </c>
      <c r="E2453" t="str">
        <f>"19647331931856"</f>
        <v>19647331931856</v>
      </c>
      <c r="F2453" s="8">
        <v>4132</v>
      </c>
      <c r="G2453" s="8">
        <v>14995</v>
      </c>
      <c r="H2453" s="8">
        <v>941</v>
      </c>
      <c r="I2453" s="8">
        <v>2098</v>
      </c>
    </row>
    <row r="2454" spans="1:9" x14ac:dyDescent="0.2">
      <c r="A2454" t="s">
        <v>436</v>
      </c>
      <c r="B2454" t="s">
        <v>686</v>
      </c>
      <c r="C2454" t="str">
        <f t="shared" si="131"/>
        <v>19647330000000</v>
      </c>
      <c r="D2454" t="s">
        <v>4206</v>
      </c>
      <c r="E2454" t="str">
        <f>"19647336066294"</f>
        <v>19647336066294</v>
      </c>
      <c r="F2454" s="8">
        <v>3726</v>
      </c>
      <c r="G2454" s="8">
        <v>15380</v>
      </c>
      <c r="H2454" s="8">
        <v>920</v>
      </c>
      <c r="I2454" s="8">
        <v>2030</v>
      </c>
    </row>
    <row r="2455" spans="1:9" x14ac:dyDescent="0.2">
      <c r="A2455" t="s">
        <v>436</v>
      </c>
      <c r="B2455" t="s">
        <v>686</v>
      </c>
      <c r="C2455" t="str">
        <f t="shared" ref="C2455:C2518" si="132">"19647330000000"</f>
        <v>19647330000000</v>
      </c>
      <c r="D2455" t="s">
        <v>4207</v>
      </c>
      <c r="E2455" t="str">
        <f>"19647336061535"</f>
        <v>19647336061535</v>
      </c>
      <c r="F2455" s="8">
        <v>2464</v>
      </c>
      <c r="G2455" s="8">
        <v>16525</v>
      </c>
      <c r="H2455" s="8">
        <v>939</v>
      </c>
      <c r="I2455" s="8">
        <v>2080</v>
      </c>
    </row>
    <row r="2456" spans="1:9" x14ac:dyDescent="0.2">
      <c r="A2456" t="s">
        <v>436</v>
      </c>
      <c r="B2456" t="s">
        <v>686</v>
      </c>
      <c r="C2456" t="str">
        <f t="shared" si="132"/>
        <v>19647330000000</v>
      </c>
      <c r="D2456" t="s">
        <v>4208</v>
      </c>
      <c r="E2456" t="str">
        <f>"19647336104822"</f>
        <v>19647336104822</v>
      </c>
      <c r="F2456" s="8">
        <v>2331</v>
      </c>
      <c r="G2456" s="8">
        <v>16650</v>
      </c>
      <c r="H2456" s="8">
        <v>910</v>
      </c>
      <c r="I2456" s="8">
        <v>2070</v>
      </c>
    </row>
    <row r="2457" spans="1:9" x14ac:dyDescent="0.2">
      <c r="A2457" t="s">
        <v>436</v>
      </c>
      <c r="B2457" t="s">
        <v>686</v>
      </c>
      <c r="C2457" t="str">
        <f t="shared" si="132"/>
        <v>19647330000000</v>
      </c>
      <c r="D2457" t="s">
        <v>4209</v>
      </c>
      <c r="E2457" t="str">
        <f>"19647336018212"</f>
        <v>19647336018212</v>
      </c>
      <c r="F2457" s="8">
        <v>2115</v>
      </c>
      <c r="G2457" s="8">
        <v>16879</v>
      </c>
      <c r="H2457" s="8">
        <v>917</v>
      </c>
      <c r="I2457" s="8">
        <v>2039</v>
      </c>
    </row>
    <row r="2458" spans="1:9" x14ac:dyDescent="0.2">
      <c r="A2458" t="s">
        <v>436</v>
      </c>
      <c r="B2458" t="s">
        <v>686</v>
      </c>
      <c r="C2458" t="str">
        <f t="shared" si="132"/>
        <v>19647330000000</v>
      </c>
      <c r="D2458" t="s">
        <v>4210</v>
      </c>
      <c r="E2458" t="str">
        <f>"19647336017438"</f>
        <v>19647336017438</v>
      </c>
      <c r="F2458" s="8">
        <v>2492</v>
      </c>
      <c r="G2458" s="8">
        <v>16503</v>
      </c>
      <c r="H2458" s="8">
        <v>918</v>
      </c>
      <c r="I2458" s="8">
        <v>2012</v>
      </c>
    </row>
    <row r="2459" spans="1:9" x14ac:dyDescent="0.2">
      <c r="A2459" t="s">
        <v>436</v>
      </c>
      <c r="B2459" t="s">
        <v>686</v>
      </c>
      <c r="C2459" t="str">
        <f t="shared" si="132"/>
        <v>19647330000000</v>
      </c>
      <c r="D2459" t="s">
        <v>4211</v>
      </c>
      <c r="E2459" t="str">
        <f>"19647336015945"</f>
        <v>19647336015945</v>
      </c>
      <c r="F2459" s="8">
        <v>2226</v>
      </c>
      <c r="G2459" s="8">
        <v>16730</v>
      </c>
      <c r="H2459" s="8">
        <v>920</v>
      </c>
      <c r="I2459" s="8">
        <v>2024</v>
      </c>
    </row>
    <row r="2460" spans="1:9" x14ac:dyDescent="0.2">
      <c r="A2460" t="s">
        <v>436</v>
      </c>
      <c r="B2460" t="s">
        <v>686</v>
      </c>
      <c r="C2460" t="str">
        <f t="shared" si="132"/>
        <v>19647330000000</v>
      </c>
      <c r="D2460" t="s">
        <v>4212</v>
      </c>
      <c r="E2460" t="str">
        <f>"19647336019822"</f>
        <v>19647336019822</v>
      </c>
      <c r="F2460" s="8">
        <v>2247</v>
      </c>
      <c r="G2460" s="8">
        <v>16618</v>
      </c>
      <c r="H2460" s="8">
        <v>936</v>
      </c>
      <c r="I2460" s="8">
        <v>2075</v>
      </c>
    </row>
    <row r="2461" spans="1:9" x14ac:dyDescent="0.2">
      <c r="A2461" t="s">
        <v>436</v>
      </c>
      <c r="B2461" t="s">
        <v>686</v>
      </c>
      <c r="C2461" t="str">
        <f t="shared" si="132"/>
        <v>19647330000000</v>
      </c>
      <c r="D2461" t="s">
        <v>4213</v>
      </c>
      <c r="E2461" t="str">
        <f>"19647336017057"</f>
        <v>19647336017057</v>
      </c>
      <c r="F2461" s="8">
        <v>2767</v>
      </c>
      <c r="G2461" s="8">
        <v>16009</v>
      </c>
      <c r="H2461" s="8">
        <v>924</v>
      </c>
      <c r="I2461" s="8">
        <v>2093</v>
      </c>
    </row>
    <row r="2462" spans="1:9" x14ac:dyDescent="0.2">
      <c r="A2462" t="s">
        <v>436</v>
      </c>
      <c r="B2462" t="s">
        <v>686</v>
      </c>
      <c r="C2462" t="str">
        <f t="shared" si="132"/>
        <v>19647330000000</v>
      </c>
      <c r="D2462" t="s">
        <v>4214</v>
      </c>
      <c r="E2462" t="str">
        <f>"19647331930940"</f>
        <v>19647331930940</v>
      </c>
      <c r="F2462" s="8">
        <v>3391</v>
      </c>
      <c r="G2462" s="8">
        <v>15387</v>
      </c>
      <c r="H2462" s="8">
        <v>922</v>
      </c>
      <c r="I2462" s="8">
        <v>2033</v>
      </c>
    </row>
    <row r="2463" spans="1:9" x14ac:dyDescent="0.2">
      <c r="A2463" t="s">
        <v>436</v>
      </c>
      <c r="B2463" t="s">
        <v>686</v>
      </c>
      <c r="C2463" t="str">
        <f t="shared" si="132"/>
        <v>19647330000000</v>
      </c>
      <c r="D2463" t="s">
        <v>4215</v>
      </c>
      <c r="E2463" t="str">
        <f>"19647330126482"</f>
        <v>19647330126482</v>
      </c>
      <c r="F2463" s="8">
        <v>4112</v>
      </c>
      <c r="G2463" s="8">
        <v>14507</v>
      </c>
      <c r="H2463" s="8">
        <v>938</v>
      </c>
      <c r="I2463" s="8">
        <v>2078</v>
      </c>
    </row>
    <row r="2464" spans="1:9" x14ac:dyDescent="0.2">
      <c r="A2464" t="s">
        <v>436</v>
      </c>
      <c r="B2464" t="s">
        <v>686</v>
      </c>
      <c r="C2464" t="str">
        <f t="shared" si="132"/>
        <v>19647330000000</v>
      </c>
      <c r="D2464" t="s">
        <v>4216</v>
      </c>
      <c r="E2464" t="str">
        <f>"19647336018501"</f>
        <v>19647336018501</v>
      </c>
      <c r="F2464" s="8">
        <v>2661</v>
      </c>
      <c r="G2464" s="8">
        <v>16007</v>
      </c>
      <c r="H2464" s="8">
        <v>921</v>
      </c>
      <c r="I2464" s="8">
        <v>2037</v>
      </c>
    </row>
    <row r="2465" spans="1:9" x14ac:dyDescent="0.2">
      <c r="A2465" t="s">
        <v>436</v>
      </c>
      <c r="B2465" t="s">
        <v>686</v>
      </c>
      <c r="C2465" t="str">
        <f t="shared" si="132"/>
        <v>19647330000000</v>
      </c>
      <c r="D2465" t="s">
        <v>4217</v>
      </c>
      <c r="E2465" t="str">
        <f>"19647336018519"</f>
        <v>19647336018519</v>
      </c>
      <c r="F2465" s="8">
        <v>3447</v>
      </c>
      <c r="G2465" s="8">
        <v>14992</v>
      </c>
      <c r="H2465" s="8">
        <v>931</v>
      </c>
      <c r="I2465" s="8">
        <v>2149</v>
      </c>
    </row>
    <row r="2466" spans="1:9" x14ac:dyDescent="0.2">
      <c r="A2466" t="s">
        <v>436</v>
      </c>
      <c r="B2466" t="s">
        <v>686</v>
      </c>
      <c r="C2466" t="str">
        <f t="shared" si="132"/>
        <v>19647330000000</v>
      </c>
      <c r="D2466" t="s">
        <v>4218</v>
      </c>
      <c r="E2466" t="str">
        <f>"19647330116954"</f>
        <v>19647330116954</v>
      </c>
      <c r="F2466" s="8">
        <v>1467</v>
      </c>
      <c r="G2466" s="8">
        <v>17053</v>
      </c>
      <c r="H2466" s="8">
        <v>909</v>
      </c>
      <c r="I2466" s="8">
        <v>1981</v>
      </c>
    </row>
    <row r="2467" spans="1:9" x14ac:dyDescent="0.2">
      <c r="A2467" t="s">
        <v>436</v>
      </c>
      <c r="B2467" t="s">
        <v>686</v>
      </c>
      <c r="C2467" t="str">
        <f t="shared" si="132"/>
        <v>19647330000000</v>
      </c>
      <c r="D2467" t="s">
        <v>4219</v>
      </c>
      <c r="E2467" t="str">
        <f>"19647330137083"</f>
        <v>19647330137083</v>
      </c>
      <c r="F2467" s="8">
        <v>3439</v>
      </c>
      <c r="G2467" s="8">
        <v>14883</v>
      </c>
      <c r="H2467" s="8">
        <v>932</v>
      </c>
      <c r="I2467" s="8">
        <v>2155</v>
      </c>
    </row>
    <row r="2468" spans="1:9" x14ac:dyDescent="0.2">
      <c r="A2468" t="s">
        <v>436</v>
      </c>
      <c r="B2468" t="s">
        <v>686</v>
      </c>
      <c r="C2468" t="str">
        <f t="shared" si="132"/>
        <v>19647330000000</v>
      </c>
      <c r="D2468" t="s">
        <v>4220</v>
      </c>
      <c r="E2468" t="str">
        <f>"19647336015853"</f>
        <v>19647336015853</v>
      </c>
      <c r="F2468" s="8">
        <v>3958</v>
      </c>
      <c r="G2468" s="8">
        <v>14447</v>
      </c>
      <c r="H2468" s="8">
        <v>916</v>
      </c>
      <c r="I2468" s="8">
        <v>2039</v>
      </c>
    </row>
    <row r="2469" spans="1:9" x14ac:dyDescent="0.2">
      <c r="A2469" t="s">
        <v>436</v>
      </c>
      <c r="B2469" t="s">
        <v>686</v>
      </c>
      <c r="C2469" t="str">
        <f t="shared" si="132"/>
        <v>19647330000000</v>
      </c>
      <c r="D2469" t="s">
        <v>3558</v>
      </c>
      <c r="E2469" t="str">
        <f>"19647336018659"</f>
        <v>19647336018659</v>
      </c>
      <c r="F2469" s="8">
        <v>2061</v>
      </c>
      <c r="G2469" s="8">
        <v>16282</v>
      </c>
      <c r="H2469" s="8">
        <v>938</v>
      </c>
      <c r="I2469" s="8">
        <v>2075</v>
      </c>
    </row>
    <row r="2470" spans="1:9" x14ac:dyDescent="0.2">
      <c r="A2470" t="s">
        <v>436</v>
      </c>
      <c r="B2470" t="s">
        <v>686</v>
      </c>
      <c r="C2470" t="str">
        <f t="shared" si="132"/>
        <v>19647330000000</v>
      </c>
      <c r="D2470" t="s">
        <v>4221</v>
      </c>
      <c r="E2470" t="str">
        <f>"19647330129536"</f>
        <v>19647330129536</v>
      </c>
      <c r="F2470" s="8">
        <v>4157</v>
      </c>
      <c r="G2470" s="8">
        <v>14182</v>
      </c>
      <c r="H2470" s="8">
        <v>909</v>
      </c>
      <c r="I2470" s="8">
        <v>2040</v>
      </c>
    </row>
    <row r="2471" spans="1:9" x14ac:dyDescent="0.2">
      <c r="A2471" t="s">
        <v>436</v>
      </c>
      <c r="B2471" t="s">
        <v>686</v>
      </c>
      <c r="C2471" t="str">
        <f t="shared" si="132"/>
        <v>19647330000000</v>
      </c>
      <c r="D2471" t="s">
        <v>4222</v>
      </c>
      <c r="E2471" t="str">
        <f>"19647336017677"</f>
        <v>19647336017677</v>
      </c>
      <c r="F2471" s="8">
        <v>2507</v>
      </c>
      <c r="G2471" s="8">
        <v>15746</v>
      </c>
      <c r="H2471" s="8">
        <v>924</v>
      </c>
      <c r="I2471" s="8">
        <v>2090</v>
      </c>
    </row>
    <row r="2472" spans="1:9" x14ac:dyDescent="0.2">
      <c r="A2472" t="s">
        <v>436</v>
      </c>
      <c r="B2472" t="s">
        <v>686</v>
      </c>
      <c r="C2472" t="str">
        <f t="shared" si="132"/>
        <v>19647330000000</v>
      </c>
      <c r="D2472" t="s">
        <v>4223</v>
      </c>
      <c r="E2472" t="str">
        <f>"19647330117069"</f>
        <v>19647330117069</v>
      </c>
      <c r="F2472" s="8">
        <v>3096</v>
      </c>
      <c r="G2472" s="8">
        <v>15106</v>
      </c>
      <c r="H2472" s="8">
        <v>938</v>
      </c>
      <c r="I2472" s="8">
        <v>2083</v>
      </c>
    </row>
    <row r="2473" spans="1:9" x14ac:dyDescent="0.2">
      <c r="A2473" t="s">
        <v>436</v>
      </c>
      <c r="B2473" t="s">
        <v>686</v>
      </c>
      <c r="C2473" t="str">
        <f t="shared" si="132"/>
        <v>19647330000000</v>
      </c>
      <c r="D2473" t="s">
        <v>4224</v>
      </c>
      <c r="E2473" t="str">
        <f>"19647336019558"</f>
        <v>19647336019558</v>
      </c>
      <c r="F2473" s="8">
        <v>2465</v>
      </c>
      <c r="G2473" s="8">
        <v>15747</v>
      </c>
      <c r="H2473" s="8">
        <v>940</v>
      </c>
      <c r="I2473" s="8">
        <v>2064</v>
      </c>
    </row>
    <row r="2474" spans="1:9" x14ac:dyDescent="0.2">
      <c r="A2474" t="s">
        <v>436</v>
      </c>
      <c r="B2474" t="s">
        <v>686</v>
      </c>
      <c r="C2474" t="str">
        <f t="shared" si="132"/>
        <v>19647330000000</v>
      </c>
      <c r="D2474" t="s">
        <v>4225</v>
      </c>
      <c r="E2474" t="str">
        <f>"19647330109231"</f>
        <v>19647330109231</v>
      </c>
      <c r="F2474" s="8">
        <v>2596</v>
      </c>
      <c r="G2474" s="8">
        <v>15611</v>
      </c>
      <c r="H2474" s="8">
        <v>911</v>
      </c>
      <c r="I2474" s="8">
        <v>2030</v>
      </c>
    </row>
    <row r="2475" spans="1:9" x14ac:dyDescent="0.2">
      <c r="A2475" t="s">
        <v>436</v>
      </c>
      <c r="B2475" t="s">
        <v>686</v>
      </c>
      <c r="C2475" t="str">
        <f t="shared" si="132"/>
        <v>19647330000000</v>
      </c>
      <c r="D2475" t="s">
        <v>4226</v>
      </c>
      <c r="E2475" t="str">
        <f>"19647330117051"</f>
        <v>19647330117051</v>
      </c>
      <c r="F2475" s="8">
        <v>2201</v>
      </c>
      <c r="G2475" s="8">
        <v>16024</v>
      </c>
      <c r="H2475" s="8">
        <v>904</v>
      </c>
      <c r="I2475" s="8">
        <v>1986</v>
      </c>
    </row>
    <row r="2476" spans="1:9" x14ac:dyDescent="0.2">
      <c r="A2476" t="s">
        <v>436</v>
      </c>
      <c r="B2476" t="s">
        <v>686</v>
      </c>
      <c r="C2476" t="str">
        <f t="shared" si="132"/>
        <v>19647330000000</v>
      </c>
      <c r="D2476" t="s">
        <v>1074</v>
      </c>
      <c r="E2476" t="str">
        <f>"19647336018311"</f>
        <v>19647336018311</v>
      </c>
      <c r="F2476" s="8">
        <v>3338</v>
      </c>
      <c r="G2476" s="8">
        <v>14824</v>
      </c>
      <c r="H2476" s="8">
        <v>922</v>
      </c>
      <c r="I2476" s="8">
        <v>2025</v>
      </c>
    </row>
    <row r="2477" spans="1:9" x14ac:dyDescent="0.2">
      <c r="A2477" t="s">
        <v>436</v>
      </c>
      <c r="B2477" t="s">
        <v>686</v>
      </c>
      <c r="C2477" t="str">
        <f t="shared" si="132"/>
        <v>19647330000000</v>
      </c>
      <c r="D2477" t="s">
        <v>4227</v>
      </c>
      <c r="E2477" t="str">
        <f>"19647336018055"</f>
        <v>19647336018055</v>
      </c>
      <c r="F2477" s="8">
        <v>3002</v>
      </c>
      <c r="G2477" s="8">
        <v>15148</v>
      </c>
      <c r="H2477" s="8">
        <v>916</v>
      </c>
      <c r="I2477" s="8">
        <v>2033</v>
      </c>
    </row>
    <row r="2478" spans="1:9" x14ac:dyDescent="0.2">
      <c r="A2478" t="s">
        <v>436</v>
      </c>
      <c r="B2478" t="s">
        <v>686</v>
      </c>
      <c r="C2478" t="str">
        <f t="shared" si="132"/>
        <v>19647330000000</v>
      </c>
      <c r="D2478" t="s">
        <v>4228</v>
      </c>
      <c r="E2478" t="str">
        <f>"19647336017982"</f>
        <v>19647336017982</v>
      </c>
      <c r="F2478" s="8">
        <v>1982</v>
      </c>
      <c r="G2478" s="8">
        <v>15988</v>
      </c>
      <c r="H2478" s="8">
        <v>946</v>
      </c>
      <c r="I2478" s="8">
        <v>2115</v>
      </c>
    </row>
    <row r="2479" spans="1:9" x14ac:dyDescent="0.2">
      <c r="A2479" t="s">
        <v>436</v>
      </c>
      <c r="B2479" t="s">
        <v>686</v>
      </c>
      <c r="C2479" t="str">
        <f t="shared" si="132"/>
        <v>19647330000000</v>
      </c>
      <c r="D2479" t="s">
        <v>4229</v>
      </c>
      <c r="E2479" t="str">
        <f>"19647331930924"</f>
        <v>19647331930924</v>
      </c>
      <c r="F2479" s="8">
        <v>2622</v>
      </c>
      <c r="G2479" s="8">
        <v>15447</v>
      </c>
      <c r="H2479" s="8">
        <v>904</v>
      </c>
      <c r="I2479" s="8">
        <v>1986</v>
      </c>
    </row>
    <row r="2480" spans="1:9" x14ac:dyDescent="0.2">
      <c r="A2480" t="s">
        <v>436</v>
      </c>
      <c r="B2480" t="s">
        <v>686</v>
      </c>
      <c r="C2480" t="str">
        <f t="shared" si="132"/>
        <v>19647330000000</v>
      </c>
      <c r="D2480" t="s">
        <v>4230</v>
      </c>
      <c r="E2480" t="str">
        <f>"19647336016133"</f>
        <v>19647336016133</v>
      </c>
      <c r="F2480" s="8">
        <v>2376</v>
      </c>
      <c r="G2480" s="8">
        <v>15564</v>
      </c>
      <c r="H2480" s="8">
        <v>939</v>
      </c>
      <c r="I2480" s="8">
        <v>2068</v>
      </c>
    </row>
    <row r="2481" spans="1:9" x14ac:dyDescent="0.2">
      <c r="A2481" t="s">
        <v>436</v>
      </c>
      <c r="B2481" t="s">
        <v>686</v>
      </c>
      <c r="C2481" t="str">
        <f t="shared" si="132"/>
        <v>19647330000000</v>
      </c>
      <c r="D2481" t="s">
        <v>4231</v>
      </c>
      <c r="E2481" t="str">
        <f>"19647336017487"</f>
        <v>19647336017487</v>
      </c>
      <c r="F2481" s="8">
        <v>2856</v>
      </c>
      <c r="G2481" s="8">
        <v>15127</v>
      </c>
      <c r="H2481" s="8">
        <v>915</v>
      </c>
      <c r="I2481" s="8">
        <v>2031</v>
      </c>
    </row>
    <row r="2482" spans="1:9" x14ac:dyDescent="0.2">
      <c r="A2482" t="s">
        <v>436</v>
      </c>
      <c r="B2482" t="s">
        <v>686</v>
      </c>
      <c r="C2482" t="str">
        <f t="shared" si="132"/>
        <v>19647330000000</v>
      </c>
      <c r="D2482" t="s">
        <v>4232</v>
      </c>
      <c r="E2482" t="str">
        <f>"19647336016448"</f>
        <v>19647336016448</v>
      </c>
      <c r="F2482" s="8">
        <v>2426</v>
      </c>
      <c r="G2482" s="8">
        <v>15485</v>
      </c>
      <c r="H2482" s="8">
        <v>938</v>
      </c>
      <c r="I2482" s="8">
        <v>2077</v>
      </c>
    </row>
    <row r="2483" spans="1:9" x14ac:dyDescent="0.2">
      <c r="A2483" t="s">
        <v>436</v>
      </c>
      <c r="B2483" t="s">
        <v>686</v>
      </c>
      <c r="C2483" t="str">
        <f t="shared" si="132"/>
        <v>19647330000000</v>
      </c>
      <c r="D2483" t="s">
        <v>2779</v>
      </c>
      <c r="E2483" t="str">
        <f>"19647336061527"</f>
        <v>19647336061527</v>
      </c>
      <c r="F2483" s="8">
        <v>2182</v>
      </c>
      <c r="G2483" s="8">
        <v>15762</v>
      </c>
      <c r="H2483" s="8">
        <v>912</v>
      </c>
      <c r="I2483" s="8">
        <v>2040</v>
      </c>
    </row>
    <row r="2484" spans="1:9" x14ac:dyDescent="0.2">
      <c r="A2484" t="s">
        <v>436</v>
      </c>
      <c r="B2484" t="s">
        <v>686</v>
      </c>
      <c r="C2484" t="str">
        <f t="shared" si="132"/>
        <v>19647330000000</v>
      </c>
      <c r="D2484" t="s">
        <v>4233</v>
      </c>
      <c r="E2484" t="str">
        <f>"19647336018725"</f>
        <v>19647336018725</v>
      </c>
      <c r="F2484" s="8">
        <v>2127</v>
      </c>
      <c r="G2484" s="8">
        <v>15738</v>
      </c>
      <c r="H2484" s="8">
        <v>936</v>
      </c>
      <c r="I2484" s="8">
        <v>2075</v>
      </c>
    </row>
    <row r="2485" spans="1:9" x14ac:dyDescent="0.2">
      <c r="A2485" t="s">
        <v>436</v>
      </c>
      <c r="B2485" t="s">
        <v>686</v>
      </c>
      <c r="C2485" t="str">
        <f t="shared" si="132"/>
        <v>19647330000000</v>
      </c>
      <c r="D2485" t="s">
        <v>4234</v>
      </c>
      <c r="E2485" t="str">
        <f>"19647336016679"</f>
        <v>19647336016679</v>
      </c>
      <c r="F2485" s="8">
        <v>2202</v>
      </c>
      <c r="G2485" s="8">
        <v>15684</v>
      </c>
      <c r="H2485" s="8">
        <v>910</v>
      </c>
      <c r="I2485" s="8">
        <v>2060</v>
      </c>
    </row>
    <row r="2486" spans="1:9" x14ac:dyDescent="0.2">
      <c r="A2486" t="s">
        <v>436</v>
      </c>
      <c r="B2486" t="s">
        <v>686</v>
      </c>
      <c r="C2486" t="str">
        <f t="shared" si="132"/>
        <v>19647330000000</v>
      </c>
      <c r="D2486" t="s">
        <v>4235</v>
      </c>
      <c r="E2486" t="str">
        <f>"19647336015879"</f>
        <v>19647336015879</v>
      </c>
      <c r="F2486" s="8">
        <v>2050</v>
      </c>
      <c r="G2486" s="8">
        <v>15876</v>
      </c>
      <c r="H2486" s="8">
        <v>918</v>
      </c>
      <c r="I2486" s="8">
        <v>2010</v>
      </c>
    </row>
    <row r="2487" spans="1:9" x14ac:dyDescent="0.2">
      <c r="A2487" t="s">
        <v>436</v>
      </c>
      <c r="B2487" t="s">
        <v>686</v>
      </c>
      <c r="C2487" t="str">
        <f t="shared" si="132"/>
        <v>19647330000000</v>
      </c>
      <c r="D2487" t="s">
        <v>4236</v>
      </c>
      <c r="E2487" t="str">
        <f>"19647331932318"</f>
        <v>19647331932318</v>
      </c>
      <c r="F2487" s="8">
        <v>2115</v>
      </c>
      <c r="G2487" s="8">
        <v>15760</v>
      </c>
      <c r="H2487" s="8">
        <v>927</v>
      </c>
      <c r="I2487" s="8">
        <v>2041</v>
      </c>
    </row>
    <row r="2488" spans="1:9" x14ac:dyDescent="0.2">
      <c r="A2488" t="s">
        <v>436</v>
      </c>
      <c r="B2488" t="s">
        <v>686</v>
      </c>
      <c r="C2488" t="str">
        <f t="shared" si="132"/>
        <v>19647330000000</v>
      </c>
      <c r="D2488" t="s">
        <v>4237</v>
      </c>
      <c r="E2488" t="str">
        <f>"19647336017008"</f>
        <v>19647336017008</v>
      </c>
      <c r="F2488" s="8">
        <v>2293</v>
      </c>
      <c r="G2488" s="8">
        <v>15567</v>
      </c>
      <c r="H2488" s="8">
        <v>918</v>
      </c>
      <c r="I2488" s="8">
        <v>2047</v>
      </c>
    </row>
    <row r="2489" spans="1:9" x14ac:dyDescent="0.2">
      <c r="A2489" t="s">
        <v>436</v>
      </c>
      <c r="B2489" t="s">
        <v>686</v>
      </c>
      <c r="C2489" t="str">
        <f t="shared" si="132"/>
        <v>19647330000000</v>
      </c>
      <c r="D2489" t="s">
        <v>1715</v>
      </c>
      <c r="E2489" t="str">
        <f>"19647336017354"</f>
        <v>19647336017354</v>
      </c>
      <c r="F2489" s="8">
        <v>2128</v>
      </c>
      <c r="G2489" s="8">
        <v>15614</v>
      </c>
      <c r="H2489" s="8">
        <v>938</v>
      </c>
      <c r="I2489" s="8">
        <v>2082</v>
      </c>
    </row>
    <row r="2490" spans="1:9" x14ac:dyDescent="0.2">
      <c r="A2490" t="s">
        <v>436</v>
      </c>
      <c r="B2490" t="s">
        <v>686</v>
      </c>
      <c r="C2490" t="str">
        <f t="shared" si="132"/>
        <v>19647330000000</v>
      </c>
      <c r="D2490" t="s">
        <v>4238</v>
      </c>
      <c r="E2490" t="str">
        <f>"19647330112029"</f>
        <v>19647330112029</v>
      </c>
      <c r="F2490" s="8">
        <v>2613</v>
      </c>
      <c r="G2490" s="8">
        <v>15099</v>
      </c>
      <c r="H2490" s="8">
        <v>945</v>
      </c>
      <c r="I2490" s="8">
        <v>2094</v>
      </c>
    </row>
    <row r="2491" spans="1:9" x14ac:dyDescent="0.2">
      <c r="A2491" t="s">
        <v>436</v>
      </c>
      <c r="B2491" t="s">
        <v>686</v>
      </c>
      <c r="C2491" t="str">
        <f t="shared" si="132"/>
        <v>19647330000000</v>
      </c>
      <c r="D2491" t="s">
        <v>4239</v>
      </c>
      <c r="E2491" t="str">
        <f>"19647336016026"</f>
        <v>19647336016026</v>
      </c>
      <c r="F2491" s="8">
        <v>2927</v>
      </c>
      <c r="G2491" s="8">
        <v>14875</v>
      </c>
      <c r="H2491" s="8">
        <v>920</v>
      </c>
      <c r="I2491" s="8">
        <v>2017</v>
      </c>
    </row>
    <row r="2492" spans="1:9" x14ac:dyDescent="0.2">
      <c r="A2492" t="s">
        <v>436</v>
      </c>
      <c r="B2492" t="s">
        <v>686</v>
      </c>
      <c r="C2492" t="str">
        <f t="shared" si="132"/>
        <v>19647330000000</v>
      </c>
      <c r="D2492" t="s">
        <v>4240</v>
      </c>
      <c r="E2492" t="str">
        <f>"19647336018790"</f>
        <v>19647336018790</v>
      </c>
      <c r="F2492" s="8">
        <v>2331</v>
      </c>
      <c r="G2492" s="8">
        <v>15352</v>
      </c>
      <c r="H2492" s="8">
        <v>925</v>
      </c>
      <c r="I2492" s="8">
        <v>2045</v>
      </c>
    </row>
    <row r="2493" spans="1:9" x14ac:dyDescent="0.2">
      <c r="A2493" t="s">
        <v>436</v>
      </c>
      <c r="B2493" t="s">
        <v>686</v>
      </c>
      <c r="C2493" t="str">
        <f t="shared" si="132"/>
        <v>19647330000000</v>
      </c>
      <c r="D2493" t="s">
        <v>4241</v>
      </c>
      <c r="E2493" t="str">
        <f>"19647331930973"</f>
        <v>19647331930973</v>
      </c>
      <c r="F2493" s="8">
        <v>2609</v>
      </c>
      <c r="G2493" s="8">
        <v>15082</v>
      </c>
      <c r="H2493" s="8">
        <v>917</v>
      </c>
      <c r="I2493" s="8">
        <v>2036</v>
      </c>
    </row>
    <row r="2494" spans="1:9" x14ac:dyDescent="0.2">
      <c r="A2494" t="s">
        <v>436</v>
      </c>
      <c r="B2494" t="s">
        <v>686</v>
      </c>
      <c r="C2494" t="str">
        <f t="shared" si="132"/>
        <v>19647330000000</v>
      </c>
      <c r="D2494" t="s">
        <v>4242</v>
      </c>
      <c r="E2494" t="str">
        <f>"19647331931385"</f>
        <v>19647331931385</v>
      </c>
      <c r="F2494" s="8">
        <v>1980</v>
      </c>
      <c r="G2494" s="8">
        <v>15761</v>
      </c>
      <c r="H2494" s="8">
        <v>908</v>
      </c>
      <c r="I2494" s="8">
        <v>1974</v>
      </c>
    </row>
    <row r="2495" spans="1:9" x14ac:dyDescent="0.2">
      <c r="A2495" t="s">
        <v>436</v>
      </c>
      <c r="B2495" t="s">
        <v>686</v>
      </c>
      <c r="C2495" t="str">
        <f t="shared" si="132"/>
        <v>19647330000000</v>
      </c>
      <c r="D2495" t="s">
        <v>4243</v>
      </c>
      <c r="E2495" t="str">
        <f>"19647336018709"</f>
        <v>19647336018709</v>
      </c>
      <c r="F2495" s="8">
        <v>1839</v>
      </c>
      <c r="G2495" s="8">
        <v>15688</v>
      </c>
      <c r="H2495" s="8">
        <v>948</v>
      </c>
      <c r="I2495" s="8">
        <v>2121</v>
      </c>
    </row>
    <row r="2496" spans="1:9" x14ac:dyDescent="0.2">
      <c r="A2496" t="s">
        <v>436</v>
      </c>
      <c r="B2496" t="s">
        <v>686</v>
      </c>
      <c r="C2496" t="str">
        <f t="shared" si="132"/>
        <v>19647330000000</v>
      </c>
      <c r="D2496" t="s">
        <v>4244</v>
      </c>
      <c r="E2496" t="str">
        <f>"19647331931393"</f>
        <v>19647331931393</v>
      </c>
      <c r="F2496" s="8">
        <v>3196</v>
      </c>
      <c r="G2496" s="8">
        <v>14358</v>
      </c>
      <c r="H2496" s="8">
        <v>932</v>
      </c>
      <c r="I2496" s="8">
        <v>2097</v>
      </c>
    </row>
    <row r="2497" spans="1:9" x14ac:dyDescent="0.2">
      <c r="A2497" t="s">
        <v>436</v>
      </c>
      <c r="B2497" t="s">
        <v>686</v>
      </c>
      <c r="C2497" t="str">
        <f t="shared" si="132"/>
        <v>19647330000000</v>
      </c>
      <c r="D2497" t="s">
        <v>4245</v>
      </c>
      <c r="E2497" t="str">
        <f>"19647336016612"</f>
        <v>19647336016612</v>
      </c>
      <c r="F2497" s="8">
        <v>3010</v>
      </c>
      <c r="G2497" s="8">
        <v>14455</v>
      </c>
      <c r="H2497" s="8">
        <v>934</v>
      </c>
      <c r="I2497" s="8">
        <v>2167</v>
      </c>
    </row>
    <row r="2498" spans="1:9" x14ac:dyDescent="0.2">
      <c r="A2498" t="s">
        <v>436</v>
      </c>
      <c r="B2498" t="s">
        <v>686</v>
      </c>
      <c r="C2498" t="str">
        <f t="shared" si="132"/>
        <v>19647330000000</v>
      </c>
      <c r="D2498" t="s">
        <v>4246</v>
      </c>
      <c r="E2498" t="str">
        <f>"19647336015952"</f>
        <v>19647336015952</v>
      </c>
      <c r="F2498" s="8">
        <v>4571</v>
      </c>
      <c r="G2498" s="8">
        <v>13047</v>
      </c>
      <c r="H2498" s="8">
        <v>919</v>
      </c>
      <c r="I2498" s="8">
        <v>2023</v>
      </c>
    </row>
    <row r="2499" spans="1:9" x14ac:dyDescent="0.2">
      <c r="A2499" t="s">
        <v>436</v>
      </c>
      <c r="B2499" t="s">
        <v>686</v>
      </c>
      <c r="C2499" t="str">
        <f t="shared" si="132"/>
        <v>19647330000000</v>
      </c>
      <c r="D2499" t="s">
        <v>4247</v>
      </c>
      <c r="E2499" t="str">
        <f>"19647336017784"</f>
        <v>19647336017784</v>
      </c>
      <c r="F2499" s="8">
        <v>2392</v>
      </c>
      <c r="G2499" s="8">
        <v>15223</v>
      </c>
      <c r="H2499" s="8">
        <v>920</v>
      </c>
      <c r="I2499" s="8">
        <v>2022</v>
      </c>
    </row>
    <row r="2500" spans="1:9" x14ac:dyDescent="0.2">
      <c r="A2500" t="s">
        <v>436</v>
      </c>
      <c r="B2500" t="s">
        <v>686</v>
      </c>
      <c r="C2500" t="str">
        <f t="shared" si="132"/>
        <v>19647330000000</v>
      </c>
      <c r="D2500" t="s">
        <v>4248</v>
      </c>
      <c r="E2500" t="str">
        <f>"19647336017586"</f>
        <v>19647336017586</v>
      </c>
      <c r="F2500" s="8">
        <v>3310</v>
      </c>
      <c r="G2500" s="8">
        <v>14179</v>
      </c>
      <c r="H2500" s="8">
        <v>939</v>
      </c>
      <c r="I2500" s="8">
        <v>2081</v>
      </c>
    </row>
    <row r="2501" spans="1:9" x14ac:dyDescent="0.2">
      <c r="A2501" t="s">
        <v>436</v>
      </c>
      <c r="B2501" t="s">
        <v>686</v>
      </c>
      <c r="C2501" t="str">
        <f t="shared" si="132"/>
        <v>19647330000000</v>
      </c>
      <c r="D2501" t="s">
        <v>4249</v>
      </c>
      <c r="E2501" t="str">
        <f>"19647330126573"</f>
        <v>19647330126573</v>
      </c>
      <c r="F2501" s="8">
        <v>2609</v>
      </c>
      <c r="G2501" s="8">
        <v>14899</v>
      </c>
      <c r="H2501" s="8">
        <v>911</v>
      </c>
      <c r="I2501" s="8">
        <v>2042</v>
      </c>
    </row>
    <row r="2502" spans="1:9" x14ac:dyDescent="0.2">
      <c r="A2502" t="s">
        <v>436</v>
      </c>
      <c r="B2502" t="s">
        <v>686</v>
      </c>
      <c r="C2502" t="str">
        <f t="shared" si="132"/>
        <v>19647330000000</v>
      </c>
      <c r="D2502" t="s">
        <v>4250</v>
      </c>
      <c r="E2502" t="str">
        <f>"19647336019988"</f>
        <v>19647336019988</v>
      </c>
      <c r="F2502" s="8">
        <v>2349</v>
      </c>
      <c r="G2502" s="8">
        <v>15048</v>
      </c>
      <c r="H2502" s="8">
        <v>938</v>
      </c>
      <c r="I2502" s="8">
        <v>2078</v>
      </c>
    </row>
    <row r="2503" spans="1:9" x14ac:dyDescent="0.2">
      <c r="A2503" t="s">
        <v>436</v>
      </c>
      <c r="B2503" t="s">
        <v>686</v>
      </c>
      <c r="C2503" t="str">
        <f t="shared" si="132"/>
        <v>19647330000000</v>
      </c>
      <c r="D2503" t="s">
        <v>4251</v>
      </c>
      <c r="E2503" t="str">
        <f>"19647336018295"</f>
        <v>19647336018295</v>
      </c>
      <c r="F2503" s="8">
        <v>2406</v>
      </c>
      <c r="G2503" s="8">
        <v>15058</v>
      </c>
      <c r="H2503" s="8">
        <v>920</v>
      </c>
      <c r="I2503" s="8">
        <v>2018</v>
      </c>
    </row>
    <row r="2504" spans="1:9" x14ac:dyDescent="0.2">
      <c r="A2504" t="s">
        <v>436</v>
      </c>
      <c r="B2504" t="s">
        <v>686</v>
      </c>
      <c r="C2504" t="str">
        <f t="shared" si="132"/>
        <v>19647330000000</v>
      </c>
      <c r="D2504" t="s">
        <v>4252</v>
      </c>
      <c r="E2504" t="str">
        <f>"19647336058382"</f>
        <v>19647336058382</v>
      </c>
      <c r="F2504" s="8">
        <v>1991</v>
      </c>
      <c r="G2504" s="8">
        <v>15331</v>
      </c>
      <c r="H2504" s="8">
        <v>948</v>
      </c>
      <c r="I2504" s="8">
        <v>2114</v>
      </c>
    </row>
    <row r="2505" spans="1:9" x14ac:dyDescent="0.2">
      <c r="A2505" t="s">
        <v>436</v>
      </c>
      <c r="B2505" t="s">
        <v>686</v>
      </c>
      <c r="C2505" t="str">
        <f t="shared" si="132"/>
        <v>19647330000000</v>
      </c>
      <c r="D2505" t="s">
        <v>4253</v>
      </c>
      <c r="E2505" t="str">
        <f>"19647336019806"</f>
        <v>19647336019806</v>
      </c>
      <c r="F2505" s="8">
        <v>2757</v>
      </c>
      <c r="G2505" s="8">
        <v>14599</v>
      </c>
      <c r="H2505" s="8">
        <v>938</v>
      </c>
      <c r="I2505" s="8">
        <v>2076</v>
      </c>
    </row>
    <row r="2506" spans="1:9" x14ac:dyDescent="0.2">
      <c r="A2506" t="s">
        <v>436</v>
      </c>
      <c r="B2506" t="s">
        <v>686</v>
      </c>
      <c r="C2506" t="str">
        <f t="shared" si="132"/>
        <v>19647330000000</v>
      </c>
      <c r="D2506" t="s">
        <v>4254</v>
      </c>
      <c r="E2506" t="str">
        <f>"19647336107064"</f>
        <v>19647336107064</v>
      </c>
      <c r="F2506" s="8">
        <v>3233</v>
      </c>
      <c r="G2506" s="8">
        <v>14117</v>
      </c>
      <c r="H2506" s="8">
        <v>938</v>
      </c>
      <c r="I2506" s="8">
        <v>2077</v>
      </c>
    </row>
    <row r="2507" spans="1:9" x14ac:dyDescent="0.2">
      <c r="A2507" t="s">
        <v>436</v>
      </c>
      <c r="B2507" t="s">
        <v>686</v>
      </c>
      <c r="C2507" t="str">
        <f t="shared" si="132"/>
        <v>19647330000000</v>
      </c>
      <c r="D2507" t="s">
        <v>4255</v>
      </c>
      <c r="E2507" t="str">
        <f>"19647336015820"</f>
        <v>19647336015820</v>
      </c>
      <c r="F2507" s="8">
        <v>2072</v>
      </c>
      <c r="G2507" s="8">
        <v>15338</v>
      </c>
      <c r="H2507" s="8">
        <v>920</v>
      </c>
      <c r="I2507" s="8">
        <v>2024</v>
      </c>
    </row>
    <row r="2508" spans="1:9" x14ac:dyDescent="0.2">
      <c r="A2508" t="s">
        <v>436</v>
      </c>
      <c r="B2508" t="s">
        <v>686</v>
      </c>
      <c r="C2508" t="str">
        <f t="shared" si="132"/>
        <v>19647330000000</v>
      </c>
      <c r="D2508" t="s">
        <v>4256</v>
      </c>
      <c r="E2508" t="str">
        <f>"19647336089700"</f>
        <v>19647336089700</v>
      </c>
      <c r="F2508" s="8">
        <v>2173</v>
      </c>
      <c r="G2508" s="8">
        <v>15201</v>
      </c>
      <c r="H2508" s="8">
        <v>917</v>
      </c>
      <c r="I2508" s="8">
        <v>2036</v>
      </c>
    </row>
    <row r="2509" spans="1:9" x14ac:dyDescent="0.2">
      <c r="A2509" t="s">
        <v>436</v>
      </c>
      <c r="B2509" t="s">
        <v>686</v>
      </c>
      <c r="C2509" t="str">
        <f t="shared" si="132"/>
        <v>19647330000000</v>
      </c>
      <c r="D2509" t="s">
        <v>4257</v>
      </c>
      <c r="E2509" t="str">
        <f>"19647336018873"</f>
        <v>19647336018873</v>
      </c>
      <c r="F2509" s="8">
        <v>1917</v>
      </c>
      <c r="G2509" s="8">
        <v>15400</v>
      </c>
      <c r="H2509" s="8">
        <v>940</v>
      </c>
      <c r="I2509" s="8">
        <v>2068</v>
      </c>
    </row>
    <row r="2510" spans="1:9" x14ac:dyDescent="0.2">
      <c r="A2510" t="s">
        <v>436</v>
      </c>
      <c r="B2510" t="s">
        <v>686</v>
      </c>
      <c r="C2510" t="str">
        <f t="shared" si="132"/>
        <v>19647330000000</v>
      </c>
      <c r="D2510" t="s">
        <v>4258</v>
      </c>
      <c r="E2510" t="str">
        <f>"19647336015804"</f>
        <v>19647336015804</v>
      </c>
      <c r="F2510" s="8">
        <v>2446</v>
      </c>
      <c r="G2510" s="8">
        <v>14829</v>
      </c>
      <c r="H2510" s="8">
        <v>939</v>
      </c>
      <c r="I2510" s="8">
        <v>2078</v>
      </c>
    </row>
    <row r="2511" spans="1:9" x14ac:dyDescent="0.2">
      <c r="A2511" t="s">
        <v>436</v>
      </c>
      <c r="B2511" t="s">
        <v>686</v>
      </c>
      <c r="C2511" t="str">
        <f t="shared" si="132"/>
        <v>19647330000000</v>
      </c>
      <c r="D2511" t="s">
        <v>4259</v>
      </c>
      <c r="E2511" t="str">
        <f>"19647336061402"</f>
        <v>19647336061402</v>
      </c>
      <c r="F2511" s="8">
        <v>2588</v>
      </c>
      <c r="G2511" s="8">
        <v>14602</v>
      </c>
      <c r="H2511" s="8">
        <v>918</v>
      </c>
      <c r="I2511" s="8">
        <v>2047</v>
      </c>
    </row>
    <row r="2512" spans="1:9" x14ac:dyDescent="0.2">
      <c r="A2512" t="s">
        <v>436</v>
      </c>
      <c r="B2512" t="s">
        <v>686</v>
      </c>
      <c r="C2512" t="str">
        <f t="shared" si="132"/>
        <v>19647330000000</v>
      </c>
      <c r="D2512" t="s">
        <v>4260</v>
      </c>
      <c r="E2512" t="str">
        <f>"19647336018279"</f>
        <v>19647336018279</v>
      </c>
      <c r="F2512" s="8">
        <v>2687</v>
      </c>
      <c r="G2512" s="8">
        <v>14490</v>
      </c>
      <c r="H2512" s="8">
        <v>920</v>
      </c>
      <c r="I2512" s="8">
        <v>2025</v>
      </c>
    </row>
    <row r="2513" spans="1:9" x14ac:dyDescent="0.2">
      <c r="A2513" t="s">
        <v>436</v>
      </c>
      <c r="B2513" t="s">
        <v>686</v>
      </c>
      <c r="C2513" t="str">
        <f t="shared" si="132"/>
        <v>19647330000000</v>
      </c>
      <c r="D2513" t="s">
        <v>4261</v>
      </c>
      <c r="E2513" t="str">
        <f>"19647336019509"</f>
        <v>19647336019509</v>
      </c>
      <c r="F2513" s="8">
        <v>1888</v>
      </c>
      <c r="G2513" s="8">
        <v>15253</v>
      </c>
      <c r="H2513" s="8">
        <v>921</v>
      </c>
      <c r="I2513" s="8">
        <v>2054</v>
      </c>
    </row>
    <row r="2514" spans="1:9" x14ac:dyDescent="0.2">
      <c r="A2514" t="s">
        <v>436</v>
      </c>
      <c r="B2514" t="s">
        <v>686</v>
      </c>
      <c r="C2514" t="str">
        <f t="shared" si="132"/>
        <v>19647330000000</v>
      </c>
      <c r="D2514" t="s">
        <v>4262</v>
      </c>
      <c r="E2514" t="str">
        <f>"19647330135681"</f>
        <v>19647330135681</v>
      </c>
      <c r="F2514" s="8">
        <v>3238</v>
      </c>
      <c r="G2514" s="8">
        <v>13838</v>
      </c>
      <c r="H2514" s="8">
        <v>939</v>
      </c>
      <c r="I2514" s="8">
        <v>2082</v>
      </c>
    </row>
    <row r="2515" spans="1:9" x14ac:dyDescent="0.2">
      <c r="A2515" t="s">
        <v>436</v>
      </c>
      <c r="B2515" t="s">
        <v>686</v>
      </c>
      <c r="C2515" t="str">
        <f t="shared" si="132"/>
        <v>19647330000000</v>
      </c>
      <c r="D2515" t="s">
        <v>4263</v>
      </c>
      <c r="E2515" t="str">
        <f>"19647336018485"</f>
        <v>19647336018485</v>
      </c>
      <c r="F2515" s="8">
        <v>3291</v>
      </c>
      <c r="G2515" s="8">
        <v>13707</v>
      </c>
      <c r="H2515" s="8">
        <v>931</v>
      </c>
      <c r="I2515" s="8">
        <v>2151</v>
      </c>
    </row>
    <row r="2516" spans="1:9" x14ac:dyDescent="0.2">
      <c r="A2516" t="s">
        <v>436</v>
      </c>
      <c r="B2516" t="s">
        <v>686</v>
      </c>
      <c r="C2516" t="str">
        <f t="shared" si="132"/>
        <v>19647330000000</v>
      </c>
      <c r="D2516" t="s">
        <v>4264</v>
      </c>
      <c r="E2516" t="str">
        <f>"19647336016455"</f>
        <v>19647336016455</v>
      </c>
      <c r="F2516" s="8">
        <v>2183</v>
      </c>
      <c r="G2516" s="8">
        <v>14962</v>
      </c>
      <c r="H2516" s="8">
        <v>919</v>
      </c>
      <c r="I2516" s="8">
        <v>2015</v>
      </c>
    </row>
    <row r="2517" spans="1:9" x14ac:dyDescent="0.2">
      <c r="A2517" t="s">
        <v>436</v>
      </c>
      <c r="B2517" t="s">
        <v>686</v>
      </c>
      <c r="C2517" t="str">
        <f t="shared" si="132"/>
        <v>19647330000000</v>
      </c>
      <c r="D2517" t="s">
        <v>4265</v>
      </c>
      <c r="E2517" t="str">
        <f>"19647336019434"</f>
        <v>19647336019434</v>
      </c>
      <c r="F2517" s="8">
        <v>2781</v>
      </c>
      <c r="G2517" s="8">
        <v>14304</v>
      </c>
      <c r="H2517" s="8">
        <v>918</v>
      </c>
      <c r="I2517" s="8">
        <v>2016</v>
      </c>
    </row>
    <row r="2518" spans="1:9" x14ac:dyDescent="0.2">
      <c r="A2518" t="s">
        <v>436</v>
      </c>
      <c r="B2518" t="s">
        <v>686</v>
      </c>
      <c r="C2518" t="str">
        <f t="shared" si="132"/>
        <v>19647330000000</v>
      </c>
      <c r="D2518" t="s">
        <v>4266</v>
      </c>
      <c r="E2518" t="str">
        <f>"19647331932383"</f>
        <v>19647331932383</v>
      </c>
      <c r="F2518" s="8">
        <v>2009</v>
      </c>
      <c r="G2518" s="8">
        <v>14992</v>
      </c>
      <c r="H2518" s="8">
        <v>924</v>
      </c>
      <c r="I2518" s="8">
        <v>2091</v>
      </c>
    </row>
    <row r="2519" spans="1:9" x14ac:dyDescent="0.2">
      <c r="A2519" t="s">
        <v>436</v>
      </c>
      <c r="B2519" t="s">
        <v>686</v>
      </c>
      <c r="C2519" t="str">
        <f t="shared" ref="C2519:C2582" si="133">"19647330000000"</f>
        <v>19647330000000</v>
      </c>
      <c r="D2519" t="s">
        <v>4267</v>
      </c>
      <c r="E2519" t="str">
        <f>"19647336019921"</f>
        <v>19647336019921</v>
      </c>
      <c r="F2519" s="8">
        <v>1854</v>
      </c>
      <c r="G2519" s="8">
        <v>15093</v>
      </c>
      <c r="H2519" s="8">
        <v>948</v>
      </c>
      <c r="I2519" s="8">
        <v>2121</v>
      </c>
    </row>
    <row r="2520" spans="1:9" x14ac:dyDescent="0.2">
      <c r="A2520" t="s">
        <v>436</v>
      </c>
      <c r="B2520" t="s">
        <v>686</v>
      </c>
      <c r="C2520" t="str">
        <f t="shared" si="133"/>
        <v>19647330000000</v>
      </c>
      <c r="D2520" t="s">
        <v>4268</v>
      </c>
      <c r="E2520" t="str">
        <f>"19647331931484"</f>
        <v>19647331931484</v>
      </c>
      <c r="F2520" s="8">
        <v>1925</v>
      </c>
      <c r="G2520" s="8">
        <v>15200</v>
      </c>
      <c r="H2520" s="8">
        <v>909</v>
      </c>
      <c r="I2520" s="8">
        <v>1976</v>
      </c>
    </row>
    <row r="2521" spans="1:9" x14ac:dyDescent="0.2">
      <c r="A2521" t="s">
        <v>436</v>
      </c>
      <c r="B2521" t="s">
        <v>686</v>
      </c>
      <c r="C2521" t="str">
        <f t="shared" si="133"/>
        <v>19647330000000</v>
      </c>
      <c r="D2521" t="s">
        <v>2824</v>
      </c>
      <c r="E2521" t="str">
        <f>"19647336019228"</f>
        <v>19647336019228</v>
      </c>
      <c r="F2521" s="8">
        <v>2272</v>
      </c>
      <c r="G2521" s="8">
        <v>14790</v>
      </c>
      <c r="H2521" s="8">
        <v>914</v>
      </c>
      <c r="I2521" s="8">
        <v>2024</v>
      </c>
    </row>
    <row r="2522" spans="1:9" x14ac:dyDescent="0.2">
      <c r="A2522" t="s">
        <v>436</v>
      </c>
      <c r="B2522" t="s">
        <v>686</v>
      </c>
      <c r="C2522" t="str">
        <f t="shared" si="133"/>
        <v>19647330000000</v>
      </c>
      <c r="D2522" t="s">
        <v>4269</v>
      </c>
      <c r="E2522" t="str">
        <f>"19647336019210"</f>
        <v>19647336019210</v>
      </c>
      <c r="F2522" s="8">
        <v>2390</v>
      </c>
      <c r="G2522" s="8">
        <v>14570</v>
      </c>
      <c r="H2522" s="8">
        <v>919</v>
      </c>
      <c r="I2522" s="8">
        <v>2052</v>
      </c>
    </row>
    <row r="2523" spans="1:9" x14ac:dyDescent="0.2">
      <c r="A2523" t="s">
        <v>436</v>
      </c>
      <c r="B2523" t="s">
        <v>686</v>
      </c>
      <c r="C2523" t="str">
        <f t="shared" si="133"/>
        <v>19647330000000</v>
      </c>
      <c r="D2523" t="s">
        <v>4270</v>
      </c>
      <c r="E2523" t="str">
        <f>"19647331935519"</f>
        <v>19647331935519</v>
      </c>
      <c r="F2523" s="8">
        <v>2378</v>
      </c>
      <c r="G2523" s="8">
        <v>14560</v>
      </c>
      <c r="H2523" s="8">
        <v>924</v>
      </c>
      <c r="I2523" s="8">
        <v>2043</v>
      </c>
    </row>
    <row r="2524" spans="1:9" x14ac:dyDescent="0.2">
      <c r="A2524" t="s">
        <v>436</v>
      </c>
      <c r="B2524" t="s">
        <v>686</v>
      </c>
      <c r="C2524" t="str">
        <f t="shared" si="133"/>
        <v>19647330000000</v>
      </c>
      <c r="D2524" t="s">
        <v>4271</v>
      </c>
      <c r="E2524" t="str">
        <f>"19647330109314"</f>
        <v>19647330109314</v>
      </c>
      <c r="F2524" s="8">
        <v>1584</v>
      </c>
      <c r="G2524" s="8">
        <v>15305</v>
      </c>
      <c r="H2524" s="8">
        <v>937</v>
      </c>
      <c r="I2524" s="8">
        <v>2078</v>
      </c>
    </row>
    <row r="2525" spans="1:9" x14ac:dyDescent="0.2">
      <c r="A2525" t="s">
        <v>436</v>
      </c>
      <c r="B2525" t="s">
        <v>686</v>
      </c>
      <c r="C2525" t="str">
        <f t="shared" si="133"/>
        <v>19647330000000</v>
      </c>
      <c r="D2525" t="s">
        <v>4272</v>
      </c>
      <c r="E2525" t="str">
        <f>"19647330124404"</f>
        <v>19647330124404</v>
      </c>
      <c r="F2525" s="8">
        <v>2084</v>
      </c>
      <c r="G2525" s="8">
        <v>14842</v>
      </c>
      <c r="H2525" s="8">
        <v>917</v>
      </c>
      <c r="I2525" s="8">
        <v>2041</v>
      </c>
    </row>
    <row r="2526" spans="1:9" x14ac:dyDescent="0.2">
      <c r="A2526" t="s">
        <v>436</v>
      </c>
      <c r="B2526" t="s">
        <v>686</v>
      </c>
      <c r="C2526" t="str">
        <f t="shared" si="133"/>
        <v>19647330000000</v>
      </c>
      <c r="D2526" t="s">
        <v>4273</v>
      </c>
      <c r="E2526" t="str">
        <f>"19647336018402"</f>
        <v>19647336018402</v>
      </c>
      <c r="F2526" s="8">
        <v>2944</v>
      </c>
      <c r="G2526" s="8">
        <v>13938</v>
      </c>
      <c r="H2526" s="8">
        <v>937</v>
      </c>
      <c r="I2526" s="8">
        <v>2062</v>
      </c>
    </row>
    <row r="2527" spans="1:9" x14ac:dyDescent="0.2">
      <c r="A2527" t="s">
        <v>436</v>
      </c>
      <c r="B2527" t="s">
        <v>686</v>
      </c>
      <c r="C2527" t="str">
        <f t="shared" si="133"/>
        <v>19647330000000</v>
      </c>
      <c r="D2527" t="s">
        <v>4274</v>
      </c>
      <c r="E2527" t="str">
        <f>"19647331931070"</f>
        <v>19647331931070</v>
      </c>
      <c r="F2527" s="8">
        <v>2680</v>
      </c>
      <c r="G2527" s="8">
        <v>14201</v>
      </c>
      <c r="H2527" s="8">
        <v>933</v>
      </c>
      <c r="I2527" s="8">
        <v>2060</v>
      </c>
    </row>
    <row r="2528" spans="1:9" x14ac:dyDescent="0.2">
      <c r="A2528" t="s">
        <v>436</v>
      </c>
      <c r="B2528" t="s">
        <v>686</v>
      </c>
      <c r="C2528" t="str">
        <f t="shared" si="133"/>
        <v>19647330000000</v>
      </c>
      <c r="D2528" t="s">
        <v>4275</v>
      </c>
      <c r="E2528" t="str">
        <f>"19647336016901"</f>
        <v>19647336016901</v>
      </c>
      <c r="F2528" s="8">
        <v>2205</v>
      </c>
      <c r="G2528" s="8">
        <v>14668</v>
      </c>
      <c r="H2528" s="8">
        <v>922</v>
      </c>
      <c r="I2528" s="8">
        <v>2031</v>
      </c>
    </row>
    <row r="2529" spans="1:9" x14ac:dyDescent="0.2">
      <c r="A2529" t="s">
        <v>436</v>
      </c>
      <c r="B2529" t="s">
        <v>686</v>
      </c>
      <c r="C2529" t="str">
        <f t="shared" si="133"/>
        <v>19647330000000</v>
      </c>
      <c r="D2529" t="s">
        <v>4276</v>
      </c>
      <c r="E2529" t="str">
        <f>"19647336019236"</f>
        <v>19647336019236</v>
      </c>
      <c r="F2529" s="8">
        <v>2864</v>
      </c>
      <c r="G2529" s="8">
        <v>13936</v>
      </c>
      <c r="H2529" s="8">
        <v>938</v>
      </c>
      <c r="I2529" s="8">
        <v>2076</v>
      </c>
    </row>
    <row r="2530" spans="1:9" x14ac:dyDescent="0.2">
      <c r="A2530" t="s">
        <v>436</v>
      </c>
      <c r="B2530" t="s">
        <v>686</v>
      </c>
      <c r="C2530" t="str">
        <f t="shared" si="133"/>
        <v>19647330000000</v>
      </c>
      <c r="D2530" t="s">
        <v>4277</v>
      </c>
      <c r="E2530" t="str">
        <f>"19647336019129"</f>
        <v>19647336019129</v>
      </c>
      <c r="F2530" s="8">
        <v>1817</v>
      </c>
      <c r="G2530" s="8">
        <v>15049</v>
      </c>
      <c r="H2530" s="8">
        <v>920</v>
      </c>
      <c r="I2530" s="8">
        <v>2024</v>
      </c>
    </row>
    <row r="2531" spans="1:9" x14ac:dyDescent="0.2">
      <c r="A2531" t="s">
        <v>436</v>
      </c>
      <c r="B2531" t="s">
        <v>686</v>
      </c>
      <c r="C2531" t="str">
        <f t="shared" si="133"/>
        <v>19647330000000</v>
      </c>
      <c r="D2531" t="s">
        <v>4278</v>
      </c>
      <c r="E2531" t="str">
        <f>"19647336015770"</f>
        <v>19647336015770</v>
      </c>
      <c r="F2531" s="8">
        <v>2827</v>
      </c>
      <c r="G2531" s="8">
        <v>14029</v>
      </c>
      <c r="H2531" s="8">
        <v>919</v>
      </c>
      <c r="I2531" s="8">
        <v>2015</v>
      </c>
    </row>
    <row r="2532" spans="1:9" x14ac:dyDescent="0.2">
      <c r="A2532" t="s">
        <v>436</v>
      </c>
      <c r="B2532" t="s">
        <v>686</v>
      </c>
      <c r="C2532" t="str">
        <f t="shared" si="133"/>
        <v>19647330000000</v>
      </c>
      <c r="D2532" t="s">
        <v>4279</v>
      </c>
      <c r="E2532" t="str">
        <f>"19647330124412"</f>
        <v>19647330124412</v>
      </c>
      <c r="F2532" s="8">
        <v>2323</v>
      </c>
      <c r="G2532" s="8">
        <v>14484</v>
      </c>
      <c r="H2532" s="8">
        <v>917</v>
      </c>
      <c r="I2532" s="8">
        <v>2041</v>
      </c>
    </row>
    <row r="2533" spans="1:9" x14ac:dyDescent="0.2">
      <c r="A2533" t="s">
        <v>436</v>
      </c>
      <c r="B2533" t="s">
        <v>686</v>
      </c>
      <c r="C2533" t="str">
        <f t="shared" si="133"/>
        <v>19647330000000</v>
      </c>
      <c r="D2533" t="s">
        <v>4280</v>
      </c>
      <c r="E2533" t="str">
        <f>"19647336018527"</f>
        <v>19647336018527</v>
      </c>
      <c r="F2533" s="8">
        <v>2645</v>
      </c>
      <c r="G2533" s="8">
        <v>14162</v>
      </c>
      <c r="H2533" s="8">
        <v>912</v>
      </c>
      <c r="I2533" s="8">
        <v>2037</v>
      </c>
    </row>
    <row r="2534" spans="1:9" x14ac:dyDescent="0.2">
      <c r="A2534" t="s">
        <v>436</v>
      </c>
      <c r="B2534" t="s">
        <v>686</v>
      </c>
      <c r="C2534" t="str">
        <f t="shared" si="133"/>
        <v>19647330000000</v>
      </c>
      <c r="D2534" t="s">
        <v>4281</v>
      </c>
      <c r="E2534" t="str">
        <f>"19647336016299"</f>
        <v>19647336016299</v>
      </c>
      <c r="F2534" s="8">
        <v>2312</v>
      </c>
      <c r="G2534" s="8">
        <v>14501</v>
      </c>
      <c r="H2534" s="8">
        <v>919</v>
      </c>
      <c r="I2534" s="8">
        <v>2015</v>
      </c>
    </row>
    <row r="2535" spans="1:9" x14ac:dyDescent="0.2">
      <c r="A2535" t="s">
        <v>436</v>
      </c>
      <c r="B2535" t="s">
        <v>686</v>
      </c>
      <c r="C2535" t="str">
        <f t="shared" si="133"/>
        <v>19647330000000</v>
      </c>
      <c r="D2535" t="s">
        <v>4282</v>
      </c>
      <c r="E2535" t="str">
        <f>"19647336111512"</f>
        <v>19647336111512</v>
      </c>
      <c r="F2535" s="8">
        <v>2558</v>
      </c>
      <c r="G2535" s="8">
        <v>14206</v>
      </c>
      <c r="H2535" s="8">
        <v>918</v>
      </c>
      <c r="I2535" s="8">
        <v>2050</v>
      </c>
    </row>
    <row r="2536" spans="1:9" x14ac:dyDescent="0.2">
      <c r="A2536" t="s">
        <v>436</v>
      </c>
      <c r="B2536" t="s">
        <v>686</v>
      </c>
      <c r="C2536" t="str">
        <f t="shared" si="133"/>
        <v>19647330000000</v>
      </c>
      <c r="D2536" t="s">
        <v>2827</v>
      </c>
      <c r="E2536" t="str">
        <f>"19647336018188"</f>
        <v>19647336018188</v>
      </c>
      <c r="F2536" s="8">
        <v>2121</v>
      </c>
      <c r="G2536" s="8">
        <v>14643</v>
      </c>
      <c r="H2536" s="8">
        <v>911</v>
      </c>
      <c r="I2536" s="8">
        <v>2038</v>
      </c>
    </row>
    <row r="2537" spans="1:9" x14ac:dyDescent="0.2">
      <c r="A2537" t="s">
        <v>436</v>
      </c>
      <c r="B2537" t="s">
        <v>686</v>
      </c>
      <c r="C2537" t="str">
        <f t="shared" si="133"/>
        <v>19647330000000</v>
      </c>
      <c r="D2537" t="s">
        <v>4283</v>
      </c>
      <c r="E2537" t="str">
        <f>"19647336016877"</f>
        <v>19647336016877</v>
      </c>
      <c r="F2537" s="8">
        <v>2079</v>
      </c>
      <c r="G2537" s="8">
        <v>14589</v>
      </c>
      <c r="H2537" s="8">
        <v>918</v>
      </c>
      <c r="I2537" s="8">
        <v>2044</v>
      </c>
    </row>
    <row r="2538" spans="1:9" x14ac:dyDescent="0.2">
      <c r="A2538" t="s">
        <v>436</v>
      </c>
      <c r="B2538" t="s">
        <v>686</v>
      </c>
      <c r="C2538" t="str">
        <f t="shared" si="133"/>
        <v>19647330000000</v>
      </c>
      <c r="D2538" t="s">
        <v>4284</v>
      </c>
      <c r="E2538" t="str">
        <f>"19647330124453"</f>
        <v>19647330124453</v>
      </c>
      <c r="F2538" s="8">
        <v>2446</v>
      </c>
      <c r="G2538" s="8">
        <v>14286</v>
      </c>
      <c r="H2538" s="8">
        <v>904</v>
      </c>
      <c r="I2538" s="8">
        <v>1986</v>
      </c>
    </row>
    <row r="2539" spans="1:9" x14ac:dyDescent="0.2">
      <c r="A2539" t="s">
        <v>436</v>
      </c>
      <c r="B2539" t="s">
        <v>686</v>
      </c>
      <c r="C2539" t="str">
        <f t="shared" si="133"/>
        <v>19647330000000</v>
      </c>
      <c r="D2539" t="s">
        <v>4285</v>
      </c>
      <c r="E2539" t="str">
        <f>"19647330109207"</f>
        <v>19647330109207</v>
      </c>
      <c r="F2539" s="8">
        <v>2511</v>
      </c>
      <c r="G2539" s="8">
        <v>14135</v>
      </c>
      <c r="H2539" s="8">
        <v>919</v>
      </c>
      <c r="I2539" s="8">
        <v>2046</v>
      </c>
    </row>
    <row r="2540" spans="1:9" x14ac:dyDescent="0.2">
      <c r="A2540" t="s">
        <v>436</v>
      </c>
      <c r="B2540" t="s">
        <v>686</v>
      </c>
      <c r="C2540" t="str">
        <f t="shared" si="133"/>
        <v>19647330000000</v>
      </c>
      <c r="D2540" t="s">
        <v>4286</v>
      </c>
      <c r="E2540" t="str">
        <f>"19647336019376"</f>
        <v>19647336019376</v>
      </c>
      <c r="F2540" s="8">
        <v>2746</v>
      </c>
      <c r="G2540" s="8">
        <v>13823</v>
      </c>
      <c r="H2540" s="8">
        <v>938</v>
      </c>
      <c r="I2540" s="8">
        <v>2080</v>
      </c>
    </row>
    <row r="2541" spans="1:9" x14ac:dyDescent="0.2">
      <c r="A2541" t="s">
        <v>436</v>
      </c>
      <c r="B2541" t="s">
        <v>686</v>
      </c>
      <c r="C2541" t="str">
        <f t="shared" si="133"/>
        <v>19647330000000</v>
      </c>
      <c r="D2541" t="s">
        <v>4287</v>
      </c>
      <c r="E2541" t="str">
        <f>"19647336058283"</f>
        <v>19647336058283</v>
      </c>
      <c r="F2541" s="8">
        <v>3235</v>
      </c>
      <c r="G2541" s="8">
        <v>13393</v>
      </c>
      <c r="H2541" s="8">
        <v>916</v>
      </c>
      <c r="I2541" s="8">
        <v>2034</v>
      </c>
    </row>
    <row r="2542" spans="1:9" x14ac:dyDescent="0.2">
      <c r="A2542" t="s">
        <v>436</v>
      </c>
      <c r="B2542" t="s">
        <v>686</v>
      </c>
      <c r="C2542" t="str">
        <f t="shared" si="133"/>
        <v>19647330000000</v>
      </c>
      <c r="D2542" t="s">
        <v>4288</v>
      </c>
      <c r="E2542" t="str">
        <f>"19647336016307"</f>
        <v>19647336016307</v>
      </c>
      <c r="F2542" s="8">
        <v>2111</v>
      </c>
      <c r="G2542" s="8">
        <v>14527</v>
      </c>
      <c r="H2542" s="8">
        <v>919</v>
      </c>
      <c r="I2542" s="8">
        <v>2015</v>
      </c>
    </row>
    <row r="2543" spans="1:9" x14ac:dyDescent="0.2">
      <c r="A2543" t="s">
        <v>436</v>
      </c>
      <c r="B2543" t="s">
        <v>686</v>
      </c>
      <c r="C2543" t="str">
        <f t="shared" si="133"/>
        <v>19647330000000</v>
      </c>
      <c r="D2543" t="s">
        <v>4289</v>
      </c>
      <c r="E2543" t="str">
        <f>"19647336015895"</f>
        <v>19647336015895</v>
      </c>
      <c r="F2543" s="8">
        <v>2018</v>
      </c>
      <c r="G2543" s="8">
        <v>14565</v>
      </c>
      <c r="H2543" s="8">
        <v>917</v>
      </c>
      <c r="I2543" s="8">
        <v>2043</v>
      </c>
    </row>
    <row r="2544" spans="1:9" x14ac:dyDescent="0.2">
      <c r="A2544" t="s">
        <v>436</v>
      </c>
      <c r="B2544" t="s">
        <v>686</v>
      </c>
      <c r="C2544" t="str">
        <f t="shared" si="133"/>
        <v>19647330000000</v>
      </c>
      <c r="D2544" t="s">
        <v>4290</v>
      </c>
      <c r="E2544" t="str">
        <f>"19647336018121"</f>
        <v>19647336018121</v>
      </c>
      <c r="F2544" s="8">
        <v>2300</v>
      </c>
      <c r="G2544" s="8">
        <v>14276</v>
      </c>
      <c r="H2544" s="8">
        <v>919</v>
      </c>
      <c r="I2544" s="8">
        <v>2020</v>
      </c>
    </row>
    <row r="2545" spans="1:9" x14ac:dyDescent="0.2">
      <c r="A2545" t="s">
        <v>436</v>
      </c>
      <c r="B2545" t="s">
        <v>686</v>
      </c>
      <c r="C2545" t="str">
        <f t="shared" si="133"/>
        <v>19647330000000</v>
      </c>
      <c r="D2545" t="s">
        <v>4291</v>
      </c>
      <c r="E2545" t="str">
        <f>"19647330120360"</f>
        <v>19647330120360</v>
      </c>
      <c r="F2545" s="8">
        <v>2258</v>
      </c>
      <c r="G2545" s="8">
        <v>14321</v>
      </c>
      <c r="H2545" s="8">
        <v>918</v>
      </c>
      <c r="I2545" s="8">
        <v>2013</v>
      </c>
    </row>
    <row r="2546" spans="1:9" x14ac:dyDescent="0.2">
      <c r="A2546" t="s">
        <v>436</v>
      </c>
      <c r="B2546" t="s">
        <v>686</v>
      </c>
      <c r="C2546" t="str">
        <f t="shared" si="133"/>
        <v>19647330000000</v>
      </c>
      <c r="D2546" t="s">
        <v>4292</v>
      </c>
      <c r="E2546" t="str">
        <f>"19647336019152"</f>
        <v>19647336019152</v>
      </c>
      <c r="F2546" s="8">
        <v>2159</v>
      </c>
      <c r="G2546" s="8">
        <v>14417</v>
      </c>
      <c r="H2546" s="8">
        <v>919</v>
      </c>
      <c r="I2546" s="8">
        <v>2014</v>
      </c>
    </row>
    <row r="2547" spans="1:9" x14ac:dyDescent="0.2">
      <c r="A2547" t="s">
        <v>436</v>
      </c>
      <c r="B2547" t="s">
        <v>686</v>
      </c>
      <c r="C2547" t="str">
        <f t="shared" si="133"/>
        <v>19647330000000</v>
      </c>
      <c r="D2547" t="s">
        <v>4293</v>
      </c>
      <c r="E2547" t="str">
        <f>"19647336019442"</f>
        <v>19647336019442</v>
      </c>
      <c r="F2547" s="8">
        <v>1983</v>
      </c>
      <c r="G2547" s="8">
        <v>14509</v>
      </c>
      <c r="H2547" s="8">
        <v>916</v>
      </c>
      <c r="I2547" s="8">
        <v>2033</v>
      </c>
    </row>
    <row r="2548" spans="1:9" x14ac:dyDescent="0.2">
      <c r="A2548" t="s">
        <v>436</v>
      </c>
      <c r="B2548" t="s">
        <v>686</v>
      </c>
      <c r="C2548" t="str">
        <f t="shared" si="133"/>
        <v>19647330000000</v>
      </c>
      <c r="D2548" t="s">
        <v>4294</v>
      </c>
      <c r="E2548" t="str">
        <f>"19647331939479"</f>
        <v>19647331939479</v>
      </c>
      <c r="F2548" s="8">
        <v>1764</v>
      </c>
      <c r="G2548" s="8">
        <v>14582</v>
      </c>
      <c r="H2548" s="8">
        <v>947</v>
      </c>
      <c r="I2548" s="8">
        <v>2115</v>
      </c>
    </row>
    <row r="2549" spans="1:9" x14ac:dyDescent="0.2">
      <c r="A2549" t="s">
        <v>436</v>
      </c>
      <c r="B2549" t="s">
        <v>686</v>
      </c>
      <c r="C2549" t="str">
        <f t="shared" si="133"/>
        <v>19647330000000</v>
      </c>
      <c r="D2549" t="s">
        <v>4295</v>
      </c>
      <c r="E2549" t="str">
        <f>"19647336057871"</f>
        <v>19647336057871</v>
      </c>
      <c r="F2549" s="8">
        <v>2754</v>
      </c>
      <c r="G2549" s="8">
        <v>13628</v>
      </c>
      <c r="H2549" s="8">
        <v>937</v>
      </c>
      <c r="I2549" s="8">
        <v>2082</v>
      </c>
    </row>
    <row r="2550" spans="1:9" x14ac:dyDescent="0.2">
      <c r="A2550" t="s">
        <v>436</v>
      </c>
      <c r="B2550" t="s">
        <v>686</v>
      </c>
      <c r="C2550" t="str">
        <f t="shared" si="133"/>
        <v>19647330000000</v>
      </c>
      <c r="D2550" t="s">
        <v>4296</v>
      </c>
      <c r="E2550" t="str">
        <f>"19647336019483"</f>
        <v>19647336019483</v>
      </c>
      <c r="F2550" s="8">
        <v>2243</v>
      </c>
      <c r="G2550" s="8">
        <v>14195</v>
      </c>
      <c r="H2550" s="8">
        <v>923</v>
      </c>
      <c r="I2550" s="8">
        <v>2040</v>
      </c>
    </row>
    <row r="2551" spans="1:9" x14ac:dyDescent="0.2">
      <c r="A2551" t="s">
        <v>436</v>
      </c>
      <c r="B2551" t="s">
        <v>686</v>
      </c>
      <c r="C2551" t="str">
        <f t="shared" si="133"/>
        <v>19647330000000</v>
      </c>
      <c r="D2551" t="s">
        <v>4297</v>
      </c>
      <c r="E2551" t="str">
        <f>"19647336019350"</f>
        <v>19647336019350</v>
      </c>
      <c r="F2551" s="8">
        <v>2731</v>
      </c>
      <c r="G2551" s="8">
        <v>13619</v>
      </c>
      <c r="H2551" s="8">
        <v>937</v>
      </c>
      <c r="I2551" s="8">
        <v>2080</v>
      </c>
    </row>
    <row r="2552" spans="1:9" x14ac:dyDescent="0.2">
      <c r="A2552" t="s">
        <v>436</v>
      </c>
      <c r="B2552" t="s">
        <v>686</v>
      </c>
      <c r="C2552" t="str">
        <f t="shared" si="133"/>
        <v>19647330000000</v>
      </c>
      <c r="D2552" t="s">
        <v>4298</v>
      </c>
      <c r="E2552" t="str">
        <f>"19647336016497"</f>
        <v>19647336016497</v>
      </c>
      <c r="F2552" s="8">
        <v>1661</v>
      </c>
      <c r="G2552" s="8">
        <v>14684</v>
      </c>
      <c r="H2552" s="8">
        <v>938</v>
      </c>
      <c r="I2552" s="8">
        <v>2079</v>
      </c>
    </row>
    <row r="2553" spans="1:9" x14ac:dyDescent="0.2">
      <c r="A2553" t="s">
        <v>436</v>
      </c>
      <c r="B2553" t="s">
        <v>686</v>
      </c>
      <c r="C2553" t="str">
        <f t="shared" si="133"/>
        <v>19647330000000</v>
      </c>
      <c r="D2553" t="s">
        <v>4299</v>
      </c>
      <c r="E2553" t="str">
        <f>"19647336019145"</f>
        <v>19647336019145</v>
      </c>
      <c r="F2553" s="8">
        <v>2308</v>
      </c>
      <c r="G2553" s="8">
        <v>14025</v>
      </c>
      <c r="H2553" s="8">
        <v>924</v>
      </c>
      <c r="I2553" s="8">
        <v>2094</v>
      </c>
    </row>
    <row r="2554" spans="1:9" x14ac:dyDescent="0.2">
      <c r="A2554" t="s">
        <v>436</v>
      </c>
      <c r="B2554" t="s">
        <v>686</v>
      </c>
      <c r="C2554" t="str">
        <f t="shared" si="133"/>
        <v>19647330000000</v>
      </c>
      <c r="D2554" t="s">
        <v>4300</v>
      </c>
      <c r="E2554" t="str">
        <f>"19647336019913"</f>
        <v>19647336019913</v>
      </c>
      <c r="F2554" s="8">
        <v>2015</v>
      </c>
      <c r="G2554" s="8">
        <v>14288</v>
      </c>
      <c r="H2554" s="8">
        <v>935</v>
      </c>
      <c r="I2554" s="8">
        <v>2073</v>
      </c>
    </row>
    <row r="2555" spans="1:9" x14ac:dyDescent="0.2">
      <c r="A2555" t="s">
        <v>436</v>
      </c>
      <c r="B2555" t="s">
        <v>686</v>
      </c>
      <c r="C2555" t="str">
        <f t="shared" si="133"/>
        <v>19647330000000</v>
      </c>
      <c r="D2555" t="s">
        <v>4301</v>
      </c>
      <c r="E2555" t="str">
        <f>"19647336019962"</f>
        <v>19647336019962</v>
      </c>
      <c r="F2555" s="8">
        <v>2302</v>
      </c>
      <c r="G2555" s="8">
        <v>14055</v>
      </c>
      <c r="H2555" s="8">
        <v>911</v>
      </c>
      <c r="I2555" s="8">
        <v>2032</v>
      </c>
    </row>
    <row r="2556" spans="1:9" x14ac:dyDescent="0.2">
      <c r="A2556" t="s">
        <v>436</v>
      </c>
      <c r="B2556" t="s">
        <v>686</v>
      </c>
      <c r="C2556" t="str">
        <f t="shared" si="133"/>
        <v>19647330000000</v>
      </c>
      <c r="D2556" t="s">
        <v>4302</v>
      </c>
      <c r="E2556" t="str">
        <f>"19647336019491"</f>
        <v>19647336019491</v>
      </c>
      <c r="F2556" s="8">
        <v>2527</v>
      </c>
      <c r="G2556" s="8">
        <v>13718</v>
      </c>
      <c r="H2556" s="8">
        <v>940</v>
      </c>
      <c r="I2556" s="8">
        <v>2084</v>
      </c>
    </row>
    <row r="2557" spans="1:9" x14ac:dyDescent="0.2">
      <c r="A2557" t="s">
        <v>436</v>
      </c>
      <c r="B2557" t="s">
        <v>686</v>
      </c>
      <c r="C2557" t="str">
        <f t="shared" si="133"/>
        <v>19647330000000</v>
      </c>
      <c r="D2557" t="s">
        <v>4303</v>
      </c>
      <c r="E2557" t="str">
        <f>"19647336019343"</f>
        <v>19647336019343</v>
      </c>
      <c r="F2557" s="8">
        <v>2238</v>
      </c>
      <c r="G2557" s="8">
        <v>13984</v>
      </c>
      <c r="H2557" s="8">
        <v>936</v>
      </c>
      <c r="I2557" s="8">
        <v>2073</v>
      </c>
    </row>
    <row r="2558" spans="1:9" x14ac:dyDescent="0.2">
      <c r="A2558" t="s">
        <v>436</v>
      </c>
      <c r="B2558" t="s">
        <v>686</v>
      </c>
      <c r="C2558" t="str">
        <f t="shared" si="133"/>
        <v>19647330000000</v>
      </c>
      <c r="D2558" t="s">
        <v>4304</v>
      </c>
      <c r="E2558" t="str">
        <f>"19647336019764"</f>
        <v>19647336019764</v>
      </c>
      <c r="F2558" s="8">
        <v>1978</v>
      </c>
      <c r="G2558" s="8">
        <v>14303</v>
      </c>
      <c r="H2558" s="8">
        <v>920</v>
      </c>
      <c r="I2558" s="8">
        <v>2015</v>
      </c>
    </row>
    <row r="2559" spans="1:9" x14ac:dyDescent="0.2">
      <c r="A2559" t="s">
        <v>436</v>
      </c>
      <c r="B2559" t="s">
        <v>686</v>
      </c>
      <c r="C2559" t="str">
        <f t="shared" si="133"/>
        <v>19647330000000</v>
      </c>
      <c r="D2559" t="s">
        <v>4305</v>
      </c>
      <c r="E2559" t="str">
        <f>"19647330109355"</f>
        <v>19647330109355</v>
      </c>
      <c r="F2559" s="8">
        <v>3067</v>
      </c>
      <c r="G2559" s="8">
        <v>13175</v>
      </c>
      <c r="H2559" s="8">
        <v>922</v>
      </c>
      <c r="I2559" s="8">
        <v>2038</v>
      </c>
    </row>
    <row r="2560" spans="1:9" x14ac:dyDescent="0.2">
      <c r="A2560" t="s">
        <v>436</v>
      </c>
      <c r="B2560" t="s">
        <v>686</v>
      </c>
      <c r="C2560" t="str">
        <f t="shared" si="133"/>
        <v>19647330000000</v>
      </c>
      <c r="D2560" t="s">
        <v>4306</v>
      </c>
      <c r="E2560" t="str">
        <f>"19647336094726"</f>
        <v>19647336094726</v>
      </c>
      <c r="F2560" s="8">
        <v>894</v>
      </c>
      <c r="G2560" s="8">
        <v>15305</v>
      </c>
      <c r="H2560" s="8">
        <v>938</v>
      </c>
      <c r="I2560" s="8">
        <v>2063</v>
      </c>
    </row>
    <row r="2561" spans="1:9" x14ac:dyDescent="0.2">
      <c r="A2561" t="s">
        <v>436</v>
      </c>
      <c r="B2561" t="s">
        <v>686</v>
      </c>
      <c r="C2561" t="str">
        <f t="shared" si="133"/>
        <v>19647330000000</v>
      </c>
      <c r="D2561" t="s">
        <v>4307</v>
      </c>
      <c r="E2561" t="str">
        <f>"19647336019608"</f>
        <v>19647336019608</v>
      </c>
      <c r="F2561" s="8">
        <v>2320</v>
      </c>
      <c r="G2561" s="8">
        <v>13876</v>
      </c>
      <c r="H2561" s="8">
        <v>925</v>
      </c>
      <c r="I2561" s="8">
        <v>2045</v>
      </c>
    </row>
    <row r="2562" spans="1:9" x14ac:dyDescent="0.2">
      <c r="A2562" t="s">
        <v>436</v>
      </c>
      <c r="B2562" t="s">
        <v>686</v>
      </c>
      <c r="C2562" t="str">
        <f t="shared" si="133"/>
        <v>19647330000000</v>
      </c>
      <c r="D2562" t="s">
        <v>4308</v>
      </c>
      <c r="E2562" t="str">
        <f>"19647336019699"</f>
        <v>19647336019699</v>
      </c>
      <c r="F2562" s="8">
        <v>2444</v>
      </c>
      <c r="G2562" s="8">
        <v>13742</v>
      </c>
      <c r="H2562" s="8">
        <v>916</v>
      </c>
      <c r="I2562" s="8">
        <v>2016</v>
      </c>
    </row>
    <row r="2563" spans="1:9" x14ac:dyDescent="0.2">
      <c r="A2563" t="s">
        <v>436</v>
      </c>
      <c r="B2563" t="s">
        <v>686</v>
      </c>
      <c r="C2563" t="str">
        <f t="shared" si="133"/>
        <v>19647330000000</v>
      </c>
      <c r="D2563" t="s">
        <v>4309</v>
      </c>
      <c r="E2563" t="str">
        <f>"19647336018592"</f>
        <v>19647336018592</v>
      </c>
      <c r="F2563" s="8">
        <v>2589</v>
      </c>
      <c r="G2563" s="8">
        <v>13573</v>
      </c>
      <c r="H2563" s="8">
        <v>916</v>
      </c>
      <c r="I2563" s="8">
        <v>2029</v>
      </c>
    </row>
    <row r="2564" spans="1:9" x14ac:dyDescent="0.2">
      <c r="A2564" t="s">
        <v>436</v>
      </c>
      <c r="B2564" t="s">
        <v>686</v>
      </c>
      <c r="C2564" t="str">
        <f t="shared" si="133"/>
        <v>19647330000000</v>
      </c>
      <c r="D2564" t="s">
        <v>4310</v>
      </c>
      <c r="E2564" t="str">
        <f>"19647336016166"</f>
        <v>19647336016166</v>
      </c>
      <c r="F2564" s="8">
        <v>2320</v>
      </c>
      <c r="G2564" s="8">
        <v>13785</v>
      </c>
      <c r="H2564" s="8">
        <v>920</v>
      </c>
      <c r="I2564" s="8">
        <v>2050</v>
      </c>
    </row>
    <row r="2565" spans="1:9" x14ac:dyDescent="0.2">
      <c r="A2565" t="s">
        <v>436</v>
      </c>
      <c r="B2565" t="s">
        <v>686</v>
      </c>
      <c r="C2565" t="str">
        <f t="shared" si="133"/>
        <v>19647330000000</v>
      </c>
      <c r="D2565" t="s">
        <v>4311</v>
      </c>
      <c r="E2565" t="str">
        <f>"19647330122192"</f>
        <v>19647330122192</v>
      </c>
      <c r="F2565" s="8">
        <v>2948</v>
      </c>
      <c r="G2565" s="8">
        <v>13192</v>
      </c>
      <c r="H2565" s="8">
        <v>916</v>
      </c>
      <c r="I2565" s="8">
        <v>2004</v>
      </c>
    </row>
    <row r="2566" spans="1:9" x14ac:dyDescent="0.2">
      <c r="A2566" t="s">
        <v>436</v>
      </c>
      <c r="B2566" t="s">
        <v>686</v>
      </c>
      <c r="C2566" t="str">
        <f t="shared" si="133"/>
        <v>19647330000000</v>
      </c>
      <c r="D2566" t="s">
        <v>3580</v>
      </c>
      <c r="E2566" t="str">
        <f>"19647336018824"</f>
        <v>19647336018824</v>
      </c>
      <c r="F2566" s="8">
        <v>2065</v>
      </c>
      <c r="G2566" s="8">
        <v>13950</v>
      </c>
      <c r="H2566" s="8">
        <v>937</v>
      </c>
      <c r="I2566" s="8">
        <v>2077</v>
      </c>
    </row>
    <row r="2567" spans="1:9" x14ac:dyDescent="0.2">
      <c r="A2567" t="s">
        <v>436</v>
      </c>
      <c r="B2567" t="s">
        <v>686</v>
      </c>
      <c r="C2567" t="str">
        <f t="shared" si="133"/>
        <v>19647330000000</v>
      </c>
      <c r="D2567" t="s">
        <v>4312</v>
      </c>
      <c r="E2567" t="str">
        <f>"19647330121103"</f>
        <v>19647330121103</v>
      </c>
      <c r="F2567" s="8">
        <v>2442</v>
      </c>
      <c r="G2567" s="8">
        <v>13583</v>
      </c>
      <c r="H2567" s="8">
        <v>919</v>
      </c>
      <c r="I2567" s="8">
        <v>2051</v>
      </c>
    </row>
    <row r="2568" spans="1:9" x14ac:dyDescent="0.2">
      <c r="A2568" t="s">
        <v>436</v>
      </c>
      <c r="B2568" t="s">
        <v>686</v>
      </c>
      <c r="C2568" t="str">
        <f t="shared" si="133"/>
        <v>19647330000000</v>
      </c>
      <c r="D2568" t="s">
        <v>4313</v>
      </c>
      <c r="E2568" t="str">
        <f>"19647330119693"</f>
        <v>19647330119693</v>
      </c>
      <c r="F2568" s="8">
        <v>2321</v>
      </c>
      <c r="G2568" s="8">
        <v>13693</v>
      </c>
      <c r="H2568" s="8">
        <v>918</v>
      </c>
      <c r="I2568" s="8">
        <v>2050</v>
      </c>
    </row>
    <row r="2569" spans="1:9" x14ac:dyDescent="0.2">
      <c r="A2569" t="s">
        <v>436</v>
      </c>
      <c r="B2569" t="s">
        <v>686</v>
      </c>
      <c r="C2569" t="str">
        <f t="shared" si="133"/>
        <v>19647330000000</v>
      </c>
      <c r="D2569" t="s">
        <v>4314</v>
      </c>
      <c r="E2569" t="str">
        <f>"19647336020069"</f>
        <v>19647336020069</v>
      </c>
      <c r="F2569" s="8">
        <v>2307</v>
      </c>
      <c r="G2569" s="8">
        <v>13716</v>
      </c>
      <c r="H2569" s="8">
        <v>918</v>
      </c>
      <c r="I2569" s="8">
        <v>2041</v>
      </c>
    </row>
    <row r="2570" spans="1:9" x14ac:dyDescent="0.2">
      <c r="A2570" t="s">
        <v>436</v>
      </c>
      <c r="B2570" t="s">
        <v>686</v>
      </c>
      <c r="C2570" t="str">
        <f t="shared" si="133"/>
        <v>19647330000000</v>
      </c>
      <c r="D2570" t="s">
        <v>4315</v>
      </c>
      <c r="E2570" t="str">
        <f>"19647336016141"</f>
        <v>19647336016141</v>
      </c>
      <c r="F2570" s="8">
        <v>2452</v>
      </c>
      <c r="G2570" s="8">
        <v>13571</v>
      </c>
      <c r="H2570" s="8">
        <v>917</v>
      </c>
      <c r="I2570" s="8">
        <v>2039</v>
      </c>
    </row>
    <row r="2571" spans="1:9" x14ac:dyDescent="0.2">
      <c r="A2571" t="s">
        <v>436</v>
      </c>
      <c r="B2571" t="s">
        <v>686</v>
      </c>
      <c r="C2571" t="str">
        <f t="shared" si="133"/>
        <v>19647330000000</v>
      </c>
      <c r="D2571" t="s">
        <v>4316</v>
      </c>
      <c r="E2571" t="str">
        <f>"19647336017750"</f>
        <v>19647336017750</v>
      </c>
      <c r="F2571" s="8">
        <v>2964</v>
      </c>
      <c r="G2571" s="8">
        <v>13015</v>
      </c>
      <c r="H2571" s="8">
        <v>924</v>
      </c>
      <c r="I2571" s="8">
        <v>2074</v>
      </c>
    </row>
    <row r="2572" spans="1:9" x14ac:dyDescent="0.2">
      <c r="A2572" t="s">
        <v>436</v>
      </c>
      <c r="B2572" t="s">
        <v>686</v>
      </c>
      <c r="C2572" t="str">
        <f t="shared" si="133"/>
        <v>19647330000000</v>
      </c>
      <c r="D2572" t="s">
        <v>4317</v>
      </c>
      <c r="E2572" t="str">
        <f>"19647336017958"</f>
        <v>19647336017958</v>
      </c>
      <c r="F2572" s="8">
        <v>2454</v>
      </c>
      <c r="G2572" s="8">
        <v>13482</v>
      </c>
      <c r="H2572" s="8">
        <v>916</v>
      </c>
      <c r="I2572" s="8">
        <v>2033</v>
      </c>
    </row>
    <row r="2573" spans="1:9" x14ac:dyDescent="0.2">
      <c r="A2573" t="s">
        <v>436</v>
      </c>
      <c r="B2573" t="s">
        <v>686</v>
      </c>
      <c r="C2573" t="str">
        <f t="shared" si="133"/>
        <v>19647330000000</v>
      </c>
      <c r="D2573" t="s">
        <v>4318</v>
      </c>
      <c r="E2573" t="str">
        <f>"19647336016547"</f>
        <v>19647336016547</v>
      </c>
      <c r="F2573" s="8">
        <v>2462</v>
      </c>
      <c r="G2573" s="8">
        <v>13480</v>
      </c>
      <c r="H2573" s="8">
        <v>919</v>
      </c>
      <c r="I2573" s="8">
        <v>2015</v>
      </c>
    </row>
    <row r="2574" spans="1:9" x14ac:dyDescent="0.2">
      <c r="A2574" t="s">
        <v>436</v>
      </c>
      <c r="B2574" t="s">
        <v>686</v>
      </c>
      <c r="C2574" t="str">
        <f t="shared" si="133"/>
        <v>19647330000000</v>
      </c>
      <c r="D2574" t="s">
        <v>4319</v>
      </c>
      <c r="E2574" t="str">
        <f>"19647336016851"</f>
        <v>19647336016851</v>
      </c>
      <c r="F2574" s="8">
        <v>2392</v>
      </c>
      <c r="G2574" s="8">
        <v>13527</v>
      </c>
      <c r="H2574" s="8">
        <v>916</v>
      </c>
      <c r="I2574" s="8">
        <v>2028</v>
      </c>
    </row>
    <row r="2575" spans="1:9" x14ac:dyDescent="0.2">
      <c r="A2575" t="s">
        <v>436</v>
      </c>
      <c r="B2575" t="s">
        <v>686</v>
      </c>
      <c r="C2575" t="str">
        <f t="shared" si="133"/>
        <v>19647330000000</v>
      </c>
      <c r="D2575" t="s">
        <v>4320</v>
      </c>
      <c r="E2575" t="str">
        <f>"19647336016638"</f>
        <v>19647336016638</v>
      </c>
      <c r="F2575" s="8">
        <v>1983</v>
      </c>
      <c r="G2575" s="8">
        <v>13982</v>
      </c>
      <c r="H2575" s="8">
        <v>904</v>
      </c>
      <c r="I2575" s="8">
        <v>1986</v>
      </c>
    </row>
    <row r="2576" spans="1:9" x14ac:dyDescent="0.2">
      <c r="A2576" t="s">
        <v>436</v>
      </c>
      <c r="B2576" t="s">
        <v>686</v>
      </c>
      <c r="C2576" t="str">
        <f t="shared" si="133"/>
        <v>19647330000000</v>
      </c>
      <c r="D2576" t="s">
        <v>4321</v>
      </c>
      <c r="E2576" t="str">
        <f>"19647336017024"</f>
        <v>19647336017024</v>
      </c>
      <c r="F2576" s="8">
        <v>2504</v>
      </c>
      <c r="G2576" s="8">
        <v>13396</v>
      </c>
      <c r="H2576" s="8">
        <v>919</v>
      </c>
      <c r="I2576" s="8">
        <v>2014</v>
      </c>
    </row>
    <row r="2577" spans="1:9" x14ac:dyDescent="0.2">
      <c r="A2577" t="s">
        <v>436</v>
      </c>
      <c r="B2577" t="s">
        <v>686</v>
      </c>
      <c r="C2577" t="str">
        <f t="shared" si="133"/>
        <v>19647330000000</v>
      </c>
      <c r="D2577" t="s">
        <v>4322</v>
      </c>
      <c r="E2577" t="str">
        <f>"19647336017909"</f>
        <v>19647336017909</v>
      </c>
      <c r="F2577" s="8">
        <v>2193</v>
      </c>
      <c r="G2577" s="8">
        <v>13683</v>
      </c>
      <c r="H2577" s="8">
        <v>915</v>
      </c>
      <c r="I2577" s="8">
        <v>2033</v>
      </c>
    </row>
    <row r="2578" spans="1:9" x14ac:dyDescent="0.2">
      <c r="A2578" t="s">
        <v>436</v>
      </c>
      <c r="B2578" t="s">
        <v>686</v>
      </c>
      <c r="C2578" t="str">
        <f t="shared" si="133"/>
        <v>19647330000000</v>
      </c>
      <c r="D2578" t="s">
        <v>4323</v>
      </c>
      <c r="E2578" t="str">
        <f>"19647336016182"</f>
        <v>19647336016182</v>
      </c>
      <c r="F2578" s="8">
        <v>2356</v>
      </c>
      <c r="G2578" s="8">
        <v>13525</v>
      </c>
      <c r="H2578" s="8">
        <v>920</v>
      </c>
      <c r="I2578" s="8">
        <v>2022</v>
      </c>
    </row>
    <row r="2579" spans="1:9" x14ac:dyDescent="0.2">
      <c r="A2579" t="s">
        <v>436</v>
      </c>
      <c r="B2579" t="s">
        <v>686</v>
      </c>
      <c r="C2579" t="str">
        <f t="shared" si="133"/>
        <v>19647330000000</v>
      </c>
      <c r="D2579" t="s">
        <v>4324</v>
      </c>
      <c r="E2579" t="str">
        <f>"19647336019814"</f>
        <v>19647336019814</v>
      </c>
      <c r="F2579" s="8">
        <v>2036</v>
      </c>
      <c r="G2579" s="8">
        <v>13790</v>
      </c>
      <c r="H2579" s="8">
        <v>936</v>
      </c>
      <c r="I2579" s="8">
        <v>2054</v>
      </c>
    </row>
    <row r="2580" spans="1:9" x14ac:dyDescent="0.2">
      <c r="A2580" t="s">
        <v>436</v>
      </c>
      <c r="B2580" t="s">
        <v>686</v>
      </c>
      <c r="C2580" t="str">
        <f t="shared" si="133"/>
        <v>19647330000000</v>
      </c>
      <c r="D2580" t="s">
        <v>4325</v>
      </c>
      <c r="E2580" t="str">
        <f>"19647336061444"</f>
        <v>19647336061444</v>
      </c>
      <c r="F2580" s="8">
        <v>2773</v>
      </c>
      <c r="G2580" s="8">
        <v>13092</v>
      </c>
      <c r="H2580" s="8">
        <v>911</v>
      </c>
      <c r="I2580" s="8">
        <v>2039</v>
      </c>
    </row>
    <row r="2581" spans="1:9" x14ac:dyDescent="0.2">
      <c r="A2581" t="s">
        <v>436</v>
      </c>
      <c r="B2581" t="s">
        <v>686</v>
      </c>
      <c r="C2581" t="str">
        <f t="shared" si="133"/>
        <v>19647330000000</v>
      </c>
      <c r="D2581" t="s">
        <v>4326</v>
      </c>
      <c r="E2581" t="str">
        <f>"19647331930734"</f>
        <v>19647331930734</v>
      </c>
      <c r="F2581" s="8">
        <v>1603</v>
      </c>
      <c r="G2581" s="8">
        <v>14254</v>
      </c>
      <c r="H2581" s="8">
        <v>924</v>
      </c>
      <c r="I2581" s="8">
        <v>2032</v>
      </c>
    </row>
    <row r="2582" spans="1:9" x14ac:dyDescent="0.2">
      <c r="A2582" t="s">
        <v>436</v>
      </c>
      <c r="B2582" t="s">
        <v>686</v>
      </c>
      <c r="C2582" t="str">
        <f t="shared" si="133"/>
        <v>19647330000000</v>
      </c>
      <c r="D2582" t="s">
        <v>4327</v>
      </c>
      <c r="E2582" t="str">
        <f>"19647336017941"</f>
        <v>19647336017941</v>
      </c>
      <c r="F2582" s="8">
        <v>2576</v>
      </c>
      <c r="G2582" s="8">
        <v>13231</v>
      </c>
      <c r="H2582" s="8">
        <v>910</v>
      </c>
      <c r="I2582" s="8">
        <v>2078</v>
      </c>
    </row>
    <row r="2583" spans="1:9" x14ac:dyDescent="0.2">
      <c r="A2583" t="s">
        <v>436</v>
      </c>
      <c r="B2583" t="s">
        <v>686</v>
      </c>
      <c r="C2583" t="str">
        <f t="shared" ref="C2583:C2646" si="134">"19647330000000"</f>
        <v>19647330000000</v>
      </c>
      <c r="D2583" t="s">
        <v>4328</v>
      </c>
      <c r="E2583" t="str">
        <f>"19647336019012"</f>
        <v>19647336019012</v>
      </c>
      <c r="F2583" s="8">
        <v>1940</v>
      </c>
      <c r="G2583" s="8">
        <v>13887</v>
      </c>
      <c r="H2583" s="8">
        <v>917</v>
      </c>
      <c r="I2583" s="8">
        <v>2038</v>
      </c>
    </row>
    <row r="2584" spans="1:9" x14ac:dyDescent="0.2">
      <c r="A2584" t="s">
        <v>436</v>
      </c>
      <c r="B2584" t="s">
        <v>686</v>
      </c>
      <c r="C2584" t="str">
        <f t="shared" si="134"/>
        <v>19647330000000</v>
      </c>
      <c r="D2584" t="s">
        <v>4329</v>
      </c>
      <c r="E2584" t="str">
        <f>"19647336017446"</f>
        <v>19647336017446</v>
      </c>
      <c r="F2584" s="8">
        <v>2418</v>
      </c>
      <c r="G2584" s="8">
        <v>13396</v>
      </c>
      <c r="H2584" s="8">
        <v>919</v>
      </c>
      <c r="I2584" s="8">
        <v>2046</v>
      </c>
    </row>
    <row r="2585" spans="1:9" x14ac:dyDescent="0.2">
      <c r="A2585" t="s">
        <v>436</v>
      </c>
      <c r="B2585" t="s">
        <v>686</v>
      </c>
      <c r="C2585" t="str">
        <f t="shared" si="134"/>
        <v>19647330000000</v>
      </c>
      <c r="D2585" t="s">
        <v>4330</v>
      </c>
      <c r="E2585" t="str">
        <f>"19647331931054"</f>
        <v>19647331931054</v>
      </c>
      <c r="F2585" s="8">
        <v>1715</v>
      </c>
      <c r="G2585" s="8">
        <v>14038</v>
      </c>
      <c r="H2585" s="8">
        <v>936</v>
      </c>
      <c r="I2585" s="8">
        <v>2075</v>
      </c>
    </row>
    <row r="2586" spans="1:9" x14ac:dyDescent="0.2">
      <c r="A2586" t="s">
        <v>436</v>
      </c>
      <c r="B2586" t="s">
        <v>686</v>
      </c>
      <c r="C2586" t="str">
        <f t="shared" si="134"/>
        <v>19647330000000</v>
      </c>
      <c r="D2586" t="s">
        <v>2753</v>
      </c>
      <c r="E2586" t="str">
        <f>"19647331931690"</f>
        <v>19647331931690</v>
      </c>
      <c r="F2586" s="8">
        <v>2906</v>
      </c>
      <c r="G2586" s="8">
        <v>12903</v>
      </c>
      <c r="H2586" s="8">
        <v>919</v>
      </c>
      <c r="I2586" s="8">
        <v>2019</v>
      </c>
    </row>
    <row r="2587" spans="1:9" x14ac:dyDescent="0.2">
      <c r="A2587" t="s">
        <v>436</v>
      </c>
      <c r="B2587" t="s">
        <v>686</v>
      </c>
      <c r="C2587" t="str">
        <f t="shared" si="134"/>
        <v>19647330000000</v>
      </c>
      <c r="D2587" t="s">
        <v>4331</v>
      </c>
      <c r="E2587" t="str">
        <f>"19647336018931"</f>
        <v>19647336018931</v>
      </c>
      <c r="F2587" s="8">
        <v>2496</v>
      </c>
      <c r="G2587" s="8">
        <v>13240</v>
      </c>
      <c r="H2587" s="8">
        <v>920</v>
      </c>
      <c r="I2587" s="8">
        <v>2050</v>
      </c>
    </row>
    <row r="2588" spans="1:9" x14ac:dyDescent="0.2">
      <c r="A2588" t="s">
        <v>436</v>
      </c>
      <c r="B2588" t="s">
        <v>686</v>
      </c>
      <c r="C2588" t="str">
        <f t="shared" si="134"/>
        <v>19647330000000</v>
      </c>
      <c r="D2588" t="s">
        <v>4332</v>
      </c>
      <c r="E2588" t="str">
        <f>"19647336017180"</f>
        <v>19647336017180</v>
      </c>
      <c r="F2588" s="8">
        <v>3079</v>
      </c>
      <c r="G2588" s="8">
        <v>12681</v>
      </c>
      <c r="H2588" s="8">
        <v>911</v>
      </c>
      <c r="I2588" s="8">
        <v>2033</v>
      </c>
    </row>
    <row r="2589" spans="1:9" x14ac:dyDescent="0.2">
      <c r="A2589" t="s">
        <v>436</v>
      </c>
      <c r="B2589" t="s">
        <v>686</v>
      </c>
      <c r="C2589" t="str">
        <f t="shared" si="134"/>
        <v>19647330000000</v>
      </c>
      <c r="D2589" t="s">
        <v>4333</v>
      </c>
      <c r="E2589" t="str">
        <f>"19647336018444"</f>
        <v>19647336018444</v>
      </c>
      <c r="F2589" s="8">
        <v>2736</v>
      </c>
      <c r="G2589" s="8">
        <v>13000</v>
      </c>
      <c r="H2589" s="8">
        <v>917</v>
      </c>
      <c r="I2589" s="8">
        <v>2041</v>
      </c>
    </row>
    <row r="2590" spans="1:9" x14ac:dyDescent="0.2">
      <c r="A2590" t="s">
        <v>436</v>
      </c>
      <c r="B2590" t="s">
        <v>686</v>
      </c>
      <c r="C2590" t="str">
        <f t="shared" si="134"/>
        <v>19647330000000</v>
      </c>
      <c r="D2590" t="s">
        <v>4334</v>
      </c>
      <c r="E2590" t="str">
        <f>"19647331930577"</f>
        <v>19647331930577</v>
      </c>
      <c r="F2590" s="8">
        <v>4176</v>
      </c>
      <c r="G2590" s="8">
        <v>11483</v>
      </c>
      <c r="H2590" s="8">
        <v>927</v>
      </c>
      <c r="I2590" s="8">
        <v>2101</v>
      </c>
    </row>
    <row r="2591" spans="1:9" x14ac:dyDescent="0.2">
      <c r="A2591" t="s">
        <v>436</v>
      </c>
      <c r="B2591" t="s">
        <v>686</v>
      </c>
      <c r="C2591" t="str">
        <f t="shared" si="134"/>
        <v>19647330000000</v>
      </c>
      <c r="D2591" t="s">
        <v>3572</v>
      </c>
      <c r="E2591" t="str">
        <f>"19647336017339"</f>
        <v>19647336017339</v>
      </c>
      <c r="F2591" s="8">
        <v>2016</v>
      </c>
      <c r="G2591" s="8">
        <v>13726</v>
      </c>
      <c r="H2591" s="8">
        <v>918</v>
      </c>
      <c r="I2591" s="8">
        <v>2016</v>
      </c>
    </row>
    <row r="2592" spans="1:9" x14ac:dyDescent="0.2">
      <c r="A2592" t="s">
        <v>436</v>
      </c>
      <c r="B2592" t="s">
        <v>686</v>
      </c>
      <c r="C2592" t="str">
        <f t="shared" si="134"/>
        <v>19647330000000</v>
      </c>
      <c r="D2592" t="s">
        <v>4335</v>
      </c>
      <c r="E2592" t="str">
        <f>"19647336017602"</f>
        <v>19647336017602</v>
      </c>
      <c r="F2592" s="8">
        <v>1988</v>
      </c>
      <c r="G2592" s="8">
        <v>13690</v>
      </c>
      <c r="H2592" s="8">
        <v>920</v>
      </c>
      <c r="I2592" s="8">
        <v>2056</v>
      </c>
    </row>
    <row r="2593" spans="1:9" x14ac:dyDescent="0.2">
      <c r="A2593" t="s">
        <v>436</v>
      </c>
      <c r="B2593" t="s">
        <v>686</v>
      </c>
      <c r="C2593" t="str">
        <f t="shared" si="134"/>
        <v>19647330000000</v>
      </c>
      <c r="D2593" t="s">
        <v>4336</v>
      </c>
      <c r="E2593" t="str">
        <f>"19647330124529"</f>
        <v>19647330124529</v>
      </c>
      <c r="F2593" s="8">
        <v>2386</v>
      </c>
      <c r="G2593" s="8">
        <v>13282</v>
      </c>
      <c r="H2593" s="8">
        <v>919</v>
      </c>
      <c r="I2593" s="8">
        <v>2023</v>
      </c>
    </row>
    <row r="2594" spans="1:9" x14ac:dyDescent="0.2">
      <c r="A2594" t="s">
        <v>436</v>
      </c>
      <c r="B2594" t="s">
        <v>686</v>
      </c>
      <c r="C2594" t="str">
        <f t="shared" si="134"/>
        <v>19647330000000</v>
      </c>
      <c r="D2594" t="s">
        <v>4337</v>
      </c>
      <c r="E2594" t="str">
        <f>"19647336018139"</f>
        <v>19647336018139</v>
      </c>
      <c r="F2594" s="8">
        <v>1889</v>
      </c>
      <c r="G2594" s="8">
        <v>13739</v>
      </c>
      <c r="H2594" s="8">
        <v>924</v>
      </c>
      <c r="I2594" s="8">
        <v>2042</v>
      </c>
    </row>
    <row r="2595" spans="1:9" x14ac:dyDescent="0.2">
      <c r="A2595" t="s">
        <v>436</v>
      </c>
      <c r="B2595" t="s">
        <v>686</v>
      </c>
      <c r="C2595" t="str">
        <f t="shared" si="134"/>
        <v>19647330000000</v>
      </c>
      <c r="D2595" t="s">
        <v>4338</v>
      </c>
      <c r="E2595" t="str">
        <f>"19647336016471"</f>
        <v>19647336016471</v>
      </c>
      <c r="F2595" s="8">
        <v>1982</v>
      </c>
      <c r="G2595" s="8">
        <v>13575</v>
      </c>
      <c r="H2595" s="8">
        <v>937</v>
      </c>
      <c r="I2595" s="8">
        <v>2083</v>
      </c>
    </row>
    <row r="2596" spans="1:9" x14ac:dyDescent="0.2">
      <c r="A2596" t="s">
        <v>436</v>
      </c>
      <c r="B2596" t="s">
        <v>686</v>
      </c>
      <c r="C2596" t="str">
        <f t="shared" si="134"/>
        <v>19647330000000</v>
      </c>
      <c r="D2596" t="s">
        <v>4339</v>
      </c>
      <c r="E2596" t="str">
        <f>"19647336015721"</f>
        <v>19647336015721</v>
      </c>
      <c r="F2596" s="8">
        <v>1984</v>
      </c>
      <c r="G2596" s="8">
        <v>13698</v>
      </c>
      <c r="H2596" s="8">
        <v>904</v>
      </c>
      <c r="I2596" s="8">
        <v>1990</v>
      </c>
    </row>
    <row r="2597" spans="1:9" x14ac:dyDescent="0.2">
      <c r="A2597" t="s">
        <v>436</v>
      </c>
      <c r="B2597" t="s">
        <v>686</v>
      </c>
      <c r="C2597" t="str">
        <f t="shared" si="134"/>
        <v>19647330000000</v>
      </c>
      <c r="D2597" t="s">
        <v>4340</v>
      </c>
      <c r="E2597" t="str">
        <f>"19647336019335"</f>
        <v>19647336019335</v>
      </c>
      <c r="F2597" s="8">
        <v>2011</v>
      </c>
      <c r="G2597" s="8">
        <v>13599</v>
      </c>
      <c r="H2597" s="8">
        <v>915</v>
      </c>
      <c r="I2597" s="8">
        <v>2023</v>
      </c>
    </row>
    <row r="2598" spans="1:9" x14ac:dyDescent="0.2">
      <c r="A2598" t="s">
        <v>436</v>
      </c>
      <c r="B2598" t="s">
        <v>686</v>
      </c>
      <c r="C2598" t="str">
        <f t="shared" si="134"/>
        <v>19647330000000</v>
      </c>
      <c r="D2598" t="s">
        <v>4341</v>
      </c>
      <c r="E2598" t="str">
        <f>"19647336015861"</f>
        <v>19647336015861</v>
      </c>
      <c r="F2598" s="8">
        <v>2216</v>
      </c>
      <c r="G2598" s="8">
        <v>13316</v>
      </c>
      <c r="H2598" s="8">
        <v>938</v>
      </c>
      <c r="I2598" s="8">
        <v>2074</v>
      </c>
    </row>
    <row r="2599" spans="1:9" x14ac:dyDescent="0.2">
      <c r="A2599" t="s">
        <v>436</v>
      </c>
      <c r="B2599" t="s">
        <v>686</v>
      </c>
      <c r="C2599" t="str">
        <f t="shared" si="134"/>
        <v>19647330000000</v>
      </c>
      <c r="D2599" t="s">
        <v>4342</v>
      </c>
      <c r="E2599" t="str">
        <f>"19647330109306"</f>
        <v>19647330109306</v>
      </c>
      <c r="F2599" s="8">
        <v>3152</v>
      </c>
      <c r="G2599" s="8">
        <v>12440</v>
      </c>
      <c r="H2599" s="8">
        <v>911</v>
      </c>
      <c r="I2599" s="8">
        <v>2030</v>
      </c>
    </row>
    <row r="2600" spans="1:9" x14ac:dyDescent="0.2">
      <c r="A2600" t="s">
        <v>436</v>
      </c>
      <c r="B2600" t="s">
        <v>686</v>
      </c>
      <c r="C2600" t="str">
        <f t="shared" si="134"/>
        <v>19647330000000</v>
      </c>
      <c r="D2600" t="s">
        <v>4343</v>
      </c>
      <c r="E2600" t="str">
        <f>"19647336019400"</f>
        <v>19647336019400</v>
      </c>
      <c r="F2600" s="8">
        <v>2244</v>
      </c>
      <c r="G2600" s="8">
        <v>13309</v>
      </c>
      <c r="H2600" s="8">
        <v>918</v>
      </c>
      <c r="I2600" s="8">
        <v>2045</v>
      </c>
    </row>
    <row r="2601" spans="1:9" x14ac:dyDescent="0.2">
      <c r="A2601" t="s">
        <v>436</v>
      </c>
      <c r="B2601" t="s">
        <v>686</v>
      </c>
      <c r="C2601" t="str">
        <f t="shared" si="134"/>
        <v>19647330000000</v>
      </c>
      <c r="D2601" t="s">
        <v>4344</v>
      </c>
      <c r="E2601" t="str">
        <f>"19647330109397"</f>
        <v>19647330109397</v>
      </c>
      <c r="F2601" s="8">
        <v>2546</v>
      </c>
      <c r="G2601" s="8">
        <v>13021</v>
      </c>
      <c r="H2601" s="8">
        <v>919</v>
      </c>
      <c r="I2601" s="8">
        <v>2011</v>
      </c>
    </row>
    <row r="2602" spans="1:9" x14ac:dyDescent="0.2">
      <c r="A2602" t="s">
        <v>436</v>
      </c>
      <c r="B2602" t="s">
        <v>686</v>
      </c>
      <c r="C2602" t="str">
        <f t="shared" si="134"/>
        <v>19647330000000</v>
      </c>
      <c r="D2602" t="s">
        <v>4345</v>
      </c>
      <c r="E2602" t="str">
        <f>"19647336019251"</f>
        <v>19647336019251</v>
      </c>
      <c r="F2602" s="8">
        <v>2472</v>
      </c>
      <c r="G2602" s="8">
        <v>13004</v>
      </c>
      <c r="H2602" s="8">
        <v>939</v>
      </c>
      <c r="I2602" s="8">
        <v>2082</v>
      </c>
    </row>
    <row r="2603" spans="1:9" x14ac:dyDescent="0.2">
      <c r="A2603" t="s">
        <v>436</v>
      </c>
      <c r="B2603" t="s">
        <v>686</v>
      </c>
      <c r="C2603" t="str">
        <f t="shared" si="134"/>
        <v>19647330000000</v>
      </c>
      <c r="D2603" t="s">
        <v>4346</v>
      </c>
      <c r="E2603" t="str">
        <f>"19647336018345"</f>
        <v>19647336018345</v>
      </c>
      <c r="F2603" s="8">
        <v>1889</v>
      </c>
      <c r="G2603" s="8">
        <v>13643</v>
      </c>
      <c r="H2603" s="8">
        <v>923</v>
      </c>
      <c r="I2603" s="8">
        <v>2041</v>
      </c>
    </row>
    <row r="2604" spans="1:9" x14ac:dyDescent="0.2">
      <c r="A2604" t="s">
        <v>436</v>
      </c>
      <c r="B2604" t="s">
        <v>686</v>
      </c>
      <c r="C2604" t="str">
        <f t="shared" si="134"/>
        <v>19647330000000</v>
      </c>
      <c r="D2604" t="s">
        <v>4347</v>
      </c>
      <c r="E2604" t="str">
        <f>"19647330109512"</f>
        <v>19647330109512</v>
      </c>
      <c r="F2604" s="8">
        <v>2339</v>
      </c>
      <c r="G2604" s="8">
        <v>13171</v>
      </c>
      <c r="H2604" s="8">
        <v>926</v>
      </c>
      <c r="I2604" s="8">
        <v>2051</v>
      </c>
    </row>
    <row r="2605" spans="1:9" x14ac:dyDescent="0.2">
      <c r="A2605" t="s">
        <v>436</v>
      </c>
      <c r="B2605" t="s">
        <v>686</v>
      </c>
      <c r="C2605" t="str">
        <f t="shared" si="134"/>
        <v>19647330000000</v>
      </c>
      <c r="D2605" t="s">
        <v>4348</v>
      </c>
      <c r="E2605" t="str">
        <f>"19647336057921"</f>
        <v>19647336057921</v>
      </c>
      <c r="F2605" s="8">
        <v>2203</v>
      </c>
      <c r="G2605" s="8">
        <v>13395</v>
      </c>
      <c r="H2605" s="8">
        <v>904</v>
      </c>
      <c r="I2605" s="8">
        <v>1985</v>
      </c>
    </row>
    <row r="2606" spans="1:9" x14ac:dyDescent="0.2">
      <c r="A2606" t="s">
        <v>436</v>
      </c>
      <c r="B2606" t="s">
        <v>686</v>
      </c>
      <c r="C2606" t="str">
        <f t="shared" si="134"/>
        <v>19647330000000</v>
      </c>
      <c r="D2606" t="s">
        <v>4349</v>
      </c>
      <c r="E2606" t="str">
        <f>"19647336057947"</f>
        <v>19647336057947</v>
      </c>
      <c r="F2606" s="8">
        <v>2066</v>
      </c>
      <c r="G2606" s="8">
        <v>13477</v>
      </c>
      <c r="H2606" s="8">
        <v>918</v>
      </c>
      <c r="I2606" s="8">
        <v>2010</v>
      </c>
    </row>
    <row r="2607" spans="1:9" x14ac:dyDescent="0.2">
      <c r="A2607" t="s">
        <v>436</v>
      </c>
      <c r="B2607" t="s">
        <v>686</v>
      </c>
      <c r="C2607" t="str">
        <f t="shared" si="134"/>
        <v>19647330000000</v>
      </c>
      <c r="D2607" t="s">
        <v>4350</v>
      </c>
      <c r="E2607" t="str">
        <f>"19647336019590"</f>
        <v>19647336019590</v>
      </c>
      <c r="F2607" s="8">
        <v>2165</v>
      </c>
      <c r="G2607" s="8">
        <v>13312</v>
      </c>
      <c r="H2607" s="8">
        <v>937</v>
      </c>
      <c r="I2607" s="8">
        <v>2057</v>
      </c>
    </row>
    <row r="2608" spans="1:9" x14ac:dyDescent="0.2">
      <c r="A2608" t="s">
        <v>436</v>
      </c>
      <c r="B2608" t="s">
        <v>686</v>
      </c>
      <c r="C2608" t="str">
        <f t="shared" si="134"/>
        <v>19647330000000</v>
      </c>
      <c r="D2608" t="s">
        <v>4351</v>
      </c>
      <c r="E2608" t="str">
        <f>"19647331931500"</f>
        <v>19647331931500</v>
      </c>
      <c r="F2608" s="8">
        <v>3423</v>
      </c>
      <c r="G2608" s="8">
        <v>12089</v>
      </c>
      <c r="H2608" s="8">
        <v>924</v>
      </c>
      <c r="I2608" s="8">
        <v>2033</v>
      </c>
    </row>
    <row r="2609" spans="1:9" x14ac:dyDescent="0.2">
      <c r="A2609" t="s">
        <v>436</v>
      </c>
      <c r="B2609" t="s">
        <v>686</v>
      </c>
      <c r="C2609" t="str">
        <f t="shared" si="134"/>
        <v>19647330000000</v>
      </c>
      <c r="D2609" t="s">
        <v>4352</v>
      </c>
      <c r="E2609" t="str">
        <f>"19647336058325"</f>
        <v>19647336058325</v>
      </c>
      <c r="F2609" s="8">
        <v>1904</v>
      </c>
      <c r="G2609" s="8">
        <v>13622</v>
      </c>
      <c r="H2609" s="8">
        <v>920</v>
      </c>
      <c r="I2609" s="8">
        <v>2021</v>
      </c>
    </row>
    <row r="2610" spans="1:9" x14ac:dyDescent="0.2">
      <c r="A2610" t="s">
        <v>436</v>
      </c>
      <c r="B2610" t="s">
        <v>686</v>
      </c>
      <c r="C2610" t="str">
        <f t="shared" si="134"/>
        <v>19647330000000</v>
      </c>
      <c r="D2610" t="s">
        <v>4353</v>
      </c>
      <c r="E2610" t="str">
        <f>"19647330122127"</f>
        <v>19647330122127</v>
      </c>
      <c r="F2610" s="8">
        <v>2590</v>
      </c>
      <c r="G2610" s="8">
        <v>12878</v>
      </c>
      <c r="H2610" s="8">
        <v>935</v>
      </c>
      <c r="I2610" s="8">
        <v>2052</v>
      </c>
    </row>
    <row r="2611" spans="1:9" x14ac:dyDescent="0.2">
      <c r="A2611" t="s">
        <v>436</v>
      </c>
      <c r="B2611" t="s">
        <v>686</v>
      </c>
      <c r="C2611" t="str">
        <f t="shared" si="134"/>
        <v>19647330000000</v>
      </c>
      <c r="D2611" t="s">
        <v>4354</v>
      </c>
      <c r="E2611" t="str">
        <f>"19647336015754"</f>
        <v>19647336015754</v>
      </c>
      <c r="F2611" s="8">
        <v>2759</v>
      </c>
      <c r="G2611" s="8">
        <v>12740</v>
      </c>
      <c r="H2611" s="8">
        <v>921</v>
      </c>
      <c r="I2611" s="8">
        <v>2026</v>
      </c>
    </row>
    <row r="2612" spans="1:9" x14ac:dyDescent="0.2">
      <c r="A2612" t="s">
        <v>436</v>
      </c>
      <c r="B2612" t="s">
        <v>686</v>
      </c>
      <c r="C2612" t="str">
        <f t="shared" si="134"/>
        <v>19647330000000</v>
      </c>
      <c r="D2612" t="s">
        <v>4355</v>
      </c>
      <c r="E2612" t="str">
        <f>"19647336017511"</f>
        <v>19647336017511</v>
      </c>
      <c r="F2612" s="8">
        <v>2083</v>
      </c>
      <c r="G2612" s="8">
        <v>13403</v>
      </c>
      <c r="H2612" s="8">
        <v>911</v>
      </c>
      <c r="I2612" s="8">
        <v>2034</v>
      </c>
    </row>
    <row r="2613" spans="1:9" x14ac:dyDescent="0.2">
      <c r="A2613" t="s">
        <v>436</v>
      </c>
      <c r="B2613" t="s">
        <v>686</v>
      </c>
      <c r="C2613" t="str">
        <f t="shared" si="134"/>
        <v>19647330000000</v>
      </c>
      <c r="D2613" t="s">
        <v>4356</v>
      </c>
      <c r="E2613" t="str">
        <f>"19647330127803"</f>
        <v>19647330127803</v>
      </c>
      <c r="F2613" s="8">
        <v>1568</v>
      </c>
      <c r="G2613" s="8">
        <v>13837</v>
      </c>
      <c r="H2613" s="8">
        <v>941</v>
      </c>
      <c r="I2613" s="8">
        <v>2065</v>
      </c>
    </row>
    <row r="2614" spans="1:9" x14ac:dyDescent="0.2">
      <c r="A2614" t="s">
        <v>436</v>
      </c>
      <c r="B2614" t="s">
        <v>686</v>
      </c>
      <c r="C2614" t="str">
        <f t="shared" si="134"/>
        <v>19647330000000</v>
      </c>
      <c r="D2614" t="s">
        <v>2343</v>
      </c>
      <c r="E2614" t="str">
        <f>"19647336058176"</f>
        <v>19647336058176</v>
      </c>
      <c r="F2614" s="8">
        <v>2459</v>
      </c>
      <c r="G2614" s="8">
        <v>12890</v>
      </c>
      <c r="H2614" s="8">
        <v>938</v>
      </c>
      <c r="I2614" s="8">
        <v>2077</v>
      </c>
    </row>
    <row r="2615" spans="1:9" x14ac:dyDescent="0.2">
      <c r="A2615" t="s">
        <v>436</v>
      </c>
      <c r="B2615" t="s">
        <v>686</v>
      </c>
      <c r="C2615" t="str">
        <f t="shared" si="134"/>
        <v>19647330000000</v>
      </c>
      <c r="D2615" t="s">
        <v>4357</v>
      </c>
      <c r="E2615" t="str">
        <f>"19647336017396"</f>
        <v>19647336017396</v>
      </c>
      <c r="F2615" s="8">
        <v>2500</v>
      </c>
      <c r="G2615" s="8">
        <v>12886</v>
      </c>
      <c r="H2615" s="8">
        <v>918</v>
      </c>
      <c r="I2615" s="8">
        <v>2046</v>
      </c>
    </row>
    <row r="2616" spans="1:9" x14ac:dyDescent="0.2">
      <c r="A2616" t="s">
        <v>436</v>
      </c>
      <c r="B2616" t="s">
        <v>686</v>
      </c>
      <c r="C2616" t="str">
        <f t="shared" si="134"/>
        <v>19647330000000</v>
      </c>
      <c r="D2616" t="s">
        <v>4358</v>
      </c>
      <c r="E2616" t="str">
        <f>"19647331931534"</f>
        <v>19647331931534</v>
      </c>
      <c r="F2616" s="8">
        <v>2441</v>
      </c>
      <c r="G2616" s="8">
        <v>12951</v>
      </c>
      <c r="H2616" s="8">
        <v>916</v>
      </c>
      <c r="I2616" s="8">
        <v>2016</v>
      </c>
    </row>
    <row r="2617" spans="1:9" x14ac:dyDescent="0.2">
      <c r="A2617" t="s">
        <v>436</v>
      </c>
      <c r="B2617" t="s">
        <v>686</v>
      </c>
      <c r="C2617" t="str">
        <f t="shared" si="134"/>
        <v>19647330000000</v>
      </c>
      <c r="D2617" t="s">
        <v>4359</v>
      </c>
      <c r="E2617" t="str">
        <f>"19647336018410"</f>
        <v>19647336018410</v>
      </c>
      <c r="F2617" s="8">
        <v>1867</v>
      </c>
      <c r="G2617" s="8">
        <v>13490</v>
      </c>
      <c r="H2617" s="8">
        <v>924</v>
      </c>
      <c r="I2617" s="8">
        <v>2041</v>
      </c>
    </row>
    <row r="2618" spans="1:9" x14ac:dyDescent="0.2">
      <c r="A2618" t="s">
        <v>436</v>
      </c>
      <c r="B2618" t="s">
        <v>686</v>
      </c>
      <c r="C2618" t="str">
        <f t="shared" si="134"/>
        <v>19647330000000</v>
      </c>
      <c r="D2618" t="s">
        <v>4360</v>
      </c>
      <c r="E2618" t="str">
        <f>"19647336017164"</f>
        <v>19647336017164</v>
      </c>
      <c r="F2618" s="8">
        <v>2083</v>
      </c>
      <c r="G2618" s="8">
        <v>13267</v>
      </c>
      <c r="H2618" s="8">
        <v>919</v>
      </c>
      <c r="I2618" s="8">
        <v>2048</v>
      </c>
    </row>
    <row r="2619" spans="1:9" x14ac:dyDescent="0.2">
      <c r="A2619" t="s">
        <v>436</v>
      </c>
      <c r="B2619" t="s">
        <v>686</v>
      </c>
      <c r="C2619" t="str">
        <f t="shared" si="134"/>
        <v>19647330000000</v>
      </c>
      <c r="D2619" t="s">
        <v>4361</v>
      </c>
      <c r="E2619" t="str">
        <f>"19647336018881"</f>
        <v>19647336018881</v>
      </c>
      <c r="F2619" s="8">
        <v>2416</v>
      </c>
      <c r="G2619" s="8">
        <v>12934</v>
      </c>
      <c r="H2619" s="8">
        <v>916</v>
      </c>
      <c r="I2619" s="8">
        <v>2034</v>
      </c>
    </row>
    <row r="2620" spans="1:9" x14ac:dyDescent="0.2">
      <c r="A2620" t="s">
        <v>436</v>
      </c>
      <c r="B2620" t="s">
        <v>686</v>
      </c>
      <c r="C2620" t="str">
        <f t="shared" si="134"/>
        <v>19647330000000</v>
      </c>
      <c r="D2620" t="s">
        <v>4362</v>
      </c>
      <c r="E2620" t="str">
        <f>"19647330122366"</f>
        <v>19647330122366</v>
      </c>
      <c r="F2620" s="8">
        <v>2843</v>
      </c>
      <c r="G2620" s="8">
        <v>12462</v>
      </c>
      <c r="H2620" s="8">
        <v>918</v>
      </c>
      <c r="I2620" s="8">
        <v>2044</v>
      </c>
    </row>
    <row r="2621" spans="1:9" x14ac:dyDescent="0.2">
      <c r="A2621" t="s">
        <v>436</v>
      </c>
      <c r="B2621" t="s">
        <v>686</v>
      </c>
      <c r="C2621" t="str">
        <f t="shared" si="134"/>
        <v>19647330000000</v>
      </c>
      <c r="D2621" t="s">
        <v>4363</v>
      </c>
      <c r="E2621" t="str">
        <f>"19647336017388"</f>
        <v>19647336017388</v>
      </c>
      <c r="F2621" s="8">
        <v>1518</v>
      </c>
      <c r="G2621" s="8">
        <v>13777</v>
      </c>
      <c r="H2621" s="8">
        <v>917</v>
      </c>
      <c r="I2621" s="8">
        <v>2037</v>
      </c>
    </row>
    <row r="2622" spans="1:9" x14ac:dyDescent="0.2">
      <c r="A2622" t="s">
        <v>436</v>
      </c>
      <c r="B2622" t="s">
        <v>686</v>
      </c>
      <c r="C2622" t="str">
        <f t="shared" si="134"/>
        <v>19647330000000</v>
      </c>
      <c r="D2622" t="s">
        <v>4364</v>
      </c>
      <c r="E2622" t="str">
        <f>"19647336016976"</f>
        <v>19647336016976</v>
      </c>
      <c r="F2622" s="8">
        <v>2168</v>
      </c>
      <c r="G2622" s="8">
        <v>13100</v>
      </c>
      <c r="H2622" s="8">
        <v>910</v>
      </c>
      <c r="I2622" s="8">
        <v>2067</v>
      </c>
    </row>
    <row r="2623" spans="1:9" x14ac:dyDescent="0.2">
      <c r="A2623" t="s">
        <v>436</v>
      </c>
      <c r="B2623" t="s">
        <v>686</v>
      </c>
      <c r="C2623" t="str">
        <f t="shared" si="134"/>
        <v>19647330000000</v>
      </c>
      <c r="D2623" t="s">
        <v>4365</v>
      </c>
      <c r="E2623" t="str">
        <f>"19647331937226"</f>
        <v>19647331937226</v>
      </c>
      <c r="F2623" s="8">
        <v>1623</v>
      </c>
      <c r="G2623" s="8">
        <v>13678</v>
      </c>
      <c r="H2623" s="8">
        <v>920</v>
      </c>
      <c r="I2623" s="8">
        <v>2020</v>
      </c>
    </row>
    <row r="2624" spans="1:9" x14ac:dyDescent="0.2">
      <c r="A2624" t="s">
        <v>436</v>
      </c>
      <c r="B2624" t="s">
        <v>686</v>
      </c>
      <c r="C2624" t="str">
        <f t="shared" si="134"/>
        <v>19647330000000</v>
      </c>
      <c r="D2624" t="s">
        <v>1206</v>
      </c>
      <c r="E2624" t="str">
        <f>"19647336015747"</f>
        <v>19647336015747</v>
      </c>
      <c r="F2624" s="8">
        <v>2124</v>
      </c>
      <c r="G2624" s="8">
        <v>13064</v>
      </c>
      <c r="H2624" s="8">
        <v>938</v>
      </c>
      <c r="I2624" s="8">
        <v>2075</v>
      </c>
    </row>
    <row r="2625" spans="1:9" x14ac:dyDescent="0.2">
      <c r="A2625" t="s">
        <v>436</v>
      </c>
      <c r="B2625" t="s">
        <v>686</v>
      </c>
      <c r="C2625" t="str">
        <f t="shared" si="134"/>
        <v>19647330000000</v>
      </c>
      <c r="D2625" t="s">
        <v>4366</v>
      </c>
      <c r="E2625" t="str">
        <f>"19647336058051"</f>
        <v>19647336058051</v>
      </c>
      <c r="F2625" s="8">
        <v>2376</v>
      </c>
      <c r="G2625" s="8">
        <v>12845</v>
      </c>
      <c r="H2625" s="8">
        <v>910</v>
      </c>
      <c r="I2625" s="8">
        <v>2069</v>
      </c>
    </row>
    <row r="2626" spans="1:9" x14ac:dyDescent="0.2">
      <c r="A2626" t="s">
        <v>436</v>
      </c>
      <c r="B2626" t="s">
        <v>686</v>
      </c>
      <c r="C2626" t="str">
        <f t="shared" si="134"/>
        <v>19647330000000</v>
      </c>
      <c r="D2626" t="s">
        <v>4367</v>
      </c>
      <c r="E2626" t="str">
        <f>"19647336016489"</f>
        <v>19647336016489</v>
      </c>
      <c r="F2626" s="8">
        <v>2459</v>
      </c>
      <c r="G2626" s="8">
        <v>12723</v>
      </c>
      <c r="H2626" s="8">
        <v>939</v>
      </c>
      <c r="I2626" s="8">
        <v>2078</v>
      </c>
    </row>
    <row r="2627" spans="1:9" x14ac:dyDescent="0.2">
      <c r="A2627" t="s">
        <v>436</v>
      </c>
      <c r="B2627" t="s">
        <v>686</v>
      </c>
      <c r="C2627" t="str">
        <f t="shared" si="134"/>
        <v>19647330000000</v>
      </c>
      <c r="D2627" t="s">
        <v>4368</v>
      </c>
      <c r="E2627" t="str">
        <f>"19647336017206"</f>
        <v>19647336017206</v>
      </c>
      <c r="F2627" s="8">
        <v>2763</v>
      </c>
      <c r="G2627" s="8">
        <v>12494</v>
      </c>
      <c r="H2627" s="8">
        <v>920</v>
      </c>
      <c r="I2627" s="8">
        <v>2018</v>
      </c>
    </row>
    <row r="2628" spans="1:9" x14ac:dyDescent="0.2">
      <c r="A2628" t="s">
        <v>436</v>
      </c>
      <c r="B2628" t="s">
        <v>686</v>
      </c>
      <c r="C2628" t="str">
        <f t="shared" si="134"/>
        <v>19647330000000</v>
      </c>
      <c r="D2628" t="s">
        <v>4369</v>
      </c>
      <c r="E2628" t="str">
        <f>"19647336017479"</f>
        <v>19647336017479</v>
      </c>
      <c r="F2628" s="8">
        <v>1888</v>
      </c>
      <c r="G2628" s="8">
        <v>13366</v>
      </c>
      <c r="H2628" s="8">
        <v>915</v>
      </c>
      <c r="I2628" s="8">
        <v>2026</v>
      </c>
    </row>
    <row r="2629" spans="1:9" x14ac:dyDescent="0.2">
      <c r="A2629" t="s">
        <v>436</v>
      </c>
      <c r="B2629" t="s">
        <v>686</v>
      </c>
      <c r="C2629" t="str">
        <f t="shared" si="134"/>
        <v>19647330000000</v>
      </c>
      <c r="D2629" t="s">
        <v>4370</v>
      </c>
      <c r="E2629" t="str">
        <f>"19647336017842"</f>
        <v>19647336017842</v>
      </c>
      <c r="F2629" s="8">
        <v>1735</v>
      </c>
      <c r="G2629" s="8">
        <v>13521</v>
      </c>
      <c r="H2629" s="8">
        <v>919</v>
      </c>
      <c r="I2629" s="8">
        <v>2020</v>
      </c>
    </row>
    <row r="2630" spans="1:9" x14ac:dyDescent="0.2">
      <c r="A2630" t="s">
        <v>436</v>
      </c>
      <c r="B2630" t="s">
        <v>686</v>
      </c>
      <c r="C2630" t="str">
        <f t="shared" si="134"/>
        <v>19647330000000</v>
      </c>
      <c r="D2630" t="s">
        <v>4371</v>
      </c>
      <c r="E2630" t="str">
        <f>"19647331932896"</f>
        <v>19647331932896</v>
      </c>
      <c r="F2630" s="8">
        <v>3389</v>
      </c>
      <c r="G2630" s="8">
        <v>11831</v>
      </c>
      <c r="H2630" s="8">
        <v>920</v>
      </c>
      <c r="I2630" s="8">
        <v>2051</v>
      </c>
    </row>
    <row r="2631" spans="1:9" x14ac:dyDescent="0.2">
      <c r="A2631" t="s">
        <v>436</v>
      </c>
      <c r="B2631" t="s">
        <v>686</v>
      </c>
      <c r="C2631" t="str">
        <f t="shared" si="134"/>
        <v>19647330000000</v>
      </c>
      <c r="D2631" t="s">
        <v>4372</v>
      </c>
      <c r="E2631" t="str">
        <f>"19647331934371"</f>
        <v>19647331934371</v>
      </c>
      <c r="F2631" s="8">
        <v>2105</v>
      </c>
      <c r="G2631" s="8">
        <v>13195</v>
      </c>
      <c r="H2631" s="8">
        <v>904</v>
      </c>
      <c r="I2631" s="8">
        <v>1986</v>
      </c>
    </row>
    <row r="2632" spans="1:9" x14ac:dyDescent="0.2">
      <c r="A2632" t="s">
        <v>436</v>
      </c>
      <c r="B2632" t="s">
        <v>686</v>
      </c>
      <c r="C2632" t="str">
        <f t="shared" si="134"/>
        <v>19647330000000</v>
      </c>
      <c r="D2632" t="s">
        <v>4373</v>
      </c>
      <c r="E2632" t="str">
        <f>"19647336019665"</f>
        <v>19647336019665</v>
      </c>
      <c r="F2632" s="8">
        <v>2595</v>
      </c>
      <c r="G2632" s="8">
        <v>12601</v>
      </c>
      <c r="H2632" s="8">
        <v>924</v>
      </c>
      <c r="I2632" s="8">
        <v>2041</v>
      </c>
    </row>
    <row r="2633" spans="1:9" x14ac:dyDescent="0.2">
      <c r="A2633" t="s">
        <v>436</v>
      </c>
      <c r="B2633" t="s">
        <v>686</v>
      </c>
      <c r="C2633" t="str">
        <f t="shared" si="134"/>
        <v>19647330000000</v>
      </c>
      <c r="D2633" t="s">
        <v>4374</v>
      </c>
      <c r="E2633" t="str">
        <f>"19647330130997"</f>
        <v>19647330130997</v>
      </c>
      <c r="F2633" s="8">
        <v>1513</v>
      </c>
      <c r="G2633" s="8">
        <v>13707</v>
      </c>
      <c r="H2633" s="8">
        <v>915</v>
      </c>
      <c r="I2633" s="8">
        <v>2020</v>
      </c>
    </row>
    <row r="2634" spans="1:9" x14ac:dyDescent="0.2">
      <c r="A2634" t="s">
        <v>436</v>
      </c>
      <c r="B2634" t="s">
        <v>686</v>
      </c>
      <c r="C2634" t="str">
        <f t="shared" si="134"/>
        <v>19647330000000</v>
      </c>
      <c r="D2634" t="s">
        <v>4375</v>
      </c>
      <c r="E2634" t="str">
        <f>"19647336017065"</f>
        <v>19647336017065</v>
      </c>
      <c r="F2634" s="8">
        <v>2232</v>
      </c>
      <c r="G2634" s="8">
        <v>12896</v>
      </c>
      <c r="H2634" s="8">
        <v>938</v>
      </c>
      <c r="I2634" s="8">
        <v>2079</v>
      </c>
    </row>
    <row r="2635" spans="1:9" x14ac:dyDescent="0.2">
      <c r="A2635" t="s">
        <v>436</v>
      </c>
      <c r="B2635" t="s">
        <v>686</v>
      </c>
      <c r="C2635" t="str">
        <f t="shared" si="134"/>
        <v>19647330000000</v>
      </c>
      <c r="D2635" t="s">
        <v>4376</v>
      </c>
      <c r="E2635" t="str">
        <f>"19647336018253"</f>
        <v>19647336018253</v>
      </c>
      <c r="F2635" s="8">
        <v>1999</v>
      </c>
      <c r="G2635" s="8">
        <v>13159</v>
      </c>
      <c r="H2635" s="8">
        <v>919</v>
      </c>
      <c r="I2635" s="8">
        <v>2053</v>
      </c>
    </row>
    <row r="2636" spans="1:9" x14ac:dyDescent="0.2">
      <c r="A2636" t="s">
        <v>436</v>
      </c>
      <c r="B2636" t="s">
        <v>686</v>
      </c>
      <c r="C2636" t="str">
        <f t="shared" si="134"/>
        <v>19647330000000</v>
      </c>
      <c r="D2636" t="s">
        <v>4377</v>
      </c>
      <c r="E2636" t="str">
        <f>"19647336016786"</f>
        <v>19647336016786</v>
      </c>
      <c r="F2636" s="8">
        <v>1836</v>
      </c>
      <c r="G2636" s="8">
        <v>13333</v>
      </c>
      <c r="H2636" s="8">
        <v>921</v>
      </c>
      <c r="I2636" s="8">
        <v>2025</v>
      </c>
    </row>
    <row r="2637" spans="1:9" x14ac:dyDescent="0.2">
      <c r="A2637" t="s">
        <v>436</v>
      </c>
      <c r="B2637" t="s">
        <v>686</v>
      </c>
      <c r="C2637" t="str">
        <f t="shared" si="134"/>
        <v>19647330000000</v>
      </c>
      <c r="D2637" t="s">
        <v>4378</v>
      </c>
      <c r="E2637" t="str">
        <f>"19647336016984"</f>
        <v>19647336016984</v>
      </c>
      <c r="F2637" s="8">
        <v>1860</v>
      </c>
      <c r="G2637" s="8">
        <v>13321</v>
      </c>
      <c r="H2637" s="8">
        <v>919</v>
      </c>
      <c r="I2637" s="8">
        <v>2015</v>
      </c>
    </row>
    <row r="2638" spans="1:9" x14ac:dyDescent="0.2">
      <c r="A2638" t="s">
        <v>436</v>
      </c>
      <c r="B2638" t="s">
        <v>686</v>
      </c>
      <c r="C2638" t="str">
        <f t="shared" si="134"/>
        <v>19647330000000</v>
      </c>
      <c r="D2638" t="s">
        <v>4379</v>
      </c>
      <c r="E2638" t="str">
        <f>"19647336019731"</f>
        <v>19647336019731</v>
      </c>
      <c r="F2638" s="8">
        <v>1734</v>
      </c>
      <c r="G2638" s="8">
        <v>13418</v>
      </c>
      <c r="H2638" s="8">
        <v>923</v>
      </c>
      <c r="I2638" s="8">
        <v>2038</v>
      </c>
    </row>
    <row r="2639" spans="1:9" x14ac:dyDescent="0.2">
      <c r="A2639" t="s">
        <v>436</v>
      </c>
      <c r="B2639" t="s">
        <v>686</v>
      </c>
      <c r="C2639" t="str">
        <f t="shared" si="134"/>
        <v>19647330000000</v>
      </c>
      <c r="D2639" t="s">
        <v>4380</v>
      </c>
      <c r="E2639" t="str">
        <f>"19647336110266"</f>
        <v>19647336110266</v>
      </c>
      <c r="F2639" s="8">
        <v>2011</v>
      </c>
      <c r="G2639" s="8">
        <v>13126</v>
      </c>
      <c r="H2639" s="8">
        <v>918</v>
      </c>
      <c r="I2639" s="8">
        <v>2048</v>
      </c>
    </row>
    <row r="2640" spans="1:9" x14ac:dyDescent="0.2">
      <c r="A2640" t="s">
        <v>436</v>
      </c>
      <c r="B2640" t="s">
        <v>686</v>
      </c>
      <c r="C2640" t="str">
        <f t="shared" si="134"/>
        <v>19647330000000</v>
      </c>
      <c r="D2640" t="s">
        <v>4381</v>
      </c>
      <c r="E2640" t="str">
        <f>"19647336019418"</f>
        <v>19647336019418</v>
      </c>
      <c r="F2640" s="8">
        <v>1804</v>
      </c>
      <c r="G2640" s="8">
        <v>13356</v>
      </c>
      <c r="H2640" s="8">
        <v>917</v>
      </c>
      <c r="I2640" s="8">
        <v>2017</v>
      </c>
    </row>
    <row r="2641" spans="1:9" x14ac:dyDescent="0.2">
      <c r="A2641" t="s">
        <v>436</v>
      </c>
      <c r="B2641" t="s">
        <v>686</v>
      </c>
      <c r="C2641" t="str">
        <f t="shared" si="134"/>
        <v>19647330000000</v>
      </c>
      <c r="D2641" t="s">
        <v>4382</v>
      </c>
      <c r="E2641" t="str">
        <f>"19647336019517"</f>
        <v>19647336019517</v>
      </c>
      <c r="F2641" s="8">
        <v>1685</v>
      </c>
      <c r="G2641" s="8">
        <v>13474</v>
      </c>
      <c r="H2641" s="8">
        <v>918</v>
      </c>
      <c r="I2641" s="8">
        <v>2016</v>
      </c>
    </row>
    <row r="2642" spans="1:9" x14ac:dyDescent="0.2">
      <c r="A2642" t="s">
        <v>436</v>
      </c>
      <c r="B2642" t="s">
        <v>686</v>
      </c>
      <c r="C2642" t="str">
        <f t="shared" si="134"/>
        <v>19647330000000</v>
      </c>
      <c r="D2642" t="s">
        <v>4383</v>
      </c>
      <c r="E2642" t="str">
        <f>"19647330126508"</f>
        <v>19647330126508</v>
      </c>
      <c r="F2642" s="8">
        <v>2788</v>
      </c>
      <c r="G2642" s="8">
        <v>12275</v>
      </c>
      <c r="H2642" s="8">
        <v>938</v>
      </c>
      <c r="I2642" s="8">
        <v>2077</v>
      </c>
    </row>
    <row r="2643" spans="1:9" x14ac:dyDescent="0.2">
      <c r="A2643" t="s">
        <v>436</v>
      </c>
      <c r="B2643" t="s">
        <v>686</v>
      </c>
      <c r="C2643" t="str">
        <f t="shared" si="134"/>
        <v>19647330000000</v>
      </c>
      <c r="D2643" t="s">
        <v>4384</v>
      </c>
      <c r="E2643" t="str">
        <f>"19647336016844"</f>
        <v>19647336016844</v>
      </c>
      <c r="F2643" s="8">
        <v>2565</v>
      </c>
      <c r="G2643" s="8">
        <v>12549</v>
      </c>
      <c r="H2643" s="8">
        <v>916</v>
      </c>
      <c r="I2643" s="8">
        <v>2034</v>
      </c>
    </row>
    <row r="2644" spans="1:9" x14ac:dyDescent="0.2">
      <c r="A2644" t="s">
        <v>436</v>
      </c>
      <c r="B2644" t="s">
        <v>686</v>
      </c>
      <c r="C2644" t="str">
        <f t="shared" si="134"/>
        <v>19647330000000</v>
      </c>
      <c r="D2644" t="s">
        <v>4385</v>
      </c>
      <c r="E2644" t="str">
        <f>"19647336017552"</f>
        <v>19647336017552</v>
      </c>
      <c r="F2644" s="8">
        <v>1643</v>
      </c>
      <c r="G2644" s="8">
        <v>13441</v>
      </c>
      <c r="H2644" s="8">
        <v>918</v>
      </c>
      <c r="I2644" s="8">
        <v>2046</v>
      </c>
    </row>
    <row r="2645" spans="1:9" x14ac:dyDescent="0.2">
      <c r="A2645" t="s">
        <v>436</v>
      </c>
      <c r="B2645" t="s">
        <v>686</v>
      </c>
      <c r="C2645" t="str">
        <f t="shared" si="134"/>
        <v>19647330000000</v>
      </c>
      <c r="D2645" t="s">
        <v>4386</v>
      </c>
      <c r="E2645" t="str">
        <f>"19647331935121"</f>
        <v>19647331935121</v>
      </c>
      <c r="F2645" s="8">
        <v>2324</v>
      </c>
      <c r="G2645" s="8">
        <v>12768</v>
      </c>
      <c r="H2645" s="8">
        <v>917</v>
      </c>
      <c r="I2645" s="8">
        <v>2037</v>
      </c>
    </row>
    <row r="2646" spans="1:9" x14ac:dyDescent="0.2">
      <c r="A2646" t="s">
        <v>436</v>
      </c>
      <c r="B2646" t="s">
        <v>686</v>
      </c>
      <c r="C2646" t="str">
        <f t="shared" si="134"/>
        <v>19647330000000</v>
      </c>
      <c r="D2646" t="s">
        <v>4387</v>
      </c>
      <c r="E2646" t="str">
        <f>"19647336018543"</f>
        <v>19647336018543</v>
      </c>
      <c r="F2646" s="8">
        <v>2819</v>
      </c>
      <c r="G2646" s="8">
        <v>12126</v>
      </c>
      <c r="H2646" s="8">
        <v>931</v>
      </c>
      <c r="I2646" s="8">
        <v>2151</v>
      </c>
    </row>
    <row r="2647" spans="1:9" x14ac:dyDescent="0.2">
      <c r="A2647" t="s">
        <v>436</v>
      </c>
      <c r="B2647" t="s">
        <v>686</v>
      </c>
      <c r="C2647" t="str">
        <f t="shared" ref="C2647:C2710" si="135">"19647330000000"</f>
        <v>19647330000000</v>
      </c>
      <c r="D2647" t="s">
        <v>4388</v>
      </c>
      <c r="E2647" t="str">
        <f>"19647330122218"</f>
        <v>19647330122218</v>
      </c>
      <c r="F2647" s="8">
        <v>1866</v>
      </c>
      <c r="G2647" s="8">
        <v>13214</v>
      </c>
      <c r="H2647" s="8">
        <v>917</v>
      </c>
      <c r="I2647" s="8">
        <v>2018</v>
      </c>
    </row>
    <row r="2648" spans="1:9" x14ac:dyDescent="0.2">
      <c r="A2648" t="s">
        <v>436</v>
      </c>
      <c r="B2648" t="s">
        <v>686</v>
      </c>
      <c r="C2648" t="str">
        <f t="shared" si="135"/>
        <v>19647330000000</v>
      </c>
      <c r="D2648" t="s">
        <v>4389</v>
      </c>
      <c r="E2648" t="str">
        <f>"19647336112411"</f>
        <v>19647336112411</v>
      </c>
      <c r="F2648" s="8">
        <v>2476</v>
      </c>
      <c r="G2648" s="8">
        <v>12573</v>
      </c>
      <c r="H2648" s="8">
        <v>919</v>
      </c>
      <c r="I2648" s="8">
        <v>2041</v>
      </c>
    </row>
    <row r="2649" spans="1:9" x14ac:dyDescent="0.2">
      <c r="A2649" t="s">
        <v>436</v>
      </c>
      <c r="B2649" t="s">
        <v>686</v>
      </c>
      <c r="C2649" t="str">
        <f t="shared" si="135"/>
        <v>19647330000000</v>
      </c>
      <c r="D2649" t="s">
        <v>4390</v>
      </c>
      <c r="E2649" t="str">
        <f>"19647336058200"</f>
        <v>19647336058200</v>
      </c>
      <c r="F2649" s="8">
        <v>1884</v>
      </c>
      <c r="G2649" s="8">
        <v>13168</v>
      </c>
      <c r="H2649" s="8">
        <v>920</v>
      </c>
      <c r="I2649" s="8">
        <v>2024</v>
      </c>
    </row>
    <row r="2650" spans="1:9" x14ac:dyDescent="0.2">
      <c r="A2650" t="s">
        <v>436</v>
      </c>
      <c r="B2650" t="s">
        <v>686</v>
      </c>
      <c r="C2650" t="str">
        <f t="shared" si="135"/>
        <v>19647330000000</v>
      </c>
      <c r="D2650" t="s">
        <v>4391</v>
      </c>
      <c r="E2650" t="str">
        <f>"19647331931450"</f>
        <v>19647331931450</v>
      </c>
      <c r="F2650" s="8">
        <v>2141</v>
      </c>
      <c r="G2650" s="8">
        <v>12862</v>
      </c>
      <c r="H2650" s="8">
        <v>921</v>
      </c>
      <c r="I2650" s="8">
        <v>2047</v>
      </c>
    </row>
    <row r="2651" spans="1:9" x14ac:dyDescent="0.2">
      <c r="A2651" t="s">
        <v>436</v>
      </c>
      <c r="B2651" t="s">
        <v>686</v>
      </c>
      <c r="C2651" t="str">
        <f t="shared" si="135"/>
        <v>19647330000000</v>
      </c>
      <c r="D2651" t="s">
        <v>4392</v>
      </c>
      <c r="E2651" t="str">
        <f>"19647331931559"</f>
        <v>19647331931559</v>
      </c>
      <c r="F2651" s="8">
        <v>3821</v>
      </c>
      <c r="G2651" s="8">
        <v>11188</v>
      </c>
      <c r="H2651" s="8">
        <v>923</v>
      </c>
      <c r="I2651" s="8">
        <v>2030</v>
      </c>
    </row>
    <row r="2652" spans="1:9" x14ac:dyDescent="0.2">
      <c r="A2652" t="s">
        <v>436</v>
      </c>
      <c r="B2652" t="s">
        <v>686</v>
      </c>
      <c r="C2652" t="str">
        <f t="shared" si="135"/>
        <v>19647330000000</v>
      </c>
      <c r="D2652" t="s">
        <v>4393</v>
      </c>
      <c r="E2652" t="str">
        <f>"19647330124487"</f>
        <v>19647330124487</v>
      </c>
      <c r="F2652" s="8">
        <v>1849</v>
      </c>
      <c r="G2652" s="8">
        <v>13146</v>
      </c>
      <c r="H2652" s="8">
        <v>911</v>
      </c>
      <c r="I2652" s="8">
        <v>2043</v>
      </c>
    </row>
    <row r="2653" spans="1:9" x14ac:dyDescent="0.2">
      <c r="A2653" t="s">
        <v>436</v>
      </c>
      <c r="B2653" t="s">
        <v>686</v>
      </c>
      <c r="C2653" t="str">
        <f t="shared" si="135"/>
        <v>19647330000000</v>
      </c>
      <c r="D2653" t="s">
        <v>4394</v>
      </c>
      <c r="E2653" t="str">
        <f>"19647336017792"</f>
        <v>19647336017792</v>
      </c>
      <c r="F2653" s="8">
        <v>2427</v>
      </c>
      <c r="G2653" s="8">
        <v>12561</v>
      </c>
      <c r="H2653" s="8">
        <v>919</v>
      </c>
      <c r="I2653" s="8">
        <v>2015</v>
      </c>
    </row>
    <row r="2654" spans="1:9" x14ac:dyDescent="0.2">
      <c r="A2654" t="s">
        <v>436</v>
      </c>
      <c r="B2654" t="s">
        <v>686</v>
      </c>
      <c r="C2654" t="str">
        <f t="shared" si="135"/>
        <v>19647330000000</v>
      </c>
      <c r="D2654" t="s">
        <v>4395</v>
      </c>
      <c r="E2654" t="str">
        <f>"19647336015713"</f>
        <v>19647336015713</v>
      </c>
      <c r="F2654" s="8">
        <v>2454</v>
      </c>
      <c r="G2654" s="8">
        <v>12489</v>
      </c>
      <c r="H2654" s="8">
        <v>919</v>
      </c>
      <c r="I2654" s="8">
        <v>2051</v>
      </c>
    </row>
    <row r="2655" spans="1:9" x14ac:dyDescent="0.2">
      <c r="A2655" t="s">
        <v>436</v>
      </c>
      <c r="B2655" t="s">
        <v>686</v>
      </c>
      <c r="C2655" t="str">
        <f t="shared" si="135"/>
        <v>19647330000000</v>
      </c>
      <c r="D2655" t="s">
        <v>4396</v>
      </c>
      <c r="E2655" t="str">
        <f>"19647336016695"</f>
        <v>19647336016695</v>
      </c>
      <c r="F2655" s="8">
        <v>2083</v>
      </c>
      <c r="G2655" s="8">
        <v>12900</v>
      </c>
      <c r="H2655" s="8">
        <v>916</v>
      </c>
      <c r="I2655" s="8">
        <v>2009</v>
      </c>
    </row>
    <row r="2656" spans="1:9" x14ac:dyDescent="0.2">
      <c r="A2656" t="s">
        <v>436</v>
      </c>
      <c r="B2656" t="s">
        <v>686</v>
      </c>
      <c r="C2656" t="str">
        <f t="shared" si="135"/>
        <v>19647330000000</v>
      </c>
      <c r="D2656" t="s">
        <v>4397</v>
      </c>
      <c r="E2656" t="str">
        <f>"19647330109405"</f>
        <v>19647330109405</v>
      </c>
      <c r="F2656" s="8">
        <v>2637</v>
      </c>
      <c r="G2656" s="8">
        <v>12173</v>
      </c>
      <c r="H2656" s="8">
        <v>939</v>
      </c>
      <c r="I2656" s="8">
        <v>2083</v>
      </c>
    </row>
    <row r="2657" spans="1:9" x14ac:dyDescent="0.2">
      <c r="A2657" t="s">
        <v>436</v>
      </c>
      <c r="B2657" t="s">
        <v>686</v>
      </c>
      <c r="C2657" t="str">
        <f t="shared" si="135"/>
        <v>19647330000000</v>
      </c>
      <c r="D2657" t="s">
        <v>4398</v>
      </c>
      <c r="E2657" t="str">
        <f>"19647336019525"</f>
        <v>19647336019525</v>
      </c>
      <c r="F2657" s="8">
        <v>1817</v>
      </c>
      <c r="G2657" s="8">
        <v>12998</v>
      </c>
      <c r="H2657" s="8">
        <v>939</v>
      </c>
      <c r="I2657" s="8">
        <v>2065</v>
      </c>
    </row>
    <row r="2658" spans="1:9" x14ac:dyDescent="0.2">
      <c r="A2658" t="s">
        <v>436</v>
      </c>
      <c r="B2658" t="s">
        <v>686</v>
      </c>
      <c r="C2658" t="str">
        <f t="shared" si="135"/>
        <v>19647330000000</v>
      </c>
      <c r="D2658" t="s">
        <v>4399</v>
      </c>
      <c r="E2658" t="str">
        <f>"19647330112011"</f>
        <v>19647330112011</v>
      </c>
      <c r="F2658" s="8">
        <v>2392</v>
      </c>
      <c r="G2658" s="8">
        <v>12420</v>
      </c>
      <c r="H2658" s="8">
        <v>937</v>
      </c>
      <c r="I2658" s="8">
        <v>2056</v>
      </c>
    </row>
    <row r="2659" spans="1:9" x14ac:dyDescent="0.2">
      <c r="A2659" t="s">
        <v>436</v>
      </c>
      <c r="B2659" t="s">
        <v>686</v>
      </c>
      <c r="C2659" t="str">
        <f t="shared" si="135"/>
        <v>19647330000000</v>
      </c>
      <c r="D2659" t="s">
        <v>4400</v>
      </c>
      <c r="E2659" t="str">
        <f>"19647336061501"</f>
        <v>19647336061501</v>
      </c>
      <c r="F2659" s="8">
        <v>1825</v>
      </c>
      <c r="G2659" s="8">
        <v>12936</v>
      </c>
      <c r="H2659" s="8">
        <v>938</v>
      </c>
      <c r="I2659" s="8">
        <v>2084</v>
      </c>
    </row>
    <row r="2660" spans="1:9" x14ac:dyDescent="0.2">
      <c r="A2660" t="s">
        <v>436</v>
      </c>
      <c r="B2660" t="s">
        <v>686</v>
      </c>
      <c r="C2660" t="str">
        <f t="shared" si="135"/>
        <v>19647330000000</v>
      </c>
      <c r="D2660" t="s">
        <v>4401</v>
      </c>
      <c r="E2660" t="str">
        <f>"19647336018808"</f>
        <v>19647336018808</v>
      </c>
      <c r="F2660" s="8">
        <v>2842</v>
      </c>
      <c r="G2660" s="8">
        <v>11956</v>
      </c>
      <c r="H2660" s="8">
        <v>923</v>
      </c>
      <c r="I2660" s="8">
        <v>2043</v>
      </c>
    </row>
    <row r="2661" spans="1:9" x14ac:dyDescent="0.2">
      <c r="A2661" t="s">
        <v>436</v>
      </c>
      <c r="B2661" t="s">
        <v>686</v>
      </c>
      <c r="C2661" t="str">
        <f t="shared" si="135"/>
        <v>19647330000000</v>
      </c>
      <c r="D2661" t="s">
        <v>4402</v>
      </c>
      <c r="E2661" t="str">
        <f>"19647336016661"</f>
        <v>19647336016661</v>
      </c>
      <c r="F2661" s="8">
        <v>2024</v>
      </c>
      <c r="G2661" s="8">
        <v>12792</v>
      </c>
      <c r="H2661" s="8">
        <v>920</v>
      </c>
      <c r="I2661" s="8">
        <v>2023</v>
      </c>
    </row>
    <row r="2662" spans="1:9" x14ac:dyDescent="0.2">
      <c r="A2662" t="s">
        <v>436</v>
      </c>
      <c r="B2662" t="s">
        <v>686</v>
      </c>
      <c r="C2662" t="str">
        <f t="shared" si="135"/>
        <v>19647330000000</v>
      </c>
      <c r="D2662" t="s">
        <v>4403</v>
      </c>
      <c r="E2662" t="str">
        <f>"19647336016265"</f>
        <v>19647336016265</v>
      </c>
      <c r="F2662" s="8">
        <v>2386</v>
      </c>
      <c r="G2662" s="8">
        <v>12427</v>
      </c>
      <c r="H2662" s="8">
        <v>919</v>
      </c>
      <c r="I2662" s="8">
        <v>2016</v>
      </c>
    </row>
    <row r="2663" spans="1:9" x14ac:dyDescent="0.2">
      <c r="A2663" t="s">
        <v>436</v>
      </c>
      <c r="B2663" t="s">
        <v>686</v>
      </c>
      <c r="C2663" t="str">
        <f t="shared" si="135"/>
        <v>19647330000000</v>
      </c>
      <c r="D2663" t="s">
        <v>4404</v>
      </c>
      <c r="E2663" t="str">
        <f>"19647336018840"</f>
        <v>19647336018840</v>
      </c>
      <c r="F2663" s="8">
        <v>2262</v>
      </c>
      <c r="G2663" s="8">
        <v>12477</v>
      </c>
      <c r="H2663" s="8">
        <v>924</v>
      </c>
      <c r="I2663" s="8">
        <v>2075</v>
      </c>
    </row>
    <row r="2664" spans="1:9" x14ac:dyDescent="0.2">
      <c r="A2664" t="s">
        <v>436</v>
      </c>
      <c r="B2664" t="s">
        <v>686</v>
      </c>
      <c r="C2664" t="str">
        <f t="shared" si="135"/>
        <v>19647330000000</v>
      </c>
      <c r="D2664" t="s">
        <v>4405</v>
      </c>
      <c r="E2664" t="str">
        <f>"19647330114199"</f>
        <v>19647330114199</v>
      </c>
      <c r="F2664" s="8">
        <v>2215</v>
      </c>
      <c r="G2664" s="8">
        <v>12499</v>
      </c>
      <c r="H2664" s="8">
        <v>941</v>
      </c>
      <c r="I2664" s="8">
        <v>2082</v>
      </c>
    </row>
    <row r="2665" spans="1:9" x14ac:dyDescent="0.2">
      <c r="A2665" t="s">
        <v>436</v>
      </c>
      <c r="B2665" t="s">
        <v>686</v>
      </c>
      <c r="C2665" t="str">
        <f t="shared" si="135"/>
        <v>19647330000000</v>
      </c>
      <c r="D2665" t="s">
        <v>4406</v>
      </c>
      <c r="E2665" t="str">
        <f>"19647336019202"</f>
        <v>19647336019202</v>
      </c>
      <c r="F2665" s="8">
        <v>1689</v>
      </c>
      <c r="G2665" s="8">
        <v>13002</v>
      </c>
      <c r="H2665" s="8">
        <v>937</v>
      </c>
      <c r="I2665" s="8">
        <v>2079</v>
      </c>
    </row>
    <row r="2666" spans="1:9" x14ac:dyDescent="0.2">
      <c r="A2666" t="s">
        <v>436</v>
      </c>
      <c r="B2666" t="s">
        <v>686</v>
      </c>
      <c r="C2666" t="str">
        <f t="shared" si="135"/>
        <v>19647330000000</v>
      </c>
      <c r="D2666" t="s">
        <v>4407</v>
      </c>
      <c r="E2666" t="str">
        <f>"19647331939859"</f>
        <v>19647331939859</v>
      </c>
      <c r="F2666" s="8">
        <v>2112</v>
      </c>
      <c r="G2666" s="8">
        <v>12632</v>
      </c>
      <c r="H2666" s="8">
        <v>917</v>
      </c>
      <c r="I2666" s="8">
        <v>2043</v>
      </c>
    </row>
    <row r="2667" spans="1:9" x14ac:dyDescent="0.2">
      <c r="A2667" t="s">
        <v>436</v>
      </c>
      <c r="B2667" t="s">
        <v>686</v>
      </c>
      <c r="C2667" t="str">
        <f t="shared" si="135"/>
        <v>19647330000000</v>
      </c>
      <c r="D2667" t="s">
        <v>4408</v>
      </c>
      <c r="E2667" t="str">
        <f>"19647336017123"</f>
        <v>19647336017123</v>
      </c>
      <c r="F2667" s="8">
        <v>2133</v>
      </c>
      <c r="G2667" s="8">
        <v>12590</v>
      </c>
      <c r="H2667" s="8">
        <v>919</v>
      </c>
      <c r="I2667" s="8">
        <v>2043</v>
      </c>
    </row>
    <row r="2668" spans="1:9" x14ac:dyDescent="0.2">
      <c r="A2668" t="s">
        <v>436</v>
      </c>
      <c r="B2668" t="s">
        <v>686</v>
      </c>
      <c r="C2668" t="str">
        <f t="shared" si="135"/>
        <v>19647330000000</v>
      </c>
      <c r="D2668" t="s">
        <v>4409</v>
      </c>
      <c r="E2668" t="str">
        <f>"19647330114850"</f>
        <v>19647330114850</v>
      </c>
      <c r="F2668" s="8">
        <v>2437</v>
      </c>
      <c r="G2668" s="8">
        <v>12254</v>
      </c>
      <c r="H2668" s="8">
        <v>919</v>
      </c>
      <c r="I2668" s="8">
        <v>2052</v>
      </c>
    </row>
    <row r="2669" spans="1:9" x14ac:dyDescent="0.2">
      <c r="A2669" t="s">
        <v>436</v>
      </c>
      <c r="B2669" t="s">
        <v>686</v>
      </c>
      <c r="C2669" t="str">
        <f t="shared" si="135"/>
        <v>19647330000000</v>
      </c>
      <c r="D2669" t="s">
        <v>4410</v>
      </c>
      <c r="E2669" t="str">
        <f>"19647330117036"</f>
        <v>19647330117036</v>
      </c>
      <c r="F2669" s="8">
        <v>2504</v>
      </c>
      <c r="G2669" s="8">
        <v>12181</v>
      </c>
      <c r="H2669" s="8">
        <v>920</v>
      </c>
      <c r="I2669" s="8">
        <v>2021</v>
      </c>
    </row>
    <row r="2670" spans="1:9" x14ac:dyDescent="0.2">
      <c r="A2670" t="s">
        <v>436</v>
      </c>
      <c r="B2670" t="s">
        <v>686</v>
      </c>
      <c r="C2670" t="str">
        <f t="shared" si="135"/>
        <v>19647330000000</v>
      </c>
      <c r="D2670" t="s">
        <v>4411</v>
      </c>
      <c r="E2670" t="str">
        <f>"19647336016232"</f>
        <v>19647336016232</v>
      </c>
      <c r="F2670" s="8">
        <v>2088</v>
      </c>
      <c r="G2670" s="8">
        <v>12556</v>
      </c>
      <c r="H2670" s="8">
        <v>920</v>
      </c>
      <c r="I2670" s="8">
        <v>2058</v>
      </c>
    </row>
    <row r="2671" spans="1:9" x14ac:dyDescent="0.2">
      <c r="A2671" t="s">
        <v>436</v>
      </c>
      <c r="B2671" t="s">
        <v>686</v>
      </c>
      <c r="C2671" t="str">
        <f t="shared" si="135"/>
        <v>19647330000000</v>
      </c>
      <c r="D2671" t="s">
        <v>4412</v>
      </c>
      <c r="E2671" t="str">
        <f>"19647336018360"</f>
        <v>19647336018360</v>
      </c>
      <c r="F2671" s="8">
        <v>1933</v>
      </c>
      <c r="G2671" s="8">
        <v>12716</v>
      </c>
      <c r="H2671" s="8">
        <v>911</v>
      </c>
      <c r="I2671" s="8">
        <v>2033</v>
      </c>
    </row>
    <row r="2672" spans="1:9" x14ac:dyDescent="0.2">
      <c r="A2672" t="s">
        <v>436</v>
      </c>
      <c r="B2672" t="s">
        <v>686</v>
      </c>
      <c r="C2672" t="str">
        <f t="shared" si="135"/>
        <v>19647330000000</v>
      </c>
      <c r="D2672" t="s">
        <v>4413</v>
      </c>
      <c r="E2672" t="str">
        <f>"19647336018071"</f>
        <v>19647336018071</v>
      </c>
      <c r="F2672" s="8">
        <v>1783</v>
      </c>
      <c r="G2672" s="8">
        <v>12799</v>
      </c>
      <c r="H2672" s="8">
        <v>935</v>
      </c>
      <c r="I2672" s="8">
        <v>2069</v>
      </c>
    </row>
    <row r="2673" spans="1:9" x14ac:dyDescent="0.2">
      <c r="A2673" t="s">
        <v>436</v>
      </c>
      <c r="B2673" t="s">
        <v>686</v>
      </c>
      <c r="C2673" t="str">
        <f t="shared" si="135"/>
        <v>19647330000000</v>
      </c>
      <c r="D2673" t="s">
        <v>3172</v>
      </c>
      <c r="E2673" t="str">
        <f>"19647336019061"</f>
        <v>19647336019061</v>
      </c>
      <c r="F2673" s="8">
        <v>2194</v>
      </c>
      <c r="G2673" s="8">
        <v>12383</v>
      </c>
      <c r="H2673" s="8">
        <v>925</v>
      </c>
      <c r="I2673" s="8">
        <v>2047</v>
      </c>
    </row>
    <row r="2674" spans="1:9" x14ac:dyDescent="0.2">
      <c r="A2674" t="s">
        <v>436</v>
      </c>
      <c r="B2674" t="s">
        <v>686</v>
      </c>
      <c r="C2674" t="str">
        <f t="shared" si="135"/>
        <v>19647330000000</v>
      </c>
      <c r="D2674" t="s">
        <v>4414</v>
      </c>
      <c r="E2674" t="str">
        <f>"19647330106948"</f>
        <v>19647330106948</v>
      </c>
      <c r="F2674" s="8">
        <v>2117</v>
      </c>
      <c r="G2674" s="8">
        <v>12392</v>
      </c>
      <c r="H2674" s="8">
        <v>945</v>
      </c>
      <c r="I2674" s="8">
        <v>2093</v>
      </c>
    </row>
    <row r="2675" spans="1:9" x14ac:dyDescent="0.2">
      <c r="A2675" t="s">
        <v>436</v>
      </c>
      <c r="B2675" t="s">
        <v>686</v>
      </c>
      <c r="C2675" t="str">
        <f t="shared" si="135"/>
        <v>19647330000000</v>
      </c>
      <c r="D2675" t="s">
        <v>4415</v>
      </c>
      <c r="E2675" t="str">
        <f>"19647336019194"</f>
        <v>19647336019194</v>
      </c>
      <c r="F2675" s="8">
        <v>1764</v>
      </c>
      <c r="G2675" s="8">
        <v>12829</v>
      </c>
      <c r="H2675" s="8">
        <v>921</v>
      </c>
      <c r="I2675" s="8">
        <v>2025</v>
      </c>
    </row>
    <row r="2676" spans="1:9" x14ac:dyDescent="0.2">
      <c r="A2676" t="s">
        <v>436</v>
      </c>
      <c r="B2676" t="s">
        <v>686</v>
      </c>
      <c r="C2676" t="str">
        <f t="shared" si="135"/>
        <v>19647330000000</v>
      </c>
      <c r="D2676" t="s">
        <v>4416</v>
      </c>
      <c r="E2676" t="str">
        <f>"19647336016604"</f>
        <v>19647336016604</v>
      </c>
      <c r="F2676" s="8">
        <v>2051</v>
      </c>
      <c r="G2676" s="8">
        <v>12449</v>
      </c>
      <c r="H2676" s="8">
        <v>944</v>
      </c>
      <c r="I2676" s="8">
        <v>2090</v>
      </c>
    </row>
    <row r="2677" spans="1:9" x14ac:dyDescent="0.2">
      <c r="A2677" t="s">
        <v>436</v>
      </c>
      <c r="B2677" t="s">
        <v>686</v>
      </c>
      <c r="C2677" t="str">
        <f t="shared" si="135"/>
        <v>19647330000000</v>
      </c>
      <c r="D2677" t="s">
        <v>4417</v>
      </c>
      <c r="E2677" t="str">
        <f>"19647336017248"</f>
        <v>19647336017248</v>
      </c>
      <c r="F2677" s="8">
        <v>2071</v>
      </c>
      <c r="G2677" s="8">
        <v>12499</v>
      </c>
      <c r="H2677" s="8">
        <v>918</v>
      </c>
      <c r="I2677" s="8">
        <v>2044</v>
      </c>
    </row>
    <row r="2678" spans="1:9" x14ac:dyDescent="0.2">
      <c r="A2678" t="s">
        <v>436</v>
      </c>
      <c r="B2678" t="s">
        <v>686</v>
      </c>
      <c r="C2678" t="str">
        <f t="shared" si="135"/>
        <v>19647330000000</v>
      </c>
      <c r="D2678" t="s">
        <v>4418</v>
      </c>
      <c r="E2678" t="str">
        <f>"19647336017867"</f>
        <v>19647336017867</v>
      </c>
      <c r="F2678" s="8">
        <v>2403</v>
      </c>
      <c r="G2678" s="8">
        <v>12184</v>
      </c>
      <c r="H2678" s="8">
        <v>919</v>
      </c>
      <c r="I2678" s="8">
        <v>2016</v>
      </c>
    </row>
    <row r="2679" spans="1:9" x14ac:dyDescent="0.2">
      <c r="A2679" t="s">
        <v>436</v>
      </c>
      <c r="B2679" t="s">
        <v>686</v>
      </c>
      <c r="C2679" t="str">
        <f t="shared" si="135"/>
        <v>19647330000000</v>
      </c>
      <c r="D2679" t="s">
        <v>4419</v>
      </c>
      <c r="E2679" t="str">
        <f>"19647336107403"</f>
        <v>19647336107403</v>
      </c>
      <c r="F2679" s="8">
        <v>2412</v>
      </c>
      <c r="G2679" s="8">
        <v>12157</v>
      </c>
      <c r="H2679" s="8">
        <v>915</v>
      </c>
      <c r="I2679" s="8">
        <v>2023</v>
      </c>
    </row>
    <row r="2680" spans="1:9" x14ac:dyDescent="0.2">
      <c r="A2680" t="s">
        <v>436</v>
      </c>
      <c r="B2680" t="s">
        <v>686</v>
      </c>
      <c r="C2680" t="str">
        <f t="shared" si="135"/>
        <v>19647330000000</v>
      </c>
      <c r="D2680" t="s">
        <v>4420</v>
      </c>
      <c r="E2680" t="str">
        <f>"19647330135707"</f>
        <v>19647330135707</v>
      </c>
      <c r="F2680" s="8">
        <v>1635</v>
      </c>
      <c r="G2680" s="8">
        <v>12816</v>
      </c>
      <c r="H2680" s="8">
        <v>945</v>
      </c>
      <c r="I2680" s="8">
        <v>2110</v>
      </c>
    </row>
    <row r="2681" spans="1:9" x14ac:dyDescent="0.2">
      <c r="A2681" t="s">
        <v>436</v>
      </c>
      <c r="B2681" t="s">
        <v>686</v>
      </c>
      <c r="C2681" t="str">
        <f t="shared" si="135"/>
        <v>19647330000000</v>
      </c>
      <c r="D2681" t="s">
        <v>4421</v>
      </c>
      <c r="E2681" t="str">
        <f>"19647330126375"</f>
        <v>19647330126375</v>
      </c>
      <c r="F2681" s="8">
        <v>1993</v>
      </c>
      <c r="G2681" s="8">
        <v>12601</v>
      </c>
      <c r="H2681" s="8">
        <v>904</v>
      </c>
      <c r="I2681" s="8">
        <v>1985</v>
      </c>
    </row>
    <row r="2682" spans="1:9" x14ac:dyDescent="0.2">
      <c r="A2682" t="s">
        <v>436</v>
      </c>
      <c r="B2682" t="s">
        <v>686</v>
      </c>
      <c r="C2682" t="str">
        <f t="shared" si="135"/>
        <v>19647330000000</v>
      </c>
      <c r="D2682" t="s">
        <v>4422</v>
      </c>
      <c r="E2682" t="str">
        <f>"19647336018832"</f>
        <v>19647336018832</v>
      </c>
      <c r="F2682" s="8">
        <v>2333</v>
      </c>
      <c r="G2682" s="8">
        <v>12159</v>
      </c>
      <c r="H2682" s="8">
        <v>926</v>
      </c>
      <c r="I2682" s="8">
        <v>2051</v>
      </c>
    </row>
    <row r="2683" spans="1:9" x14ac:dyDescent="0.2">
      <c r="A2683" t="s">
        <v>436</v>
      </c>
      <c r="B2683" t="s">
        <v>686</v>
      </c>
      <c r="C2683" t="str">
        <f t="shared" si="135"/>
        <v>19647330000000</v>
      </c>
      <c r="D2683" t="s">
        <v>4423</v>
      </c>
      <c r="E2683" t="str">
        <f>"19647336017040"</f>
        <v>19647336017040</v>
      </c>
      <c r="F2683" s="8">
        <v>2001</v>
      </c>
      <c r="G2683" s="8">
        <v>12430</v>
      </c>
      <c r="H2683" s="8">
        <v>939</v>
      </c>
      <c r="I2683" s="8">
        <v>2081</v>
      </c>
    </row>
    <row r="2684" spans="1:9" x14ac:dyDescent="0.2">
      <c r="A2684" t="s">
        <v>436</v>
      </c>
      <c r="B2684" t="s">
        <v>686</v>
      </c>
      <c r="C2684" t="str">
        <f t="shared" si="135"/>
        <v>19647330000000</v>
      </c>
      <c r="D2684" t="s">
        <v>4424</v>
      </c>
      <c r="E2684" t="str">
        <f>"19647336120679"</f>
        <v>19647336120679</v>
      </c>
      <c r="F2684" s="8">
        <v>2505</v>
      </c>
      <c r="G2684" s="8">
        <v>12003</v>
      </c>
      <c r="H2684" s="8">
        <v>915</v>
      </c>
      <c r="I2684" s="8">
        <v>2007</v>
      </c>
    </row>
    <row r="2685" spans="1:9" x14ac:dyDescent="0.2">
      <c r="A2685" t="s">
        <v>436</v>
      </c>
      <c r="B2685" t="s">
        <v>686</v>
      </c>
      <c r="C2685" t="str">
        <f t="shared" si="135"/>
        <v>19647330000000</v>
      </c>
      <c r="D2685" t="s">
        <v>4425</v>
      </c>
      <c r="E2685" t="str">
        <f>"19647336018436"</f>
        <v>19647336018436</v>
      </c>
      <c r="F2685" s="8">
        <v>1859</v>
      </c>
      <c r="G2685" s="8">
        <v>12603</v>
      </c>
      <c r="H2685" s="8">
        <v>924</v>
      </c>
      <c r="I2685" s="8">
        <v>2042</v>
      </c>
    </row>
    <row r="2686" spans="1:9" x14ac:dyDescent="0.2">
      <c r="A2686" t="s">
        <v>436</v>
      </c>
      <c r="B2686" t="s">
        <v>686</v>
      </c>
      <c r="C2686" t="str">
        <f t="shared" si="135"/>
        <v>19647330000000</v>
      </c>
      <c r="D2686" t="s">
        <v>4426</v>
      </c>
      <c r="E2686" t="str">
        <f>"19647336017255"</f>
        <v>19647336017255</v>
      </c>
      <c r="F2686" s="8">
        <v>2372</v>
      </c>
      <c r="G2686" s="8">
        <v>12084</v>
      </c>
      <c r="H2686" s="8">
        <v>921</v>
      </c>
      <c r="I2686" s="8">
        <v>2025</v>
      </c>
    </row>
    <row r="2687" spans="1:9" x14ac:dyDescent="0.2">
      <c r="A2687" t="s">
        <v>436</v>
      </c>
      <c r="B2687" t="s">
        <v>686</v>
      </c>
      <c r="C2687" t="str">
        <f t="shared" si="135"/>
        <v>19647330000000</v>
      </c>
      <c r="D2687" t="s">
        <v>4427</v>
      </c>
      <c r="E2687" t="str">
        <f>"19647336018303"</f>
        <v>19647336018303</v>
      </c>
      <c r="F2687" s="8">
        <v>2132</v>
      </c>
      <c r="G2687" s="8">
        <v>12372</v>
      </c>
      <c r="H2687" s="8">
        <v>904</v>
      </c>
      <c r="I2687" s="8">
        <v>1985</v>
      </c>
    </row>
    <row r="2688" spans="1:9" x14ac:dyDescent="0.2">
      <c r="A2688" t="s">
        <v>436</v>
      </c>
      <c r="B2688" t="s">
        <v>686</v>
      </c>
      <c r="C2688" t="str">
        <f t="shared" si="135"/>
        <v>19647330000000</v>
      </c>
      <c r="D2688" t="s">
        <v>4428</v>
      </c>
      <c r="E2688" t="str">
        <f>"19647336015978"</f>
        <v>19647336015978</v>
      </c>
      <c r="F2688" s="8">
        <v>1855</v>
      </c>
      <c r="G2688" s="8">
        <v>12603</v>
      </c>
      <c r="H2688" s="8">
        <v>917</v>
      </c>
      <c r="I2688" s="8">
        <v>2010</v>
      </c>
    </row>
    <row r="2689" spans="1:9" x14ac:dyDescent="0.2">
      <c r="A2689" t="s">
        <v>436</v>
      </c>
      <c r="B2689" t="s">
        <v>686</v>
      </c>
      <c r="C2689" t="str">
        <f t="shared" si="135"/>
        <v>19647330000000</v>
      </c>
      <c r="D2689" t="s">
        <v>4429</v>
      </c>
      <c r="E2689" t="str">
        <f>"19647330106914"</f>
        <v>19647330106914</v>
      </c>
      <c r="F2689" s="8">
        <v>2387</v>
      </c>
      <c r="G2689" s="8">
        <v>12071</v>
      </c>
      <c r="H2689" s="8">
        <v>918</v>
      </c>
      <c r="I2689" s="8">
        <v>2008</v>
      </c>
    </row>
    <row r="2690" spans="1:9" x14ac:dyDescent="0.2">
      <c r="A2690" t="s">
        <v>436</v>
      </c>
      <c r="B2690" t="s">
        <v>686</v>
      </c>
      <c r="C2690" t="str">
        <f t="shared" si="135"/>
        <v>19647330000000</v>
      </c>
      <c r="D2690" t="s">
        <v>4430</v>
      </c>
      <c r="E2690" t="str">
        <f>"19647336057962"</f>
        <v>19647336057962</v>
      </c>
      <c r="F2690" s="8">
        <v>2721</v>
      </c>
      <c r="G2690" s="8">
        <v>11690</v>
      </c>
      <c r="H2690" s="8">
        <v>911</v>
      </c>
      <c r="I2690" s="8">
        <v>2043</v>
      </c>
    </row>
    <row r="2691" spans="1:9" x14ac:dyDescent="0.2">
      <c r="A2691" t="s">
        <v>436</v>
      </c>
      <c r="B2691" t="s">
        <v>686</v>
      </c>
      <c r="C2691" t="str">
        <f t="shared" si="135"/>
        <v>19647330000000</v>
      </c>
      <c r="D2691" t="s">
        <v>4431</v>
      </c>
      <c r="E2691" t="str">
        <f>"19647336019384"</f>
        <v>19647336019384</v>
      </c>
      <c r="F2691" s="8">
        <v>2216</v>
      </c>
      <c r="G2691" s="8">
        <v>12202</v>
      </c>
      <c r="H2691" s="8">
        <v>920</v>
      </c>
      <c r="I2691" s="8">
        <v>2024</v>
      </c>
    </row>
    <row r="2692" spans="1:9" x14ac:dyDescent="0.2">
      <c r="A2692" t="s">
        <v>436</v>
      </c>
      <c r="B2692" t="s">
        <v>686</v>
      </c>
      <c r="C2692" t="str">
        <f t="shared" si="135"/>
        <v>19647330000000</v>
      </c>
      <c r="D2692" t="s">
        <v>4432</v>
      </c>
      <c r="E2692" t="str">
        <f>"19647336018857"</f>
        <v>19647336018857</v>
      </c>
      <c r="F2692" s="8">
        <v>1917</v>
      </c>
      <c r="G2692" s="8">
        <v>12492</v>
      </c>
      <c r="H2692" s="8">
        <v>922</v>
      </c>
      <c r="I2692" s="8">
        <v>2029</v>
      </c>
    </row>
    <row r="2693" spans="1:9" x14ac:dyDescent="0.2">
      <c r="A2693" t="s">
        <v>436</v>
      </c>
      <c r="B2693" t="s">
        <v>686</v>
      </c>
      <c r="C2693" t="str">
        <f t="shared" si="135"/>
        <v>19647330000000</v>
      </c>
      <c r="D2693" t="s">
        <v>4433</v>
      </c>
      <c r="E2693" t="str">
        <f>"19647331931997"</f>
        <v>19647331931997</v>
      </c>
      <c r="F2693" s="8">
        <v>2504</v>
      </c>
      <c r="G2693" s="8">
        <v>11874</v>
      </c>
      <c r="H2693" s="8">
        <v>922</v>
      </c>
      <c r="I2693" s="8">
        <v>2058</v>
      </c>
    </row>
    <row r="2694" spans="1:9" x14ac:dyDescent="0.2">
      <c r="A2694" t="s">
        <v>436</v>
      </c>
      <c r="B2694" t="s">
        <v>686</v>
      </c>
      <c r="C2694" t="str">
        <f t="shared" si="135"/>
        <v>19647330000000</v>
      </c>
      <c r="D2694" t="s">
        <v>4434</v>
      </c>
      <c r="E2694" t="str">
        <f>"19647336016273"</f>
        <v>19647336016273</v>
      </c>
      <c r="F2694" s="8">
        <v>2066</v>
      </c>
      <c r="G2694" s="8">
        <v>12354</v>
      </c>
      <c r="H2694" s="8">
        <v>920</v>
      </c>
      <c r="I2694" s="8">
        <v>2015</v>
      </c>
    </row>
    <row r="2695" spans="1:9" x14ac:dyDescent="0.2">
      <c r="A2695" t="s">
        <v>436</v>
      </c>
      <c r="B2695" t="s">
        <v>686</v>
      </c>
      <c r="C2695" t="str">
        <f t="shared" si="135"/>
        <v>19647330000000</v>
      </c>
      <c r="D2695" t="s">
        <v>4435</v>
      </c>
      <c r="E2695" t="str">
        <f>"19647330122168"</f>
        <v>19647330122168</v>
      </c>
      <c r="F2695" s="8">
        <v>1818</v>
      </c>
      <c r="G2695" s="8">
        <v>12572</v>
      </c>
      <c r="H2695" s="8">
        <v>919</v>
      </c>
      <c r="I2695" s="8">
        <v>2044</v>
      </c>
    </row>
    <row r="2696" spans="1:9" x14ac:dyDescent="0.2">
      <c r="A2696" t="s">
        <v>436</v>
      </c>
      <c r="B2696" t="s">
        <v>686</v>
      </c>
      <c r="C2696" t="str">
        <f t="shared" si="135"/>
        <v>19647330000000</v>
      </c>
      <c r="D2696" t="s">
        <v>4436</v>
      </c>
      <c r="E2696" t="str">
        <f>"19647336016018"</f>
        <v>19647336016018</v>
      </c>
      <c r="F2696" s="8">
        <v>2586</v>
      </c>
      <c r="G2696" s="8">
        <v>11801</v>
      </c>
      <c r="H2696" s="8">
        <v>918</v>
      </c>
      <c r="I2696" s="8">
        <v>2043</v>
      </c>
    </row>
    <row r="2697" spans="1:9" x14ac:dyDescent="0.2">
      <c r="A2697" t="s">
        <v>436</v>
      </c>
      <c r="B2697" t="s">
        <v>686</v>
      </c>
      <c r="C2697" t="str">
        <f t="shared" si="135"/>
        <v>19647330000000</v>
      </c>
      <c r="D2697" t="s">
        <v>4437</v>
      </c>
      <c r="E2697" t="str">
        <f>"19647336018394"</f>
        <v>19647336018394</v>
      </c>
      <c r="F2697" s="8">
        <v>2160</v>
      </c>
      <c r="G2697" s="8">
        <v>12207</v>
      </c>
      <c r="H2697" s="8">
        <v>926</v>
      </c>
      <c r="I2697" s="8">
        <v>2055</v>
      </c>
    </row>
    <row r="2698" spans="1:9" x14ac:dyDescent="0.2">
      <c r="A2698" t="s">
        <v>436</v>
      </c>
      <c r="B2698" t="s">
        <v>686</v>
      </c>
      <c r="C2698" t="str">
        <f t="shared" si="135"/>
        <v>19647330000000</v>
      </c>
      <c r="D2698" t="s">
        <v>4438</v>
      </c>
      <c r="E2698" t="str">
        <f>"19647336116842"</f>
        <v>19647336116842</v>
      </c>
      <c r="F2698" s="8">
        <v>2372</v>
      </c>
      <c r="G2698" s="8">
        <v>12046</v>
      </c>
      <c r="H2698" s="8">
        <v>918</v>
      </c>
      <c r="I2698" s="8">
        <v>2011</v>
      </c>
    </row>
    <row r="2699" spans="1:9" x14ac:dyDescent="0.2">
      <c r="A2699" t="s">
        <v>436</v>
      </c>
      <c r="B2699" t="s">
        <v>686</v>
      </c>
      <c r="C2699" t="str">
        <f t="shared" si="135"/>
        <v>19647330000000</v>
      </c>
      <c r="D2699" t="s">
        <v>4439</v>
      </c>
      <c r="E2699" t="str">
        <f>"19647336019640"</f>
        <v>19647336019640</v>
      </c>
      <c r="F2699" s="8">
        <v>2749</v>
      </c>
      <c r="G2699" s="8">
        <v>11615</v>
      </c>
      <c r="H2699" s="8">
        <v>926</v>
      </c>
      <c r="I2699" s="8">
        <v>2054</v>
      </c>
    </row>
    <row r="2700" spans="1:9" x14ac:dyDescent="0.2">
      <c r="A2700" t="s">
        <v>436</v>
      </c>
      <c r="B2700" t="s">
        <v>686</v>
      </c>
      <c r="C2700" t="str">
        <f t="shared" si="135"/>
        <v>19647330000000</v>
      </c>
      <c r="D2700" t="s">
        <v>4440</v>
      </c>
      <c r="E2700" t="str">
        <f>"19647336019459"</f>
        <v>19647336019459</v>
      </c>
      <c r="F2700" s="8">
        <v>1926</v>
      </c>
      <c r="G2700" s="8">
        <v>12372</v>
      </c>
      <c r="H2700" s="8">
        <v>944</v>
      </c>
      <c r="I2700" s="8">
        <v>2092</v>
      </c>
    </row>
    <row r="2701" spans="1:9" x14ac:dyDescent="0.2">
      <c r="A2701" t="s">
        <v>436</v>
      </c>
      <c r="B2701" t="s">
        <v>686</v>
      </c>
      <c r="C2701" t="str">
        <f t="shared" si="135"/>
        <v>19647330000000</v>
      </c>
      <c r="D2701" t="s">
        <v>4441</v>
      </c>
      <c r="E2701" t="str">
        <f>"19647330125096"</f>
        <v>19647330125096</v>
      </c>
      <c r="F2701" s="8">
        <v>1826</v>
      </c>
      <c r="G2701" s="8">
        <v>12565</v>
      </c>
      <c r="H2701" s="8">
        <v>921</v>
      </c>
      <c r="I2701" s="8">
        <v>2021</v>
      </c>
    </row>
    <row r="2702" spans="1:9" x14ac:dyDescent="0.2">
      <c r="A2702" t="s">
        <v>436</v>
      </c>
      <c r="B2702" t="s">
        <v>686</v>
      </c>
      <c r="C2702" t="str">
        <f t="shared" si="135"/>
        <v>19647330000000</v>
      </c>
      <c r="D2702" t="s">
        <v>2396</v>
      </c>
      <c r="E2702" t="str">
        <f>"19647336016430"</f>
        <v>19647336016430</v>
      </c>
      <c r="F2702" s="8">
        <v>2331</v>
      </c>
      <c r="G2702" s="8">
        <v>12035</v>
      </c>
      <c r="H2702" s="8">
        <v>922</v>
      </c>
      <c r="I2702" s="8">
        <v>2037</v>
      </c>
    </row>
    <row r="2703" spans="1:9" x14ac:dyDescent="0.2">
      <c r="A2703" t="s">
        <v>436</v>
      </c>
      <c r="B2703" t="s">
        <v>686</v>
      </c>
      <c r="C2703" t="str">
        <f t="shared" si="135"/>
        <v>19647330000000</v>
      </c>
      <c r="D2703" t="s">
        <v>4442</v>
      </c>
      <c r="E2703" t="str">
        <f>"19647330106955"</f>
        <v>19647330106955</v>
      </c>
      <c r="F2703" s="8">
        <v>2685</v>
      </c>
      <c r="G2703" s="8">
        <v>11747</v>
      </c>
      <c r="H2703" s="8">
        <v>904</v>
      </c>
      <c r="I2703" s="8">
        <v>1985</v>
      </c>
    </row>
    <row r="2704" spans="1:9" x14ac:dyDescent="0.2">
      <c r="A2704" t="s">
        <v>436</v>
      </c>
      <c r="B2704" t="s">
        <v>686</v>
      </c>
      <c r="C2704" t="str">
        <f t="shared" si="135"/>
        <v>19647330000000</v>
      </c>
      <c r="D2704" t="s">
        <v>4443</v>
      </c>
      <c r="E2704" t="str">
        <f>"19647336019707"</f>
        <v>19647336019707</v>
      </c>
      <c r="F2704" s="8">
        <v>1818</v>
      </c>
      <c r="G2704" s="8">
        <v>12534</v>
      </c>
      <c r="H2704" s="8">
        <v>920</v>
      </c>
      <c r="I2704" s="8">
        <v>2024</v>
      </c>
    </row>
    <row r="2705" spans="1:9" x14ac:dyDescent="0.2">
      <c r="A2705" t="s">
        <v>436</v>
      </c>
      <c r="B2705" t="s">
        <v>686</v>
      </c>
      <c r="C2705" t="str">
        <f t="shared" si="135"/>
        <v>19647330000000</v>
      </c>
      <c r="D2705" t="s">
        <v>4444</v>
      </c>
      <c r="E2705" t="str">
        <f>"19647336016109"</f>
        <v>19647336016109</v>
      </c>
      <c r="F2705" s="8">
        <v>2016</v>
      </c>
      <c r="G2705" s="8">
        <v>12321</v>
      </c>
      <c r="H2705" s="8">
        <v>911</v>
      </c>
      <c r="I2705" s="8">
        <v>2034</v>
      </c>
    </row>
    <row r="2706" spans="1:9" x14ac:dyDescent="0.2">
      <c r="A2706" t="s">
        <v>436</v>
      </c>
      <c r="B2706" t="s">
        <v>686</v>
      </c>
      <c r="C2706" t="str">
        <f t="shared" si="135"/>
        <v>19647330000000</v>
      </c>
      <c r="D2706" t="s">
        <v>4445</v>
      </c>
      <c r="E2706" t="str">
        <f>"19647336016117"</f>
        <v>19647336016117</v>
      </c>
      <c r="F2706" s="8">
        <v>2247</v>
      </c>
      <c r="G2706" s="8">
        <v>12086</v>
      </c>
      <c r="H2706" s="8">
        <v>919</v>
      </c>
      <c r="I2706" s="8">
        <v>2021</v>
      </c>
    </row>
    <row r="2707" spans="1:9" x14ac:dyDescent="0.2">
      <c r="A2707" t="s">
        <v>436</v>
      </c>
      <c r="B2707" t="s">
        <v>686</v>
      </c>
      <c r="C2707" t="str">
        <f t="shared" si="135"/>
        <v>19647330000000</v>
      </c>
      <c r="D2707" t="s">
        <v>4446</v>
      </c>
      <c r="E2707" t="str">
        <f>"19647336061568"</f>
        <v>19647336061568</v>
      </c>
      <c r="F2707" s="8">
        <v>2295</v>
      </c>
      <c r="G2707" s="8">
        <v>12047</v>
      </c>
      <c r="H2707" s="8">
        <v>917</v>
      </c>
      <c r="I2707" s="8">
        <v>2003</v>
      </c>
    </row>
    <row r="2708" spans="1:9" x14ac:dyDescent="0.2">
      <c r="A2708" t="s">
        <v>436</v>
      </c>
      <c r="B2708" t="s">
        <v>686</v>
      </c>
      <c r="C2708" t="str">
        <f t="shared" si="135"/>
        <v>19647330000000</v>
      </c>
      <c r="D2708" t="s">
        <v>4447</v>
      </c>
      <c r="E2708" t="str">
        <f>"19647336017743"</f>
        <v>19647336017743</v>
      </c>
      <c r="F2708" s="8">
        <v>2045</v>
      </c>
      <c r="G2708" s="8">
        <v>12259</v>
      </c>
      <c r="H2708" s="8">
        <v>918</v>
      </c>
      <c r="I2708" s="8">
        <v>2014</v>
      </c>
    </row>
    <row r="2709" spans="1:9" x14ac:dyDescent="0.2">
      <c r="A2709" t="s">
        <v>436</v>
      </c>
      <c r="B2709" t="s">
        <v>686</v>
      </c>
      <c r="C2709" t="str">
        <f t="shared" si="135"/>
        <v>19647330000000</v>
      </c>
      <c r="D2709" t="s">
        <v>4448</v>
      </c>
      <c r="E2709" t="str">
        <f>"19647336058317"</f>
        <v>19647336058317</v>
      </c>
      <c r="F2709" s="8">
        <v>1566</v>
      </c>
      <c r="G2709" s="8">
        <v>12686</v>
      </c>
      <c r="H2709" s="8">
        <v>910</v>
      </c>
      <c r="I2709" s="8">
        <v>2068</v>
      </c>
    </row>
    <row r="2710" spans="1:9" x14ac:dyDescent="0.2">
      <c r="A2710" t="s">
        <v>436</v>
      </c>
      <c r="B2710" t="s">
        <v>686</v>
      </c>
      <c r="C2710" t="str">
        <f t="shared" si="135"/>
        <v>19647330000000</v>
      </c>
      <c r="D2710" t="s">
        <v>4449</v>
      </c>
      <c r="E2710" t="str">
        <f>"19647336016554"</f>
        <v>19647336016554</v>
      </c>
      <c r="F2710" s="8">
        <v>2156</v>
      </c>
      <c r="G2710" s="8">
        <v>12139</v>
      </c>
      <c r="H2710" s="8">
        <v>915</v>
      </c>
      <c r="I2710" s="8">
        <v>2014</v>
      </c>
    </row>
    <row r="2711" spans="1:9" x14ac:dyDescent="0.2">
      <c r="A2711" t="s">
        <v>436</v>
      </c>
      <c r="B2711" t="s">
        <v>686</v>
      </c>
      <c r="C2711" t="str">
        <f t="shared" ref="C2711:C2774" si="136">"19647330000000"</f>
        <v>19647330000000</v>
      </c>
      <c r="D2711" t="s">
        <v>4450</v>
      </c>
      <c r="E2711" t="str">
        <f>"19647336018154"</f>
        <v>19647336018154</v>
      </c>
      <c r="F2711" s="8">
        <v>1818</v>
      </c>
      <c r="G2711" s="8">
        <v>12428</v>
      </c>
      <c r="H2711" s="8">
        <v>918</v>
      </c>
      <c r="I2711" s="8">
        <v>2049</v>
      </c>
    </row>
    <row r="2712" spans="1:9" x14ac:dyDescent="0.2">
      <c r="A2712" t="s">
        <v>436</v>
      </c>
      <c r="B2712" t="s">
        <v>686</v>
      </c>
      <c r="C2712" t="str">
        <f t="shared" si="136"/>
        <v>19647330000000</v>
      </c>
      <c r="D2712" t="s">
        <v>4451</v>
      </c>
      <c r="E2712" t="str">
        <f>"19647336018626"</f>
        <v>19647336018626</v>
      </c>
      <c r="F2712" s="8">
        <v>2698</v>
      </c>
      <c r="G2712" s="8">
        <v>11571</v>
      </c>
      <c r="H2712" s="8">
        <v>920</v>
      </c>
      <c r="I2712" s="8">
        <v>2018</v>
      </c>
    </row>
    <row r="2713" spans="1:9" x14ac:dyDescent="0.2">
      <c r="A2713" t="s">
        <v>436</v>
      </c>
      <c r="B2713" t="s">
        <v>686</v>
      </c>
      <c r="C2713" t="str">
        <f t="shared" si="136"/>
        <v>19647330000000</v>
      </c>
      <c r="D2713" t="s">
        <v>4452</v>
      </c>
      <c r="E2713" t="str">
        <f>"19647336058143"</f>
        <v>19647336058143</v>
      </c>
      <c r="F2713" s="8">
        <v>2286</v>
      </c>
      <c r="G2713" s="8">
        <v>11959</v>
      </c>
      <c r="H2713" s="8">
        <v>912</v>
      </c>
      <c r="I2713" s="8">
        <v>2034</v>
      </c>
    </row>
    <row r="2714" spans="1:9" x14ac:dyDescent="0.2">
      <c r="A2714" t="s">
        <v>436</v>
      </c>
      <c r="B2714" t="s">
        <v>686</v>
      </c>
      <c r="C2714" t="str">
        <f t="shared" si="136"/>
        <v>19647330000000</v>
      </c>
      <c r="D2714" t="s">
        <v>4453</v>
      </c>
      <c r="E2714" t="str">
        <f>"19647336097927"</f>
        <v>19647336097927</v>
      </c>
      <c r="F2714" s="8">
        <v>1364</v>
      </c>
      <c r="G2714" s="8">
        <v>12756</v>
      </c>
      <c r="H2714" s="8">
        <v>947</v>
      </c>
      <c r="I2714" s="8">
        <v>2117</v>
      </c>
    </row>
    <row r="2715" spans="1:9" x14ac:dyDescent="0.2">
      <c r="A2715" t="s">
        <v>436</v>
      </c>
      <c r="B2715" t="s">
        <v>686</v>
      </c>
      <c r="C2715" t="str">
        <f t="shared" si="136"/>
        <v>19647330000000</v>
      </c>
      <c r="D2715" t="s">
        <v>4454</v>
      </c>
      <c r="E2715" t="str">
        <f>"19647336019087"</f>
        <v>19647336019087</v>
      </c>
      <c r="F2715" s="8">
        <v>1738</v>
      </c>
      <c r="G2715" s="8">
        <v>12512</v>
      </c>
      <c r="H2715" s="8">
        <v>919</v>
      </c>
      <c r="I2715" s="8">
        <v>2013</v>
      </c>
    </row>
    <row r="2716" spans="1:9" x14ac:dyDescent="0.2">
      <c r="A2716" t="s">
        <v>436</v>
      </c>
      <c r="B2716" t="s">
        <v>686</v>
      </c>
      <c r="C2716" t="str">
        <f t="shared" si="136"/>
        <v>19647330000000</v>
      </c>
      <c r="D2716" t="s">
        <v>4455</v>
      </c>
      <c r="E2716" t="str">
        <f>"19647336018915"</f>
        <v>19647336018915</v>
      </c>
      <c r="F2716" s="8">
        <v>2512</v>
      </c>
      <c r="G2716" s="8">
        <v>11718</v>
      </c>
      <c r="H2716" s="8">
        <v>911</v>
      </c>
      <c r="I2716" s="8">
        <v>2029</v>
      </c>
    </row>
    <row r="2717" spans="1:9" x14ac:dyDescent="0.2">
      <c r="A2717" t="s">
        <v>436</v>
      </c>
      <c r="B2717" t="s">
        <v>686</v>
      </c>
      <c r="C2717" t="str">
        <f t="shared" si="136"/>
        <v>19647330000000</v>
      </c>
      <c r="D2717" t="s">
        <v>4456</v>
      </c>
      <c r="E2717" t="str">
        <f>"19647330122143"</f>
        <v>19647330122143</v>
      </c>
      <c r="F2717" s="8">
        <v>2691</v>
      </c>
      <c r="G2717" s="8">
        <v>11378</v>
      </c>
      <c r="H2717" s="8">
        <v>932</v>
      </c>
      <c r="I2717" s="8">
        <v>2153</v>
      </c>
    </row>
    <row r="2718" spans="1:9" x14ac:dyDescent="0.2">
      <c r="A2718" t="s">
        <v>436</v>
      </c>
      <c r="B2718" t="s">
        <v>686</v>
      </c>
      <c r="C2718" t="str">
        <f t="shared" si="136"/>
        <v>19647330000000</v>
      </c>
      <c r="D2718" t="s">
        <v>4457</v>
      </c>
      <c r="E2718" t="str">
        <f>"19647330109348"</f>
        <v>19647330109348</v>
      </c>
      <c r="F2718" s="8">
        <v>1895</v>
      </c>
      <c r="G2718" s="8">
        <v>12352</v>
      </c>
      <c r="H2718" s="8">
        <v>904</v>
      </c>
      <c r="I2718" s="8">
        <v>1984</v>
      </c>
    </row>
    <row r="2719" spans="1:9" x14ac:dyDescent="0.2">
      <c r="A2719" t="s">
        <v>436</v>
      </c>
      <c r="B2719" t="s">
        <v>686</v>
      </c>
      <c r="C2719" t="str">
        <f t="shared" si="136"/>
        <v>19647330000000</v>
      </c>
      <c r="D2719" t="s">
        <v>4458</v>
      </c>
      <c r="E2719" t="str">
        <f>"19647336017412"</f>
        <v>19647336017412</v>
      </c>
      <c r="F2719" s="8">
        <v>1714</v>
      </c>
      <c r="G2719" s="8">
        <v>12464</v>
      </c>
      <c r="H2719" s="8">
        <v>917</v>
      </c>
      <c r="I2719" s="8">
        <v>2038</v>
      </c>
    </row>
    <row r="2720" spans="1:9" x14ac:dyDescent="0.2">
      <c r="A2720" t="s">
        <v>436</v>
      </c>
      <c r="B2720" t="s">
        <v>686</v>
      </c>
      <c r="C2720" t="str">
        <f t="shared" si="136"/>
        <v>19647330000000</v>
      </c>
      <c r="D2720" t="s">
        <v>4459</v>
      </c>
      <c r="E2720" t="str">
        <f>"19647330126391"</f>
        <v>19647330126391</v>
      </c>
      <c r="F2720" s="8">
        <v>2156</v>
      </c>
      <c r="G2720" s="8">
        <v>11972</v>
      </c>
      <c r="H2720" s="8">
        <v>918</v>
      </c>
      <c r="I2720" s="8">
        <v>2041</v>
      </c>
    </row>
    <row r="2721" spans="1:9" x14ac:dyDescent="0.2">
      <c r="A2721" t="s">
        <v>436</v>
      </c>
      <c r="B2721" t="s">
        <v>686</v>
      </c>
      <c r="C2721" t="str">
        <f t="shared" si="136"/>
        <v>19647330000000</v>
      </c>
      <c r="D2721" t="s">
        <v>4460</v>
      </c>
      <c r="E2721" t="str">
        <f>"19647330117044"</f>
        <v>19647330117044</v>
      </c>
      <c r="F2721" s="8">
        <v>2168</v>
      </c>
      <c r="G2721" s="8">
        <v>11978</v>
      </c>
      <c r="H2721" s="8">
        <v>920</v>
      </c>
      <c r="I2721" s="8">
        <v>2014</v>
      </c>
    </row>
    <row r="2722" spans="1:9" x14ac:dyDescent="0.2">
      <c r="A2722" t="s">
        <v>436</v>
      </c>
      <c r="B2722" t="s">
        <v>686</v>
      </c>
      <c r="C2722" t="str">
        <f t="shared" si="136"/>
        <v>19647330000000</v>
      </c>
      <c r="D2722" t="s">
        <v>4461</v>
      </c>
      <c r="E2722" t="str">
        <f>"19647336019574"</f>
        <v>19647336019574</v>
      </c>
      <c r="F2722" s="8">
        <v>2141</v>
      </c>
      <c r="G2722" s="8">
        <v>12001</v>
      </c>
      <c r="H2722" s="8">
        <v>915</v>
      </c>
      <c r="I2722" s="8">
        <v>2023</v>
      </c>
    </row>
    <row r="2723" spans="1:9" x14ac:dyDescent="0.2">
      <c r="A2723" t="s">
        <v>436</v>
      </c>
      <c r="B2723" t="s">
        <v>686</v>
      </c>
      <c r="C2723" t="str">
        <f t="shared" si="136"/>
        <v>19647330000000</v>
      </c>
      <c r="D2723" t="s">
        <v>4462</v>
      </c>
      <c r="E2723" t="str">
        <f>"19647330109447"</f>
        <v>19647330109447</v>
      </c>
      <c r="F2723" s="8">
        <v>1958</v>
      </c>
      <c r="G2723" s="8">
        <v>12149</v>
      </c>
      <c r="H2723" s="8">
        <v>930</v>
      </c>
      <c r="I2723" s="8">
        <v>2037</v>
      </c>
    </row>
    <row r="2724" spans="1:9" x14ac:dyDescent="0.2">
      <c r="A2724" t="s">
        <v>436</v>
      </c>
      <c r="B2724" t="s">
        <v>686</v>
      </c>
      <c r="C2724" t="str">
        <f t="shared" si="136"/>
        <v>19647330000000</v>
      </c>
      <c r="D2724" t="s">
        <v>4463</v>
      </c>
      <c r="E2724" t="str">
        <f>"19647336018089"</f>
        <v>19647336018089</v>
      </c>
      <c r="F2724" s="8">
        <v>1910</v>
      </c>
      <c r="G2724" s="8">
        <v>12230</v>
      </c>
      <c r="H2724" s="8">
        <v>917</v>
      </c>
      <c r="I2724" s="8">
        <v>2010</v>
      </c>
    </row>
    <row r="2725" spans="1:9" x14ac:dyDescent="0.2">
      <c r="A2725" t="s">
        <v>436</v>
      </c>
      <c r="B2725" t="s">
        <v>686</v>
      </c>
      <c r="C2725" t="str">
        <f t="shared" si="136"/>
        <v>19647330000000</v>
      </c>
      <c r="D2725" t="s">
        <v>4464</v>
      </c>
      <c r="E2725" t="str">
        <f>"19647330126516"</f>
        <v>19647330126516</v>
      </c>
      <c r="F2725" s="8">
        <v>2230</v>
      </c>
      <c r="G2725" s="8">
        <v>11878</v>
      </c>
      <c r="H2725" s="8">
        <v>918</v>
      </c>
      <c r="I2725" s="8">
        <v>2040</v>
      </c>
    </row>
    <row r="2726" spans="1:9" x14ac:dyDescent="0.2">
      <c r="A2726" t="s">
        <v>436</v>
      </c>
      <c r="B2726" t="s">
        <v>686</v>
      </c>
      <c r="C2726" t="str">
        <f t="shared" si="136"/>
        <v>19647330000000</v>
      </c>
      <c r="D2726" t="s">
        <v>4465</v>
      </c>
      <c r="E2726" t="str">
        <f>"19647336057889"</f>
        <v>19647336057889</v>
      </c>
      <c r="F2726" s="8">
        <v>1778</v>
      </c>
      <c r="G2726" s="8">
        <v>12321</v>
      </c>
      <c r="H2726" s="8">
        <v>918</v>
      </c>
      <c r="I2726" s="8">
        <v>2040</v>
      </c>
    </row>
    <row r="2727" spans="1:9" x14ac:dyDescent="0.2">
      <c r="A2727" t="s">
        <v>436</v>
      </c>
      <c r="B2727" t="s">
        <v>686</v>
      </c>
      <c r="C2727" t="str">
        <f t="shared" si="136"/>
        <v>19647330000000</v>
      </c>
      <c r="D2727" t="s">
        <v>4466</v>
      </c>
      <c r="E2727" t="str">
        <f>"19647336018170"</f>
        <v>19647336018170</v>
      </c>
      <c r="F2727" s="8">
        <v>1842</v>
      </c>
      <c r="G2727" s="8">
        <v>12234</v>
      </c>
      <c r="H2727" s="8">
        <v>917</v>
      </c>
      <c r="I2727" s="8">
        <v>2035</v>
      </c>
    </row>
    <row r="2728" spans="1:9" x14ac:dyDescent="0.2">
      <c r="A2728" t="s">
        <v>436</v>
      </c>
      <c r="B2728" t="s">
        <v>686</v>
      </c>
      <c r="C2728" t="str">
        <f t="shared" si="136"/>
        <v>19647330000000</v>
      </c>
      <c r="D2728" t="s">
        <v>4467</v>
      </c>
      <c r="E2728" t="str">
        <f>"19647330119966"</f>
        <v>19647330119966</v>
      </c>
      <c r="F2728" s="8">
        <v>1713</v>
      </c>
      <c r="G2728" s="8">
        <v>12333</v>
      </c>
      <c r="H2728" s="8">
        <v>910</v>
      </c>
      <c r="I2728" s="8">
        <v>2071</v>
      </c>
    </row>
    <row r="2729" spans="1:9" x14ac:dyDescent="0.2">
      <c r="A2729" t="s">
        <v>436</v>
      </c>
      <c r="B2729" t="s">
        <v>686</v>
      </c>
      <c r="C2729" t="str">
        <f t="shared" si="136"/>
        <v>19647330000000</v>
      </c>
      <c r="D2729" t="s">
        <v>4468</v>
      </c>
      <c r="E2729" t="str">
        <f>"19647330109389"</f>
        <v>19647330109389</v>
      </c>
      <c r="F2729" s="8">
        <v>2196</v>
      </c>
      <c r="G2729" s="8">
        <v>11888</v>
      </c>
      <c r="H2729" s="8">
        <v>918</v>
      </c>
      <c r="I2729" s="8">
        <v>2013</v>
      </c>
    </row>
    <row r="2730" spans="1:9" x14ac:dyDescent="0.2">
      <c r="A2730" t="s">
        <v>436</v>
      </c>
      <c r="B2730" t="s">
        <v>686</v>
      </c>
      <c r="C2730" t="str">
        <f t="shared" si="136"/>
        <v>19647330000000</v>
      </c>
      <c r="D2730" t="s">
        <v>4469</v>
      </c>
      <c r="E2730" t="str">
        <f>"19647336019848"</f>
        <v>19647336019848</v>
      </c>
      <c r="F2730" s="8">
        <v>2137</v>
      </c>
      <c r="G2730" s="8">
        <v>11783</v>
      </c>
      <c r="H2730" s="8">
        <v>933</v>
      </c>
      <c r="I2730" s="8">
        <v>2162</v>
      </c>
    </row>
    <row r="2731" spans="1:9" x14ac:dyDescent="0.2">
      <c r="A2731" t="s">
        <v>436</v>
      </c>
      <c r="B2731" t="s">
        <v>686</v>
      </c>
      <c r="C2731" t="str">
        <f t="shared" si="136"/>
        <v>19647330000000</v>
      </c>
      <c r="D2731" t="s">
        <v>4470</v>
      </c>
      <c r="E2731" t="str">
        <f>"19647336018998"</f>
        <v>19647336018998</v>
      </c>
      <c r="F2731" s="8">
        <v>2024</v>
      </c>
      <c r="G2731" s="8">
        <v>12028</v>
      </c>
      <c r="H2731" s="8">
        <v>917</v>
      </c>
      <c r="I2731" s="8">
        <v>2035</v>
      </c>
    </row>
    <row r="2732" spans="1:9" x14ac:dyDescent="0.2">
      <c r="A2732" t="s">
        <v>436</v>
      </c>
      <c r="B2732" t="s">
        <v>686</v>
      </c>
      <c r="C2732" t="str">
        <f t="shared" si="136"/>
        <v>19647330000000</v>
      </c>
      <c r="D2732" t="s">
        <v>4471</v>
      </c>
      <c r="E2732" t="str">
        <f>"19647336016737"</f>
        <v>19647336016737</v>
      </c>
      <c r="F2732" s="8">
        <v>1877</v>
      </c>
      <c r="G2732" s="8">
        <v>12172</v>
      </c>
      <c r="H2732" s="8">
        <v>921</v>
      </c>
      <c r="I2732" s="8">
        <v>2026</v>
      </c>
    </row>
    <row r="2733" spans="1:9" x14ac:dyDescent="0.2">
      <c r="A2733" t="s">
        <v>436</v>
      </c>
      <c r="B2733" t="s">
        <v>686</v>
      </c>
      <c r="C2733" t="str">
        <f t="shared" si="136"/>
        <v>19647330000000</v>
      </c>
      <c r="D2733" t="s">
        <v>4472</v>
      </c>
      <c r="E2733" t="str">
        <f>"19647336118186"</f>
        <v>19647336118186</v>
      </c>
      <c r="F2733" s="8">
        <v>2395</v>
      </c>
      <c r="G2733" s="8">
        <v>11645</v>
      </c>
      <c r="H2733" s="8">
        <v>918</v>
      </c>
      <c r="I2733" s="8">
        <v>2038</v>
      </c>
    </row>
    <row r="2734" spans="1:9" x14ac:dyDescent="0.2">
      <c r="A2734" t="s">
        <v>436</v>
      </c>
      <c r="B2734" t="s">
        <v>686</v>
      </c>
      <c r="C2734" t="str">
        <f t="shared" si="136"/>
        <v>19647330000000</v>
      </c>
      <c r="D2734" t="s">
        <v>4473</v>
      </c>
      <c r="E2734" t="str">
        <f>"19647330109330"</f>
        <v>19647330109330</v>
      </c>
      <c r="F2734" s="8">
        <v>1972</v>
      </c>
      <c r="G2734" s="8">
        <v>12031</v>
      </c>
      <c r="H2734" s="8">
        <v>937</v>
      </c>
      <c r="I2734" s="8">
        <v>2056</v>
      </c>
    </row>
    <row r="2735" spans="1:9" x14ac:dyDescent="0.2">
      <c r="A2735" t="s">
        <v>436</v>
      </c>
      <c r="B2735" t="s">
        <v>686</v>
      </c>
      <c r="C2735" t="str">
        <f t="shared" si="136"/>
        <v>19647330000000</v>
      </c>
      <c r="D2735" t="s">
        <v>4474</v>
      </c>
      <c r="E2735" t="str">
        <f>"19647336016331"</f>
        <v>19647336016331</v>
      </c>
      <c r="F2735" s="8">
        <v>1999</v>
      </c>
      <c r="G2735" s="8">
        <v>12064</v>
      </c>
      <c r="H2735" s="8">
        <v>918</v>
      </c>
      <c r="I2735" s="8">
        <v>2012</v>
      </c>
    </row>
    <row r="2736" spans="1:9" x14ac:dyDescent="0.2">
      <c r="A2736" t="s">
        <v>436</v>
      </c>
      <c r="B2736" t="s">
        <v>686</v>
      </c>
      <c r="C2736" t="str">
        <f t="shared" si="136"/>
        <v>19647330000000</v>
      </c>
      <c r="D2736" t="s">
        <v>4475</v>
      </c>
      <c r="E2736" t="str">
        <f>"19647336016422"</f>
        <v>19647336016422</v>
      </c>
      <c r="F2736" s="8">
        <v>1191</v>
      </c>
      <c r="G2736" s="8">
        <v>12873</v>
      </c>
      <c r="H2736" s="8">
        <v>915</v>
      </c>
      <c r="I2736" s="8">
        <v>2012</v>
      </c>
    </row>
    <row r="2737" spans="1:9" x14ac:dyDescent="0.2">
      <c r="A2737" t="s">
        <v>436</v>
      </c>
      <c r="B2737" t="s">
        <v>686</v>
      </c>
      <c r="C2737" t="str">
        <f t="shared" si="136"/>
        <v>19647330000000</v>
      </c>
      <c r="D2737" t="s">
        <v>4476</v>
      </c>
      <c r="E2737" t="str">
        <f>"19647336018014"</f>
        <v>19647336018014</v>
      </c>
      <c r="F2737" s="8">
        <v>1996</v>
      </c>
      <c r="G2737" s="8">
        <v>12004</v>
      </c>
      <c r="H2737" s="8">
        <v>910</v>
      </c>
      <c r="I2737" s="8">
        <v>2060</v>
      </c>
    </row>
    <row r="2738" spans="1:9" x14ac:dyDescent="0.2">
      <c r="A2738" t="s">
        <v>436</v>
      </c>
      <c r="B2738" t="s">
        <v>686</v>
      </c>
      <c r="C2738" t="str">
        <f t="shared" si="136"/>
        <v>19647330000000</v>
      </c>
      <c r="D2738" t="s">
        <v>4477</v>
      </c>
      <c r="E2738" t="str">
        <f>"19647336068431"</f>
        <v>19647336068431</v>
      </c>
      <c r="F2738" s="8">
        <v>1862</v>
      </c>
      <c r="G2738" s="8">
        <v>12142</v>
      </c>
      <c r="H2738" s="8">
        <v>917</v>
      </c>
      <c r="I2738" s="8">
        <v>2039</v>
      </c>
    </row>
    <row r="2739" spans="1:9" x14ac:dyDescent="0.2">
      <c r="A2739" t="s">
        <v>436</v>
      </c>
      <c r="B2739" t="s">
        <v>686</v>
      </c>
      <c r="C2739" t="str">
        <f t="shared" si="136"/>
        <v>19647330000000</v>
      </c>
      <c r="D2739" t="s">
        <v>4478</v>
      </c>
      <c r="E2739" t="str">
        <f>"19647336019582"</f>
        <v>19647336019582</v>
      </c>
      <c r="F2739" s="8">
        <v>2054</v>
      </c>
      <c r="G2739" s="8">
        <v>11913</v>
      </c>
      <c r="H2739" s="8">
        <v>936</v>
      </c>
      <c r="I2739" s="8">
        <v>2056</v>
      </c>
    </row>
    <row r="2740" spans="1:9" x14ac:dyDescent="0.2">
      <c r="A2740" t="s">
        <v>436</v>
      </c>
      <c r="B2740" t="s">
        <v>686</v>
      </c>
      <c r="C2740" t="str">
        <f t="shared" si="136"/>
        <v>19647330000000</v>
      </c>
      <c r="D2740" t="s">
        <v>4479</v>
      </c>
      <c r="E2740" t="str">
        <f>"19647330122234"</f>
        <v>19647330122234</v>
      </c>
      <c r="F2740" s="8">
        <v>3120</v>
      </c>
      <c r="G2740" s="8">
        <v>10906</v>
      </c>
      <c r="H2740" s="8">
        <v>917</v>
      </c>
      <c r="I2740" s="8">
        <v>2008</v>
      </c>
    </row>
    <row r="2741" spans="1:9" x14ac:dyDescent="0.2">
      <c r="A2741" t="s">
        <v>436</v>
      </c>
      <c r="B2741" t="s">
        <v>686</v>
      </c>
      <c r="C2741" t="str">
        <f t="shared" si="136"/>
        <v>19647330000000</v>
      </c>
      <c r="D2741" t="s">
        <v>2575</v>
      </c>
      <c r="E2741" t="str">
        <f>"19647336018907"</f>
        <v>19647336018907</v>
      </c>
      <c r="F2741" s="8">
        <v>1203</v>
      </c>
      <c r="G2741" s="8">
        <v>12807</v>
      </c>
      <c r="H2741" s="8">
        <v>919</v>
      </c>
      <c r="I2741" s="8">
        <v>2018</v>
      </c>
    </row>
    <row r="2742" spans="1:9" x14ac:dyDescent="0.2">
      <c r="A2742" t="s">
        <v>436</v>
      </c>
      <c r="B2742" t="s">
        <v>686</v>
      </c>
      <c r="C2742" t="str">
        <f t="shared" si="136"/>
        <v>19647330000000</v>
      </c>
      <c r="D2742" t="s">
        <v>4480</v>
      </c>
      <c r="E2742" t="str">
        <f>"19647336017461"</f>
        <v>19647336017461</v>
      </c>
      <c r="F2742" s="8">
        <v>2505</v>
      </c>
      <c r="G2742" s="8">
        <v>11453</v>
      </c>
      <c r="H2742" s="8">
        <v>924</v>
      </c>
      <c r="I2742" s="8">
        <v>2042</v>
      </c>
    </row>
    <row r="2743" spans="1:9" x14ac:dyDescent="0.2">
      <c r="A2743" t="s">
        <v>436</v>
      </c>
      <c r="B2743" t="s">
        <v>686</v>
      </c>
      <c r="C2743" t="str">
        <f t="shared" si="136"/>
        <v>19647330000000</v>
      </c>
      <c r="D2743" t="s">
        <v>3999</v>
      </c>
      <c r="E2743" t="str">
        <f>"19647330122135"</f>
        <v>19647330122135</v>
      </c>
      <c r="F2743" s="8">
        <v>2055</v>
      </c>
      <c r="G2743" s="8">
        <v>11857</v>
      </c>
      <c r="H2743" s="8">
        <v>940</v>
      </c>
      <c r="I2743" s="8">
        <v>2065</v>
      </c>
    </row>
    <row r="2744" spans="1:9" x14ac:dyDescent="0.2">
      <c r="A2744" t="s">
        <v>436</v>
      </c>
      <c r="B2744" t="s">
        <v>686</v>
      </c>
      <c r="C2744" t="str">
        <f t="shared" si="136"/>
        <v>19647330000000</v>
      </c>
      <c r="D2744" t="s">
        <v>4481</v>
      </c>
      <c r="E2744" t="str">
        <f>"19647336018956"</f>
        <v>19647336018956</v>
      </c>
      <c r="F2744" s="8">
        <v>2185</v>
      </c>
      <c r="G2744" s="8">
        <v>11794</v>
      </c>
      <c r="H2744" s="8">
        <v>919</v>
      </c>
      <c r="I2744" s="8">
        <v>2014</v>
      </c>
    </row>
    <row r="2745" spans="1:9" x14ac:dyDescent="0.2">
      <c r="A2745" t="s">
        <v>436</v>
      </c>
      <c r="B2745" t="s">
        <v>686</v>
      </c>
      <c r="C2745" t="str">
        <f t="shared" si="136"/>
        <v>19647330000000</v>
      </c>
      <c r="D2745" t="s">
        <v>4482</v>
      </c>
      <c r="E2745" t="str">
        <f>"19647336058077"</f>
        <v>19647336058077</v>
      </c>
      <c r="F2745" s="8">
        <v>1623</v>
      </c>
      <c r="G2745" s="8">
        <v>12321</v>
      </c>
      <c r="H2745" s="8">
        <v>916</v>
      </c>
      <c r="I2745" s="8">
        <v>2045</v>
      </c>
    </row>
    <row r="2746" spans="1:9" x14ac:dyDescent="0.2">
      <c r="A2746" t="s">
        <v>436</v>
      </c>
      <c r="B2746" t="s">
        <v>686</v>
      </c>
      <c r="C2746" t="str">
        <f t="shared" si="136"/>
        <v>19647330000000</v>
      </c>
      <c r="D2746" t="s">
        <v>4483</v>
      </c>
      <c r="E2746" t="str">
        <f>"19647336017347"</f>
        <v>19647336017347</v>
      </c>
      <c r="F2746" s="8">
        <v>1712</v>
      </c>
      <c r="G2746" s="8">
        <v>12181</v>
      </c>
      <c r="H2746" s="8">
        <v>936</v>
      </c>
      <c r="I2746" s="8">
        <v>2074</v>
      </c>
    </row>
    <row r="2747" spans="1:9" x14ac:dyDescent="0.2">
      <c r="A2747" t="s">
        <v>436</v>
      </c>
      <c r="B2747" t="s">
        <v>686</v>
      </c>
      <c r="C2747" t="str">
        <f t="shared" si="136"/>
        <v>19647330000000</v>
      </c>
      <c r="D2747" t="s">
        <v>4484</v>
      </c>
      <c r="E2747" t="str">
        <f>"19647336017073"</f>
        <v>19647336017073</v>
      </c>
      <c r="F2747" s="8">
        <v>2384</v>
      </c>
      <c r="G2747" s="8">
        <v>11550</v>
      </c>
      <c r="H2747" s="8">
        <v>923</v>
      </c>
      <c r="I2747" s="8">
        <v>2042</v>
      </c>
    </row>
    <row r="2748" spans="1:9" x14ac:dyDescent="0.2">
      <c r="A2748" t="s">
        <v>436</v>
      </c>
      <c r="B2748" t="s">
        <v>686</v>
      </c>
      <c r="C2748" t="str">
        <f t="shared" si="136"/>
        <v>19647330000000</v>
      </c>
      <c r="D2748" t="s">
        <v>4485</v>
      </c>
      <c r="E2748" t="str">
        <f>"19647336018741"</f>
        <v>19647336018741</v>
      </c>
      <c r="F2748" s="8">
        <v>1252</v>
      </c>
      <c r="G2748" s="8">
        <v>12634</v>
      </c>
      <c r="H2748" s="8">
        <v>935</v>
      </c>
      <c r="I2748" s="8">
        <v>2072</v>
      </c>
    </row>
    <row r="2749" spans="1:9" x14ac:dyDescent="0.2">
      <c r="A2749" t="s">
        <v>436</v>
      </c>
      <c r="B2749" t="s">
        <v>686</v>
      </c>
      <c r="C2749" t="str">
        <f t="shared" si="136"/>
        <v>19647330000000</v>
      </c>
      <c r="D2749" t="s">
        <v>4486</v>
      </c>
      <c r="E2749" t="str">
        <f>"19647336019996"</f>
        <v>19647336019996</v>
      </c>
      <c r="F2749" s="8">
        <v>2044</v>
      </c>
      <c r="G2749" s="8">
        <v>11780</v>
      </c>
      <c r="H2749" s="8">
        <v>948</v>
      </c>
      <c r="I2749" s="8">
        <v>2119</v>
      </c>
    </row>
    <row r="2750" spans="1:9" x14ac:dyDescent="0.2">
      <c r="A2750" t="s">
        <v>436</v>
      </c>
      <c r="B2750" t="s">
        <v>686</v>
      </c>
      <c r="C2750" t="str">
        <f t="shared" si="136"/>
        <v>19647330000000</v>
      </c>
      <c r="D2750" t="s">
        <v>3396</v>
      </c>
      <c r="E2750" t="str">
        <f>"19647336114722"</f>
        <v>19647336114722</v>
      </c>
      <c r="F2750" s="8">
        <v>2133</v>
      </c>
      <c r="G2750" s="8">
        <v>11812</v>
      </c>
      <c r="H2750" s="8">
        <v>914</v>
      </c>
      <c r="I2750" s="8">
        <v>2021</v>
      </c>
    </row>
    <row r="2751" spans="1:9" x14ac:dyDescent="0.2">
      <c r="A2751" t="s">
        <v>436</v>
      </c>
      <c r="B2751" t="s">
        <v>686</v>
      </c>
      <c r="C2751" t="str">
        <f t="shared" si="136"/>
        <v>19647330000000</v>
      </c>
      <c r="D2751" t="s">
        <v>4487</v>
      </c>
      <c r="E2751" t="str">
        <f>"19647330122119"</f>
        <v>19647330122119</v>
      </c>
      <c r="F2751" s="8">
        <v>2105</v>
      </c>
      <c r="G2751" s="8">
        <v>11885</v>
      </c>
      <c r="H2751" s="8">
        <v>904</v>
      </c>
      <c r="I2751" s="8">
        <v>1984</v>
      </c>
    </row>
    <row r="2752" spans="1:9" x14ac:dyDescent="0.2">
      <c r="A2752" t="s">
        <v>436</v>
      </c>
      <c r="B2752" t="s">
        <v>686</v>
      </c>
      <c r="C2752" t="str">
        <f t="shared" si="136"/>
        <v>19647330000000</v>
      </c>
      <c r="D2752" t="s">
        <v>4488</v>
      </c>
      <c r="E2752" t="str">
        <f>"19647330109371"</f>
        <v>19647330109371</v>
      </c>
      <c r="F2752" s="8">
        <v>2670</v>
      </c>
      <c r="G2752" s="8">
        <v>11259</v>
      </c>
      <c r="H2752" s="8">
        <v>919</v>
      </c>
      <c r="I2752" s="8">
        <v>2016</v>
      </c>
    </row>
    <row r="2753" spans="1:9" x14ac:dyDescent="0.2">
      <c r="A2753" t="s">
        <v>436</v>
      </c>
      <c r="B2753" t="s">
        <v>686</v>
      </c>
      <c r="C2753" t="str">
        <f t="shared" si="136"/>
        <v>19647330000000</v>
      </c>
      <c r="D2753" t="s">
        <v>4489</v>
      </c>
      <c r="E2753" t="str">
        <f>"19647336058184"</f>
        <v>19647336058184</v>
      </c>
      <c r="F2753" s="8">
        <v>2119</v>
      </c>
      <c r="G2753" s="8">
        <v>11804</v>
      </c>
      <c r="H2753" s="8">
        <v>920</v>
      </c>
      <c r="I2753" s="8">
        <v>2018</v>
      </c>
    </row>
    <row r="2754" spans="1:9" x14ac:dyDescent="0.2">
      <c r="A2754" t="s">
        <v>436</v>
      </c>
      <c r="B2754" t="s">
        <v>686</v>
      </c>
      <c r="C2754" t="str">
        <f t="shared" si="136"/>
        <v>19647330000000</v>
      </c>
      <c r="D2754" t="s">
        <v>4490</v>
      </c>
      <c r="E2754" t="str">
        <f>"19647336019277"</f>
        <v>19647336019277</v>
      </c>
      <c r="F2754" s="8">
        <v>2464</v>
      </c>
      <c r="G2754" s="8">
        <v>11411</v>
      </c>
      <c r="H2754" s="8">
        <v>919</v>
      </c>
      <c r="I2754" s="8">
        <v>2053</v>
      </c>
    </row>
    <row r="2755" spans="1:9" x14ac:dyDescent="0.2">
      <c r="A2755" t="s">
        <v>436</v>
      </c>
      <c r="B2755" t="s">
        <v>686</v>
      </c>
      <c r="C2755" t="str">
        <f t="shared" si="136"/>
        <v>19647330000000</v>
      </c>
      <c r="D2755" t="s">
        <v>4491</v>
      </c>
      <c r="E2755" t="str">
        <f>"19647330112052"</f>
        <v>19647330112052</v>
      </c>
      <c r="F2755" s="8">
        <v>2275</v>
      </c>
      <c r="G2755" s="8">
        <v>11575</v>
      </c>
      <c r="H2755" s="8">
        <v>926</v>
      </c>
      <c r="I2755" s="8">
        <v>2053</v>
      </c>
    </row>
    <row r="2756" spans="1:9" x14ac:dyDescent="0.2">
      <c r="A2756" t="s">
        <v>436</v>
      </c>
      <c r="B2756" t="s">
        <v>686</v>
      </c>
      <c r="C2756" t="str">
        <f t="shared" si="136"/>
        <v>19647330000000</v>
      </c>
      <c r="D2756" t="s">
        <v>4492</v>
      </c>
      <c r="E2756" t="str">
        <f>"19647336057855"</f>
        <v>19647336057855</v>
      </c>
      <c r="F2756" s="8">
        <v>1963</v>
      </c>
      <c r="G2756" s="8">
        <v>11868</v>
      </c>
      <c r="H2756" s="8">
        <v>938</v>
      </c>
      <c r="I2756" s="8">
        <v>2059</v>
      </c>
    </row>
    <row r="2757" spans="1:9" x14ac:dyDescent="0.2">
      <c r="A2757" t="s">
        <v>436</v>
      </c>
      <c r="B2757" t="s">
        <v>686</v>
      </c>
      <c r="C2757" t="str">
        <f t="shared" si="136"/>
        <v>19647330000000</v>
      </c>
      <c r="D2757" t="s">
        <v>4493</v>
      </c>
      <c r="E2757" t="str">
        <f>"19647336016174"</f>
        <v>19647336016174</v>
      </c>
      <c r="F2757" s="8">
        <v>2219</v>
      </c>
      <c r="G2757" s="8">
        <v>11590</v>
      </c>
      <c r="H2757" s="8">
        <v>938</v>
      </c>
      <c r="I2757" s="8">
        <v>2079</v>
      </c>
    </row>
    <row r="2758" spans="1:9" x14ac:dyDescent="0.2">
      <c r="A2758" t="s">
        <v>436</v>
      </c>
      <c r="B2758" t="s">
        <v>686</v>
      </c>
      <c r="C2758" t="str">
        <f t="shared" si="136"/>
        <v>19647330000000</v>
      </c>
      <c r="D2758" t="s">
        <v>4494</v>
      </c>
      <c r="E2758" t="str">
        <f>"19647336019178"</f>
        <v>19647336019178</v>
      </c>
      <c r="F2758" s="8">
        <v>1934</v>
      </c>
      <c r="G2758" s="8">
        <v>11896</v>
      </c>
      <c r="H2758" s="8">
        <v>910</v>
      </c>
      <c r="I2758" s="8">
        <v>2068</v>
      </c>
    </row>
    <row r="2759" spans="1:9" x14ac:dyDescent="0.2">
      <c r="A2759" t="s">
        <v>436</v>
      </c>
      <c r="B2759" t="s">
        <v>686</v>
      </c>
      <c r="C2759" t="str">
        <f t="shared" si="136"/>
        <v>19647330000000</v>
      </c>
      <c r="D2759" t="s">
        <v>4495</v>
      </c>
      <c r="E2759" t="str">
        <f>"19647336017776"</f>
        <v>19647336017776</v>
      </c>
      <c r="F2759" s="8">
        <v>2135</v>
      </c>
      <c r="G2759" s="8">
        <v>11720</v>
      </c>
      <c r="H2759" s="8">
        <v>919</v>
      </c>
      <c r="I2759" s="8">
        <v>2015</v>
      </c>
    </row>
    <row r="2760" spans="1:9" x14ac:dyDescent="0.2">
      <c r="A2760" t="s">
        <v>436</v>
      </c>
      <c r="B2760" t="s">
        <v>686</v>
      </c>
      <c r="C2760" t="str">
        <f t="shared" si="136"/>
        <v>19647330000000</v>
      </c>
      <c r="D2760" t="s">
        <v>4496</v>
      </c>
      <c r="E2760" t="str">
        <f>"19647336017420"</f>
        <v>19647336017420</v>
      </c>
      <c r="F2760" s="8">
        <v>1779</v>
      </c>
      <c r="G2760" s="8">
        <v>12044</v>
      </c>
      <c r="H2760" s="8">
        <v>924</v>
      </c>
      <c r="I2760" s="8">
        <v>2041</v>
      </c>
    </row>
    <row r="2761" spans="1:9" x14ac:dyDescent="0.2">
      <c r="A2761" t="s">
        <v>436</v>
      </c>
      <c r="B2761" t="s">
        <v>686</v>
      </c>
      <c r="C2761" t="str">
        <f t="shared" si="136"/>
        <v>19647330000000</v>
      </c>
      <c r="D2761" t="s">
        <v>4497</v>
      </c>
      <c r="E2761" t="str">
        <f>"19647336018766"</f>
        <v>19647336018766</v>
      </c>
      <c r="F2761" s="8">
        <v>1833</v>
      </c>
      <c r="G2761" s="8">
        <v>12011</v>
      </c>
      <c r="H2761" s="8">
        <v>920</v>
      </c>
      <c r="I2761" s="8">
        <v>2024</v>
      </c>
    </row>
    <row r="2762" spans="1:9" x14ac:dyDescent="0.2">
      <c r="A2762" t="s">
        <v>436</v>
      </c>
      <c r="B2762" t="s">
        <v>686</v>
      </c>
      <c r="C2762" t="str">
        <f t="shared" si="136"/>
        <v>19647330000000</v>
      </c>
      <c r="D2762" t="s">
        <v>4498</v>
      </c>
      <c r="E2762" t="str">
        <f>"19647336017834"</f>
        <v>19647336017834</v>
      </c>
      <c r="F2762" s="8">
        <v>1924</v>
      </c>
      <c r="G2762" s="8">
        <v>11895</v>
      </c>
      <c r="H2762" s="8">
        <v>921</v>
      </c>
      <c r="I2762" s="8">
        <v>2025</v>
      </c>
    </row>
    <row r="2763" spans="1:9" x14ac:dyDescent="0.2">
      <c r="A2763" t="s">
        <v>436</v>
      </c>
      <c r="B2763" t="s">
        <v>686</v>
      </c>
      <c r="C2763" t="str">
        <f t="shared" si="136"/>
        <v>19647330000000</v>
      </c>
      <c r="D2763" t="s">
        <v>4499</v>
      </c>
      <c r="E2763" t="str">
        <f>"19647336108641"</f>
        <v>19647336108641</v>
      </c>
      <c r="F2763" s="8">
        <v>2258</v>
      </c>
      <c r="G2763" s="8">
        <v>11547</v>
      </c>
      <c r="H2763" s="8">
        <v>916</v>
      </c>
      <c r="I2763" s="8">
        <v>2028</v>
      </c>
    </row>
    <row r="2764" spans="1:9" x14ac:dyDescent="0.2">
      <c r="A2764" t="s">
        <v>436</v>
      </c>
      <c r="B2764" t="s">
        <v>686</v>
      </c>
      <c r="C2764" t="str">
        <f t="shared" si="136"/>
        <v>19647330000000</v>
      </c>
      <c r="D2764" t="s">
        <v>4500</v>
      </c>
      <c r="E2764" t="str">
        <f>"19647336058192"</f>
        <v>19647336058192</v>
      </c>
      <c r="F2764" s="8">
        <v>1811</v>
      </c>
      <c r="G2764" s="8">
        <v>11976</v>
      </c>
      <c r="H2764" s="8">
        <v>916</v>
      </c>
      <c r="I2764" s="8">
        <v>2041</v>
      </c>
    </row>
    <row r="2765" spans="1:9" x14ac:dyDescent="0.2">
      <c r="A2765" t="s">
        <v>436</v>
      </c>
      <c r="B2765" t="s">
        <v>686</v>
      </c>
      <c r="C2765" t="str">
        <f t="shared" si="136"/>
        <v>19647330000000</v>
      </c>
      <c r="D2765" t="s">
        <v>4501</v>
      </c>
      <c r="E2765" t="str">
        <f>"19647331996073"</f>
        <v>19647331996073</v>
      </c>
      <c r="F2765" s="8">
        <v>803</v>
      </c>
      <c r="G2765" s="8">
        <v>13043</v>
      </c>
      <c r="H2765" s="8">
        <v>904</v>
      </c>
      <c r="I2765" s="8">
        <v>1986</v>
      </c>
    </row>
    <row r="2766" spans="1:9" x14ac:dyDescent="0.2">
      <c r="A2766" t="s">
        <v>436</v>
      </c>
      <c r="B2766" t="s">
        <v>686</v>
      </c>
      <c r="C2766" t="str">
        <f t="shared" si="136"/>
        <v>19647330000000</v>
      </c>
      <c r="D2766" t="s">
        <v>4502</v>
      </c>
      <c r="E2766" t="str">
        <f>"19647336017099"</f>
        <v>19647336017099</v>
      </c>
      <c r="F2766" s="8">
        <v>2983</v>
      </c>
      <c r="G2766" s="8">
        <v>10778</v>
      </c>
      <c r="H2766" s="8">
        <v>910</v>
      </c>
      <c r="I2766" s="8">
        <v>2062</v>
      </c>
    </row>
    <row r="2767" spans="1:9" x14ac:dyDescent="0.2">
      <c r="A2767" t="s">
        <v>436</v>
      </c>
      <c r="B2767" t="s">
        <v>686</v>
      </c>
      <c r="C2767" t="str">
        <f t="shared" si="136"/>
        <v>19647330000000</v>
      </c>
      <c r="D2767" t="s">
        <v>4503</v>
      </c>
      <c r="E2767" t="str">
        <f>"19647336017859"</f>
        <v>19647336017859</v>
      </c>
      <c r="F2767" s="8">
        <v>1837</v>
      </c>
      <c r="G2767" s="8">
        <v>11945</v>
      </c>
      <c r="H2767" s="8">
        <v>915</v>
      </c>
      <c r="I2767" s="8">
        <v>2022</v>
      </c>
    </row>
    <row r="2768" spans="1:9" x14ac:dyDescent="0.2">
      <c r="A2768" t="s">
        <v>436</v>
      </c>
      <c r="B2768" t="s">
        <v>686</v>
      </c>
      <c r="C2768" t="str">
        <f t="shared" si="136"/>
        <v>19647330000000</v>
      </c>
      <c r="D2768" t="s">
        <v>4504</v>
      </c>
      <c r="E2768" t="str">
        <f>"19647336018691"</f>
        <v>19647336018691</v>
      </c>
      <c r="F2768" s="8">
        <v>1852</v>
      </c>
      <c r="G2768" s="8">
        <v>11925</v>
      </c>
      <c r="H2768" s="8">
        <v>919</v>
      </c>
      <c r="I2768" s="8">
        <v>2018</v>
      </c>
    </row>
    <row r="2769" spans="1:9" x14ac:dyDescent="0.2">
      <c r="A2769" t="s">
        <v>436</v>
      </c>
      <c r="B2769" t="s">
        <v>686</v>
      </c>
      <c r="C2769" t="str">
        <f t="shared" si="136"/>
        <v>19647330000000</v>
      </c>
      <c r="D2769" t="s">
        <v>4505</v>
      </c>
      <c r="E2769" t="str">
        <f>"19647336017198"</f>
        <v>19647336017198</v>
      </c>
      <c r="F2769" s="8">
        <v>3296</v>
      </c>
      <c r="G2769" s="8">
        <v>10472</v>
      </c>
      <c r="H2769" s="8">
        <v>920</v>
      </c>
      <c r="I2769" s="8">
        <v>2025</v>
      </c>
    </row>
    <row r="2770" spans="1:9" x14ac:dyDescent="0.2">
      <c r="A2770" t="s">
        <v>436</v>
      </c>
      <c r="B2770" t="s">
        <v>686</v>
      </c>
      <c r="C2770" t="str">
        <f t="shared" si="136"/>
        <v>19647330000000</v>
      </c>
      <c r="D2770" t="s">
        <v>4506</v>
      </c>
      <c r="E2770" t="str">
        <f>"19647336057988"</f>
        <v>19647336057988</v>
      </c>
      <c r="F2770" s="8">
        <v>1293</v>
      </c>
      <c r="G2770" s="8">
        <v>12407</v>
      </c>
      <c r="H2770" s="8">
        <v>939</v>
      </c>
      <c r="I2770" s="8">
        <v>2062</v>
      </c>
    </row>
    <row r="2771" spans="1:9" x14ac:dyDescent="0.2">
      <c r="A2771" t="s">
        <v>436</v>
      </c>
      <c r="B2771" t="s">
        <v>686</v>
      </c>
      <c r="C2771" t="str">
        <f t="shared" si="136"/>
        <v>19647330000000</v>
      </c>
      <c r="D2771" t="s">
        <v>4507</v>
      </c>
      <c r="E2771" t="str">
        <f>"19647336017321"</f>
        <v>19647336017321</v>
      </c>
      <c r="F2771" s="8">
        <v>2044</v>
      </c>
      <c r="G2771" s="8">
        <v>11706</v>
      </c>
      <c r="H2771" s="8">
        <v>911</v>
      </c>
      <c r="I2771" s="8">
        <v>2039</v>
      </c>
    </row>
    <row r="2772" spans="1:9" x14ac:dyDescent="0.2">
      <c r="A2772" t="s">
        <v>436</v>
      </c>
      <c r="B2772" t="s">
        <v>686</v>
      </c>
      <c r="C2772" t="str">
        <f t="shared" si="136"/>
        <v>19647330000000</v>
      </c>
      <c r="D2772" t="s">
        <v>4508</v>
      </c>
      <c r="E2772" t="str">
        <f>"19647330119701"</f>
        <v>19647330119701</v>
      </c>
      <c r="F2772" s="8">
        <v>1423</v>
      </c>
      <c r="G2772" s="8">
        <v>12374</v>
      </c>
      <c r="H2772" s="8">
        <v>904</v>
      </c>
      <c r="I2772" s="8">
        <v>1986</v>
      </c>
    </row>
    <row r="2773" spans="1:9" x14ac:dyDescent="0.2">
      <c r="A2773" t="s">
        <v>436</v>
      </c>
      <c r="B2773" t="s">
        <v>686</v>
      </c>
      <c r="C2773" t="str">
        <f t="shared" si="136"/>
        <v>19647330000000</v>
      </c>
      <c r="D2773" t="s">
        <v>4509</v>
      </c>
      <c r="E2773" t="str">
        <f>"19647336018477"</f>
        <v>19647336018477</v>
      </c>
      <c r="F2773" s="8">
        <v>2046</v>
      </c>
      <c r="G2773" s="8">
        <v>11676</v>
      </c>
      <c r="H2773" s="8">
        <v>922</v>
      </c>
      <c r="I2773" s="8">
        <v>2038</v>
      </c>
    </row>
    <row r="2774" spans="1:9" x14ac:dyDescent="0.2">
      <c r="A2774" t="s">
        <v>436</v>
      </c>
      <c r="B2774" t="s">
        <v>686</v>
      </c>
      <c r="C2774" t="str">
        <f t="shared" si="136"/>
        <v>19647330000000</v>
      </c>
      <c r="D2774" t="s">
        <v>4510</v>
      </c>
      <c r="E2774" t="str">
        <f>"19647336019046"</f>
        <v>19647336019046</v>
      </c>
      <c r="F2774" s="8">
        <v>1888</v>
      </c>
      <c r="G2774" s="8">
        <v>11806</v>
      </c>
      <c r="H2774" s="8">
        <v>921</v>
      </c>
      <c r="I2774" s="8">
        <v>2054</v>
      </c>
    </row>
    <row r="2775" spans="1:9" x14ac:dyDescent="0.2">
      <c r="A2775" t="s">
        <v>436</v>
      </c>
      <c r="B2775" t="s">
        <v>686</v>
      </c>
      <c r="C2775" t="str">
        <f t="shared" ref="C2775:C2838" si="137">"19647330000000"</f>
        <v>19647330000000</v>
      </c>
      <c r="D2775" t="s">
        <v>4511</v>
      </c>
      <c r="E2775" t="str">
        <f>"19647336016802"</f>
        <v>19647336016802</v>
      </c>
      <c r="F2775" s="8">
        <v>2307</v>
      </c>
      <c r="G2775" s="8">
        <v>11384</v>
      </c>
      <c r="H2775" s="8">
        <v>919</v>
      </c>
      <c r="I2775" s="8">
        <v>2051</v>
      </c>
    </row>
    <row r="2776" spans="1:9" x14ac:dyDescent="0.2">
      <c r="A2776" t="s">
        <v>436</v>
      </c>
      <c r="B2776" t="s">
        <v>686</v>
      </c>
      <c r="C2776" t="str">
        <f t="shared" si="137"/>
        <v>19647330000000</v>
      </c>
      <c r="D2776" t="s">
        <v>4512</v>
      </c>
      <c r="E2776" t="str">
        <f>"19647336019368"</f>
        <v>19647336019368</v>
      </c>
      <c r="F2776" s="8">
        <v>1791</v>
      </c>
      <c r="G2776" s="8">
        <v>11923</v>
      </c>
      <c r="H2776" s="8">
        <v>919</v>
      </c>
      <c r="I2776" s="8">
        <v>2014</v>
      </c>
    </row>
    <row r="2777" spans="1:9" x14ac:dyDescent="0.2">
      <c r="A2777" t="s">
        <v>436</v>
      </c>
      <c r="B2777" t="s">
        <v>686</v>
      </c>
      <c r="C2777" t="str">
        <f t="shared" si="137"/>
        <v>19647330000000</v>
      </c>
      <c r="D2777" t="s">
        <v>4513</v>
      </c>
      <c r="E2777" t="str">
        <f>"19647336058341"</f>
        <v>19647336058341</v>
      </c>
      <c r="F2777" s="8">
        <v>1959</v>
      </c>
      <c r="G2777" s="8">
        <v>11792</v>
      </c>
      <c r="H2777" s="8">
        <v>904</v>
      </c>
      <c r="I2777" s="8">
        <v>1990</v>
      </c>
    </row>
    <row r="2778" spans="1:9" x14ac:dyDescent="0.2">
      <c r="A2778" t="s">
        <v>436</v>
      </c>
      <c r="B2778" t="s">
        <v>686</v>
      </c>
      <c r="C2778" t="str">
        <f t="shared" si="137"/>
        <v>19647330000000</v>
      </c>
      <c r="D2778" t="s">
        <v>4514</v>
      </c>
      <c r="E2778" t="str">
        <f>"19647336017545"</f>
        <v>19647336017545</v>
      </c>
      <c r="F2778" s="8">
        <v>1809</v>
      </c>
      <c r="G2778" s="8">
        <v>11952</v>
      </c>
      <c r="H2778" s="8">
        <v>906</v>
      </c>
      <c r="I2778" s="8">
        <v>1975</v>
      </c>
    </row>
    <row r="2779" spans="1:9" x14ac:dyDescent="0.2">
      <c r="A2779" t="s">
        <v>436</v>
      </c>
      <c r="B2779" t="s">
        <v>686</v>
      </c>
      <c r="C2779" t="str">
        <f t="shared" si="137"/>
        <v>19647330000000</v>
      </c>
      <c r="D2779" t="s">
        <v>4515</v>
      </c>
      <c r="E2779" t="str">
        <f>"19647336018550"</f>
        <v>19647336018550</v>
      </c>
      <c r="F2779" s="8">
        <v>1589</v>
      </c>
      <c r="G2779" s="8">
        <v>12070</v>
      </c>
      <c r="H2779" s="8">
        <v>922</v>
      </c>
      <c r="I2779" s="8">
        <v>2041</v>
      </c>
    </row>
    <row r="2780" spans="1:9" x14ac:dyDescent="0.2">
      <c r="A2780" t="s">
        <v>436</v>
      </c>
      <c r="B2780" t="s">
        <v>686</v>
      </c>
      <c r="C2780" t="str">
        <f t="shared" si="137"/>
        <v>19647330000000</v>
      </c>
      <c r="D2780" t="s">
        <v>4516</v>
      </c>
      <c r="E2780" t="str">
        <f>"19647336015960"</f>
        <v>19647336015960</v>
      </c>
      <c r="F2780" s="8">
        <v>2423</v>
      </c>
      <c r="G2780" s="8">
        <v>11255</v>
      </c>
      <c r="H2780" s="8">
        <v>921</v>
      </c>
      <c r="I2780" s="8">
        <v>2022</v>
      </c>
    </row>
    <row r="2781" spans="1:9" x14ac:dyDescent="0.2">
      <c r="A2781" t="s">
        <v>436</v>
      </c>
      <c r="B2781" t="s">
        <v>686</v>
      </c>
      <c r="C2781" t="str">
        <f t="shared" si="137"/>
        <v>19647330000000</v>
      </c>
      <c r="D2781" t="s">
        <v>4517</v>
      </c>
      <c r="E2781" t="str">
        <f>"19647330122101"</f>
        <v>19647330122101</v>
      </c>
      <c r="F2781" s="8">
        <v>1748</v>
      </c>
      <c r="G2781" s="8">
        <v>11831</v>
      </c>
      <c r="H2781" s="8">
        <v>940</v>
      </c>
      <c r="I2781" s="8">
        <v>2083</v>
      </c>
    </row>
    <row r="2782" spans="1:9" x14ac:dyDescent="0.2">
      <c r="A2782" t="s">
        <v>436</v>
      </c>
      <c r="B2782" t="s">
        <v>686</v>
      </c>
      <c r="C2782" t="str">
        <f t="shared" si="137"/>
        <v>19647330000000</v>
      </c>
      <c r="D2782" t="s">
        <v>4518</v>
      </c>
      <c r="E2782" t="str">
        <f>"19647336019244"</f>
        <v>19647336019244</v>
      </c>
      <c r="F2782" s="8">
        <v>2134</v>
      </c>
      <c r="G2782" s="8">
        <v>11508</v>
      </c>
      <c r="H2782" s="8">
        <v>911</v>
      </c>
      <c r="I2782" s="8">
        <v>2044</v>
      </c>
    </row>
    <row r="2783" spans="1:9" x14ac:dyDescent="0.2">
      <c r="A2783" t="s">
        <v>436</v>
      </c>
      <c r="B2783" t="s">
        <v>686</v>
      </c>
      <c r="C2783" t="str">
        <f t="shared" si="137"/>
        <v>19647330000000</v>
      </c>
      <c r="D2783" t="s">
        <v>4519</v>
      </c>
      <c r="E2783" t="str">
        <f>"19647336017966"</f>
        <v>19647336017966</v>
      </c>
      <c r="F2783" s="8">
        <v>1555</v>
      </c>
      <c r="G2783" s="8">
        <v>12101</v>
      </c>
      <c r="H2783" s="8">
        <v>919</v>
      </c>
      <c r="I2783" s="8">
        <v>2017</v>
      </c>
    </row>
    <row r="2784" spans="1:9" x14ac:dyDescent="0.2">
      <c r="A2784" t="s">
        <v>436</v>
      </c>
      <c r="B2784" t="s">
        <v>686</v>
      </c>
      <c r="C2784" t="str">
        <f t="shared" si="137"/>
        <v>19647330000000</v>
      </c>
      <c r="D2784" t="s">
        <v>4520</v>
      </c>
      <c r="E2784" t="str">
        <f>"19647336020051"</f>
        <v>19647336020051</v>
      </c>
      <c r="F2784" s="8">
        <v>2198</v>
      </c>
      <c r="G2784" s="8">
        <v>11423</v>
      </c>
      <c r="H2784" s="8">
        <v>916</v>
      </c>
      <c r="I2784" s="8">
        <v>2031</v>
      </c>
    </row>
    <row r="2785" spans="1:9" x14ac:dyDescent="0.2">
      <c r="A2785" t="s">
        <v>436</v>
      </c>
      <c r="B2785" t="s">
        <v>686</v>
      </c>
      <c r="C2785" t="str">
        <f t="shared" si="137"/>
        <v>19647330000000</v>
      </c>
      <c r="D2785" t="s">
        <v>4521</v>
      </c>
      <c r="E2785" t="str">
        <f>"19647336019756"</f>
        <v>19647336019756</v>
      </c>
      <c r="F2785" s="8">
        <v>2188</v>
      </c>
      <c r="G2785" s="8">
        <v>11424</v>
      </c>
      <c r="H2785" s="8">
        <v>914</v>
      </c>
      <c r="I2785" s="8">
        <v>2019</v>
      </c>
    </row>
    <row r="2786" spans="1:9" x14ac:dyDescent="0.2">
      <c r="A2786" t="s">
        <v>436</v>
      </c>
      <c r="B2786" t="s">
        <v>686</v>
      </c>
      <c r="C2786" t="str">
        <f t="shared" si="137"/>
        <v>19647330000000</v>
      </c>
      <c r="D2786" t="s">
        <v>4522</v>
      </c>
      <c r="E2786" t="str">
        <f>"19647336019541"</f>
        <v>19647336019541</v>
      </c>
      <c r="F2786" s="8">
        <v>1489</v>
      </c>
      <c r="G2786" s="8">
        <v>12098</v>
      </c>
      <c r="H2786" s="8">
        <v>921</v>
      </c>
      <c r="I2786" s="8">
        <v>2027</v>
      </c>
    </row>
    <row r="2787" spans="1:9" x14ac:dyDescent="0.2">
      <c r="A2787" t="s">
        <v>436</v>
      </c>
      <c r="B2787" t="s">
        <v>686</v>
      </c>
      <c r="C2787" t="str">
        <f t="shared" si="137"/>
        <v>19647330000000</v>
      </c>
      <c r="D2787" t="s">
        <v>4523</v>
      </c>
      <c r="E2787" t="str">
        <f>"19647336017149"</f>
        <v>19647336017149</v>
      </c>
      <c r="F2787" s="8">
        <v>1902</v>
      </c>
      <c r="G2787" s="8">
        <v>11742</v>
      </c>
      <c r="H2787" s="8">
        <v>904</v>
      </c>
      <c r="I2787" s="8">
        <v>1984</v>
      </c>
    </row>
    <row r="2788" spans="1:9" x14ac:dyDescent="0.2">
      <c r="A2788" t="s">
        <v>436</v>
      </c>
      <c r="B2788" t="s">
        <v>686</v>
      </c>
      <c r="C2788" t="str">
        <f t="shared" si="137"/>
        <v>19647330000000</v>
      </c>
      <c r="D2788" t="s">
        <v>4524</v>
      </c>
      <c r="E2788" t="str">
        <f>"19647330112003"</f>
        <v>19647330112003</v>
      </c>
      <c r="F2788" s="8">
        <v>1776</v>
      </c>
      <c r="G2788" s="8">
        <v>11734</v>
      </c>
      <c r="H2788" s="8">
        <v>939</v>
      </c>
      <c r="I2788" s="8">
        <v>2079</v>
      </c>
    </row>
    <row r="2789" spans="1:9" x14ac:dyDescent="0.2">
      <c r="A2789" t="s">
        <v>436</v>
      </c>
      <c r="B2789" t="s">
        <v>686</v>
      </c>
      <c r="C2789" t="str">
        <f t="shared" si="137"/>
        <v>19647330000000</v>
      </c>
      <c r="D2789" t="s">
        <v>4525</v>
      </c>
      <c r="E2789" t="str">
        <f>"19647336120810"</f>
        <v>19647336120810</v>
      </c>
      <c r="F2789" s="8">
        <v>2515</v>
      </c>
      <c r="G2789" s="8">
        <v>10959</v>
      </c>
      <c r="H2789" s="8">
        <v>945</v>
      </c>
      <c r="I2789" s="8">
        <v>2093</v>
      </c>
    </row>
    <row r="2790" spans="1:9" x14ac:dyDescent="0.2">
      <c r="A2790" t="s">
        <v>436</v>
      </c>
      <c r="B2790" t="s">
        <v>686</v>
      </c>
      <c r="C2790" t="str">
        <f t="shared" si="137"/>
        <v>19647330000000</v>
      </c>
      <c r="D2790" t="s">
        <v>4526</v>
      </c>
      <c r="E2790" t="str">
        <f>"19647336113419"</f>
        <v>19647336113419</v>
      </c>
      <c r="F2790" s="8">
        <v>2015</v>
      </c>
      <c r="G2790" s="8">
        <v>11464</v>
      </c>
      <c r="H2790" s="8">
        <v>941</v>
      </c>
      <c r="I2790" s="8">
        <v>2085</v>
      </c>
    </row>
    <row r="2791" spans="1:9" x14ac:dyDescent="0.2">
      <c r="A2791" t="s">
        <v>436</v>
      </c>
      <c r="B2791" t="s">
        <v>686</v>
      </c>
      <c r="C2791" t="str">
        <f t="shared" si="137"/>
        <v>19647330000000</v>
      </c>
      <c r="D2791" t="s">
        <v>4527</v>
      </c>
      <c r="E2791" t="str">
        <f>"19647336018675"</f>
        <v>19647336018675</v>
      </c>
      <c r="F2791" s="8">
        <v>1340</v>
      </c>
      <c r="G2791" s="8">
        <v>12214</v>
      </c>
      <c r="H2791" s="8">
        <v>920</v>
      </c>
      <c r="I2791" s="8">
        <v>2023</v>
      </c>
    </row>
    <row r="2792" spans="1:9" x14ac:dyDescent="0.2">
      <c r="A2792" t="s">
        <v>436</v>
      </c>
      <c r="B2792" t="s">
        <v>686</v>
      </c>
      <c r="C2792" t="str">
        <f t="shared" si="137"/>
        <v>19647330000000</v>
      </c>
      <c r="D2792" t="s">
        <v>4528</v>
      </c>
      <c r="E2792" t="str">
        <f>"19647330119727"</f>
        <v>19647330119727</v>
      </c>
      <c r="F2792" s="8">
        <v>1283</v>
      </c>
      <c r="G2792" s="8">
        <v>12281</v>
      </c>
      <c r="H2792" s="8">
        <v>904</v>
      </c>
      <c r="I2792" s="8">
        <v>1990</v>
      </c>
    </row>
    <row r="2793" spans="1:9" x14ac:dyDescent="0.2">
      <c r="A2793" t="s">
        <v>436</v>
      </c>
      <c r="B2793" t="s">
        <v>686</v>
      </c>
      <c r="C2793" t="str">
        <f t="shared" si="137"/>
        <v>19647330000000</v>
      </c>
      <c r="D2793" t="s">
        <v>4529</v>
      </c>
      <c r="E2793" t="str">
        <f>"19647336017131"</f>
        <v>19647336017131</v>
      </c>
      <c r="F2793" s="8">
        <v>1992</v>
      </c>
      <c r="G2793" s="8">
        <v>11498</v>
      </c>
      <c r="H2793" s="8">
        <v>918</v>
      </c>
      <c r="I2793" s="8">
        <v>2042</v>
      </c>
    </row>
    <row r="2794" spans="1:9" x14ac:dyDescent="0.2">
      <c r="A2794" t="s">
        <v>436</v>
      </c>
      <c r="B2794" t="s">
        <v>686</v>
      </c>
      <c r="C2794" t="str">
        <f t="shared" si="137"/>
        <v>19647330000000</v>
      </c>
      <c r="D2794" t="s">
        <v>4530</v>
      </c>
      <c r="E2794" t="str">
        <f>"19647336018980"</f>
        <v>19647336018980</v>
      </c>
      <c r="F2794" s="8">
        <v>1946</v>
      </c>
      <c r="G2794" s="8">
        <v>11492</v>
      </c>
      <c r="H2794" s="8">
        <v>934</v>
      </c>
      <c r="I2794" s="8">
        <v>2070</v>
      </c>
    </row>
    <row r="2795" spans="1:9" x14ac:dyDescent="0.2">
      <c r="A2795" t="s">
        <v>436</v>
      </c>
      <c r="B2795" t="s">
        <v>686</v>
      </c>
      <c r="C2795" t="str">
        <f t="shared" si="137"/>
        <v>19647330000000</v>
      </c>
      <c r="D2795" t="s">
        <v>4531</v>
      </c>
      <c r="E2795" t="str">
        <f>"19647336057905"</f>
        <v>19647336057905</v>
      </c>
      <c r="F2795" s="8">
        <v>1999</v>
      </c>
      <c r="G2795" s="8">
        <v>11498</v>
      </c>
      <c r="H2795" s="8">
        <v>918</v>
      </c>
      <c r="I2795" s="8">
        <v>2012</v>
      </c>
    </row>
    <row r="2796" spans="1:9" x14ac:dyDescent="0.2">
      <c r="A2796" t="s">
        <v>436</v>
      </c>
      <c r="B2796" t="s">
        <v>686</v>
      </c>
      <c r="C2796" t="str">
        <f t="shared" si="137"/>
        <v>19647330000000</v>
      </c>
      <c r="D2796" t="s">
        <v>4532</v>
      </c>
      <c r="E2796" t="str">
        <f>"19647336016042"</f>
        <v>19647336016042</v>
      </c>
      <c r="F2796" s="8">
        <v>2150</v>
      </c>
      <c r="G2796" s="8">
        <v>11322</v>
      </c>
      <c r="H2796" s="8">
        <v>921</v>
      </c>
      <c r="I2796" s="8">
        <v>2026</v>
      </c>
    </row>
    <row r="2797" spans="1:9" x14ac:dyDescent="0.2">
      <c r="A2797" t="s">
        <v>436</v>
      </c>
      <c r="B2797" t="s">
        <v>686</v>
      </c>
      <c r="C2797" t="str">
        <f t="shared" si="137"/>
        <v>19647330000000</v>
      </c>
      <c r="D2797" t="s">
        <v>4533</v>
      </c>
      <c r="E2797" t="str">
        <f>"19647336017891"</f>
        <v>19647336017891</v>
      </c>
      <c r="F2797" s="8">
        <v>1539</v>
      </c>
      <c r="G2797" s="8">
        <v>11943</v>
      </c>
      <c r="H2797" s="8">
        <v>916</v>
      </c>
      <c r="I2797" s="8">
        <v>2006</v>
      </c>
    </row>
    <row r="2798" spans="1:9" x14ac:dyDescent="0.2">
      <c r="A2798" t="s">
        <v>436</v>
      </c>
      <c r="B2798" t="s">
        <v>686</v>
      </c>
      <c r="C2798" t="str">
        <f t="shared" si="137"/>
        <v>19647330000000</v>
      </c>
      <c r="D2798" t="s">
        <v>4534</v>
      </c>
      <c r="E2798" t="str">
        <f>"19647336016505"</f>
        <v>19647336016505</v>
      </c>
      <c r="F2798" s="8">
        <v>1932</v>
      </c>
      <c r="G2798" s="8">
        <v>11519</v>
      </c>
      <c r="H2798" s="8">
        <v>916</v>
      </c>
      <c r="I2798" s="8">
        <v>2036</v>
      </c>
    </row>
    <row r="2799" spans="1:9" x14ac:dyDescent="0.2">
      <c r="A2799" t="s">
        <v>436</v>
      </c>
      <c r="B2799" t="s">
        <v>686</v>
      </c>
      <c r="C2799" t="str">
        <f t="shared" si="137"/>
        <v>19647330000000</v>
      </c>
      <c r="D2799" t="s">
        <v>4535</v>
      </c>
      <c r="E2799" t="str">
        <f>"19647330109272"</f>
        <v>19647330109272</v>
      </c>
      <c r="F2799" s="8">
        <v>2219</v>
      </c>
      <c r="G2799" s="8">
        <v>11222</v>
      </c>
      <c r="H2799" s="8">
        <v>918</v>
      </c>
      <c r="I2799" s="8">
        <v>2039</v>
      </c>
    </row>
    <row r="2800" spans="1:9" x14ac:dyDescent="0.2">
      <c r="A2800" t="s">
        <v>436</v>
      </c>
      <c r="B2800" t="s">
        <v>686</v>
      </c>
      <c r="C2800" t="str">
        <f t="shared" si="137"/>
        <v>19647330000000</v>
      </c>
      <c r="D2800" t="s">
        <v>4536</v>
      </c>
      <c r="E2800" t="str">
        <f>"19647336061469"</f>
        <v>19647336061469</v>
      </c>
      <c r="F2800" s="8">
        <v>2532</v>
      </c>
      <c r="G2800" s="8">
        <v>10907</v>
      </c>
      <c r="H2800" s="8">
        <v>918</v>
      </c>
      <c r="I2800" s="8">
        <v>2038</v>
      </c>
    </row>
    <row r="2801" spans="1:9" x14ac:dyDescent="0.2">
      <c r="A2801" t="s">
        <v>436</v>
      </c>
      <c r="B2801" t="s">
        <v>686</v>
      </c>
      <c r="C2801" t="str">
        <f t="shared" si="137"/>
        <v>19647330000000</v>
      </c>
      <c r="D2801" t="s">
        <v>4537</v>
      </c>
      <c r="E2801" t="str">
        <f>"19647330111997"</f>
        <v>19647330111997</v>
      </c>
      <c r="F2801" s="8">
        <v>2174</v>
      </c>
      <c r="G2801" s="8">
        <v>11257</v>
      </c>
      <c r="H2801" s="8">
        <v>918</v>
      </c>
      <c r="I2801" s="8">
        <v>2041</v>
      </c>
    </row>
    <row r="2802" spans="1:9" x14ac:dyDescent="0.2">
      <c r="A2802" t="s">
        <v>436</v>
      </c>
      <c r="B2802" t="s">
        <v>686</v>
      </c>
      <c r="C2802" t="str">
        <f t="shared" si="137"/>
        <v>19647330000000</v>
      </c>
      <c r="D2802" t="s">
        <v>4538</v>
      </c>
      <c r="E2802" t="str">
        <f>"19647336019947"</f>
        <v>19647336019947</v>
      </c>
      <c r="F2802" s="8">
        <v>1760</v>
      </c>
      <c r="G2802" s="8">
        <v>11667</v>
      </c>
      <c r="H2802" s="8">
        <v>920</v>
      </c>
      <c r="I2802" s="8">
        <v>2025</v>
      </c>
    </row>
    <row r="2803" spans="1:9" x14ac:dyDescent="0.2">
      <c r="A2803" t="s">
        <v>436</v>
      </c>
      <c r="B2803" t="s">
        <v>686</v>
      </c>
      <c r="C2803" t="str">
        <f t="shared" si="137"/>
        <v>19647330000000</v>
      </c>
      <c r="D2803" t="s">
        <v>2328</v>
      </c>
      <c r="E2803" t="str">
        <f>"19647336019657"</f>
        <v>19647336019657</v>
      </c>
      <c r="F2803" s="8">
        <v>1738</v>
      </c>
      <c r="G2803" s="8">
        <v>11607</v>
      </c>
      <c r="H2803" s="8">
        <v>938</v>
      </c>
      <c r="I2803" s="8">
        <v>2087</v>
      </c>
    </row>
    <row r="2804" spans="1:9" x14ac:dyDescent="0.2">
      <c r="A2804" t="s">
        <v>436</v>
      </c>
      <c r="B2804" t="s">
        <v>686</v>
      </c>
      <c r="C2804" t="str">
        <f t="shared" si="137"/>
        <v>19647330000000</v>
      </c>
      <c r="D2804" t="s">
        <v>4539</v>
      </c>
      <c r="E2804" t="str">
        <f>"19647336015739"</f>
        <v>19647336015739</v>
      </c>
      <c r="F2804" s="8">
        <v>1952</v>
      </c>
      <c r="G2804" s="8">
        <v>11466</v>
      </c>
      <c r="H2804" s="8">
        <v>915</v>
      </c>
      <c r="I2804" s="8">
        <v>2035</v>
      </c>
    </row>
    <row r="2805" spans="1:9" x14ac:dyDescent="0.2">
      <c r="A2805" t="s">
        <v>436</v>
      </c>
      <c r="B2805" t="s">
        <v>686</v>
      </c>
      <c r="C2805" t="str">
        <f t="shared" si="137"/>
        <v>19647330000000</v>
      </c>
      <c r="D2805" t="s">
        <v>4540</v>
      </c>
      <c r="E2805" t="str">
        <f>"19647336058168"</f>
        <v>19647336058168</v>
      </c>
      <c r="F2805" s="8">
        <v>1747</v>
      </c>
      <c r="G2805" s="8">
        <v>11604</v>
      </c>
      <c r="H2805" s="8">
        <v>937</v>
      </c>
      <c r="I2805" s="8">
        <v>2080</v>
      </c>
    </row>
    <row r="2806" spans="1:9" x14ac:dyDescent="0.2">
      <c r="A2806" t="s">
        <v>436</v>
      </c>
      <c r="B2806" t="s">
        <v>686</v>
      </c>
      <c r="C2806" t="str">
        <f t="shared" si="137"/>
        <v>19647330000000</v>
      </c>
      <c r="D2806" t="s">
        <v>4541</v>
      </c>
      <c r="E2806" t="str">
        <f>"19647336015994"</f>
        <v>19647336015994</v>
      </c>
      <c r="F2806" s="8">
        <v>2092</v>
      </c>
      <c r="G2806" s="8">
        <v>11254</v>
      </c>
      <c r="H2806" s="8">
        <v>936</v>
      </c>
      <c r="I2806" s="8">
        <v>2074</v>
      </c>
    </row>
    <row r="2807" spans="1:9" x14ac:dyDescent="0.2">
      <c r="A2807" t="s">
        <v>436</v>
      </c>
      <c r="B2807" t="s">
        <v>686</v>
      </c>
      <c r="C2807" t="str">
        <f t="shared" si="137"/>
        <v>19647330000000</v>
      </c>
      <c r="D2807" t="s">
        <v>4542</v>
      </c>
      <c r="E2807" t="str">
        <f>"19647336017032"</f>
        <v>19647336017032</v>
      </c>
      <c r="F2807" s="8">
        <v>2024</v>
      </c>
      <c r="G2807" s="8">
        <v>11388</v>
      </c>
      <c r="H2807" s="8">
        <v>920</v>
      </c>
      <c r="I2807" s="8">
        <v>2024</v>
      </c>
    </row>
    <row r="2808" spans="1:9" x14ac:dyDescent="0.2">
      <c r="A2808" t="s">
        <v>436</v>
      </c>
      <c r="B2808" t="s">
        <v>686</v>
      </c>
      <c r="C2808" t="str">
        <f t="shared" si="137"/>
        <v>19647330000000</v>
      </c>
      <c r="D2808" t="s">
        <v>4543</v>
      </c>
      <c r="E2808" t="str">
        <f>"19647331938554"</f>
        <v>19647331938554</v>
      </c>
      <c r="F2808" s="8">
        <v>1539</v>
      </c>
      <c r="G2808" s="8">
        <v>11846</v>
      </c>
      <c r="H2808" s="8">
        <v>917</v>
      </c>
      <c r="I2808" s="8">
        <v>2040</v>
      </c>
    </row>
    <row r="2809" spans="1:9" x14ac:dyDescent="0.2">
      <c r="A2809" t="s">
        <v>436</v>
      </c>
      <c r="B2809" t="s">
        <v>686</v>
      </c>
      <c r="C2809" t="str">
        <f t="shared" si="137"/>
        <v>19647330000000</v>
      </c>
      <c r="D2809" t="s">
        <v>4019</v>
      </c>
      <c r="E2809" t="str">
        <f>"19647331934454"</f>
        <v>19647331934454</v>
      </c>
      <c r="F2809" s="8">
        <v>1815</v>
      </c>
      <c r="G2809" s="8">
        <v>11561</v>
      </c>
      <c r="H2809" s="8">
        <v>912</v>
      </c>
      <c r="I2809" s="8">
        <v>2035</v>
      </c>
    </row>
    <row r="2810" spans="1:9" x14ac:dyDescent="0.2">
      <c r="A2810" t="s">
        <v>436</v>
      </c>
      <c r="B2810" t="s">
        <v>686</v>
      </c>
      <c r="C2810" t="str">
        <f t="shared" si="137"/>
        <v>19647330000000</v>
      </c>
      <c r="D2810" t="s">
        <v>4544</v>
      </c>
      <c r="E2810" t="str">
        <f>"19647331932334"</f>
        <v>19647331932334</v>
      </c>
      <c r="F2810" s="8">
        <v>2388</v>
      </c>
      <c r="G2810" s="8">
        <v>10996</v>
      </c>
      <c r="H2810" s="8">
        <v>918</v>
      </c>
      <c r="I2810" s="8">
        <v>2015</v>
      </c>
    </row>
    <row r="2811" spans="1:9" x14ac:dyDescent="0.2">
      <c r="A2811" t="s">
        <v>436</v>
      </c>
      <c r="B2811" t="s">
        <v>686</v>
      </c>
      <c r="C2811" t="str">
        <f t="shared" si="137"/>
        <v>19647330000000</v>
      </c>
      <c r="D2811" t="s">
        <v>4545</v>
      </c>
      <c r="E2811" t="str">
        <f>"19647330122390"</f>
        <v>19647330122390</v>
      </c>
      <c r="F2811" s="8">
        <v>1708</v>
      </c>
      <c r="G2811" s="8">
        <v>11648</v>
      </c>
      <c r="H2811" s="8">
        <v>917</v>
      </c>
      <c r="I2811" s="8">
        <v>2033</v>
      </c>
    </row>
    <row r="2812" spans="1:9" x14ac:dyDescent="0.2">
      <c r="A2812" t="s">
        <v>436</v>
      </c>
      <c r="B2812" t="s">
        <v>686</v>
      </c>
      <c r="C2812" t="str">
        <f t="shared" si="137"/>
        <v>19647330000000</v>
      </c>
      <c r="D2812" t="s">
        <v>4546</v>
      </c>
      <c r="E2812" t="str">
        <f>"19647336018378"</f>
        <v>19647336018378</v>
      </c>
      <c r="F2812" s="8">
        <v>2198</v>
      </c>
      <c r="G2812" s="8">
        <v>11016</v>
      </c>
      <c r="H2812" s="8">
        <v>932</v>
      </c>
      <c r="I2812" s="8">
        <v>2154</v>
      </c>
    </row>
    <row r="2813" spans="1:9" x14ac:dyDescent="0.2">
      <c r="A2813" t="s">
        <v>436</v>
      </c>
      <c r="B2813" t="s">
        <v>686</v>
      </c>
      <c r="C2813" t="str">
        <f t="shared" si="137"/>
        <v>19647330000000</v>
      </c>
      <c r="D2813" t="s">
        <v>4547</v>
      </c>
      <c r="E2813" t="str">
        <f>"19647331937424"</f>
        <v>19647331937424</v>
      </c>
      <c r="F2813" s="8">
        <v>1753</v>
      </c>
      <c r="G2813" s="8">
        <v>11567</v>
      </c>
      <c r="H2813" s="8">
        <v>910</v>
      </c>
      <c r="I2813" s="8">
        <v>2068</v>
      </c>
    </row>
    <row r="2814" spans="1:9" x14ac:dyDescent="0.2">
      <c r="A2814" t="s">
        <v>436</v>
      </c>
      <c r="B2814" t="s">
        <v>686</v>
      </c>
      <c r="C2814" t="str">
        <f t="shared" si="137"/>
        <v>19647330000000</v>
      </c>
      <c r="D2814" t="s">
        <v>4548</v>
      </c>
      <c r="E2814" t="str">
        <f>"19647336017362"</f>
        <v>19647336017362</v>
      </c>
      <c r="F2814" s="8">
        <v>2470</v>
      </c>
      <c r="G2814" s="8">
        <v>10873</v>
      </c>
      <c r="H2814" s="8">
        <v>912</v>
      </c>
      <c r="I2814" s="8">
        <v>2033</v>
      </c>
    </row>
    <row r="2815" spans="1:9" x14ac:dyDescent="0.2">
      <c r="A2815" t="s">
        <v>436</v>
      </c>
      <c r="B2815" t="s">
        <v>686</v>
      </c>
      <c r="C2815" t="str">
        <f t="shared" si="137"/>
        <v>19647330000000</v>
      </c>
      <c r="D2815" t="s">
        <v>4549</v>
      </c>
      <c r="E2815" t="str">
        <f>"19647336018535"</f>
        <v>19647336018535</v>
      </c>
      <c r="F2815" s="8">
        <v>1726</v>
      </c>
      <c r="G2815" s="8">
        <v>11611</v>
      </c>
      <c r="H2815" s="8">
        <v>912</v>
      </c>
      <c r="I2815" s="8">
        <v>2035</v>
      </c>
    </row>
    <row r="2816" spans="1:9" x14ac:dyDescent="0.2">
      <c r="A2816" t="s">
        <v>436</v>
      </c>
      <c r="B2816" t="s">
        <v>686</v>
      </c>
      <c r="C2816" t="str">
        <f t="shared" si="137"/>
        <v>19647330000000</v>
      </c>
      <c r="D2816" t="s">
        <v>4550</v>
      </c>
      <c r="E2816" t="str">
        <f>"19647336019137"</f>
        <v>19647336019137</v>
      </c>
      <c r="F2816" s="8">
        <v>2670</v>
      </c>
      <c r="G2816" s="8">
        <v>10666</v>
      </c>
      <c r="H2816" s="8">
        <v>912</v>
      </c>
      <c r="I2816" s="8">
        <v>2036</v>
      </c>
    </row>
    <row r="2817" spans="1:9" x14ac:dyDescent="0.2">
      <c r="A2817" t="s">
        <v>436</v>
      </c>
      <c r="B2817" t="s">
        <v>686</v>
      </c>
      <c r="C2817" t="str">
        <f t="shared" si="137"/>
        <v>19647330000000</v>
      </c>
      <c r="D2817" t="s">
        <v>4551</v>
      </c>
      <c r="E2817" t="str">
        <f>"19647330111971"</f>
        <v>19647330111971</v>
      </c>
      <c r="F2817" s="8">
        <v>2040</v>
      </c>
      <c r="G2817" s="8">
        <v>11353</v>
      </c>
      <c r="H2817" s="8">
        <v>904</v>
      </c>
      <c r="I2817" s="8">
        <v>1986</v>
      </c>
    </row>
    <row r="2818" spans="1:9" x14ac:dyDescent="0.2">
      <c r="A2818" t="s">
        <v>436</v>
      </c>
      <c r="B2818" t="s">
        <v>686</v>
      </c>
      <c r="C2818" t="str">
        <f t="shared" si="137"/>
        <v>19647330000000</v>
      </c>
      <c r="D2818" t="s">
        <v>4552</v>
      </c>
      <c r="E2818" t="str">
        <f>"19647336016380"</f>
        <v>19647336016380</v>
      </c>
      <c r="F2818" s="8">
        <v>1738</v>
      </c>
      <c r="G2818" s="8">
        <v>11646</v>
      </c>
      <c r="H2818" s="8">
        <v>904</v>
      </c>
      <c r="I2818" s="8">
        <v>1986</v>
      </c>
    </row>
    <row r="2819" spans="1:9" x14ac:dyDescent="0.2">
      <c r="A2819" t="s">
        <v>436</v>
      </c>
      <c r="B2819" t="s">
        <v>686</v>
      </c>
      <c r="C2819" t="str">
        <f t="shared" si="137"/>
        <v>19647330000000</v>
      </c>
      <c r="D2819" t="s">
        <v>4553</v>
      </c>
      <c r="E2819" t="str">
        <f>"19647330122176"</f>
        <v>19647330122176</v>
      </c>
      <c r="F2819" s="8">
        <v>2148</v>
      </c>
      <c r="G2819" s="8">
        <v>11147</v>
      </c>
      <c r="H2819" s="8">
        <v>911</v>
      </c>
      <c r="I2819" s="8">
        <v>2045</v>
      </c>
    </row>
    <row r="2820" spans="1:9" x14ac:dyDescent="0.2">
      <c r="A2820" t="s">
        <v>436</v>
      </c>
      <c r="B2820" t="s">
        <v>686</v>
      </c>
      <c r="C2820" t="str">
        <f t="shared" si="137"/>
        <v>19647330000000</v>
      </c>
      <c r="D2820" t="s">
        <v>4554</v>
      </c>
      <c r="E2820" t="str">
        <f>"19647336018667"</f>
        <v>19647336018667</v>
      </c>
      <c r="F2820" s="8">
        <v>1729</v>
      </c>
      <c r="G2820" s="8">
        <v>11553</v>
      </c>
      <c r="H2820" s="8">
        <v>919</v>
      </c>
      <c r="I2820" s="8">
        <v>2047</v>
      </c>
    </row>
    <row r="2821" spans="1:9" x14ac:dyDescent="0.2">
      <c r="A2821" t="s">
        <v>436</v>
      </c>
      <c r="B2821" t="s">
        <v>686</v>
      </c>
      <c r="C2821" t="str">
        <f t="shared" si="137"/>
        <v>19647330000000</v>
      </c>
      <c r="D2821" t="s">
        <v>4555</v>
      </c>
      <c r="E2821" t="str">
        <f>"19647336016646"</f>
        <v>19647336016646</v>
      </c>
      <c r="F2821" s="8">
        <v>1650</v>
      </c>
      <c r="G2821" s="8">
        <v>11526</v>
      </c>
      <c r="H2821" s="8">
        <v>948</v>
      </c>
      <c r="I2821" s="8">
        <v>2122</v>
      </c>
    </row>
    <row r="2822" spans="1:9" x14ac:dyDescent="0.2">
      <c r="A2822" t="s">
        <v>436</v>
      </c>
      <c r="B2822" t="s">
        <v>686</v>
      </c>
      <c r="C2822" t="str">
        <f t="shared" si="137"/>
        <v>19647330000000</v>
      </c>
      <c r="D2822" t="s">
        <v>4556</v>
      </c>
      <c r="E2822" t="str">
        <f>"19647336115794"</f>
        <v>19647336115794</v>
      </c>
      <c r="F2822" s="8">
        <v>1924</v>
      </c>
      <c r="G2822" s="8">
        <v>11431</v>
      </c>
      <c r="H2822" s="8">
        <v>904</v>
      </c>
      <c r="I2822" s="8">
        <v>1985</v>
      </c>
    </row>
    <row r="2823" spans="1:9" x14ac:dyDescent="0.2">
      <c r="A2823" t="s">
        <v>436</v>
      </c>
      <c r="B2823" t="s">
        <v>686</v>
      </c>
      <c r="C2823" t="str">
        <f t="shared" si="137"/>
        <v>19647330000000</v>
      </c>
      <c r="D2823" t="s">
        <v>4557</v>
      </c>
      <c r="E2823" t="str">
        <f>"19647331935352"</f>
        <v>19647331935352</v>
      </c>
      <c r="F2823" s="8">
        <v>1730</v>
      </c>
      <c r="G2823" s="8">
        <v>11481</v>
      </c>
      <c r="H2823" s="8">
        <v>939</v>
      </c>
      <c r="I2823" s="8">
        <v>2081</v>
      </c>
    </row>
    <row r="2824" spans="1:9" x14ac:dyDescent="0.2">
      <c r="A2824" t="s">
        <v>436</v>
      </c>
      <c r="B2824" t="s">
        <v>686</v>
      </c>
      <c r="C2824" t="str">
        <f t="shared" si="137"/>
        <v>19647330000000</v>
      </c>
      <c r="D2824" t="s">
        <v>4558</v>
      </c>
      <c r="E2824" t="str">
        <f>"19647336020002"</f>
        <v>19647336020002</v>
      </c>
      <c r="F2824" s="8">
        <v>1215</v>
      </c>
      <c r="G2824" s="8">
        <v>12047</v>
      </c>
      <c r="H2824" s="8">
        <v>921</v>
      </c>
      <c r="I2824" s="8">
        <v>2027</v>
      </c>
    </row>
    <row r="2825" spans="1:9" x14ac:dyDescent="0.2">
      <c r="A2825" t="s">
        <v>436</v>
      </c>
      <c r="B2825" t="s">
        <v>686</v>
      </c>
      <c r="C2825" t="str">
        <f t="shared" si="137"/>
        <v>19647330000000</v>
      </c>
      <c r="D2825" t="s">
        <v>4559</v>
      </c>
      <c r="E2825" t="str">
        <f>"19647330122184"</f>
        <v>19647330122184</v>
      </c>
      <c r="F2825" s="8">
        <v>2005</v>
      </c>
      <c r="G2825" s="8">
        <v>11273</v>
      </c>
      <c r="H2825" s="8">
        <v>918</v>
      </c>
      <c r="I2825" s="8">
        <v>2012</v>
      </c>
    </row>
    <row r="2826" spans="1:9" x14ac:dyDescent="0.2">
      <c r="A2826" t="s">
        <v>436</v>
      </c>
      <c r="B2826" t="s">
        <v>686</v>
      </c>
      <c r="C2826" t="str">
        <f t="shared" si="137"/>
        <v>19647330000000</v>
      </c>
      <c r="D2826" t="s">
        <v>4560</v>
      </c>
      <c r="E2826" t="str">
        <f>"19647336018337"</f>
        <v>19647336018337</v>
      </c>
      <c r="F2826" s="8">
        <v>1963</v>
      </c>
      <c r="G2826" s="8">
        <v>11230</v>
      </c>
      <c r="H2826" s="8">
        <v>924</v>
      </c>
      <c r="I2826" s="8">
        <v>2073</v>
      </c>
    </row>
    <row r="2827" spans="1:9" x14ac:dyDescent="0.2">
      <c r="A2827" t="s">
        <v>436</v>
      </c>
      <c r="B2827" t="s">
        <v>686</v>
      </c>
      <c r="C2827" t="str">
        <f t="shared" si="137"/>
        <v>19647330000000</v>
      </c>
      <c r="D2827" t="s">
        <v>4561</v>
      </c>
      <c r="E2827" t="str">
        <f>"19647336019319"</f>
        <v>19647336019319</v>
      </c>
      <c r="F2827" s="8">
        <v>1766</v>
      </c>
      <c r="G2827" s="8">
        <v>11480</v>
      </c>
      <c r="H2827" s="8">
        <v>920</v>
      </c>
      <c r="I2827" s="8">
        <v>2018</v>
      </c>
    </row>
    <row r="2828" spans="1:9" x14ac:dyDescent="0.2">
      <c r="A2828" t="s">
        <v>436</v>
      </c>
      <c r="B2828" t="s">
        <v>686</v>
      </c>
      <c r="C2828" t="str">
        <f t="shared" si="137"/>
        <v>19647330000000</v>
      </c>
      <c r="D2828" t="s">
        <v>4562</v>
      </c>
      <c r="E2828" t="str">
        <f>"19647336015929"</f>
        <v>19647336015929</v>
      </c>
      <c r="F2828" s="8">
        <v>1853</v>
      </c>
      <c r="G2828" s="8">
        <v>11313</v>
      </c>
      <c r="H2828" s="8">
        <v>936</v>
      </c>
      <c r="I2828" s="8">
        <v>2067</v>
      </c>
    </row>
    <row r="2829" spans="1:9" x14ac:dyDescent="0.2">
      <c r="A2829" t="s">
        <v>436</v>
      </c>
      <c r="B2829" t="s">
        <v>686</v>
      </c>
      <c r="C2829" t="str">
        <f t="shared" si="137"/>
        <v>19647330000000</v>
      </c>
      <c r="D2829" t="s">
        <v>4563</v>
      </c>
      <c r="E2829" t="str">
        <f>"19647336066278"</f>
        <v>19647336066278</v>
      </c>
      <c r="F2829" s="8">
        <v>1799</v>
      </c>
      <c r="G2829" s="8">
        <v>11407</v>
      </c>
      <c r="H2829" s="8">
        <v>911</v>
      </c>
      <c r="I2829" s="8">
        <v>2034</v>
      </c>
    </row>
    <row r="2830" spans="1:9" x14ac:dyDescent="0.2">
      <c r="A2830" t="s">
        <v>436</v>
      </c>
      <c r="B2830" t="s">
        <v>686</v>
      </c>
      <c r="C2830" t="str">
        <f t="shared" si="137"/>
        <v>19647330000000</v>
      </c>
      <c r="D2830" t="s">
        <v>4564</v>
      </c>
      <c r="E2830" t="str">
        <f>"19647336057913"</f>
        <v>19647336057913</v>
      </c>
      <c r="F2830" s="8">
        <v>1889</v>
      </c>
      <c r="G2830" s="8">
        <v>11318</v>
      </c>
      <c r="H2830" s="8">
        <v>919</v>
      </c>
      <c r="I2830" s="8">
        <v>2023</v>
      </c>
    </row>
    <row r="2831" spans="1:9" x14ac:dyDescent="0.2">
      <c r="A2831" t="s">
        <v>436</v>
      </c>
      <c r="B2831" t="s">
        <v>686</v>
      </c>
      <c r="C2831" t="str">
        <f t="shared" si="137"/>
        <v>19647330000000</v>
      </c>
      <c r="D2831" t="s">
        <v>4565</v>
      </c>
      <c r="E2831" t="str">
        <f>"19647336058002"</f>
        <v>19647336058002</v>
      </c>
      <c r="F2831" s="8">
        <v>2073</v>
      </c>
      <c r="G2831" s="8">
        <v>11074</v>
      </c>
      <c r="H2831" s="8">
        <v>926</v>
      </c>
      <c r="I2831" s="8">
        <v>2059</v>
      </c>
    </row>
    <row r="2832" spans="1:9" x14ac:dyDescent="0.2">
      <c r="A2832" t="s">
        <v>436</v>
      </c>
      <c r="B2832" t="s">
        <v>686</v>
      </c>
      <c r="C2832" t="str">
        <f t="shared" si="137"/>
        <v>19647330000000</v>
      </c>
      <c r="D2832" t="s">
        <v>4566</v>
      </c>
      <c r="E2832" t="str">
        <f>"19647336019053"</f>
        <v>19647336019053</v>
      </c>
      <c r="F2832" s="8">
        <v>1931</v>
      </c>
      <c r="G2832" s="8">
        <v>11197</v>
      </c>
      <c r="H2832" s="8">
        <v>938</v>
      </c>
      <c r="I2832" s="8">
        <v>2058</v>
      </c>
    </row>
    <row r="2833" spans="1:9" x14ac:dyDescent="0.2">
      <c r="A2833" t="s">
        <v>436</v>
      </c>
      <c r="B2833" t="s">
        <v>686</v>
      </c>
      <c r="C2833" t="str">
        <f t="shared" si="137"/>
        <v>19647330000000</v>
      </c>
      <c r="D2833" t="s">
        <v>4567</v>
      </c>
      <c r="E2833" t="str">
        <f>"19647336016406"</f>
        <v>19647336016406</v>
      </c>
      <c r="F2833" s="8">
        <v>2347</v>
      </c>
      <c r="G2833" s="8">
        <v>10824</v>
      </c>
      <c r="H2833" s="8">
        <v>920</v>
      </c>
      <c r="I2833" s="8">
        <v>2023</v>
      </c>
    </row>
    <row r="2834" spans="1:9" x14ac:dyDescent="0.2">
      <c r="A2834" t="s">
        <v>436</v>
      </c>
      <c r="B2834" t="s">
        <v>686</v>
      </c>
      <c r="C2834" t="str">
        <f t="shared" si="137"/>
        <v>19647330000000</v>
      </c>
      <c r="D2834" t="s">
        <v>4568</v>
      </c>
      <c r="E2834" t="str">
        <f>"19647336017990"</f>
        <v>19647336017990</v>
      </c>
      <c r="F2834" s="8">
        <v>2397</v>
      </c>
      <c r="G2834" s="8">
        <v>10704</v>
      </c>
      <c r="H2834" s="8">
        <v>920</v>
      </c>
      <c r="I2834" s="8">
        <v>2055</v>
      </c>
    </row>
    <row r="2835" spans="1:9" x14ac:dyDescent="0.2">
      <c r="A2835" t="s">
        <v>436</v>
      </c>
      <c r="B2835" t="s">
        <v>686</v>
      </c>
      <c r="C2835" t="str">
        <f t="shared" si="137"/>
        <v>19647330000000</v>
      </c>
      <c r="D2835" t="s">
        <v>4569</v>
      </c>
      <c r="E2835" t="str">
        <f>"19647336061576"</f>
        <v>19647336061576</v>
      </c>
      <c r="F2835" s="8">
        <v>1898</v>
      </c>
      <c r="G2835" s="8">
        <v>11209</v>
      </c>
      <c r="H2835" s="8">
        <v>922</v>
      </c>
      <c r="I2835" s="8">
        <v>2044</v>
      </c>
    </row>
    <row r="2836" spans="1:9" x14ac:dyDescent="0.2">
      <c r="A2836" t="s">
        <v>436</v>
      </c>
      <c r="B2836" t="s">
        <v>686</v>
      </c>
      <c r="C2836" t="str">
        <f t="shared" si="137"/>
        <v>19647330000000</v>
      </c>
      <c r="D2836" t="s">
        <v>4570</v>
      </c>
      <c r="E2836" t="str">
        <f>"19647336017263"</f>
        <v>19647336017263</v>
      </c>
      <c r="F2836" s="8">
        <v>2019</v>
      </c>
      <c r="G2836" s="8">
        <v>11117</v>
      </c>
      <c r="H2836" s="8">
        <v>919</v>
      </c>
      <c r="I2836" s="8">
        <v>2015</v>
      </c>
    </row>
    <row r="2837" spans="1:9" x14ac:dyDescent="0.2">
      <c r="A2837" t="s">
        <v>436</v>
      </c>
      <c r="B2837" t="s">
        <v>686</v>
      </c>
      <c r="C2837" t="str">
        <f t="shared" si="137"/>
        <v>19647330000000</v>
      </c>
      <c r="D2837" t="s">
        <v>4571</v>
      </c>
      <c r="E2837" t="str">
        <f>"19647336017651"</f>
        <v>19647336017651</v>
      </c>
      <c r="F2837" s="8">
        <v>2455</v>
      </c>
      <c r="G2837" s="8">
        <v>10634</v>
      </c>
      <c r="H2837" s="8">
        <v>919</v>
      </c>
      <c r="I2837" s="8">
        <v>2046</v>
      </c>
    </row>
    <row r="2838" spans="1:9" x14ac:dyDescent="0.2">
      <c r="A2838" t="s">
        <v>436</v>
      </c>
      <c r="B2838" t="s">
        <v>686</v>
      </c>
      <c r="C2838" t="str">
        <f t="shared" si="137"/>
        <v>19647330000000</v>
      </c>
      <c r="D2838" t="s">
        <v>4572</v>
      </c>
      <c r="E2838" t="str">
        <f>"19647336018287"</f>
        <v>19647336018287</v>
      </c>
      <c r="F2838" s="8">
        <v>1746</v>
      </c>
      <c r="G2838" s="8">
        <v>11372</v>
      </c>
      <c r="H2838" s="8">
        <v>919</v>
      </c>
      <c r="I2838" s="8">
        <v>2015</v>
      </c>
    </row>
    <row r="2839" spans="1:9" x14ac:dyDescent="0.2">
      <c r="A2839" t="s">
        <v>436</v>
      </c>
      <c r="B2839" t="s">
        <v>686</v>
      </c>
      <c r="C2839" t="str">
        <f t="shared" ref="C2839:C2902" si="138">"19647330000000"</f>
        <v>19647330000000</v>
      </c>
      <c r="D2839" t="s">
        <v>4573</v>
      </c>
      <c r="E2839" t="str">
        <f>"19647336016943"</f>
        <v>19647336016943</v>
      </c>
      <c r="F2839" s="8">
        <v>1595</v>
      </c>
      <c r="G2839" s="8">
        <v>11506</v>
      </c>
      <c r="H2839" s="8">
        <v>917</v>
      </c>
      <c r="I2839" s="8">
        <v>2023</v>
      </c>
    </row>
    <row r="2840" spans="1:9" x14ac:dyDescent="0.2">
      <c r="A2840" t="s">
        <v>436</v>
      </c>
      <c r="B2840" t="s">
        <v>686</v>
      </c>
      <c r="C2840" t="str">
        <f t="shared" si="138"/>
        <v>19647330000000</v>
      </c>
      <c r="D2840" t="s">
        <v>4574</v>
      </c>
      <c r="E2840" t="str">
        <f>"19647330106971"</f>
        <v>19647330106971</v>
      </c>
      <c r="F2840" s="8">
        <v>1626</v>
      </c>
      <c r="G2840" s="8">
        <v>11429</v>
      </c>
      <c r="H2840" s="8">
        <v>927</v>
      </c>
      <c r="I2840" s="8">
        <v>2057</v>
      </c>
    </row>
    <row r="2841" spans="1:9" x14ac:dyDescent="0.2">
      <c r="A2841" t="s">
        <v>436</v>
      </c>
      <c r="B2841" t="s">
        <v>686</v>
      </c>
      <c r="C2841" t="str">
        <f t="shared" si="138"/>
        <v>19647330000000</v>
      </c>
      <c r="D2841" t="s">
        <v>4575</v>
      </c>
      <c r="E2841" t="str">
        <f>"19647336018220"</f>
        <v>19647336018220</v>
      </c>
      <c r="F2841" s="8">
        <v>1664</v>
      </c>
      <c r="G2841" s="8">
        <v>11418</v>
      </c>
      <c r="H2841" s="8">
        <v>917</v>
      </c>
      <c r="I2841" s="8">
        <v>2039</v>
      </c>
    </row>
    <row r="2842" spans="1:9" x14ac:dyDescent="0.2">
      <c r="A2842" t="s">
        <v>436</v>
      </c>
      <c r="B2842" t="s">
        <v>686</v>
      </c>
      <c r="C2842" t="str">
        <f t="shared" si="138"/>
        <v>19647330000000</v>
      </c>
      <c r="D2842" t="s">
        <v>4576</v>
      </c>
      <c r="E2842" t="str">
        <f>"19647336017222"</f>
        <v>19647336017222</v>
      </c>
      <c r="F2842" s="8">
        <v>1724</v>
      </c>
      <c r="G2842" s="8">
        <v>11295</v>
      </c>
      <c r="H2842" s="8">
        <v>937</v>
      </c>
      <c r="I2842" s="8">
        <v>2079</v>
      </c>
    </row>
    <row r="2843" spans="1:9" x14ac:dyDescent="0.2">
      <c r="A2843" t="s">
        <v>436</v>
      </c>
      <c r="B2843" t="s">
        <v>686</v>
      </c>
      <c r="C2843" t="str">
        <f t="shared" si="138"/>
        <v>19647330000000</v>
      </c>
      <c r="D2843" t="s">
        <v>4577</v>
      </c>
      <c r="E2843" t="str">
        <f>"19647336019301"</f>
        <v>19647336019301</v>
      </c>
      <c r="F2843" s="8">
        <v>1464</v>
      </c>
      <c r="G2843" s="8">
        <v>11616</v>
      </c>
      <c r="H2843" s="8">
        <v>920</v>
      </c>
      <c r="I2843" s="8">
        <v>2024</v>
      </c>
    </row>
    <row r="2844" spans="1:9" x14ac:dyDescent="0.2">
      <c r="A2844" t="s">
        <v>436</v>
      </c>
      <c r="B2844" t="s">
        <v>686</v>
      </c>
      <c r="C2844" t="str">
        <f t="shared" si="138"/>
        <v>19647330000000</v>
      </c>
      <c r="D2844" t="s">
        <v>4578</v>
      </c>
      <c r="E2844" t="str">
        <f>"19647336018758"</f>
        <v>19647336018758</v>
      </c>
      <c r="F2844" s="8">
        <v>1864</v>
      </c>
      <c r="G2844" s="8">
        <v>11194</v>
      </c>
      <c r="H2844" s="8">
        <v>919</v>
      </c>
      <c r="I2844" s="8">
        <v>2013</v>
      </c>
    </row>
    <row r="2845" spans="1:9" x14ac:dyDescent="0.2">
      <c r="A2845" t="s">
        <v>436</v>
      </c>
      <c r="B2845" t="s">
        <v>686</v>
      </c>
      <c r="C2845" t="str">
        <f t="shared" si="138"/>
        <v>19647330000000</v>
      </c>
      <c r="D2845" t="s">
        <v>4579</v>
      </c>
      <c r="E2845" t="str">
        <f>"19647331931476"</f>
        <v>19647331931476</v>
      </c>
      <c r="F2845" s="8">
        <v>1597</v>
      </c>
      <c r="G2845" s="8">
        <v>11459</v>
      </c>
      <c r="H2845" s="8">
        <v>918</v>
      </c>
      <c r="I2845" s="8">
        <v>2013</v>
      </c>
    </row>
    <row r="2846" spans="1:9" x14ac:dyDescent="0.2">
      <c r="A2846" t="s">
        <v>436</v>
      </c>
      <c r="B2846" t="s">
        <v>686</v>
      </c>
      <c r="C2846" t="str">
        <f t="shared" si="138"/>
        <v>19647330000000</v>
      </c>
      <c r="D2846" t="s">
        <v>4580</v>
      </c>
      <c r="E2846" t="str">
        <f>"19647336017719"</f>
        <v>19647336017719</v>
      </c>
      <c r="F2846" s="8">
        <v>1080</v>
      </c>
      <c r="G2846" s="8">
        <v>11830</v>
      </c>
      <c r="H2846" s="8">
        <v>947</v>
      </c>
      <c r="I2846" s="8">
        <v>2116</v>
      </c>
    </row>
    <row r="2847" spans="1:9" x14ac:dyDescent="0.2">
      <c r="A2847" t="s">
        <v>436</v>
      </c>
      <c r="B2847" t="s">
        <v>686</v>
      </c>
      <c r="C2847" t="str">
        <f t="shared" si="138"/>
        <v>19647330000000</v>
      </c>
      <c r="D2847" t="s">
        <v>4581</v>
      </c>
      <c r="E2847" t="str">
        <f>"19647336018469"</f>
        <v>19647336018469</v>
      </c>
      <c r="F2847" s="8">
        <v>2612</v>
      </c>
      <c r="G2847" s="8">
        <v>10409</v>
      </c>
      <c r="H2847" s="8">
        <v>912</v>
      </c>
      <c r="I2847" s="8">
        <v>2037</v>
      </c>
    </row>
    <row r="2848" spans="1:9" x14ac:dyDescent="0.2">
      <c r="A2848" t="s">
        <v>436</v>
      </c>
      <c r="B2848" t="s">
        <v>686</v>
      </c>
      <c r="C2848" t="str">
        <f t="shared" si="138"/>
        <v>19647330000000</v>
      </c>
      <c r="D2848" t="s">
        <v>3685</v>
      </c>
      <c r="E2848" t="str">
        <f>"19647336057897"</f>
        <v>19647336057897</v>
      </c>
      <c r="F2848" s="8">
        <v>1653</v>
      </c>
      <c r="G2848" s="8">
        <v>11339</v>
      </c>
      <c r="H2848" s="8">
        <v>920</v>
      </c>
      <c r="I2848" s="8">
        <v>2048</v>
      </c>
    </row>
    <row r="2849" spans="1:9" x14ac:dyDescent="0.2">
      <c r="A2849" t="s">
        <v>436</v>
      </c>
      <c r="B2849" t="s">
        <v>686</v>
      </c>
      <c r="C2849" t="str">
        <f t="shared" si="138"/>
        <v>19647330000000</v>
      </c>
      <c r="D2849" t="s">
        <v>4582</v>
      </c>
      <c r="E2849" t="str">
        <f>"19647336018949"</f>
        <v>19647336018949</v>
      </c>
      <c r="F2849" s="8">
        <v>2018</v>
      </c>
      <c r="G2849" s="8">
        <v>10970</v>
      </c>
      <c r="H2849" s="8">
        <v>918</v>
      </c>
      <c r="I2849" s="8">
        <v>2043</v>
      </c>
    </row>
    <row r="2850" spans="1:9" x14ac:dyDescent="0.2">
      <c r="A2850" t="s">
        <v>436</v>
      </c>
      <c r="B2850" t="s">
        <v>686</v>
      </c>
      <c r="C2850" t="str">
        <f t="shared" si="138"/>
        <v>19647330000000</v>
      </c>
      <c r="D2850" t="s">
        <v>2683</v>
      </c>
      <c r="E2850" t="str">
        <f>"19647330126441"</f>
        <v>19647330126441</v>
      </c>
      <c r="F2850" s="8">
        <v>2736</v>
      </c>
      <c r="G2850" s="8">
        <v>10223</v>
      </c>
      <c r="H2850" s="8">
        <v>927</v>
      </c>
      <c r="I2850" s="8">
        <v>2061</v>
      </c>
    </row>
    <row r="2851" spans="1:9" x14ac:dyDescent="0.2">
      <c r="A2851" t="s">
        <v>436</v>
      </c>
      <c r="B2851" t="s">
        <v>686</v>
      </c>
      <c r="C2851" t="str">
        <f t="shared" si="138"/>
        <v>19647330000000</v>
      </c>
      <c r="D2851" t="s">
        <v>4583</v>
      </c>
      <c r="E2851" t="str">
        <f>"19647336058291"</f>
        <v>19647336058291</v>
      </c>
      <c r="F2851" s="8">
        <v>1837</v>
      </c>
      <c r="G2851" s="8">
        <v>11168</v>
      </c>
      <c r="H2851" s="8">
        <v>918</v>
      </c>
      <c r="I2851" s="8">
        <v>2012</v>
      </c>
    </row>
    <row r="2852" spans="1:9" x14ac:dyDescent="0.2">
      <c r="A2852" t="s">
        <v>436</v>
      </c>
      <c r="B2852" t="s">
        <v>686</v>
      </c>
      <c r="C2852" t="str">
        <f t="shared" si="138"/>
        <v>19647330000000</v>
      </c>
      <c r="D2852" t="s">
        <v>4584</v>
      </c>
      <c r="E2852" t="str">
        <f>"19647330112870"</f>
        <v>19647330112870</v>
      </c>
      <c r="F2852" s="8">
        <v>1843</v>
      </c>
      <c r="G2852" s="8">
        <v>11077</v>
      </c>
      <c r="H2852" s="8">
        <v>938</v>
      </c>
      <c r="I2852" s="8">
        <v>2074</v>
      </c>
    </row>
    <row r="2853" spans="1:9" x14ac:dyDescent="0.2">
      <c r="A2853" t="s">
        <v>436</v>
      </c>
      <c r="B2853" t="s">
        <v>686</v>
      </c>
      <c r="C2853" t="str">
        <f t="shared" si="138"/>
        <v>19647330000000</v>
      </c>
      <c r="D2853" t="s">
        <v>4585</v>
      </c>
      <c r="E2853" t="str">
        <f>"19647331931682"</f>
        <v>19647331931682</v>
      </c>
      <c r="F2853" s="8">
        <v>1511</v>
      </c>
      <c r="G2853" s="8">
        <v>11479</v>
      </c>
      <c r="H2853" s="8">
        <v>920</v>
      </c>
      <c r="I2853" s="8">
        <v>2019</v>
      </c>
    </row>
    <row r="2854" spans="1:9" x14ac:dyDescent="0.2">
      <c r="A2854" t="s">
        <v>436</v>
      </c>
      <c r="B2854" t="s">
        <v>686</v>
      </c>
      <c r="C2854" t="str">
        <f t="shared" si="138"/>
        <v>19647330000000</v>
      </c>
      <c r="D2854" t="s">
        <v>2517</v>
      </c>
      <c r="E2854" t="str">
        <f>"19647336017925"</f>
        <v>19647336017925</v>
      </c>
      <c r="F2854" s="8">
        <v>1878</v>
      </c>
      <c r="G2854" s="8">
        <v>11066</v>
      </c>
      <c r="H2854" s="8">
        <v>919</v>
      </c>
      <c r="I2854" s="8">
        <v>2044</v>
      </c>
    </row>
    <row r="2855" spans="1:9" x14ac:dyDescent="0.2">
      <c r="A2855" t="s">
        <v>436</v>
      </c>
      <c r="B2855" t="s">
        <v>686</v>
      </c>
      <c r="C2855" t="str">
        <f t="shared" si="138"/>
        <v>19647330000000</v>
      </c>
      <c r="D2855" t="s">
        <v>4586</v>
      </c>
      <c r="E2855" t="str">
        <f>"19647336110977"</f>
        <v>19647336110977</v>
      </c>
      <c r="F2855" s="8">
        <v>1861</v>
      </c>
      <c r="G2855" s="8">
        <v>11077</v>
      </c>
      <c r="H2855" s="8">
        <v>919</v>
      </c>
      <c r="I2855" s="8">
        <v>2043</v>
      </c>
    </row>
    <row r="2856" spans="1:9" x14ac:dyDescent="0.2">
      <c r="A2856" t="s">
        <v>436</v>
      </c>
      <c r="B2856" t="s">
        <v>686</v>
      </c>
      <c r="C2856" t="str">
        <f t="shared" si="138"/>
        <v>19647330000000</v>
      </c>
      <c r="D2856" t="s">
        <v>4587</v>
      </c>
      <c r="E2856" t="str">
        <f>"19647336019566"</f>
        <v>19647336019566</v>
      </c>
      <c r="F2856" s="8">
        <v>1871</v>
      </c>
      <c r="G2856" s="8">
        <v>11091</v>
      </c>
      <c r="H2856" s="8">
        <v>917</v>
      </c>
      <c r="I2856" s="8">
        <v>2012</v>
      </c>
    </row>
    <row r="2857" spans="1:9" x14ac:dyDescent="0.2">
      <c r="A2857" t="s">
        <v>436</v>
      </c>
      <c r="B2857" t="s">
        <v>686</v>
      </c>
      <c r="C2857" t="str">
        <f t="shared" si="138"/>
        <v>19647330000000</v>
      </c>
      <c r="D2857" t="s">
        <v>4588</v>
      </c>
      <c r="E2857" t="str">
        <f>"19647336017628"</f>
        <v>19647336017628</v>
      </c>
      <c r="F2857" s="8">
        <v>2828</v>
      </c>
      <c r="G2857" s="8">
        <v>10164</v>
      </c>
      <c r="H2857" s="8">
        <v>904</v>
      </c>
      <c r="I2857" s="8">
        <v>1985</v>
      </c>
    </row>
    <row r="2858" spans="1:9" x14ac:dyDescent="0.2">
      <c r="A2858" t="s">
        <v>436</v>
      </c>
      <c r="B2858" t="s">
        <v>686</v>
      </c>
      <c r="C2858" t="str">
        <f t="shared" si="138"/>
        <v>19647330000000</v>
      </c>
      <c r="D2858" t="s">
        <v>4589</v>
      </c>
      <c r="E2858" t="str">
        <f>"19647330122200"</f>
        <v>19647330122200</v>
      </c>
      <c r="F2858" s="8">
        <v>1965</v>
      </c>
      <c r="G2858" s="8">
        <v>10946</v>
      </c>
      <c r="H2858" s="8">
        <v>918</v>
      </c>
      <c r="I2858" s="8">
        <v>2044</v>
      </c>
    </row>
    <row r="2859" spans="1:9" x14ac:dyDescent="0.2">
      <c r="A2859" t="s">
        <v>436</v>
      </c>
      <c r="B2859" t="s">
        <v>686</v>
      </c>
      <c r="C2859" t="str">
        <f t="shared" si="138"/>
        <v>19647330000000</v>
      </c>
      <c r="D2859" t="s">
        <v>4590</v>
      </c>
      <c r="E2859" t="str">
        <f>"19647331937622"</f>
        <v>19647331937622</v>
      </c>
      <c r="F2859" s="8">
        <v>2186</v>
      </c>
      <c r="G2859" s="8">
        <v>10709</v>
      </c>
      <c r="H2859" s="8">
        <v>917</v>
      </c>
      <c r="I2859" s="8">
        <v>2040</v>
      </c>
    </row>
    <row r="2860" spans="1:9" x14ac:dyDescent="0.2">
      <c r="A2860" t="s">
        <v>436</v>
      </c>
      <c r="B2860" t="s">
        <v>686</v>
      </c>
      <c r="C2860" t="str">
        <f t="shared" si="138"/>
        <v>19647330000000</v>
      </c>
      <c r="D2860" t="s">
        <v>4591</v>
      </c>
      <c r="E2860" t="str">
        <f>"19647331939107"</f>
        <v>19647331939107</v>
      </c>
      <c r="F2860" s="8">
        <v>1633</v>
      </c>
      <c r="G2860" s="8">
        <v>11194</v>
      </c>
      <c r="H2860" s="8">
        <v>937</v>
      </c>
      <c r="I2860" s="8">
        <v>2081</v>
      </c>
    </row>
    <row r="2861" spans="1:9" x14ac:dyDescent="0.2">
      <c r="A2861" t="s">
        <v>436</v>
      </c>
      <c r="B2861" t="s">
        <v>686</v>
      </c>
      <c r="C2861" t="str">
        <f t="shared" si="138"/>
        <v>19647330000000</v>
      </c>
      <c r="D2861" t="s">
        <v>4592</v>
      </c>
      <c r="E2861" t="str">
        <f>"19647336019954"</f>
        <v>19647336019954</v>
      </c>
      <c r="F2861" s="8">
        <v>1319</v>
      </c>
      <c r="G2861" s="8">
        <v>11580</v>
      </c>
      <c r="H2861" s="8">
        <v>917</v>
      </c>
      <c r="I2861" s="8">
        <v>2010</v>
      </c>
    </row>
    <row r="2862" spans="1:9" x14ac:dyDescent="0.2">
      <c r="A2862" t="s">
        <v>436</v>
      </c>
      <c r="B2862" t="s">
        <v>686</v>
      </c>
      <c r="C2862" t="str">
        <f t="shared" si="138"/>
        <v>19647330000000</v>
      </c>
      <c r="D2862" t="s">
        <v>4593</v>
      </c>
      <c r="E2862" t="str">
        <f>"19647336017495"</f>
        <v>19647336017495</v>
      </c>
      <c r="F2862" s="8">
        <v>2150</v>
      </c>
      <c r="G2862" s="8">
        <v>10714</v>
      </c>
      <c r="H2862" s="8">
        <v>918</v>
      </c>
      <c r="I2862" s="8">
        <v>2013</v>
      </c>
    </row>
    <row r="2863" spans="1:9" x14ac:dyDescent="0.2">
      <c r="A2863" t="s">
        <v>436</v>
      </c>
      <c r="B2863" t="s">
        <v>686</v>
      </c>
      <c r="C2863" t="str">
        <f t="shared" si="138"/>
        <v>19647330000000</v>
      </c>
      <c r="D2863" t="s">
        <v>4594</v>
      </c>
      <c r="E2863" t="str">
        <f>"19647331930551"</f>
        <v>19647331930551</v>
      </c>
      <c r="F2863" s="8">
        <v>1976</v>
      </c>
      <c r="G2863" s="8">
        <v>10809</v>
      </c>
      <c r="H2863" s="8">
        <v>917</v>
      </c>
      <c r="I2863" s="8">
        <v>2035</v>
      </c>
    </row>
    <row r="2864" spans="1:9" x14ac:dyDescent="0.2">
      <c r="A2864" t="s">
        <v>436</v>
      </c>
      <c r="B2864" t="s">
        <v>686</v>
      </c>
      <c r="C2864" t="str">
        <f t="shared" si="138"/>
        <v>19647330000000</v>
      </c>
      <c r="D2864" t="s">
        <v>4595</v>
      </c>
      <c r="E2864" t="str">
        <f>"19647336019905"</f>
        <v>19647336019905</v>
      </c>
      <c r="F2864" s="8">
        <v>1615</v>
      </c>
      <c r="G2864" s="8">
        <v>11082</v>
      </c>
      <c r="H2864" s="8">
        <v>939</v>
      </c>
      <c r="I2864" s="8">
        <v>2083</v>
      </c>
    </row>
    <row r="2865" spans="1:9" x14ac:dyDescent="0.2">
      <c r="A2865" t="s">
        <v>436</v>
      </c>
      <c r="B2865" t="s">
        <v>686</v>
      </c>
      <c r="C2865" t="str">
        <f t="shared" si="138"/>
        <v>19647330000000</v>
      </c>
      <c r="D2865" t="s">
        <v>4596</v>
      </c>
      <c r="E2865" t="str">
        <f>"19647336017503"</f>
        <v>19647336017503</v>
      </c>
      <c r="F2865" s="8">
        <v>2042</v>
      </c>
      <c r="G2865" s="8">
        <v>10735</v>
      </c>
      <c r="H2865" s="8">
        <v>918</v>
      </c>
      <c r="I2865" s="8">
        <v>2014</v>
      </c>
    </row>
    <row r="2866" spans="1:9" x14ac:dyDescent="0.2">
      <c r="A2866" t="s">
        <v>436</v>
      </c>
      <c r="B2866" t="s">
        <v>686</v>
      </c>
      <c r="C2866" t="str">
        <f t="shared" si="138"/>
        <v>19647330000000</v>
      </c>
      <c r="D2866" t="s">
        <v>4597</v>
      </c>
      <c r="E2866" t="str">
        <f>"19647330117762"</f>
        <v>19647330117762</v>
      </c>
      <c r="F2866" s="8">
        <v>2667</v>
      </c>
      <c r="G2866" s="8">
        <v>10076</v>
      </c>
      <c r="H2866" s="8">
        <v>918</v>
      </c>
      <c r="I2866" s="8">
        <v>2048</v>
      </c>
    </row>
    <row r="2867" spans="1:9" x14ac:dyDescent="0.2">
      <c r="A2867" t="s">
        <v>436</v>
      </c>
      <c r="B2867" t="s">
        <v>686</v>
      </c>
      <c r="C2867" t="str">
        <f t="shared" si="138"/>
        <v>19647330000000</v>
      </c>
      <c r="D2867" t="s">
        <v>4598</v>
      </c>
      <c r="E2867" t="str">
        <f>"19647330122408"</f>
        <v>19647330122408</v>
      </c>
      <c r="F2867" s="8">
        <v>1252</v>
      </c>
      <c r="G2867" s="8">
        <v>11511</v>
      </c>
      <c r="H2867" s="8">
        <v>915</v>
      </c>
      <c r="I2867" s="8">
        <v>2026</v>
      </c>
    </row>
    <row r="2868" spans="1:9" x14ac:dyDescent="0.2">
      <c r="A2868" t="s">
        <v>436</v>
      </c>
      <c r="B2868" t="s">
        <v>686</v>
      </c>
      <c r="C2868" t="str">
        <f t="shared" si="138"/>
        <v>19647330000000</v>
      </c>
      <c r="D2868" t="s">
        <v>4599</v>
      </c>
      <c r="E2868" t="str">
        <f>"19647336018063"</f>
        <v>19647336018063</v>
      </c>
      <c r="F2868" s="8">
        <v>1414</v>
      </c>
      <c r="G2868" s="8">
        <v>11285</v>
      </c>
      <c r="H2868" s="8">
        <v>939</v>
      </c>
      <c r="I2868" s="8">
        <v>2065</v>
      </c>
    </row>
    <row r="2869" spans="1:9" x14ac:dyDescent="0.2">
      <c r="A2869" t="s">
        <v>436</v>
      </c>
      <c r="B2869" t="s">
        <v>686</v>
      </c>
      <c r="C2869" t="str">
        <f t="shared" si="138"/>
        <v>19647330000000</v>
      </c>
      <c r="D2869" t="s">
        <v>4600</v>
      </c>
      <c r="E2869" t="str">
        <f>"19647336058333"</f>
        <v>19647336058333</v>
      </c>
      <c r="F2869" s="8">
        <v>2597</v>
      </c>
      <c r="G2869" s="8">
        <v>10168</v>
      </c>
      <c r="H2869" s="8">
        <v>916</v>
      </c>
      <c r="I2869" s="8">
        <v>2017</v>
      </c>
    </row>
    <row r="2870" spans="1:9" x14ac:dyDescent="0.2">
      <c r="A2870" t="s">
        <v>436</v>
      </c>
      <c r="B2870" t="s">
        <v>686</v>
      </c>
      <c r="C2870" t="str">
        <f t="shared" si="138"/>
        <v>19647330000000</v>
      </c>
      <c r="D2870" t="s">
        <v>3560</v>
      </c>
      <c r="E2870" t="str">
        <f>"19647330126409"</f>
        <v>19647330126409</v>
      </c>
      <c r="F2870" s="8">
        <v>1965</v>
      </c>
      <c r="G2870" s="8">
        <v>10779</v>
      </c>
      <c r="H2870" s="8">
        <v>916</v>
      </c>
      <c r="I2870" s="8">
        <v>2035</v>
      </c>
    </row>
    <row r="2871" spans="1:9" x14ac:dyDescent="0.2">
      <c r="A2871" t="s">
        <v>436</v>
      </c>
      <c r="B2871" t="s">
        <v>686</v>
      </c>
      <c r="C2871" t="str">
        <f t="shared" si="138"/>
        <v>19647330000000</v>
      </c>
      <c r="D2871" t="s">
        <v>2299</v>
      </c>
      <c r="E2871" t="str">
        <f>"19647336110969"</f>
        <v>19647336110969</v>
      </c>
      <c r="F2871" s="8">
        <v>2190</v>
      </c>
      <c r="G2871" s="8">
        <v>10469</v>
      </c>
      <c r="H2871" s="8">
        <v>942</v>
      </c>
      <c r="I2871" s="8">
        <v>2086</v>
      </c>
    </row>
    <row r="2872" spans="1:9" x14ac:dyDescent="0.2">
      <c r="A2872" t="s">
        <v>436</v>
      </c>
      <c r="B2872" t="s">
        <v>686</v>
      </c>
      <c r="C2872" t="str">
        <f t="shared" si="138"/>
        <v>19647330000000</v>
      </c>
      <c r="D2872" t="s">
        <v>4601</v>
      </c>
      <c r="E2872" t="str">
        <f>"19647331933118"</f>
        <v>19647331933118</v>
      </c>
      <c r="F2872" s="8">
        <v>2113</v>
      </c>
      <c r="G2872" s="8">
        <v>10622</v>
      </c>
      <c r="H2872" s="8">
        <v>912</v>
      </c>
      <c r="I2872" s="8">
        <v>2037</v>
      </c>
    </row>
    <row r="2873" spans="1:9" x14ac:dyDescent="0.2">
      <c r="A2873" t="s">
        <v>436</v>
      </c>
      <c r="B2873" t="s">
        <v>686</v>
      </c>
      <c r="C2873" t="str">
        <f t="shared" si="138"/>
        <v>19647330000000</v>
      </c>
      <c r="D2873" t="s">
        <v>4602</v>
      </c>
      <c r="E2873" t="str">
        <f>"19647331931708"</f>
        <v>19647331931708</v>
      </c>
      <c r="F2873" s="8">
        <v>1661</v>
      </c>
      <c r="G2873" s="8">
        <v>11089</v>
      </c>
      <c r="H2873" s="8">
        <v>918</v>
      </c>
      <c r="I2873" s="8">
        <v>2008</v>
      </c>
    </row>
    <row r="2874" spans="1:9" x14ac:dyDescent="0.2">
      <c r="A2874" t="s">
        <v>436</v>
      </c>
      <c r="B2874" t="s">
        <v>686</v>
      </c>
      <c r="C2874" t="str">
        <f t="shared" si="138"/>
        <v>19647330000000</v>
      </c>
      <c r="D2874" t="s">
        <v>4603</v>
      </c>
      <c r="E2874" t="str">
        <f>"19647336061550"</f>
        <v>19647336061550</v>
      </c>
      <c r="F2874" s="8">
        <v>1517</v>
      </c>
      <c r="G2874" s="8">
        <v>11200</v>
      </c>
      <c r="H2874" s="8">
        <v>917</v>
      </c>
      <c r="I2874" s="8">
        <v>2042</v>
      </c>
    </row>
    <row r="2875" spans="1:9" x14ac:dyDescent="0.2">
      <c r="A2875" t="s">
        <v>436</v>
      </c>
      <c r="B2875" t="s">
        <v>686</v>
      </c>
      <c r="C2875" t="str">
        <f t="shared" si="138"/>
        <v>19647330000000</v>
      </c>
      <c r="D2875" t="s">
        <v>4604</v>
      </c>
      <c r="E2875" t="str">
        <f>"19647336019004"</f>
        <v>19647336019004</v>
      </c>
      <c r="F2875" s="8">
        <v>1839</v>
      </c>
      <c r="G2875" s="8">
        <v>10876</v>
      </c>
      <c r="H2875" s="8">
        <v>911</v>
      </c>
      <c r="I2875" s="8">
        <v>2042</v>
      </c>
    </row>
    <row r="2876" spans="1:9" x14ac:dyDescent="0.2">
      <c r="A2876" t="s">
        <v>436</v>
      </c>
      <c r="B2876" t="s">
        <v>686</v>
      </c>
      <c r="C2876" t="str">
        <f t="shared" si="138"/>
        <v>19647330000000</v>
      </c>
      <c r="D2876" t="s">
        <v>4605</v>
      </c>
      <c r="E2876" t="str">
        <f>"19647336019616"</f>
        <v>19647336019616</v>
      </c>
      <c r="F2876" s="8">
        <v>1576</v>
      </c>
      <c r="G2876" s="8">
        <v>11140</v>
      </c>
      <c r="H2876" s="8">
        <v>919</v>
      </c>
      <c r="I2876" s="8">
        <v>2021</v>
      </c>
    </row>
    <row r="2877" spans="1:9" x14ac:dyDescent="0.2">
      <c r="A2877" t="s">
        <v>436</v>
      </c>
      <c r="B2877" t="s">
        <v>686</v>
      </c>
      <c r="C2877" t="str">
        <f t="shared" si="138"/>
        <v>19647330000000</v>
      </c>
      <c r="D2877" t="s">
        <v>4606</v>
      </c>
      <c r="E2877" t="str">
        <f>"19647336017883"</f>
        <v>19647336017883</v>
      </c>
      <c r="F2877" s="8">
        <v>2260</v>
      </c>
      <c r="G2877" s="8">
        <v>10448</v>
      </c>
      <c r="H2877" s="8">
        <v>920</v>
      </c>
      <c r="I2877" s="8">
        <v>2025</v>
      </c>
    </row>
    <row r="2878" spans="1:9" x14ac:dyDescent="0.2">
      <c r="A2878" t="s">
        <v>436</v>
      </c>
      <c r="B2878" t="s">
        <v>686</v>
      </c>
      <c r="C2878" t="str">
        <f t="shared" si="138"/>
        <v>19647330000000</v>
      </c>
      <c r="D2878" t="s">
        <v>4607</v>
      </c>
      <c r="E2878" t="str">
        <f>"19647336016281"</f>
        <v>19647336016281</v>
      </c>
      <c r="F2878" s="8">
        <v>1357</v>
      </c>
      <c r="G2878" s="8">
        <v>11271</v>
      </c>
      <c r="H2878" s="8">
        <v>937</v>
      </c>
      <c r="I2878" s="8">
        <v>2072</v>
      </c>
    </row>
    <row r="2879" spans="1:9" x14ac:dyDescent="0.2">
      <c r="A2879" t="s">
        <v>436</v>
      </c>
      <c r="B2879" t="s">
        <v>686</v>
      </c>
      <c r="C2879" t="str">
        <f t="shared" si="138"/>
        <v>19647330000000</v>
      </c>
      <c r="D2879" t="s">
        <v>4608</v>
      </c>
      <c r="E2879" t="str">
        <f>"19647336019723"</f>
        <v>19647336019723</v>
      </c>
      <c r="F2879" s="8">
        <v>1758</v>
      </c>
      <c r="G2879" s="8">
        <v>10933</v>
      </c>
      <c r="H2879" s="8">
        <v>919</v>
      </c>
      <c r="I2879" s="8">
        <v>2013</v>
      </c>
    </row>
    <row r="2880" spans="1:9" x14ac:dyDescent="0.2">
      <c r="A2880" t="s">
        <v>436</v>
      </c>
      <c r="B2880" t="s">
        <v>686</v>
      </c>
      <c r="C2880" t="str">
        <f t="shared" si="138"/>
        <v>19647330000000</v>
      </c>
      <c r="D2880" t="s">
        <v>4609</v>
      </c>
      <c r="E2880" t="str">
        <f>"19647336019889"</f>
        <v>19647336019889</v>
      </c>
      <c r="F2880" s="8">
        <v>1646</v>
      </c>
      <c r="G2880" s="8">
        <v>10964</v>
      </c>
      <c r="H2880" s="8">
        <v>939</v>
      </c>
      <c r="I2880" s="8">
        <v>2061</v>
      </c>
    </row>
    <row r="2881" spans="1:9" x14ac:dyDescent="0.2">
      <c r="A2881" t="s">
        <v>436</v>
      </c>
      <c r="B2881" t="s">
        <v>686</v>
      </c>
      <c r="C2881" t="str">
        <f t="shared" si="138"/>
        <v>19647330000000</v>
      </c>
      <c r="D2881" t="s">
        <v>4610</v>
      </c>
      <c r="E2881" t="str">
        <f>"19647336107411"</f>
        <v>19647336107411</v>
      </c>
      <c r="F2881" s="8">
        <v>1727</v>
      </c>
      <c r="G2881" s="8">
        <v>10920</v>
      </c>
      <c r="H2881" s="8">
        <v>918</v>
      </c>
      <c r="I2881" s="8">
        <v>2041</v>
      </c>
    </row>
    <row r="2882" spans="1:9" x14ac:dyDescent="0.2">
      <c r="A2882" t="s">
        <v>436</v>
      </c>
      <c r="B2882" t="s">
        <v>686</v>
      </c>
      <c r="C2882" t="str">
        <f t="shared" si="138"/>
        <v>19647330000000</v>
      </c>
      <c r="D2882" t="s">
        <v>4611</v>
      </c>
      <c r="E2882" t="str">
        <f>"19647336019871"</f>
        <v>19647336019871</v>
      </c>
      <c r="F2882" s="8">
        <v>2095</v>
      </c>
      <c r="G2882" s="8">
        <v>10490</v>
      </c>
      <c r="H2882" s="8">
        <v>935</v>
      </c>
      <c r="I2882" s="8">
        <v>2073</v>
      </c>
    </row>
    <row r="2883" spans="1:9" x14ac:dyDescent="0.2">
      <c r="A2883" t="s">
        <v>436</v>
      </c>
      <c r="B2883" t="s">
        <v>686</v>
      </c>
      <c r="C2883" t="str">
        <f t="shared" si="138"/>
        <v>19647330000000</v>
      </c>
      <c r="D2883" t="s">
        <v>4612</v>
      </c>
      <c r="E2883" t="str">
        <f>"19647336019533"</f>
        <v>19647336019533</v>
      </c>
      <c r="F2883" s="8">
        <v>974</v>
      </c>
      <c r="G2883" s="8">
        <v>11683</v>
      </c>
      <c r="H2883" s="8">
        <v>919</v>
      </c>
      <c r="I2883" s="8">
        <v>2016</v>
      </c>
    </row>
    <row r="2884" spans="1:9" x14ac:dyDescent="0.2">
      <c r="A2884" t="s">
        <v>436</v>
      </c>
      <c r="B2884" t="s">
        <v>686</v>
      </c>
      <c r="C2884" t="str">
        <f t="shared" si="138"/>
        <v>19647330000000</v>
      </c>
      <c r="D2884" t="s">
        <v>4613</v>
      </c>
      <c r="E2884" t="str">
        <f>"19647336016315"</f>
        <v>19647336016315</v>
      </c>
      <c r="F2884" s="8">
        <v>1891</v>
      </c>
      <c r="G2884" s="8">
        <v>10759</v>
      </c>
      <c r="H2884" s="8">
        <v>918</v>
      </c>
      <c r="I2884" s="8">
        <v>2011</v>
      </c>
    </row>
    <row r="2885" spans="1:9" x14ac:dyDescent="0.2">
      <c r="A2885" t="s">
        <v>436</v>
      </c>
      <c r="B2885" t="s">
        <v>686</v>
      </c>
      <c r="C2885" t="str">
        <f t="shared" si="138"/>
        <v>19647330000000</v>
      </c>
      <c r="D2885" t="s">
        <v>2427</v>
      </c>
      <c r="E2885" t="str">
        <f>"19647336019327"</f>
        <v>19647336019327</v>
      </c>
      <c r="F2885" s="8">
        <v>2416</v>
      </c>
      <c r="G2885" s="8">
        <v>10212</v>
      </c>
      <c r="H2885" s="8">
        <v>916</v>
      </c>
      <c r="I2885" s="8">
        <v>2030</v>
      </c>
    </row>
    <row r="2886" spans="1:9" x14ac:dyDescent="0.2">
      <c r="A2886" t="s">
        <v>436</v>
      </c>
      <c r="B2886" t="s">
        <v>686</v>
      </c>
      <c r="C2886" t="str">
        <f t="shared" si="138"/>
        <v>19647330000000</v>
      </c>
      <c r="D2886" t="s">
        <v>4614</v>
      </c>
      <c r="E2886" t="str">
        <f>"19647336017636"</f>
        <v>19647336017636</v>
      </c>
      <c r="F2886" s="8">
        <v>2022</v>
      </c>
      <c r="G2886" s="8">
        <v>10565</v>
      </c>
      <c r="H2886" s="8">
        <v>918</v>
      </c>
      <c r="I2886" s="8">
        <v>2050</v>
      </c>
    </row>
    <row r="2887" spans="1:9" x14ac:dyDescent="0.2">
      <c r="A2887" t="s">
        <v>436</v>
      </c>
      <c r="B2887" t="s">
        <v>686</v>
      </c>
      <c r="C2887" t="str">
        <f t="shared" si="138"/>
        <v>19647330000000</v>
      </c>
      <c r="D2887" t="s">
        <v>4615</v>
      </c>
      <c r="E2887" t="str">
        <f>"19647331934157"</f>
        <v>19647331934157</v>
      </c>
      <c r="F2887" s="8">
        <v>1755</v>
      </c>
      <c r="G2887" s="8">
        <v>10830</v>
      </c>
      <c r="H2887" s="8">
        <v>918</v>
      </c>
      <c r="I2887" s="8">
        <v>2044</v>
      </c>
    </row>
    <row r="2888" spans="1:9" x14ac:dyDescent="0.2">
      <c r="A2888" t="s">
        <v>436</v>
      </c>
      <c r="B2888" t="s">
        <v>686</v>
      </c>
      <c r="C2888" t="str">
        <f t="shared" si="138"/>
        <v>19647330000000</v>
      </c>
      <c r="D2888" t="s">
        <v>4616</v>
      </c>
      <c r="E2888" t="str">
        <f>"19647330124479"</f>
        <v>19647330124479</v>
      </c>
      <c r="F2888" s="8">
        <v>2290</v>
      </c>
      <c r="G2888" s="8">
        <v>10368</v>
      </c>
      <c r="H2888" s="8">
        <v>904</v>
      </c>
      <c r="I2888" s="8">
        <v>1984</v>
      </c>
    </row>
    <row r="2889" spans="1:9" x14ac:dyDescent="0.2">
      <c r="A2889" t="s">
        <v>436</v>
      </c>
      <c r="B2889" t="s">
        <v>686</v>
      </c>
      <c r="C2889" t="str">
        <f t="shared" si="138"/>
        <v>19647330000000</v>
      </c>
      <c r="D2889" t="s">
        <v>4617</v>
      </c>
      <c r="E2889" t="str">
        <f>"19647330111989"</f>
        <v>19647330111989</v>
      </c>
      <c r="F2889" s="8">
        <v>2040</v>
      </c>
      <c r="G2889" s="8">
        <v>10529</v>
      </c>
      <c r="H2889" s="8">
        <v>918</v>
      </c>
      <c r="I2889" s="8">
        <v>2048</v>
      </c>
    </row>
    <row r="2890" spans="1:9" x14ac:dyDescent="0.2">
      <c r="A2890" t="s">
        <v>436</v>
      </c>
      <c r="B2890" t="s">
        <v>686</v>
      </c>
      <c r="C2890" t="str">
        <f t="shared" si="138"/>
        <v>19647330000000</v>
      </c>
      <c r="D2890" t="s">
        <v>4618</v>
      </c>
      <c r="E2890" t="str">
        <f>"19647336016950"</f>
        <v>19647336016950</v>
      </c>
      <c r="F2890" s="8">
        <v>2220</v>
      </c>
      <c r="G2890" s="8">
        <v>10347</v>
      </c>
      <c r="H2890" s="8">
        <v>925</v>
      </c>
      <c r="I2890" s="8">
        <v>2043</v>
      </c>
    </row>
    <row r="2891" spans="1:9" x14ac:dyDescent="0.2">
      <c r="A2891" t="s">
        <v>436</v>
      </c>
      <c r="B2891" t="s">
        <v>686</v>
      </c>
      <c r="C2891" t="str">
        <f t="shared" si="138"/>
        <v>19647330000000</v>
      </c>
      <c r="D2891" t="s">
        <v>4619</v>
      </c>
      <c r="E2891" t="str">
        <f>"19647330117747"</f>
        <v>19647330117747</v>
      </c>
      <c r="F2891" s="8">
        <v>2475</v>
      </c>
      <c r="G2891" s="8">
        <v>10091</v>
      </c>
      <c r="H2891" s="8">
        <v>918</v>
      </c>
      <c r="I2891" s="8">
        <v>2050</v>
      </c>
    </row>
    <row r="2892" spans="1:9" x14ac:dyDescent="0.2">
      <c r="A2892" t="s">
        <v>436</v>
      </c>
      <c r="B2892" t="s">
        <v>686</v>
      </c>
      <c r="C2892" t="str">
        <f t="shared" si="138"/>
        <v>19647330000000</v>
      </c>
      <c r="D2892" t="s">
        <v>4620</v>
      </c>
      <c r="E2892" t="str">
        <f>"19647336017214"</f>
        <v>19647336017214</v>
      </c>
      <c r="F2892" s="8">
        <v>2296</v>
      </c>
      <c r="G2892" s="8">
        <v>10248</v>
      </c>
      <c r="H2892" s="8">
        <v>923</v>
      </c>
      <c r="I2892" s="8">
        <v>2042</v>
      </c>
    </row>
    <row r="2893" spans="1:9" x14ac:dyDescent="0.2">
      <c r="A2893" t="s">
        <v>436</v>
      </c>
      <c r="B2893" t="s">
        <v>686</v>
      </c>
      <c r="C2893" t="str">
        <f t="shared" si="138"/>
        <v>19647330000000</v>
      </c>
      <c r="D2893" t="s">
        <v>4621</v>
      </c>
      <c r="E2893" t="str">
        <f>"19647330126417"</f>
        <v>19647330126417</v>
      </c>
      <c r="F2893" s="8">
        <v>2365</v>
      </c>
      <c r="G2893" s="8">
        <v>10167</v>
      </c>
      <c r="H2893" s="8">
        <v>925</v>
      </c>
      <c r="I2893" s="8">
        <v>2049</v>
      </c>
    </row>
    <row r="2894" spans="1:9" x14ac:dyDescent="0.2">
      <c r="A2894" t="s">
        <v>436</v>
      </c>
      <c r="B2894" t="s">
        <v>686</v>
      </c>
      <c r="C2894" t="str">
        <f t="shared" si="138"/>
        <v>19647330000000</v>
      </c>
      <c r="D2894" t="s">
        <v>4622</v>
      </c>
      <c r="E2894" t="str">
        <f>"19647330122226"</f>
        <v>19647330122226</v>
      </c>
      <c r="F2894" s="8">
        <v>1887</v>
      </c>
      <c r="G2894" s="8">
        <v>10674</v>
      </c>
      <c r="H2894" s="8">
        <v>920</v>
      </c>
      <c r="I2894" s="8">
        <v>2025</v>
      </c>
    </row>
    <row r="2895" spans="1:9" x14ac:dyDescent="0.2">
      <c r="A2895" t="s">
        <v>436</v>
      </c>
      <c r="B2895" t="s">
        <v>686</v>
      </c>
      <c r="C2895" t="str">
        <f t="shared" si="138"/>
        <v>19647330000000</v>
      </c>
      <c r="D2895" t="s">
        <v>4623</v>
      </c>
      <c r="E2895" t="str">
        <f>"19647336016059"</f>
        <v>19647336016059</v>
      </c>
      <c r="F2895" s="8">
        <v>1724</v>
      </c>
      <c r="G2895" s="8">
        <v>10759</v>
      </c>
      <c r="H2895" s="8">
        <v>935</v>
      </c>
      <c r="I2895" s="8">
        <v>2072</v>
      </c>
    </row>
    <row r="2896" spans="1:9" x14ac:dyDescent="0.2">
      <c r="A2896" t="s">
        <v>436</v>
      </c>
      <c r="B2896" t="s">
        <v>686</v>
      </c>
      <c r="C2896" t="str">
        <f t="shared" si="138"/>
        <v>19647330000000</v>
      </c>
      <c r="D2896" t="s">
        <v>4624</v>
      </c>
      <c r="E2896" t="str">
        <f>"19647330122358"</f>
        <v>19647330122358</v>
      </c>
      <c r="F2896" s="8">
        <v>1518</v>
      </c>
      <c r="G2896" s="8">
        <v>11017</v>
      </c>
      <c r="H2896" s="8">
        <v>917</v>
      </c>
      <c r="I2896" s="8">
        <v>2038</v>
      </c>
    </row>
    <row r="2897" spans="1:9" x14ac:dyDescent="0.2">
      <c r="A2897" t="s">
        <v>436</v>
      </c>
      <c r="B2897" t="s">
        <v>686</v>
      </c>
      <c r="C2897" t="str">
        <f t="shared" si="138"/>
        <v>19647330000000</v>
      </c>
      <c r="D2897" t="s">
        <v>4625</v>
      </c>
      <c r="E2897" t="str">
        <f>"19647336017875"</f>
        <v>19647336017875</v>
      </c>
      <c r="F2897" s="8">
        <v>2198</v>
      </c>
      <c r="G2897" s="8">
        <v>10338</v>
      </c>
      <c r="H2897" s="8">
        <v>917</v>
      </c>
      <c r="I2897" s="8">
        <v>2036</v>
      </c>
    </row>
    <row r="2898" spans="1:9" x14ac:dyDescent="0.2">
      <c r="A2898" t="s">
        <v>436</v>
      </c>
      <c r="B2898" t="s">
        <v>686</v>
      </c>
      <c r="C2898" t="str">
        <f t="shared" si="138"/>
        <v>19647330000000</v>
      </c>
      <c r="D2898" t="s">
        <v>4626</v>
      </c>
      <c r="E2898" t="str">
        <f>"19647336018196"</f>
        <v>19647336018196</v>
      </c>
      <c r="F2898" s="8">
        <v>1572</v>
      </c>
      <c r="G2898" s="8">
        <v>10978</v>
      </c>
      <c r="H2898" s="8">
        <v>916</v>
      </c>
      <c r="I2898" s="8">
        <v>2021</v>
      </c>
    </row>
    <row r="2899" spans="1:9" x14ac:dyDescent="0.2">
      <c r="A2899" t="s">
        <v>436</v>
      </c>
      <c r="B2899" t="s">
        <v>686</v>
      </c>
      <c r="C2899" t="str">
        <f t="shared" si="138"/>
        <v>19647330000000</v>
      </c>
      <c r="D2899" t="s">
        <v>4627</v>
      </c>
      <c r="E2899" t="str">
        <f>"19647331935865"</f>
        <v>19647331935865</v>
      </c>
      <c r="F2899" s="8">
        <v>1803</v>
      </c>
      <c r="G2899" s="8">
        <v>10702</v>
      </c>
      <c r="H2899" s="8">
        <v>919</v>
      </c>
      <c r="I2899" s="8">
        <v>2015</v>
      </c>
    </row>
    <row r="2900" spans="1:9" x14ac:dyDescent="0.2">
      <c r="A2900" t="s">
        <v>436</v>
      </c>
      <c r="B2900" t="s">
        <v>686</v>
      </c>
      <c r="C2900" t="str">
        <f t="shared" si="138"/>
        <v>19647330000000</v>
      </c>
      <c r="D2900" t="s">
        <v>4628</v>
      </c>
      <c r="E2900" t="str">
        <f>"19647336018816"</f>
        <v>19647336018816</v>
      </c>
      <c r="F2900" s="8">
        <v>1611</v>
      </c>
      <c r="G2900" s="8">
        <v>10796</v>
      </c>
      <c r="H2900" s="8">
        <v>938</v>
      </c>
      <c r="I2900" s="8">
        <v>2076</v>
      </c>
    </row>
    <row r="2901" spans="1:9" x14ac:dyDescent="0.2">
      <c r="A2901" t="s">
        <v>436</v>
      </c>
      <c r="B2901" t="s">
        <v>686</v>
      </c>
      <c r="C2901" t="str">
        <f t="shared" si="138"/>
        <v>19647330000000</v>
      </c>
      <c r="D2901" t="s">
        <v>4629</v>
      </c>
      <c r="E2901" t="str">
        <f>"19647330112045"</f>
        <v>19647330112045</v>
      </c>
      <c r="F2901" s="8">
        <v>1681</v>
      </c>
      <c r="G2901" s="8">
        <v>10809</v>
      </c>
      <c r="H2901" s="8">
        <v>918</v>
      </c>
      <c r="I2901" s="8">
        <v>2012</v>
      </c>
    </row>
    <row r="2902" spans="1:9" x14ac:dyDescent="0.2">
      <c r="A2902" t="s">
        <v>436</v>
      </c>
      <c r="B2902" t="s">
        <v>686</v>
      </c>
      <c r="C2902" t="str">
        <f t="shared" si="138"/>
        <v>19647330000000</v>
      </c>
      <c r="D2902" t="s">
        <v>4630</v>
      </c>
      <c r="E2902" t="str">
        <f>"19647336018006"</f>
        <v>19647336018006</v>
      </c>
      <c r="F2902" s="8">
        <v>2057</v>
      </c>
      <c r="G2902" s="8">
        <v>10472</v>
      </c>
      <c r="H2902" s="8">
        <v>904</v>
      </c>
      <c r="I2902" s="8">
        <v>1984</v>
      </c>
    </row>
    <row r="2903" spans="1:9" x14ac:dyDescent="0.2">
      <c r="A2903" t="s">
        <v>436</v>
      </c>
      <c r="B2903" t="s">
        <v>686</v>
      </c>
      <c r="C2903" t="str">
        <f t="shared" ref="C2903:C2966" si="139">"19647330000000"</f>
        <v>19647330000000</v>
      </c>
      <c r="D2903" t="s">
        <v>4631</v>
      </c>
      <c r="E2903" t="str">
        <f>"19647330109462"</f>
        <v>19647330109462</v>
      </c>
      <c r="F2903" s="8">
        <v>1812</v>
      </c>
      <c r="G2903" s="8">
        <v>10635</v>
      </c>
      <c r="H2903" s="8">
        <v>918</v>
      </c>
      <c r="I2903" s="8">
        <v>2043</v>
      </c>
    </row>
    <row r="2904" spans="1:9" x14ac:dyDescent="0.2">
      <c r="A2904" t="s">
        <v>436</v>
      </c>
      <c r="B2904" t="s">
        <v>686</v>
      </c>
      <c r="C2904" t="str">
        <f t="shared" si="139"/>
        <v>19647330000000</v>
      </c>
      <c r="D2904" t="s">
        <v>4632</v>
      </c>
      <c r="E2904" t="str">
        <f>"19647330124362"</f>
        <v>19647330124362</v>
      </c>
      <c r="F2904" s="8">
        <v>1376</v>
      </c>
      <c r="G2904" s="8">
        <v>11090</v>
      </c>
      <c r="H2904" s="8">
        <v>918</v>
      </c>
      <c r="I2904" s="8">
        <v>2009</v>
      </c>
    </row>
    <row r="2905" spans="1:9" x14ac:dyDescent="0.2">
      <c r="A2905" t="s">
        <v>436</v>
      </c>
      <c r="B2905" t="s">
        <v>686</v>
      </c>
      <c r="C2905" t="str">
        <f t="shared" si="139"/>
        <v>19647330000000</v>
      </c>
      <c r="D2905" t="s">
        <v>4633</v>
      </c>
      <c r="E2905" t="str">
        <f>"19647336016794"</f>
        <v>19647336016794</v>
      </c>
      <c r="F2905" s="8">
        <v>2444</v>
      </c>
      <c r="G2905" s="8">
        <v>9982</v>
      </c>
      <c r="H2905" s="8">
        <v>919</v>
      </c>
      <c r="I2905" s="8">
        <v>2022</v>
      </c>
    </row>
    <row r="2906" spans="1:9" x14ac:dyDescent="0.2">
      <c r="A2906" t="s">
        <v>436</v>
      </c>
      <c r="B2906" t="s">
        <v>686</v>
      </c>
      <c r="C2906" t="str">
        <f t="shared" si="139"/>
        <v>19647330000000</v>
      </c>
      <c r="D2906" t="s">
        <v>4634</v>
      </c>
      <c r="E2906" t="str">
        <f>"19647330126490"</f>
        <v>19647330126490</v>
      </c>
      <c r="F2906" s="8">
        <v>1560</v>
      </c>
      <c r="G2906" s="8">
        <v>10771</v>
      </c>
      <c r="H2906" s="8">
        <v>937</v>
      </c>
      <c r="I2906" s="8">
        <v>2075</v>
      </c>
    </row>
    <row r="2907" spans="1:9" x14ac:dyDescent="0.2">
      <c r="A2907" t="s">
        <v>436</v>
      </c>
      <c r="B2907" t="s">
        <v>686</v>
      </c>
      <c r="C2907" t="str">
        <f t="shared" si="139"/>
        <v>19647330000000</v>
      </c>
      <c r="D2907" t="s">
        <v>4635</v>
      </c>
      <c r="E2907" t="str">
        <f>"19647336058218"</f>
        <v>19647336058218</v>
      </c>
      <c r="F2907" s="8">
        <v>1560</v>
      </c>
      <c r="G2907" s="8">
        <v>10802</v>
      </c>
      <c r="H2907" s="8">
        <v>958</v>
      </c>
      <c r="I2907" s="8">
        <v>2018</v>
      </c>
    </row>
    <row r="2908" spans="1:9" x14ac:dyDescent="0.2">
      <c r="A2908" t="s">
        <v>436</v>
      </c>
      <c r="B2908" t="s">
        <v>686</v>
      </c>
      <c r="C2908" t="str">
        <f t="shared" si="139"/>
        <v>19647330000000</v>
      </c>
      <c r="D2908" t="s">
        <v>4636</v>
      </c>
      <c r="E2908" t="str">
        <f>"19647336018386"</f>
        <v>19647336018386</v>
      </c>
      <c r="F2908" s="8">
        <v>2336</v>
      </c>
      <c r="G2908" s="8">
        <v>10043</v>
      </c>
      <c r="H2908" s="8">
        <v>912</v>
      </c>
      <c r="I2908" s="8">
        <v>2036</v>
      </c>
    </row>
    <row r="2909" spans="1:9" x14ac:dyDescent="0.2">
      <c r="A2909" t="s">
        <v>436</v>
      </c>
      <c r="B2909" t="s">
        <v>686</v>
      </c>
      <c r="C2909" t="str">
        <f t="shared" si="139"/>
        <v>19647330000000</v>
      </c>
      <c r="D2909" t="s">
        <v>4637</v>
      </c>
      <c r="E2909" t="str">
        <f>"19647331931716"</f>
        <v>19647331931716</v>
      </c>
      <c r="F2909" s="8">
        <v>1797</v>
      </c>
      <c r="G2909" s="8">
        <v>10582</v>
      </c>
      <c r="H2909" s="8">
        <v>921</v>
      </c>
      <c r="I2909" s="8">
        <v>2025</v>
      </c>
    </row>
    <row r="2910" spans="1:9" x14ac:dyDescent="0.2">
      <c r="A2910" t="s">
        <v>436</v>
      </c>
      <c r="B2910" t="s">
        <v>686</v>
      </c>
      <c r="C2910" t="str">
        <f t="shared" si="139"/>
        <v>19647330000000</v>
      </c>
      <c r="D2910" t="s">
        <v>4638</v>
      </c>
      <c r="E2910" t="str">
        <f>"19647336016745"</f>
        <v>19647336016745</v>
      </c>
      <c r="F2910" s="8">
        <v>2090</v>
      </c>
      <c r="G2910" s="8">
        <v>10261</v>
      </c>
      <c r="H2910" s="8">
        <v>920</v>
      </c>
      <c r="I2910" s="8">
        <v>2051</v>
      </c>
    </row>
    <row r="2911" spans="1:9" x14ac:dyDescent="0.2">
      <c r="A2911" t="s">
        <v>436</v>
      </c>
      <c r="B2911" t="s">
        <v>686</v>
      </c>
      <c r="C2911" t="str">
        <f t="shared" si="139"/>
        <v>19647330000000</v>
      </c>
      <c r="D2911" t="s">
        <v>4639</v>
      </c>
      <c r="E2911" t="str">
        <f>"19647336016372"</f>
        <v>19647336016372</v>
      </c>
      <c r="F2911" s="8">
        <v>1354</v>
      </c>
      <c r="G2911" s="8">
        <v>10953</v>
      </c>
      <c r="H2911" s="8">
        <v>936</v>
      </c>
      <c r="I2911" s="8">
        <v>2068</v>
      </c>
    </row>
    <row r="2912" spans="1:9" x14ac:dyDescent="0.2">
      <c r="A2912" t="s">
        <v>436</v>
      </c>
      <c r="B2912" t="s">
        <v>686</v>
      </c>
      <c r="C2912" t="str">
        <f t="shared" si="139"/>
        <v>19647330000000</v>
      </c>
      <c r="D2912" t="s">
        <v>4640</v>
      </c>
      <c r="E2912" t="str">
        <f>"19647330126540"</f>
        <v>19647330126540</v>
      </c>
      <c r="F2912" s="8">
        <v>2127</v>
      </c>
      <c r="G2912" s="8">
        <v>10236</v>
      </c>
      <c r="H2912" s="8">
        <v>916</v>
      </c>
      <c r="I2912" s="8">
        <v>2029</v>
      </c>
    </row>
    <row r="2913" spans="1:9" x14ac:dyDescent="0.2">
      <c r="A2913" t="s">
        <v>436</v>
      </c>
      <c r="B2913" t="s">
        <v>686</v>
      </c>
      <c r="C2913" t="str">
        <f t="shared" si="139"/>
        <v>19647330000000</v>
      </c>
      <c r="D2913" t="s">
        <v>4641</v>
      </c>
      <c r="E2913" t="str">
        <f>"19647336016620"</f>
        <v>19647336016620</v>
      </c>
      <c r="F2913" s="8">
        <v>1653</v>
      </c>
      <c r="G2913" s="8">
        <v>10690</v>
      </c>
      <c r="H2913" s="8">
        <v>917</v>
      </c>
      <c r="I2913" s="8">
        <v>2036</v>
      </c>
    </row>
    <row r="2914" spans="1:9" x14ac:dyDescent="0.2">
      <c r="A2914" t="s">
        <v>436</v>
      </c>
      <c r="B2914" t="s">
        <v>686</v>
      </c>
      <c r="C2914" t="str">
        <f t="shared" si="139"/>
        <v>19647330000000</v>
      </c>
      <c r="D2914" t="s">
        <v>4642</v>
      </c>
      <c r="E2914" t="str">
        <f>"19647336058036"</f>
        <v>19647336058036</v>
      </c>
      <c r="F2914" s="8">
        <v>1737</v>
      </c>
      <c r="G2914" s="8">
        <v>10587</v>
      </c>
      <c r="H2914" s="8">
        <v>918</v>
      </c>
      <c r="I2914" s="8">
        <v>2040</v>
      </c>
    </row>
    <row r="2915" spans="1:9" x14ac:dyDescent="0.2">
      <c r="A2915" t="s">
        <v>436</v>
      </c>
      <c r="B2915" t="s">
        <v>686</v>
      </c>
      <c r="C2915" t="str">
        <f t="shared" si="139"/>
        <v>19647330000000</v>
      </c>
      <c r="D2915" t="s">
        <v>4643</v>
      </c>
      <c r="E2915" t="str">
        <f>"19647336017453"</f>
        <v>19647336017453</v>
      </c>
      <c r="F2915" s="8">
        <v>1374</v>
      </c>
      <c r="G2915" s="8">
        <v>10878</v>
      </c>
      <c r="H2915" s="8">
        <v>936</v>
      </c>
      <c r="I2915" s="8">
        <v>2078</v>
      </c>
    </row>
    <row r="2916" spans="1:9" x14ac:dyDescent="0.2">
      <c r="A2916" t="s">
        <v>436</v>
      </c>
      <c r="B2916" t="s">
        <v>686</v>
      </c>
      <c r="C2916" t="str">
        <f t="shared" si="139"/>
        <v>19647330000000</v>
      </c>
      <c r="D2916" t="s">
        <v>4644</v>
      </c>
      <c r="E2916" t="str">
        <f>"19647336016349"</f>
        <v>19647336016349</v>
      </c>
      <c r="F2916" s="8">
        <v>1719</v>
      </c>
      <c r="G2916" s="8">
        <v>10591</v>
      </c>
      <c r="H2916" s="8">
        <v>920</v>
      </c>
      <c r="I2916" s="8">
        <v>2024</v>
      </c>
    </row>
    <row r="2917" spans="1:9" x14ac:dyDescent="0.2">
      <c r="A2917" t="s">
        <v>436</v>
      </c>
      <c r="B2917" t="s">
        <v>686</v>
      </c>
      <c r="C2917" t="str">
        <f t="shared" si="139"/>
        <v>19647330000000</v>
      </c>
      <c r="D2917" t="s">
        <v>4645</v>
      </c>
      <c r="E2917" t="str">
        <f>"19647336016828"</f>
        <v>19647336016828</v>
      </c>
      <c r="F2917" s="8">
        <v>1726</v>
      </c>
      <c r="G2917" s="8">
        <v>10574</v>
      </c>
      <c r="H2917" s="8">
        <v>917</v>
      </c>
      <c r="I2917" s="8">
        <v>2036</v>
      </c>
    </row>
    <row r="2918" spans="1:9" x14ac:dyDescent="0.2">
      <c r="A2918" t="s">
        <v>436</v>
      </c>
      <c r="B2918" t="s">
        <v>686</v>
      </c>
      <c r="C2918" t="str">
        <f t="shared" si="139"/>
        <v>19647330000000</v>
      </c>
      <c r="D2918" t="s">
        <v>4646</v>
      </c>
      <c r="E2918" t="str">
        <f>"19647331934033"</f>
        <v>19647331934033</v>
      </c>
      <c r="F2918" s="8">
        <v>1672</v>
      </c>
      <c r="G2918" s="8">
        <v>10555</v>
      </c>
      <c r="H2918" s="8">
        <v>938</v>
      </c>
      <c r="I2918" s="8">
        <v>2081</v>
      </c>
    </row>
    <row r="2919" spans="1:9" x14ac:dyDescent="0.2">
      <c r="A2919" t="s">
        <v>436</v>
      </c>
      <c r="B2919" t="s">
        <v>686</v>
      </c>
      <c r="C2919" t="str">
        <f t="shared" si="139"/>
        <v>19647330000000</v>
      </c>
      <c r="D2919" t="s">
        <v>4647</v>
      </c>
      <c r="E2919" t="str">
        <f>"19647331936160"</f>
        <v>19647331936160</v>
      </c>
      <c r="F2919" s="8">
        <v>1503</v>
      </c>
      <c r="G2919" s="8">
        <v>10770</v>
      </c>
      <c r="H2919" s="8">
        <v>924</v>
      </c>
      <c r="I2919" s="8">
        <v>2044</v>
      </c>
    </row>
    <row r="2920" spans="1:9" x14ac:dyDescent="0.2">
      <c r="A2920" t="s">
        <v>436</v>
      </c>
      <c r="B2920" t="s">
        <v>686</v>
      </c>
      <c r="C2920" t="str">
        <f t="shared" si="139"/>
        <v>19647330000000</v>
      </c>
      <c r="D2920" t="s">
        <v>4648</v>
      </c>
      <c r="E2920" t="str">
        <f>"19647330110668"</f>
        <v>19647330110668</v>
      </c>
      <c r="F2920" s="8">
        <v>2656</v>
      </c>
      <c r="G2920" s="8">
        <v>9547</v>
      </c>
      <c r="H2920" s="8">
        <v>948</v>
      </c>
      <c r="I2920" s="8">
        <v>2081</v>
      </c>
    </row>
    <row r="2921" spans="1:9" x14ac:dyDescent="0.2">
      <c r="A2921" t="s">
        <v>436</v>
      </c>
      <c r="B2921" t="s">
        <v>686</v>
      </c>
      <c r="C2921" t="str">
        <f t="shared" si="139"/>
        <v>19647330000000</v>
      </c>
      <c r="D2921" t="s">
        <v>4649</v>
      </c>
      <c r="E2921" t="str">
        <f>"19647336015846"</f>
        <v>19647336015846</v>
      </c>
      <c r="F2921" s="8">
        <v>1537</v>
      </c>
      <c r="G2921" s="8">
        <v>10678</v>
      </c>
      <c r="H2921" s="8">
        <v>936</v>
      </c>
      <c r="I2921" s="8">
        <v>2073</v>
      </c>
    </row>
    <row r="2922" spans="1:9" x14ac:dyDescent="0.2">
      <c r="A2922" t="s">
        <v>436</v>
      </c>
      <c r="B2922" t="s">
        <v>686</v>
      </c>
      <c r="C2922" t="str">
        <f t="shared" si="139"/>
        <v>19647330000000</v>
      </c>
      <c r="D2922" t="s">
        <v>2812</v>
      </c>
      <c r="E2922" t="str">
        <f>"19647331930387"</f>
        <v>19647331930387</v>
      </c>
      <c r="F2922" s="8">
        <v>1377</v>
      </c>
      <c r="G2922" s="8">
        <v>10956</v>
      </c>
      <c r="H2922" s="8">
        <v>904</v>
      </c>
      <c r="I2922" s="8">
        <v>1985</v>
      </c>
    </row>
    <row r="2923" spans="1:9" x14ac:dyDescent="0.2">
      <c r="A2923" t="s">
        <v>436</v>
      </c>
      <c r="B2923" t="s">
        <v>686</v>
      </c>
      <c r="C2923" t="str">
        <f t="shared" si="139"/>
        <v>19647330000000</v>
      </c>
      <c r="D2923" t="s">
        <v>4650</v>
      </c>
      <c r="E2923" t="str">
        <f>"19647336015887"</f>
        <v>19647336015887</v>
      </c>
      <c r="F2923" s="8">
        <v>1923</v>
      </c>
      <c r="G2923" s="8">
        <v>10386</v>
      </c>
      <c r="H2923" s="8">
        <v>904</v>
      </c>
      <c r="I2923" s="8">
        <v>1985</v>
      </c>
    </row>
    <row r="2924" spans="1:9" x14ac:dyDescent="0.2">
      <c r="A2924" t="s">
        <v>436</v>
      </c>
      <c r="B2924" t="s">
        <v>686</v>
      </c>
      <c r="C2924" t="str">
        <f t="shared" si="139"/>
        <v>19647330000000</v>
      </c>
      <c r="D2924" t="s">
        <v>4651</v>
      </c>
      <c r="E2924" t="str">
        <f>"19647330126458"</f>
        <v>19647330126458</v>
      </c>
      <c r="F2924" s="8">
        <v>2144</v>
      </c>
      <c r="G2924" s="8">
        <v>10100</v>
      </c>
      <c r="H2924" s="8">
        <v>917</v>
      </c>
      <c r="I2924" s="8">
        <v>2032</v>
      </c>
    </row>
    <row r="2925" spans="1:9" x14ac:dyDescent="0.2">
      <c r="A2925" t="s">
        <v>436</v>
      </c>
      <c r="B2925" t="s">
        <v>686</v>
      </c>
      <c r="C2925" t="str">
        <f t="shared" si="139"/>
        <v>19647330000000</v>
      </c>
      <c r="D2925" t="s">
        <v>4652</v>
      </c>
      <c r="E2925" t="str">
        <f>"19647336016752"</f>
        <v>19647336016752</v>
      </c>
      <c r="F2925" s="8">
        <v>1817</v>
      </c>
      <c r="G2925" s="8">
        <v>10400</v>
      </c>
      <c r="H2925" s="8">
        <v>923</v>
      </c>
      <c r="I2925" s="8">
        <v>2041</v>
      </c>
    </row>
    <row r="2926" spans="1:9" x14ac:dyDescent="0.2">
      <c r="A2926" t="s">
        <v>436</v>
      </c>
      <c r="B2926" t="s">
        <v>686</v>
      </c>
      <c r="C2926" t="str">
        <f t="shared" si="139"/>
        <v>19647330000000</v>
      </c>
      <c r="D2926" t="s">
        <v>4653</v>
      </c>
      <c r="E2926" t="str">
        <f>"19647330111955"</f>
        <v>19647330111955</v>
      </c>
      <c r="F2926" s="8">
        <v>1803</v>
      </c>
      <c r="G2926" s="8">
        <v>10421</v>
      </c>
      <c r="H2926" s="8">
        <v>911</v>
      </c>
      <c r="I2926" s="8">
        <v>2041</v>
      </c>
    </row>
    <row r="2927" spans="1:9" x14ac:dyDescent="0.2">
      <c r="A2927" t="s">
        <v>436</v>
      </c>
      <c r="B2927" t="s">
        <v>686</v>
      </c>
      <c r="C2927" t="str">
        <f t="shared" si="139"/>
        <v>19647330000000</v>
      </c>
      <c r="D2927" t="s">
        <v>4654</v>
      </c>
      <c r="E2927" t="str">
        <f>"19647330109421"</f>
        <v>19647330109421</v>
      </c>
      <c r="F2927" s="8">
        <v>1761</v>
      </c>
      <c r="G2927" s="8">
        <v>10452</v>
      </c>
      <c r="H2927" s="8">
        <v>919</v>
      </c>
      <c r="I2927" s="8">
        <v>2044</v>
      </c>
    </row>
    <row r="2928" spans="1:9" x14ac:dyDescent="0.2">
      <c r="A2928" t="s">
        <v>436</v>
      </c>
      <c r="B2928" t="s">
        <v>686</v>
      </c>
      <c r="C2928" t="str">
        <f t="shared" si="139"/>
        <v>19647330000000</v>
      </c>
      <c r="D2928" t="s">
        <v>4655</v>
      </c>
      <c r="E2928" t="str">
        <f>"19647336018576"</f>
        <v>19647336018576</v>
      </c>
      <c r="F2928" s="8">
        <v>1820</v>
      </c>
      <c r="G2928" s="8">
        <v>10369</v>
      </c>
      <c r="H2928" s="8">
        <v>912</v>
      </c>
      <c r="I2928" s="8">
        <v>2036</v>
      </c>
    </row>
    <row r="2929" spans="1:9" x14ac:dyDescent="0.2">
      <c r="A2929" t="s">
        <v>436</v>
      </c>
      <c r="B2929" t="s">
        <v>686</v>
      </c>
      <c r="C2929" t="str">
        <f t="shared" si="139"/>
        <v>19647330000000</v>
      </c>
      <c r="D2929" t="s">
        <v>4656</v>
      </c>
      <c r="E2929" t="str">
        <f>"19647336016968"</f>
        <v>19647336016968</v>
      </c>
      <c r="F2929" s="8">
        <v>1666</v>
      </c>
      <c r="G2929" s="8">
        <v>10487</v>
      </c>
      <c r="H2929" s="8">
        <v>910</v>
      </c>
      <c r="I2929" s="8">
        <v>2067</v>
      </c>
    </row>
    <row r="2930" spans="1:9" x14ac:dyDescent="0.2">
      <c r="A2930" t="s">
        <v>436</v>
      </c>
      <c r="B2930" t="s">
        <v>686</v>
      </c>
      <c r="C2930" t="str">
        <f t="shared" si="139"/>
        <v>19647330000000</v>
      </c>
      <c r="D2930" t="s">
        <v>4657</v>
      </c>
      <c r="E2930" t="str">
        <f>"19647336019269"</f>
        <v>19647336019269</v>
      </c>
      <c r="F2930" s="8">
        <v>2061</v>
      </c>
      <c r="G2930" s="8">
        <v>10117</v>
      </c>
      <c r="H2930" s="8">
        <v>911</v>
      </c>
      <c r="I2930" s="8">
        <v>2041</v>
      </c>
    </row>
    <row r="2931" spans="1:9" x14ac:dyDescent="0.2">
      <c r="A2931" t="s">
        <v>436</v>
      </c>
      <c r="B2931" t="s">
        <v>686</v>
      </c>
      <c r="C2931" t="str">
        <f t="shared" si="139"/>
        <v>19647330000000</v>
      </c>
      <c r="D2931" t="s">
        <v>4658</v>
      </c>
      <c r="E2931" t="str">
        <f>"19647336016257"</f>
        <v>19647336016257</v>
      </c>
      <c r="F2931" s="8">
        <v>1552</v>
      </c>
      <c r="G2931" s="8">
        <v>10638</v>
      </c>
      <c r="H2931" s="8">
        <v>919</v>
      </c>
      <c r="I2931" s="8">
        <v>2020</v>
      </c>
    </row>
    <row r="2932" spans="1:9" x14ac:dyDescent="0.2">
      <c r="A2932" t="s">
        <v>436</v>
      </c>
      <c r="B2932" t="s">
        <v>686</v>
      </c>
      <c r="C2932" t="str">
        <f t="shared" si="139"/>
        <v>19647330000000</v>
      </c>
      <c r="D2932" t="s">
        <v>2137</v>
      </c>
      <c r="E2932" t="str">
        <f>"19647331939941"</f>
        <v>19647331939941</v>
      </c>
      <c r="F2932" s="8">
        <v>1237</v>
      </c>
      <c r="G2932" s="8">
        <v>10967</v>
      </c>
      <c r="H2932" s="8">
        <v>917</v>
      </c>
      <c r="I2932" s="8">
        <v>2008</v>
      </c>
    </row>
    <row r="2933" spans="1:9" x14ac:dyDescent="0.2">
      <c r="A2933" t="s">
        <v>436</v>
      </c>
      <c r="B2933" t="s">
        <v>686</v>
      </c>
      <c r="C2933" t="str">
        <f t="shared" si="139"/>
        <v>19647330000000</v>
      </c>
      <c r="D2933" t="s">
        <v>4659</v>
      </c>
      <c r="E2933" t="str">
        <f>"19647330121095"</f>
        <v>19647330121095</v>
      </c>
      <c r="F2933" s="8">
        <v>2093</v>
      </c>
      <c r="G2933" s="8">
        <v>10032</v>
      </c>
      <c r="H2933" s="8">
        <v>918</v>
      </c>
      <c r="I2933" s="8">
        <v>2047</v>
      </c>
    </row>
    <row r="2934" spans="1:9" x14ac:dyDescent="0.2">
      <c r="A2934" t="s">
        <v>436</v>
      </c>
      <c r="B2934" t="s">
        <v>686</v>
      </c>
      <c r="C2934" t="str">
        <f t="shared" si="139"/>
        <v>19647330000000</v>
      </c>
      <c r="D2934" t="s">
        <v>4660</v>
      </c>
      <c r="E2934" t="str">
        <f>"19647336057996"</f>
        <v>19647336057996</v>
      </c>
      <c r="F2934" s="8">
        <v>1619</v>
      </c>
      <c r="G2934" s="8">
        <v>10488</v>
      </c>
      <c r="H2934" s="8">
        <v>925</v>
      </c>
      <c r="I2934" s="8">
        <v>2049</v>
      </c>
    </row>
    <row r="2935" spans="1:9" x14ac:dyDescent="0.2">
      <c r="A2935" t="s">
        <v>436</v>
      </c>
      <c r="B2935" t="s">
        <v>686</v>
      </c>
      <c r="C2935" t="str">
        <f t="shared" si="139"/>
        <v>19647330000000</v>
      </c>
      <c r="D2935" t="s">
        <v>4661</v>
      </c>
      <c r="E2935" t="str">
        <f>"19647336110274"</f>
        <v>19647336110274</v>
      </c>
      <c r="F2935" s="8">
        <v>2261</v>
      </c>
      <c r="G2935" s="8">
        <v>9856</v>
      </c>
      <c r="H2935" s="8">
        <v>919</v>
      </c>
      <c r="I2935" s="8">
        <v>2044</v>
      </c>
    </row>
    <row r="2936" spans="1:9" x14ac:dyDescent="0.2">
      <c r="A2936" t="s">
        <v>436</v>
      </c>
      <c r="B2936" t="s">
        <v>686</v>
      </c>
      <c r="C2936" t="str">
        <f t="shared" si="139"/>
        <v>19647330000000</v>
      </c>
      <c r="D2936" t="s">
        <v>2344</v>
      </c>
      <c r="E2936" t="str">
        <f>"19647330109413"</f>
        <v>19647330109413</v>
      </c>
      <c r="F2936" s="8">
        <v>1977</v>
      </c>
      <c r="G2936" s="8">
        <v>10142</v>
      </c>
      <c r="H2936" s="8">
        <v>915</v>
      </c>
      <c r="I2936" s="8">
        <v>2022</v>
      </c>
    </row>
    <row r="2937" spans="1:9" x14ac:dyDescent="0.2">
      <c r="A2937" t="s">
        <v>436</v>
      </c>
      <c r="B2937" t="s">
        <v>686</v>
      </c>
      <c r="C2937" t="str">
        <f t="shared" si="139"/>
        <v>19647330000000</v>
      </c>
      <c r="D2937" t="s">
        <v>4662</v>
      </c>
      <c r="E2937" t="str">
        <f>"19647336018683"</f>
        <v>19647336018683</v>
      </c>
      <c r="F2937" s="8">
        <v>1928</v>
      </c>
      <c r="G2937" s="8">
        <v>10174</v>
      </c>
      <c r="H2937" s="8">
        <v>911</v>
      </c>
      <c r="I2937" s="8">
        <v>2038</v>
      </c>
    </row>
    <row r="2938" spans="1:9" x14ac:dyDescent="0.2">
      <c r="A2938" t="s">
        <v>436</v>
      </c>
      <c r="B2938" t="s">
        <v>686</v>
      </c>
      <c r="C2938" t="str">
        <f t="shared" si="139"/>
        <v>19647330000000</v>
      </c>
      <c r="D2938" t="s">
        <v>4663</v>
      </c>
      <c r="E2938" t="str">
        <f>"19647336017537"</f>
        <v>19647336017537</v>
      </c>
      <c r="F2938" s="8">
        <v>1782</v>
      </c>
      <c r="G2938" s="8">
        <v>10334</v>
      </c>
      <c r="H2938" s="8">
        <v>916</v>
      </c>
      <c r="I2938" s="8">
        <v>2013</v>
      </c>
    </row>
    <row r="2939" spans="1:9" x14ac:dyDescent="0.2">
      <c r="A2939" t="s">
        <v>436</v>
      </c>
      <c r="B2939" t="s">
        <v>686</v>
      </c>
      <c r="C2939" t="str">
        <f t="shared" si="139"/>
        <v>19647330000000</v>
      </c>
      <c r="D2939" t="s">
        <v>4664</v>
      </c>
      <c r="E2939" t="str">
        <f>"19647331938307"</f>
        <v>19647331938307</v>
      </c>
      <c r="F2939" s="8">
        <v>1941</v>
      </c>
      <c r="G2939" s="8">
        <v>10149</v>
      </c>
      <c r="H2939" s="8">
        <v>915</v>
      </c>
      <c r="I2939" s="8">
        <v>2025</v>
      </c>
    </row>
    <row r="2940" spans="1:9" x14ac:dyDescent="0.2">
      <c r="A2940" t="s">
        <v>436</v>
      </c>
      <c r="B2940" t="s">
        <v>686</v>
      </c>
      <c r="C2940" t="str">
        <f t="shared" si="139"/>
        <v>19647330000000</v>
      </c>
      <c r="D2940" t="s">
        <v>4665</v>
      </c>
      <c r="E2940" t="str">
        <f>"19647336020028"</f>
        <v>19647336020028</v>
      </c>
      <c r="F2940" s="8">
        <v>2058</v>
      </c>
      <c r="G2940" s="8">
        <v>9956</v>
      </c>
      <c r="H2940" s="8">
        <v>924</v>
      </c>
      <c r="I2940" s="8">
        <v>2074</v>
      </c>
    </row>
    <row r="2941" spans="1:9" x14ac:dyDescent="0.2">
      <c r="A2941" t="s">
        <v>436</v>
      </c>
      <c r="B2941" t="s">
        <v>686</v>
      </c>
      <c r="C2941" t="str">
        <f t="shared" si="139"/>
        <v>19647330000000</v>
      </c>
      <c r="D2941" t="s">
        <v>4666</v>
      </c>
      <c r="E2941" t="str">
        <f>"19647336018022"</f>
        <v>19647336018022</v>
      </c>
      <c r="F2941" s="8">
        <v>2188</v>
      </c>
      <c r="G2941" s="8">
        <v>9869</v>
      </c>
      <c r="H2941" s="8">
        <v>912</v>
      </c>
      <c r="I2941" s="8">
        <v>2035</v>
      </c>
    </row>
    <row r="2942" spans="1:9" x14ac:dyDescent="0.2">
      <c r="A2942" t="s">
        <v>436</v>
      </c>
      <c r="B2942" t="s">
        <v>686</v>
      </c>
      <c r="C2942" t="str">
        <f t="shared" si="139"/>
        <v>19647330000000</v>
      </c>
      <c r="D2942" t="s">
        <v>4667</v>
      </c>
      <c r="E2942" t="str">
        <f>"19647330117721"</f>
        <v>19647330117721</v>
      </c>
      <c r="F2942" s="8">
        <v>2178</v>
      </c>
      <c r="G2942" s="8">
        <v>9785</v>
      </c>
      <c r="H2942" s="8">
        <v>944</v>
      </c>
      <c r="I2942" s="8">
        <v>2091</v>
      </c>
    </row>
    <row r="2943" spans="1:9" x14ac:dyDescent="0.2">
      <c r="A2943" t="s">
        <v>436</v>
      </c>
      <c r="B2943" t="s">
        <v>686</v>
      </c>
      <c r="C2943" t="str">
        <f t="shared" si="139"/>
        <v>19647330000000</v>
      </c>
      <c r="D2943" t="s">
        <v>4668</v>
      </c>
      <c r="E2943" t="str">
        <f>"19647336018162"</f>
        <v>19647336018162</v>
      </c>
      <c r="F2943" s="8">
        <v>2055</v>
      </c>
      <c r="G2943" s="8">
        <v>9950</v>
      </c>
      <c r="H2943" s="8">
        <v>918</v>
      </c>
      <c r="I2943" s="8">
        <v>2041</v>
      </c>
    </row>
    <row r="2944" spans="1:9" x14ac:dyDescent="0.2">
      <c r="A2944" t="s">
        <v>436</v>
      </c>
      <c r="B2944" t="s">
        <v>686</v>
      </c>
      <c r="C2944" t="str">
        <f t="shared" si="139"/>
        <v>19647330000000</v>
      </c>
      <c r="D2944" t="s">
        <v>4669</v>
      </c>
      <c r="E2944" t="str">
        <f>"19647336016836"</f>
        <v>19647336016836</v>
      </c>
      <c r="F2944" s="8">
        <v>1450</v>
      </c>
      <c r="G2944" s="8">
        <v>10522</v>
      </c>
      <c r="H2944" s="8">
        <v>920</v>
      </c>
      <c r="I2944" s="8">
        <v>2050</v>
      </c>
    </row>
    <row r="2945" spans="1:9" x14ac:dyDescent="0.2">
      <c r="A2945" t="s">
        <v>436</v>
      </c>
      <c r="B2945" t="s">
        <v>686</v>
      </c>
      <c r="C2945" t="str">
        <f t="shared" si="139"/>
        <v>19647330000000</v>
      </c>
      <c r="D2945" t="s">
        <v>4670</v>
      </c>
      <c r="E2945" t="str">
        <f>"19647336019020"</f>
        <v>19647336019020</v>
      </c>
      <c r="F2945" s="8">
        <v>1889</v>
      </c>
      <c r="G2945" s="8">
        <v>10100</v>
      </c>
      <c r="H2945" s="8">
        <v>917</v>
      </c>
      <c r="I2945" s="8">
        <v>2035</v>
      </c>
    </row>
    <row r="2946" spans="1:9" x14ac:dyDescent="0.2">
      <c r="A2946" t="s">
        <v>436</v>
      </c>
      <c r="B2946" t="s">
        <v>686</v>
      </c>
      <c r="C2946" t="str">
        <f t="shared" si="139"/>
        <v>19647330000000</v>
      </c>
      <c r="D2946" t="s">
        <v>4671</v>
      </c>
      <c r="E2946" t="str">
        <f>"19647336016703"</f>
        <v>19647336016703</v>
      </c>
      <c r="F2946" s="8">
        <v>1380</v>
      </c>
      <c r="G2946" s="8">
        <v>10612</v>
      </c>
      <c r="H2946" s="8">
        <v>917</v>
      </c>
      <c r="I2946" s="8">
        <v>2013</v>
      </c>
    </row>
    <row r="2947" spans="1:9" x14ac:dyDescent="0.2">
      <c r="A2947" t="s">
        <v>436</v>
      </c>
      <c r="B2947" t="s">
        <v>686</v>
      </c>
      <c r="C2947" t="str">
        <f t="shared" si="139"/>
        <v>19647330000000</v>
      </c>
      <c r="D2947" t="s">
        <v>4672</v>
      </c>
      <c r="E2947" t="str">
        <f>"19647331933043"</f>
        <v>19647331933043</v>
      </c>
      <c r="F2947" s="8">
        <v>1843</v>
      </c>
      <c r="G2947" s="8">
        <v>10108</v>
      </c>
      <c r="H2947" s="8">
        <v>920</v>
      </c>
      <c r="I2947" s="8">
        <v>2047</v>
      </c>
    </row>
    <row r="2948" spans="1:9" x14ac:dyDescent="0.2">
      <c r="A2948" t="s">
        <v>436</v>
      </c>
      <c r="B2948" t="s">
        <v>686</v>
      </c>
      <c r="C2948" t="str">
        <f t="shared" si="139"/>
        <v>19647330000000</v>
      </c>
      <c r="D2948" t="s">
        <v>4673</v>
      </c>
      <c r="E2948" t="str">
        <f>"19647336061485"</f>
        <v>19647336061485</v>
      </c>
      <c r="F2948" s="8">
        <v>1202</v>
      </c>
      <c r="G2948" s="8">
        <v>10787</v>
      </c>
      <c r="H2948" s="8">
        <v>917</v>
      </c>
      <c r="I2948" s="8">
        <v>2008</v>
      </c>
    </row>
    <row r="2949" spans="1:9" x14ac:dyDescent="0.2">
      <c r="A2949" t="s">
        <v>436</v>
      </c>
      <c r="B2949" t="s">
        <v>686</v>
      </c>
      <c r="C2949" t="str">
        <f t="shared" si="139"/>
        <v>19647330000000</v>
      </c>
      <c r="D2949" t="s">
        <v>4674</v>
      </c>
      <c r="E2949" t="str">
        <f>"19647330124370"</f>
        <v>19647330124370</v>
      </c>
      <c r="F2949" s="8">
        <v>1604</v>
      </c>
      <c r="G2949" s="8">
        <v>10347</v>
      </c>
      <c r="H2949" s="8">
        <v>916</v>
      </c>
      <c r="I2949" s="8">
        <v>2029</v>
      </c>
    </row>
    <row r="2950" spans="1:9" x14ac:dyDescent="0.2">
      <c r="A2950" t="s">
        <v>436</v>
      </c>
      <c r="B2950" t="s">
        <v>686</v>
      </c>
      <c r="C2950" t="str">
        <f t="shared" si="139"/>
        <v>19647330000000</v>
      </c>
      <c r="D2950" t="s">
        <v>4675</v>
      </c>
      <c r="E2950" t="str">
        <f>"19647331933241"</f>
        <v>19647331933241</v>
      </c>
      <c r="F2950" s="8">
        <v>1632</v>
      </c>
      <c r="G2950" s="8">
        <v>10301</v>
      </c>
      <c r="H2950" s="8">
        <v>922</v>
      </c>
      <c r="I2950" s="8">
        <v>2038</v>
      </c>
    </row>
    <row r="2951" spans="1:9" x14ac:dyDescent="0.2">
      <c r="A2951" t="s">
        <v>436</v>
      </c>
      <c r="B2951" t="s">
        <v>686</v>
      </c>
      <c r="C2951" t="str">
        <f t="shared" si="139"/>
        <v>19647330000000</v>
      </c>
      <c r="D2951" t="s">
        <v>4676</v>
      </c>
      <c r="E2951" t="str">
        <f>"19647336019038"</f>
        <v>19647336019038</v>
      </c>
      <c r="F2951" s="8">
        <v>2056</v>
      </c>
      <c r="G2951" s="8">
        <v>9894</v>
      </c>
      <c r="H2951" s="8">
        <v>916</v>
      </c>
      <c r="I2951" s="8">
        <v>2004</v>
      </c>
    </row>
    <row r="2952" spans="1:9" x14ac:dyDescent="0.2">
      <c r="A2952" t="s">
        <v>436</v>
      </c>
      <c r="B2952" t="s">
        <v>686</v>
      </c>
      <c r="C2952" t="str">
        <f t="shared" si="139"/>
        <v>19647330000000</v>
      </c>
      <c r="D2952" t="s">
        <v>4677</v>
      </c>
      <c r="E2952" t="str">
        <f>"19647336061600"</f>
        <v>19647336061600</v>
      </c>
      <c r="F2952" s="8">
        <v>1916</v>
      </c>
      <c r="G2952" s="8">
        <v>10019</v>
      </c>
      <c r="H2952" s="8">
        <v>918</v>
      </c>
      <c r="I2952" s="8">
        <v>2010</v>
      </c>
    </row>
    <row r="2953" spans="1:9" x14ac:dyDescent="0.2">
      <c r="A2953" t="s">
        <v>436</v>
      </c>
      <c r="B2953" t="s">
        <v>686</v>
      </c>
      <c r="C2953" t="str">
        <f t="shared" si="139"/>
        <v>19647330000000</v>
      </c>
      <c r="D2953" t="s">
        <v>4678</v>
      </c>
      <c r="E2953" t="str">
        <f>"19647336110951"</f>
        <v>19647336110951</v>
      </c>
      <c r="F2953" s="8">
        <v>1975</v>
      </c>
      <c r="G2953" s="8">
        <v>9955</v>
      </c>
      <c r="H2953" s="8">
        <v>918</v>
      </c>
      <c r="I2953" s="8">
        <v>2012</v>
      </c>
    </row>
    <row r="2954" spans="1:9" x14ac:dyDescent="0.2">
      <c r="A2954" t="s">
        <v>436</v>
      </c>
      <c r="B2954" t="s">
        <v>686</v>
      </c>
      <c r="C2954" t="str">
        <f t="shared" si="139"/>
        <v>19647330000000</v>
      </c>
      <c r="D2954" t="s">
        <v>4679</v>
      </c>
      <c r="E2954" t="str">
        <f>"19647330127795"</f>
        <v>19647330127795</v>
      </c>
      <c r="F2954" s="8">
        <v>2556</v>
      </c>
      <c r="G2954" s="8">
        <v>9259</v>
      </c>
      <c r="H2954" s="8">
        <v>945</v>
      </c>
      <c r="I2954" s="8">
        <v>2092</v>
      </c>
    </row>
    <row r="2955" spans="1:9" x14ac:dyDescent="0.2">
      <c r="A2955" t="s">
        <v>436</v>
      </c>
      <c r="B2955" t="s">
        <v>686</v>
      </c>
      <c r="C2955" t="str">
        <f t="shared" si="139"/>
        <v>19647330000000</v>
      </c>
      <c r="D2955" t="s">
        <v>4680</v>
      </c>
      <c r="E2955" t="str">
        <f>"19647336019863"</f>
        <v>19647336019863</v>
      </c>
      <c r="F2955" s="8">
        <v>2127</v>
      </c>
      <c r="G2955" s="8">
        <v>9719</v>
      </c>
      <c r="H2955" s="8">
        <v>924</v>
      </c>
      <c r="I2955" s="8">
        <v>2074</v>
      </c>
    </row>
    <row r="2956" spans="1:9" x14ac:dyDescent="0.2">
      <c r="A2956" t="s">
        <v>436</v>
      </c>
      <c r="B2956" t="s">
        <v>686</v>
      </c>
      <c r="C2956" t="str">
        <f t="shared" si="139"/>
        <v>19647330000000</v>
      </c>
      <c r="D2956" t="s">
        <v>4681</v>
      </c>
      <c r="E2956" t="str">
        <f>"19647331938885"</f>
        <v>19647331938885</v>
      </c>
      <c r="F2956" s="8">
        <v>1196</v>
      </c>
      <c r="G2956" s="8">
        <v>10635</v>
      </c>
      <c r="H2956" s="8">
        <v>939</v>
      </c>
      <c r="I2956" s="8">
        <v>2066</v>
      </c>
    </row>
    <row r="2957" spans="1:9" x14ac:dyDescent="0.2">
      <c r="A2957" t="s">
        <v>436</v>
      </c>
      <c r="B2957" t="s">
        <v>686</v>
      </c>
      <c r="C2957" t="str">
        <f t="shared" si="139"/>
        <v>19647330000000</v>
      </c>
      <c r="D2957" t="s">
        <v>4682</v>
      </c>
      <c r="E2957" t="str">
        <f>"19647336018493"</f>
        <v>19647336018493</v>
      </c>
      <c r="F2957" s="8">
        <v>1603</v>
      </c>
      <c r="G2957" s="8">
        <v>10232</v>
      </c>
      <c r="H2957" s="8">
        <v>922</v>
      </c>
      <c r="I2957" s="8">
        <v>2038</v>
      </c>
    </row>
    <row r="2958" spans="1:9" x14ac:dyDescent="0.2">
      <c r="A2958" t="s">
        <v>436</v>
      </c>
      <c r="B2958" t="s">
        <v>686</v>
      </c>
      <c r="C2958" t="str">
        <f t="shared" si="139"/>
        <v>19647330000000</v>
      </c>
      <c r="D2958" t="s">
        <v>4683</v>
      </c>
      <c r="E2958" t="str">
        <f>"19647336015796"</f>
        <v>19647336015796</v>
      </c>
      <c r="F2958" s="8">
        <v>1666</v>
      </c>
      <c r="G2958" s="8">
        <v>10180</v>
      </c>
      <c r="H2958" s="8">
        <v>917</v>
      </c>
      <c r="I2958" s="8">
        <v>2012</v>
      </c>
    </row>
    <row r="2959" spans="1:9" x14ac:dyDescent="0.2">
      <c r="A2959" t="s">
        <v>436</v>
      </c>
      <c r="B2959" t="s">
        <v>686</v>
      </c>
      <c r="C2959" t="str">
        <f t="shared" si="139"/>
        <v>19647330000000</v>
      </c>
      <c r="D2959" t="s">
        <v>4684</v>
      </c>
      <c r="E2959" t="str">
        <f>"19647330109363"</f>
        <v>19647330109363</v>
      </c>
      <c r="F2959" s="8">
        <v>1675</v>
      </c>
      <c r="G2959" s="8">
        <v>10133</v>
      </c>
      <c r="H2959" s="8">
        <v>919</v>
      </c>
      <c r="I2959" s="8">
        <v>2046</v>
      </c>
    </row>
    <row r="2960" spans="1:9" x14ac:dyDescent="0.2">
      <c r="A2960" t="s">
        <v>436</v>
      </c>
      <c r="B2960" t="s">
        <v>686</v>
      </c>
      <c r="C2960" t="str">
        <f t="shared" si="139"/>
        <v>19647330000000</v>
      </c>
      <c r="D2960" t="s">
        <v>4685</v>
      </c>
      <c r="E2960" t="str">
        <f>"19647336018618"</f>
        <v>19647336018618</v>
      </c>
      <c r="F2960" s="8">
        <v>1155</v>
      </c>
      <c r="G2960" s="8">
        <v>10605</v>
      </c>
      <c r="H2960" s="8">
        <v>937</v>
      </c>
      <c r="I2960" s="8">
        <v>2073</v>
      </c>
    </row>
    <row r="2961" spans="1:9" x14ac:dyDescent="0.2">
      <c r="A2961" t="s">
        <v>436</v>
      </c>
      <c r="B2961" t="s">
        <v>686</v>
      </c>
      <c r="C2961" t="str">
        <f t="shared" si="139"/>
        <v>19647330000000</v>
      </c>
      <c r="D2961" t="s">
        <v>4686</v>
      </c>
      <c r="E2961" t="str">
        <f>"19647336058135"</f>
        <v>19647336058135</v>
      </c>
      <c r="F2961" s="8">
        <v>1235</v>
      </c>
      <c r="G2961" s="8">
        <v>10509</v>
      </c>
      <c r="H2961" s="8">
        <v>936</v>
      </c>
      <c r="I2961" s="8">
        <v>2074</v>
      </c>
    </row>
    <row r="2962" spans="1:9" x14ac:dyDescent="0.2">
      <c r="A2962" t="s">
        <v>436</v>
      </c>
      <c r="B2962" t="s">
        <v>686</v>
      </c>
      <c r="C2962" t="str">
        <f t="shared" si="139"/>
        <v>19647330000000</v>
      </c>
      <c r="D2962" t="s">
        <v>4687</v>
      </c>
      <c r="E2962" t="str">
        <f>"19647336019186"</f>
        <v>19647336019186</v>
      </c>
      <c r="F2962" s="8">
        <v>1325</v>
      </c>
      <c r="G2962" s="8">
        <v>10489</v>
      </c>
      <c r="H2962" s="8">
        <v>917</v>
      </c>
      <c r="I2962" s="8">
        <v>2022</v>
      </c>
    </row>
    <row r="2963" spans="1:9" x14ac:dyDescent="0.2">
      <c r="A2963" t="s">
        <v>436</v>
      </c>
      <c r="B2963" t="s">
        <v>686</v>
      </c>
      <c r="C2963" t="str">
        <f t="shared" si="139"/>
        <v>19647330000000</v>
      </c>
      <c r="D2963" t="s">
        <v>4688</v>
      </c>
      <c r="E2963" t="str">
        <f>"19647336016885"</f>
        <v>19647336016885</v>
      </c>
      <c r="F2963" s="8">
        <v>2075</v>
      </c>
      <c r="G2963" s="8">
        <v>9677</v>
      </c>
      <c r="H2963" s="8">
        <v>918</v>
      </c>
      <c r="I2963" s="8">
        <v>2039</v>
      </c>
    </row>
    <row r="2964" spans="1:9" x14ac:dyDescent="0.2">
      <c r="A2964" t="s">
        <v>436</v>
      </c>
      <c r="B2964" t="s">
        <v>686</v>
      </c>
      <c r="C2964" t="str">
        <f t="shared" si="139"/>
        <v>19647330000000</v>
      </c>
      <c r="D2964" t="s">
        <v>4689</v>
      </c>
      <c r="E2964" t="str">
        <f>"19647336016729"</f>
        <v>19647336016729</v>
      </c>
      <c r="F2964" s="8">
        <v>1475</v>
      </c>
      <c r="G2964" s="8">
        <v>10283</v>
      </c>
      <c r="H2964" s="8">
        <v>918</v>
      </c>
      <c r="I2964" s="8">
        <v>2016</v>
      </c>
    </row>
    <row r="2965" spans="1:9" x14ac:dyDescent="0.2">
      <c r="A2965" t="s">
        <v>436</v>
      </c>
      <c r="B2965" t="s">
        <v>686</v>
      </c>
      <c r="C2965" t="str">
        <f t="shared" si="139"/>
        <v>19647330000000</v>
      </c>
      <c r="D2965" t="s">
        <v>4690</v>
      </c>
      <c r="E2965" t="str">
        <f>"19647336018923"</f>
        <v>19647336018923</v>
      </c>
      <c r="F2965" s="8">
        <v>1264</v>
      </c>
      <c r="G2965" s="8">
        <v>10477</v>
      </c>
      <c r="H2965" s="8">
        <v>917</v>
      </c>
      <c r="I2965" s="8">
        <v>2023</v>
      </c>
    </row>
    <row r="2966" spans="1:9" x14ac:dyDescent="0.2">
      <c r="A2966" t="s">
        <v>436</v>
      </c>
      <c r="B2966" t="s">
        <v>686</v>
      </c>
      <c r="C2966" t="str">
        <f t="shared" si="139"/>
        <v>19647330000000</v>
      </c>
      <c r="D2966" t="s">
        <v>4691</v>
      </c>
      <c r="E2966" t="str">
        <f>"19647330122382"</f>
        <v>19647330122382</v>
      </c>
      <c r="F2966" s="8">
        <v>1651</v>
      </c>
      <c r="G2966" s="8">
        <v>10052</v>
      </c>
      <c r="H2966" s="8">
        <v>919</v>
      </c>
      <c r="I2966" s="8">
        <v>2047</v>
      </c>
    </row>
    <row r="2967" spans="1:9" x14ac:dyDescent="0.2">
      <c r="A2967" t="s">
        <v>436</v>
      </c>
      <c r="B2967" t="s">
        <v>686</v>
      </c>
      <c r="C2967" t="str">
        <f t="shared" ref="C2967:C3030" si="140">"19647330000000"</f>
        <v>19647330000000</v>
      </c>
      <c r="D2967" t="s">
        <v>4692</v>
      </c>
      <c r="E2967" t="str">
        <f>"19647336019624"</f>
        <v>19647336019624</v>
      </c>
      <c r="F2967" s="8">
        <v>1756</v>
      </c>
      <c r="G2967" s="8">
        <v>9886</v>
      </c>
      <c r="H2967" s="8">
        <v>942</v>
      </c>
      <c r="I2967" s="8">
        <v>2085</v>
      </c>
    </row>
    <row r="2968" spans="1:9" x14ac:dyDescent="0.2">
      <c r="A2968" t="s">
        <v>436</v>
      </c>
      <c r="B2968" t="s">
        <v>686</v>
      </c>
      <c r="C2968" t="str">
        <f t="shared" si="140"/>
        <v>19647330000000</v>
      </c>
      <c r="D2968" t="s">
        <v>4693</v>
      </c>
      <c r="E2968" t="str">
        <f>"19647330124511"</f>
        <v>19647330124511</v>
      </c>
      <c r="F2968" s="8">
        <v>1854</v>
      </c>
      <c r="G2968" s="8">
        <v>9834</v>
      </c>
      <c r="H2968" s="8">
        <v>911</v>
      </c>
      <c r="I2968" s="8">
        <v>2044</v>
      </c>
    </row>
    <row r="2969" spans="1:9" x14ac:dyDescent="0.2">
      <c r="A2969" t="s">
        <v>436</v>
      </c>
      <c r="B2969" t="s">
        <v>686</v>
      </c>
      <c r="C2969" t="str">
        <f t="shared" si="140"/>
        <v>19647330000000</v>
      </c>
      <c r="D2969" t="s">
        <v>4694</v>
      </c>
      <c r="E2969" t="str">
        <f>"19647336019673"</f>
        <v>19647336019673</v>
      </c>
      <c r="F2969" s="8">
        <v>1264</v>
      </c>
      <c r="G2969" s="8">
        <v>10407</v>
      </c>
      <c r="H2969" s="8">
        <v>918</v>
      </c>
      <c r="I2969" s="8">
        <v>2014</v>
      </c>
    </row>
    <row r="2970" spans="1:9" x14ac:dyDescent="0.2">
      <c r="A2970" t="s">
        <v>436</v>
      </c>
      <c r="B2970" t="s">
        <v>686</v>
      </c>
      <c r="C2970" t="str">
        <f t="shared" si="140"/>
        <v>19647330000000</v>
      </c>
      <c r="D2970" t="s">
        <v>4695</v>
      </c>
      <c r="E2970" t="str">
        <f>"19647336017735"</f>
        <v>19647336017735</v>
      </c>
      <c r="F2970" s="8">
        <v>1986</v>
      </c>
      <c r="G2970" s="8">
        <v>9673</v>
      </c>
      <c r="H2970" s="8">
        <v>916</v>
      </c>
      <c r="I2970" s="8">
        <v>2017</v>
      </c>
    </row>
    <row r="2971" spans="1:9" x14ac:dyDescent="0.2">
      <c r="A2971" t="s">
        <v>436</v>
      </c>
      <c r="B2971" t="s">
        <v>686</v>
      </c>
      <c r="C2971" t="str">
        <f t="shared" si="140"/>
        <v>19647330000000</v>
      </c>
      <c r="D2971" t="s">
        <v>4696</v>
      </c>
      <c r="E2971" t="str">
        <f>"19647336019111"</f>
        <v>19647336019111</v>
      </c>
      <c r="F2971" s="8">
        <v>1323</v>
      </c>
      <c r="G2971" s="8">
        <v>10343</v>
      </c>
      <c r="H2971" s="8">
        <v>917</v>
      </c>
      <c r="I2971" s="8">
        <v>2009</v>
      </c>
    </row>
    <row r="2972" spans="1:9" x14ac:dyDescent="0.2">
      <c r="A2972" t="s">
        <v>436</v>
      </c>
      <c r="B2972" t="s">
        <v>686</v>
      </c>
      <c r="C2972" t="str">
        <f t="shared" si="140"/>
        <v>19647330000000</v>
      </c>
      <c r="D2972" t="s">
        <v>4697</v>
      </c>
      <c r="E2972" t="str">
        <f>"19647336016158"</f>
        <v>19647336016158</v>
      </c>
      <c r="F2972" s="8">
        <v>1785</v>
      </c>
      <c r="G2972" s="8">
        <v>9858</v>
      </c>
      <c r="H2972" s="8">
        <v>916</v>
      </c>
      <c r="I2972" s="8">
        <v>2031</v>
      </c>
    </row>
    <row r="2973" spans="1:9" x14ac:dyDescent="0.2">
      <c r="A2973" t="s">
        <v>436</v>
      </c>
      <c r="B2973" t="s">
        <v>686</v>
      </c>
      <c r="C2973" t="str">
        <f t="shared" si="140"/>
        <v>19647330000000</v>
      </c>
      <c r="D2973" t="s">
        <v>4698</v>
      </c>
      <c r="E2973" t="str">
        <f>"19647336017693"</f>
        <v>19647336017693</v>
      </c>
      <c r="F2973" s="8">
        <v>1427</v>
      </c>
      <c r="G2973" s="8">
        <v>10225</v>
      </c>
      <c r="H2973" s="8">
        <v>918</v>
      </c>
      <c r="I2973" s="8">
        <v>2012</v>
      </c>
    </row>
    <row r="2974" spans="1:9" x14ac:dyDescent="0.2">
      <c r="A2974" t="s">
        <v>436</v>
      </c>
      <c r="B2974" t="s">
        <v>686</v>
      </c>
      <c r="C2974" t="str">
        <f t="shared" si="140"/>
        <v>19647330000000</v>
      </c>
      <c r="D2974" t="s">
        <v>4699</v>
      </c>
      <c r="E2974" t="str">
        <f>"19647336016893"</f>
        <v>19647336016893</v>
      </c>
      <c r="F2974" s="8">
        <v>1334</v>
      </c>
      <c r="G2974" s="8">
        <v>10274</v>
      </c>
      <c r="H2974" s="8">
        <v>916</v>
      </c>
      <c r="I2974" s="8">
        <v>2039</v>
      </c>
    </row>
    <row r="2975" spans="1:9" x14ac:dyDescent="0.2">
      <c r="A2975" t="s">
        <v>436</v>
      </c>
      <c r="B2975" t="s">
        <v>686</v>
      </c>
      <c r="C2975" t="str">
        <f t="shared" si="140"/>
        <v>19647330000000</v>
      </c>
      <c r="D2975" t="s">
        <v>4700</v>
      </c>
      <c r="E2975" t="str">
        <f>"19647330126433"</f>
        <v>19647330126433</v>
      </c>
      <c r="F2975" s="8">
        <v>2322</v>
      </c>
      <c r="G2975" s="8">
        <v>9286</v>
      </c>
      <c r="H2975" s="8">
        <v>911</v>
      </c>
      <c r="I2975" s="8">
        <v>2041</v>
      </c>
    </row>
    <row r="2976" spans="1:9" x14ac:dyDescent="0.2">
      <c r="A2976" t="s">
        <v>436</v>
      </c>
      <c r="B2976" t="s">
        <v>686</v>
      </c>
      <c r="C2976" t="str">
        <f t="shared" si="140"/>
        <v>19647330000000</v>
      </c>
      <c r="D2976" t="s">
        <v>4701</v>
      </c>
      <c r="E2976" t="str">
        <f>"19647336018105"</f>
        <v>19647336018105</v>
      </c>
      <c r="F2976" s="8">
        <v>1819</v>
      </c>
      <c r="G2976" s="8">
        <v>9775</v>
      </c>
      <c r="H2976" s="8">
        <v>911</v>
      </c>
      <c r="I2976" s="8">
        <v>2041</v>
      </c>
    </row>
    <row r="2977" spans="1:9" x14ac:dyDescent="0.2">
      <c r="A2977" t="s">
        <v>436</v>
      </c>
      <c r="B2977" t="s">
        <v>686</v>
      </c>
      <c r="C2977" t="str">
        <f t="shared" si="140"/>
        <v>19647330000000</v>
      </c>
      <c r="D2977" t="s">
        <v>4702</v>
      </c>
      <c r="E2977" t="str">
        <f>"19647336017644"</f>
        <v>19647336017644</v>
      </c>
      <c r="F2977" s="8">
        <v>1434</v>
      </c>
      <c r="G2977" s="8">
        <v>10142</v>
      </c>
      <c r="H2977" s="8">
        <v>918</v>
      </c>
      <c r="I2977" s="8">
        <v>2044</v>
      </c>
    </row>
    <row r="2978" spans="1:9" x14ac:dyDescent="0.2">
      <c r="A2978" t="s">
        <v>436</v>
      </c>
      <c r="B2978" t="s">
        <v>686</v>
      </c>
      <c r="C2978" t="str">
        <f t="shared" si="140"/>
        <v>19647330000000</v>
      </c>
      <c r="D2978" t="s">
        <v>4703</v>
      </c>
      <c r="E2978" t="str">
        <f>"19647336019392"</f>
        <v>19647336019392</v>
      </c>
      <c r="F2978" s="8">
        <v>1571</v>
      </c>
      <c r="G2978" s="8">
        <v>10006</v>
      </c>
      <c r="H2978" s="8">
        <v>917</v>
      </c>
      <c r="I2978" s="8">
        <v>2010</v>
      </c>
    </row>
    <row r="2979" spans="1:9" x14ac:dyDescent="0.2">
      <c r="A2979" t="s">
        <v>436</v>
      </c>
      <c r="B2979" t="s">
        <v>686</v>
      </c>
      <c r="C2979" t="str">
        <f t="shared" si="140"/>
        <v>19647330000000</v>
      </c>
      <c r="D2979" t="s">
        <v>4704</v>
      </c>
      <c r="E2979" t="str">
        <f>"19647336016364"</f>
        <v>19647336016364</v>
      </c>
      <c r="F2979" s="8">
        <v>1714</v>
      </c>
      <c r="G2979" s="8">
        <v>9839</v>
      </c>
      <c r="H2979" s="8">
        <v>920</v>
      </c>
      <c r="I2979" s="8">
        <v>2025</v>
      </c>
    </row>
    <row r="2980" spans="1:9" x14ac:dyDescent="0.2">
      <c r="A2980" t="s">
        <v>436</v>
      </c>
      <c r="B2980" t="s">
        <v>686</v>
      </c>
      <c r="C2980" t="str">
        <f t="shared" si="140"/>
        <v>19647330000000</v>
      </c>
      <c r="D2980" t="s">
        <v>4705</v>
      </c>
      <c r="E2980" t="str">
        <f>"19647336020036"</f>
        <v>19647336020036</v>
      </c>
      <c r="F2980" s="8">
        <v>1281</v>
      </c>
      <c r="G2980" s="8">
        <v>10214</v>
      </c>
      <c r="H2980" s="8">
        <v>918</v>
      </c>
      <c r="I2980" s="8">
        <v>2012</v>
      </c>
    </row>
    <row r="2981" spans="1:9" x14ac:dyDescent="0.2">
      <c r="A2981" t="s">
        <v>436</v>
      </c>
      <c r="B2981" t="s">
        <v>686</v>
      </c>
      <c r="C2981" t="str">
        <f t="shared" si="140"/>
        <v>19647330000000</v>
      </c>
      <c r="D2981" t="s">
        <v>4706</v>
      </c>
      <c r="E2981" t="str">
        <f>"19647331939040"</f>
        <v>19647331939040</v>
      </c>
      <c r="F2981" s="8">
        <v>1259</v>
      </c>
      <c r="G2981" s="8">
        <v>10160</v>
      </c>
      <c r="H2981" s="8">
        <v>935</v>
      </c>
      <c r="I2981" s="8">
        <v>2068</v>
      </c>
    </row>
    <row r="2982" spans="1:9" x14ac:dyDescent="0.2">
      <c r="A2982" t="s">
        <v>436</v>
      </c>
      <c r="B2982" t="s">
        <v>686</v>
      </c>
      <c r="C2982" t="str">
        <f t="shared" si="140"/>
        <v>19647330000000</v>
      </c>
      <c r="D2982" t="s">
        <v>4707</v>
      </c>
      <c r="E2982" t="str">
        <f>"19647331930650"</f>
        <v>19647331930650</v>
      </c>
      <c r="F2982" s="8">
        <v>1668</v>
      </c>
      <c r="G2982" s="8">
        <v>9797</v>
      </c>
      <c r="H2982" s="8">
        <v>911</v>
      </c>
      <c r="I2982" s="8">
        <v>2035</v>
      </c>
    </row>
    <row r="2983" spans="1:9" x14ac:dyDescent="0.2">
      <c r="A2983" t="s">
        <v>436</v>
      </c>
      <c r="B2983" t="s">
        <v>686</v>
      </c>
      <c r="C2983" t="str">
        <f t="shared" si="140"/>
        <v>19647330000000</v>
      </c>
      <c r="D2983" t="s">
        <v>4708</v>
      </c>
      <c r="E2983" t="str">
        <f>"19647336017933"</f>
        <v>19647336017933</v>
      </c>
      <c r="F2983" s="8">
        <v>1776</v>
      </c>
      <c r="G2983" s="8">
        <v>9644</v>
      </c>
      <c r="H2983" s="8">
        <v>924</v>
      </c>
      <c r="I2983" s="8">
        <v>2042</v>
      </c>
    </row>
    <row r="2984" spans="1:9" x14ac:dyDescent="0.2">
      <c r="A2984" t="s">
        <v>436</v>
      </c>
      <c r="B2984" t="s">
        <v>686</v>
      </c>
      <c r="C2984" t="str">
        <f t="shared" si="140"/>
        <v>19647330000000</v>
      </c>
      <c r="D2984" t="s">
        <v>4709</v>
      </c>
      <c r="E2984" t="str">
        <f>"19647331931526"</f>
        <v>19647331931526</v>
      </c>
      <c r="F2984" s="8">
        <v>1292</v>
      </c>
      <c r="G2984" s="8">
        <v>10138</v>
      </c>
      <c r="H2984" s="8">
        <v>919</v>
      </c>
      <c r="I2984" s="8">
        <v>2028</v>
      </c>
    </row>
    <row r="2985" spans="1:9" x14ac:dyDescent="0.2">
      <c r="A2985" t="s">
        <v>436</v>
      </c>
      <c r="B2985" t="s">
        <v>686</v>
      </c>
      <c r="C2985" t="str">
        <f t="shared" si="140"/>
        <v>19647330000000</v>
      </c>
      <c r="D2985" t="s">
        <v>4710</v>
      </c>
      <c r="E2985" t="str">
        <f>"19647336018147"</f>
        <v>19647336018147</v>
      </c>
      <c r="F2985" s="8">
        <v>1943</v>
      </c>
      <c r="G2985" s="8">
        <v>9453</v>
      </c>
      <c r="H2985" s="8">
        <v>925</v>
      </c>
      <c r="I2985" s="8">
        <v>2043</v>
      </c>
    </row>
    <row r="2986" spans="1:9" x14ac:dyDescent="0.2">
      <c r="A2986" t="s">
        <v>436</v>
      </c>
      <c r="B2986" t="s">
        <v>686</v>
      </c>
      <c r="C2986" t="str">
        <f t="shared" si="140"/>
        <v>19647330000000</v>
      </c>
      <c r="D2986" t="s">
        <v>4711</v>
      </c>
      <c r="E2986" t="str">
        <f>"19647336017404"</f>
        <v>19647336017404</v>
      </c>
      <c r="F2986" s="8">
        <v>2069</v>
      </c>
      <c r="G2986" s="8">
        <v>9347</v>
      </c>
      <c r="H2986" s="8">
        <v>911</v>
      </c>
      <c r="I2986" s="8">
        <v>2035</v>
      </c>
    </row>
    <row r="2987" spans="1:9" x14ac:dyDescent="0.2">
      <c r="A2987" t="s">
        <v>436</v>
      </c>
      <c r="B2987" t="s">
        <v>686</v>
      </c>
      <c r="C2987" t="str">
        <f t="shared" si="140"/>
        <v>19647330000000</v>
      </c>
      <c r="D2987" t="s">
        <v>4712</v>
      </c>
      <c r="E2987" t="str">
        <f>"19647336058242"</f>
        <v>19647336058242</v>
      </c>
      <c r="F2987" s="8">
        <v>1130</v>
      </c>
      <c r="G2987" s="8">
        <v>10300</v>
      </c>
      <c r="H2987" s="8">
        <v>917</v>
      </c>
      <c r="I2987" s="8">
        <v>2006</v>
      </c>
    </row>
    <row r="2988" spans="1:9" x14ac:dyDescent="0.2">
      <c r="A2988" t="s">
        <v>436</v>
      </c>
      <c r="B2988" t="s">
        <v>686</v>
      </c>
      <c r="C2988" t="str">
        <f t="shared" si="140"/>
        <v>19647330000000</v>
      </c>
      <c r="D2988" t="s">
        <v>4713</v>
      </c>
      <c r="E2988" t="str">
        <f>"19647331932987"</f>
        <v>19647331932987</v>
      </c>
      <c r="F2988" s="8">
        <v>1458</v>
      </c>
      <c r="G2988" s="8">
        <v>9950</v>
      </c>
      <c r="H2988" s="8">
        <v>918</v>
      </c>
      <c r="I2988" s="8">
        <v>2015</v>
      </c>
    </row>
    <row r="2989" spans="1:9" x14ac:dyDescent="0.2">
      <c r="A2989" t="s">
        <v>436</v>
      </c>
      <c r="B2989" t="s">
        <v>686</v>
      </c>
      <c r="C2989" t="str">
        <f t="shared" si="140"/>
        <v>19647330000000</v>
      </c>
      <c r="D2989" t="s">
        <v>4714</v>
      </c>
      <c r="E2989" t="str">
        <f>"19647331933381"</f>
        <v>19647331933381</v>
      </c>
      <c r="F2989" s="8">
        <v>1756</v>
      </c>
      <c r="G2989" s="8">
        <v>9629</v>
      </c>
      <c r="H2989" s="8">
        <v>917</v>
      </c>
      <c r="I2989" s="8">
        <v>2038</v>
      </c>
    </row>
    <row r="2990" spans="1:9" x14ac:dyDescent="0.2">
      <c r="A2990" t="s">
        <v>436</v>
      </c>
      <c r="B2990" t="s">
        <v>686</v>
      </c>
      <c r="C2990" t="str">
        <f t="shared" si="140"/>
        <v>19647330000000</v>
      </c>
      <c r="D2990" t="s">
        <v>4715</v>
      </c>
      <c r="E2990" t="str">
        <f>"19647336061519"</f>
        <v>19647336061519</v>
      </c>
      <c r="F2990" s="8">
        <v>1620</v>
      </c>
      <c r="G2990" s="8">
        <v>9788</v>
      </c>
      <c r="H2990" s="8">
        <v>916</v>
      </c>
      <c r="I2990" s="8">
        <v>2014</v>
      </c>
    </row>
    <row r="2991" spans="1:9" x14ac:dyDescent="0.2">
      <c r="A2991" t="s">
        <v>436</v>
      </c>
      <c r="B2991" t="s">
        <v>686</v>
      </c>
      <c r="C2991" t="str">
        <f t="shared" si="140"/>
        <v>19647330000000</v>
      </c>
      <c r="D2991" t="s">
        <v>4716</v>
      </c>
      <c r="E2991" t="str">
        <f>"19647331932920"</f>
        <v>19647331932920</v>
      </c>
      <c r="F2991" s="8">
        <v>1403</v>
      </c>
      <c r="G2991" s="8">
        <v>9915</v>
      </c>
      <c r="H2991" s="8">
        <v>935</v>
      </c>
      <c r="I2991" s="8">
        <v>2069</v>
      </c>
    </row>
    <row r="2992" spans="1:9" x14ac:dyDescent="0.2">
      <c r="A2992" t="s">
        <v>436</v>
      </c>
      <c r="B2992" t="s">
        <v>686</v>
      </c>
      <c r="C2992" t="str">
        <f t="shared" si="140"/>
        <v>19647330000000</v>
      </c>
      <c r="D2992" t="s">
        <v>4717</v>
      </c>
      <c r="E2992" t="str">
        <f>"19647336018774"</f>
        <v>19647336018774</v>
      </c>
      <c r="F2992" s="8">
        <v>1359</v>
      </c>
      <c r="G2992" s="8">
        <v>10007</v>
      </c>
      <c r="H2992" s="8">
        <v>917</v>
      </c>
      <c r="I2992" s="8">
        <v>2009</v>
      </c>
    </row>
    <row r="2993" spans="1:9" x14ac:dyDescent="0.2">
      <c r="A2993" t="s">
        <v>436</v>
      </c>
      <c r="B2993" t="s">
        <v>686</v>
      </c>
      <c r="C2993" t="str">
        <f t="shared" si="140"/>
        <v>19647330000000</v>
      </c>
      <c r="D2993" t="s">
        <v>4718</v>
      </c>
      <c r="E2993" t="str">
        <f>"19647336058366"</f>
        <v>19647336058366</v>
      </c>
      <c r="F2993" s="8">
        <v>1670</v>
      </c>
      <c r="G2993" s="8">
        <v>9671</v>
      </c>
      <c r="H2993" s="8">
        <v>920</v>
      </c>
      <c r="I2993" s="8">
        <v>2030</v>
      </c>
    </row>
    <row r="2994" spans="1:9" x14ac:dyDescent="0.2">
      <c r="A2994" t="s">
        <v>436</v>
      </c>
      <c r="B2994" t="s">
        <v>686</v>
      </c>
      <c r="C2994" t="str">
        <f t="shared" si="140"/>
        <v>19647330000000</v>
      </c>
      <c r="D2994" t="s">
        <v>4719</v>
      </c>
      <c r="E2994" t="str">
        <f>"19647330127787"</f>
        <v>19647330127787</v>
      </c>
      <c r="F2994" s="8">
        <v>1545</v>
      </c>
      <c r="G2994" s="8">
        <v>9772</v>
      </c>
      <c r="H2994" s="8">
        <v>925</v>
      </c>
      <c r="I2994" s="8">
        <v>2044</v>
      </c>
    </row>
    <row r="2995" spans="1:9" x14ac:dyDescent="0.2">
      <c r="A2995" t="s">
        <v>436</v>
      </c>
      <c r="B2995" t="s">
        <v>686</v>
      </c>
      <c r="C2995" t="str">
        <f t="shared" si="140"/>
        <v>19647330000000</v>
      </c>
      <c r="D2995" t="s">
        <v>4720</v>
      </c>
      <c r="E2995" t="str">
        <f>"19647330119735"</f>
        <v>19647330119735</v>
      </c>
      <c r="F2995" s="8">
        <v>2198</v>
      </c>
      <c r="G2995" s="8">
        <v>9113</v>
      </c>
      <c r="H2995" s="8">
        <v>919</v>
      </c>
      <c r="I2995" s="8">
        <v>2052</v>
      </c>
    </row>
    <row r="2996" spans="1:9" x14ac:dyDescent="0.2">
      <c r="A2996" t="s">
        <v>436</v>
      </c>
      <c r="B2996" t="s">
        <v>686</v>
      </c>
      <c r="C2996" t="str">
        <f t="shared" si="140"/>
        <v>19647330000000</v>
      </c>
      <c r="D2996" t="s">
        <v>4721</v>
      </c>
      <c r="E2996" t="str">
        <f>"19647330122150"</f>
        <v>19647330122150</v>
      </c>
      <c r="F2996" s="8">
        <v>1613</v>
      </c>
      <c r="G2996" s="8">
        <v>9659</v>
      </c>
      <c r="H2996" s="8">
        <v>911</v>
      </c>
      <c r="I2996" s="8">
        <v>2042</v>
      </c>
    </row>
    <row r="2997" spans="1:9" x14ac:dyDescent="0.2">
      <c r="A2997" t="s">
        <v>436</v>
      </c>
      <c r="B2997" t="s">
        <v>686</v>
      </c>
      <c r="C2997" t="str">
        <f t="shared" si="140"/>
        <v>19647330000000</v>
      </c>
      <c r="D2997" t="s">
        <v>4722</v>
      </c>
      <c r="E2997" t="str">
        <f>"19647336061451"</f>
        <v>19647336061451</v>
      </c>
      <c r="F2997" s="8">
        <v>2063</v>
      </c>
      <c r="G2997" s="8">
        <v>9192</v>
      </c>
      <c r="H2997" s="8">
        <v>925</v>
      </c>
      <c r="I2997" s="8">
        <v>2044</v>
      </c>
    </row>
    <row r="2998" spans="1:9" x14ac:dyDescent="0.2">
      <c r="A2998" t="s">
        <v>436</v>
      </c>
      <c r="B2998" t="s">
        <v>686</v>
      </c>
      <c r="C2998" t="str">
        <f t="shared" si="140"/>
        <v>19647330000000</v>
      </c>
      <c r="D2998" t="s">
        <v>4723</v>
      </c>
      <c r="E2998" t="str">
        <f>"19647331938968"</f>
        <v>19647331938968</v>
      </c>
      <c r="F2998" s="8">
        <v>1392</v>
      </c>
      <c r="G2998" s="8">
        <v>9874</v>
      </c>
      <c r="H2998" s="8">
        <v>916</v>
      </c>
      <c r="I2998" s="8">
        <v>2020</v>
      </c>
    </row>
    <row r="2999" spans="1:9" x14ac:dyDescent="0.2">
      <c r="A2999" t="s">
        <v>436</v>
      </c>
      <c r="B2999" t="s">
        <v>686</v>
      </c>
      <c r="C2999" t="str">
        <f t="shared" si="140"/>
        <v>19647330000000</v>
      </c>
      <c r="D2999" t="s">
        <v>4724</v>
      </c>
      <c r="E2999" t="str">
        <f>"19647330129585"</f>
        <v>19647330129585</v>
      </c>
      <c r="F2999" s="8">
        <v>1528</v>
      </c>
      <c r="G2999" s="8">
        <v>9761</v>
      </c>
      <c r="H2999" s="8">
        <v>904</v>
      </c>
      <c r="I2999" s="8">
        <v>1985</v>
      </c>
    </row>
    <row r="3000" spans="1:9" x14ac:dyDescent="0.2">
      <c r="A3000" t="s">
        <v>436</v>
      </c>
      <c r="B3000" t="s">
        <v>686</v>
      </c>
      <c r="C3000" t="str">
        <f t="shared" si="140"/>
        <v>19647330000000</v>
      </c>
      <c r="D3000" t="s">
        <v>4725</v>
      </c>
      <c r="E3000" t="str">
        <f>"19647336016869"</f>
        <v>19647336016869</v>
      </c>
      <c r="F3000" s="8">
        <v>1946</v>
      </c>
      <c r="G3000" s="8">
        <v>9278</v>
      </c>
      <c r="H3000" s="8">
        <v>918</v>
      </c>
      <c r="I3000" s="8">
        <v>2014</v>
      </c>
    </row>
    <row r="3001" spans="1:9" x14ac:dyDescent="0.2">
      <c r="A3001" t="s">
        <v>436</v>
      </c>
      <c r="B3001" t="s">
        <v>686</v>
      </c>
      <c r="C3001" t="str">
        <f t="shared" si="140"/>
        <v>19647330000000</v>
      </c>
      <c r="D3001" t="s">
        <v>4726</v>
      </c>
      <c r="E3001" t="str">
        <f>"19647331930866"</f>
        <v>19647331930866</v>
      </c>
      <c r="F3001" s="8">
        <v>1758</v>
      </c>
      <c r="G3001" s="8">
        <v>9429</v>
      </c>
      <c r="H3001" s="8">
        <v>918</v>
      </c>
      <c r="I3001" s="8">
        <v>2038</v>
      </c>
    </row>
    <row r="3002" spans="1:9" x14ac:dyDescent="0.2">
      <c r="A3002" t="s">
        <v>436</v>
      </c>
      <c r="B3002" t="s">
        <v>686</v>
      </c>
      <c r="C3002" t="str">
        <f t="shared" si="140"/>
        <v>19647330000000</v>
      </c>
      <c r="D3002" t="s">
        <v>4727</v>
      </c>
      <c r="E3002" t="str">
        <f>"19647336017529"</f>
        <v>19647336017529</v>
      </c>
      <c r="F3002" s="8">
        <v>1249</v>
      </c>
      <c r="G3002" s="8">
        <v>9960</v>
      </c>
      <c r="H3002" s="8">
        <v>918</v>
      </c>
      <c r="I3002" s="8">
        <v>2011</v>
      </c>
    </row>
    <row r="3003" spans="1:9" x14ac:dyDescent="0.2">
      <c r="A3003" t="s">
        <v>436</v>
      </c>
      <c r="B3003" t="s">
        <v>686</v>
      </c>
      <c r="C3003" t="str">
        <f t="shared" si="140"/>
        <v>19647330000000</v>
      </c>
      <c r="D3003" t="s">
        <v>4728</v>
      </c>
      <c r="E3003" t="str">
        <f>"19647330109454"</f>
        <v>19647330109454</v>
      </c>
      <c r="F3003" s="8">
        <v>1736</v>
      </c>
      <c r="G3003" s="8">
        <v>9433</v>
      </c>
      <c r="H3003" s="8">
        <v>916</v>
      </c>
      <c r="I3003" s="8">
        <v>2033</v>
      </c>
    </row>
    <row r="3004" spans="1:9" x14ac:dyDescent="0.2">
      <c r="A3004" t="s">
        <v>436</v>
      </c>
      <c r="B3004" t="s">
        <v>686</v>
      </c>
      <c r="C3004" t="str">
        <f t="shared" si="140"/>
        <v>19647330000000</v>
      </c>
      <c r="D3004" t="s">
        <v>4729</v>
      </c>
      <c r="E3004" t="str">
        <f>"19647330126557"</f>
        <v>19647330126557</v>
      </c>
      <c r="F3004" s="8">
        <v>2275</v>
      </c>
      <c r="G3004" s="8">
        <v>8873</v>
      </c>
      <c r="H3004" s="8">
        <v>916</v>
      </c>
      <c r="I3004" s="8">
        <v>2031</v>
      </c>
    </row>
    <row r="3005" spans="1:9" x14ac:dyDescent="0.2">
      <c r="A3005" t="s">
        <v>436</v>
      </c>
      <c r="B3005" t="s">
        <v>686</v>
      </c>
      <c r="C3005" t="str">
        <f t="shared" si="140"/>
        <v>19647330000000</v>
      </c>
      <c r="D3005" t="s">
        <v>4730</v>
      </c>
      <c r="E3005" t="str">
        <f>"19647336057939"</f>
        <v>19647336057939</v>
      </c>
      <c r="F3005" s="8">
        <v>1388</v>
      </c>
      <c r="G3005" s="8">
        <v>9745</v>
      </c>
      <c r="H3005" s="8">
        <v>918</v>
      </c>
      <c r="I3005" s="8">
        <v>2038</v>
      </c>
    </row>
    <row r="3006" spans="1:9" x14ac:dyDescent="0.2">
      <c r="A3006" t="s">
        <v>436</v>
      </c>
      <c r="B3006" t="s">
        <v>686</v>
      </c>
      <c r="C3006" t="str">
        <f t="shared" si="140"/>
        <v>19647330000000</v>
      </c>
      <c r="D3006" t="s">
        <v>4731</v>
      </c>
      <c r="E3006" t="str">
        <f>"19647336019293"</f>
        <v>19647336019293</v>
      </c>
      <c r="F3006" s="8">
        <v>1926</v>
      </c>
      <c r="G3006" s="8">
        <v>9212</v>
      </c>
      <c r="H3006" s="8">
        <v>912</v>
      </c>
      <c r="I3006" s="8">
        <v>2035</v>
      </c>
    </row>
    <row r="3007" spans="1:9" x14ac:dyDescent="0.2">
      <c r="A3007" t="s">
        <v>436</v>
      </c>
      <c r="B3007" t="s">
        <v>686</v>
      </c>
      <c r="C3007" t="str">
        <f t="shared" si="140"/>
        <v>19647330000000</v>
      </c>
      <c r="D3007" t="s">
        <v>4732</v>
      </c>
      <c r="E3007" t="str">
        <f>"19647336019467"</f>
        <v>19647336019467</v>
      </c>
      <c r="F3007" s="8">
        <v>1030</v>
      </c>
      <c r="G3007" s="8">
        <v>10037</v>
      </c>
      <c r="H3007" s="8">
        <v>935</v>
      </c>
      <c r="I3007" s="8">
        <v>2069</v>
      </c>
    </row>
    <row r="3008" spans="1:9" x14ac:dyDescent="0.2">
      <c r="A3008" t="s">
        <v>436</v>
      </c>
      <c r="B3008" t="s">
        <v>686</v>
      </c>
      <c r="C3008" t="str">
        <f t="shared" si="140"/>
        <v>19647330000000</v>
      </c>
      <c r="D3008" t="s">
        <v>4733</v>
      </c>
      <c r="E3008" t="str">
        <f>"19647330126599"</f>
        <v>19647330126599</v>
      </c>
      <c r="F3008" s="8">
        <v>1710</v>
      </c>
      <c r="G3008" s="8">
        <v>9406</v>
      </c>
      <c r="H3008" s="8">
        <v>916</v>
      </c>
      <c r="I3008" s="8">
        <v>2034</v>
      </c>
    </row>
    <row r="3009" spans="1:9" x14ac:dyDescent="0.2">
      <c r="A3009" t="s">
        <v>436</v>
      </c>
      <c r="B3009" t="s">
        <v>686</v>
      </c>
      <c r="C3009" t="str">
        <f t="shared" si="140"/>
        <v>19647330000000</v>
      </c>
      <c r="D3009" t="s">
        <v>4734</v>
      </c>
      <c r="E3009" t="str">
        <f>"19647336016992"</f>
        <v>19647336016992</v>
      </c>
      <c r="F3009" s="8">
        <v>1697</v>
      </c>
      <c r="G3009" s="8">
        <v>9361</v>
      </c>
      <c r="H3009" s="8">
        <v>938</v>
      </c>
      <c r="I3009" s="8">
        <v>2065</v>
      </c>
    </row>
    <row r="3010" spans="1:9" x14ac:dyDescent="0.2">
      <c r="A3010" t="s">
        <v>436</v>
      </c>
      <c r="B3010" t="s">
        <v>686</v>
      </c>
      <c r="C3010" t="str">
        <f t="shared" si="140"/>
        <v>19647330000000</v>
      </c>
      <c r="D3010" t="s">
        <v>4735</v>
      </c>
      <c r="E3010" t="str">
        <f>"19647330126532"</f>
        <v>19647330126532</v>
      </c>
      <c r="F3010" s="8">
        <v>1555</v>
      </c>
      <c r="G3010" s="8">
        <v>9542</v>
      </c>
      <c r="H3010" s="8">
        <v>918</v>
      </c>
      <c r="I3010" s="8">
        <v>2041</v>
      </c>
    </row>
    <row r="3011" spans="1:9" x14ac:dyDescent="0.2">
      <c r="A3011" t="s">
        <v>436</v>
      </c>
      <c r="B3011" t="s">
        <v>686</v>
      </c>
      <c r="C3011" t="str">
        <f t="shared" si="140"/>
        <v>19647330000000</v>
      </c>
      <c r="D3011" t="s">
        <v>4736</v>
      </c>
      <c r="E3011" t="str">
        <f>"19647330124396"</f>
        <v>19647330124396</v>
      </c>
      <c r="F3011" s="8">
        <v>1367</v>
      </c>
      <c r="G3011" s="8">
        <v>9723</v>
      </c>
      <c r="H3011" s="8">
        <v>918</v>
      </c>
      <c r="I3011" s="8">
        <v>2044</v>
      </c>
    </row>
    <row r="3012" spans="1:9" x14ac:dyDescent="0.2">
      <c r="A3012" t="s">
        <v>436</v>
      </c>
      <c r="B3012" t="s">
        <v>686</v>
      </c>
      <c r="C3012" t="str">
        <f t="shared" si="140"/>
        <v>19647330000000</v>
      </c>
      <c r="D3012" t="s">
        <v>4737</v>
      </c>
      <c r="E3012" t="str">
        <f>"19647336016687"</f>
        <v>19647336016687</v>
      </c>
      <c r="F3012" s="8">
        <v>1465</v>
      </c>
      <c r="G3012" s="8">
        <v>9610</v>
      </c>
      <c r="H3012" s="8">
        <v>920</v>
      </c>
      <c r="I3012" s="8">
        <v>2049</v>
      </c>
    </row>
    <row r="3013" spans="1:9" x14ac:dyDescent="0.2">
      <c r="A3013" t="s">
        <v>436</v>
      </c>
      <c r="B3013" t="s">
        <v>686</v>
      </c>
      <c r="C3013" t="str">
        <f t="shared" si="140"/>
        <v>19647330000000</v>
      </c>
      <c r="D3013" t="s">
        <v>4738</v>
      </c>
      <c r="E3013" t="str">
        <f>"19647330112060"</f>
        <v>19647330112060</v>
      </c>
      <c r="F3013" s="8">
        <v>766</v>
      </c>
      <c r="G3013" s="8">
        <v>10325</v>
      </c>
      <c r="H3013" s="8">
        <v>921</v>
      </c>
      <c r="I3013" s="8">
        <v>2025</v>
      </c>
    </row>
    <row r="3014" spans="1:9" x14ac:dyDescent="0.2">
      <c r="A3014" t="s">
        <v>436</v>
      </c>
      <c r="B3014" t="s">
        <v>686</v>
      </c>
      <c r="C3014" t="str">
        <f t="shared" si="140"/>
        <v>19647330000000</v>
      </c>
      <c r="D3014" t="s">
        <v>4739</v>
      </c>
      <c r="E3014" t="str">
        <f>"19647336016398"</f>
        <v>19647336016398</v>
      </c>
      <c r="F3014" s="8">
        <v>1083</v>
      </c>
      <c r="G3014" s="8">
        <v>9932</v>
      </c>
      <c r="H3014" s="8">
        <v>937</v>
      </c>
      <c r="I3014" s="8">
        <v>2072</v>
      </c>
    </row>
    <row r="3015" spans="1:9" x14ac:dyDescent="0.2">
      <c r="A3015" t="s">
        <v>436</v>
      </c>
      <c r="B3015" t="s">
        <v>686</v>
      </c>
      <c r="C3015" t="str">
        <f t="shared" si="140"/>
        <v>19647330000000</v>
      </c>
      <c r="D3015" t="s">
        <v>4740</v>
      </c>
      <c r="E3015" t="str">
        <f>"19647330124495"</f>
        <v>19647330124495</v>
      </c>
      <c r="F3015" s="8">
        <v>1747</v>
      </c>
      <c r="G3015" s="8">
        <v>9321</v>
      </c>
      <c r="H3015" s="8">
        <v>911</v>
      </c>
      <c r="I3015" s="8">
        <v>2044</v>
      </c>
    </row>
    <row r="3016" spans="1:9" x14ac:dyDescent="0.2">
      <c r="A3016" t="s">
        <v>436</v>
      </c>
      <c r="B3016" t="s">
        <v>686</v>
      </c>
      <c r="C3016" t="str">
        <f t="shared" si="140"/>
        <v>19647330000000</v>
      </c>
      <c r="D3016" t="s">
        <v>4741</v>
      </c>
      <c r="E3016" t="str">
        <f>"19647330137091"</f>
        <v>19647330137091</v>
      </c>
      <c r="F3016" s="8">
        <v>2253</v>
      </c>
      <c r="G3016" s="8">
        <v>8822</v>
      </c>
      <c r="H3016" s="8">
        <v>911</v>
      </c>
      <c r="I3016" s="8">
        <v>2037</v>
      </c>
    </row>
    <row r="3017" spans="1:9" x14ac:dyDescent="0.2">
      <c r="A3017" t="s">
        <v>436</v>
      </c>
      <c r="B3017" t="s">
        <v>686</v>
      </c>
      <c r="C3017" t="str">
        <f t="shared" si="140"/>
        <v>19647330000000</v>
      </c>
      <c r="D3017" t="s">
        <v>4742</v>
      </c>
      <c r="E3017" t="str">
        <f>"19647331933795"</f>
        <v>19647331933795</v>
      </c>
      <c r="F3017" s="8">
        <v>1432</v>
      </c>
      <c r="G3017" s="8">
        <v>9644</v>
      </c>
      <c r="H3017" s="8">
        <v>916</v>
      </c>
      <c r="I3017" s="8">
        <v>2016</v>
      </c>
    </row>
    <row r="3018" spans="1:9" x14ac:dyDescent="0.2">
      <c r="A3018" t="s">
        <v>436</v>
      </c>
      <c r="B3018" t="s">
        <v>686</v>
      </c>
      <c r="C3018" t="str">
        <f t="shared" si="140"/>
        <v>19647330000000</v>
      </c>
      <c r="D3018" t="s">
        <v>4743</v>
      </c>
      <c r="E3018" t="str">
        <f>"19647336058309"</f>
        <v>19647336058309</v>
      </c>
      <c r="F3018" s="8">
        <v>1550</v>
      </c>
      <c r="G3018" s="8">
        <v>9502</v>
      </c>
      <c r="H3018" s="8">
        <v>916</v>
      </c>
      <c r="I3018" s="8">
        <v>2030</v>
      </c>
    </row>
    <row r="3019" spans="1:9" x14ac:dyDescent="0.2">
      <c r="A3019" t="s">
        <v>436</v>
      </c>
      <c r="B3019" t="s">
        <v>686</v>
      </c>
      <c r="C3019" t="str">
        <f t="shared" si="140"/>
        <v>19647330000000</v>
      </c>
      <c r="D3019" t="s">
        <v>4744</v>
      </c>
      <c r="E3019" t="str">
        <f>"19647330125971"</f>
        <v>19647330125971</v>
      </c>
      <c r="F3019" s="8">
        <v>1530</v>
      </c>
      <c r="G3019" s="8">
        <v>9524</v>
      </c>
      <c r="H3019" s="8">
        <v>916</v>
      </c>
      <c r="I3019" s="8">
        <v>2027</v>
      </c>
    </row>
    <row r="3020" spans="1:9" x14ac:dyDescent="0.2">
      <c r="A3020" t="s">
        <v>436</v>
      </c>
      <c r="B3020" t="s">
        <v>686</v>
      </c>
      <c r="C3020" t="str">
        <f t="shared" si="140"/>
        <v>19647330000000</v>
      </c>
      <c r="D3020" t="s">
        <v>4745</v>
      </c>
      <c r="E3020" t="str">
        <f>"19647336018634"</f>
        <v>19647336018634</v>
      </c>
      <c r="F3020" s="8">
        <v>1050</v>
      </c>
      <c r="G3020" s="8">
        <v>9942</v>
      </c>
      <c r="H3020" s="8">
        <v>938</v>
      </c>
      <c r="I3020" s="8">
        <v>2063</v>
      </c>
    </row>
    <row r="3021" spans="1:9" x14ac:dyDescent="0.2">
      <c r="A3021" t="s">
        <v>436</v>
      </c>
      <c r="B3021" t="s">
        <v>686</v>
      </c>
      <c r="C3021" t="str">
        <f t="shared" si="140"/>
        <v>19647330000000</v>
      </c>
      <c r="D3021" t="s">
        <v>4746</v>
      </c>
      <c r="E3021" t="str">
        <f>"19647336058069"</f>
        <v>19647336058069</v>
      </c>
      <c r="F3021" s="8">
        <v>1180</v>
      </c>
      <c r="G3021" s="8">
        <v>9858</v>
      </c>
      <c r="H3021" s="8">
        <v>918</v>
      </c>
      <c r="I3021" s="8">
        <v>2012</v>
      </c>
    </row>
    <row r="3022" spans="1:9" x14ac:dyDescent="0.2">
      <c r="A3022" t="s">
        <v>436</v>
      </c>
      <c r="B3022" t="s">
        <v>686</v>
      </c>
      <c r="C3022" t="str">
        <f t="shared" si="140"/>
        <v>19647330000000</v>
      </c>
      <c r="D3022" t="s">
        <v>4747</v>
      </c>
      <c r="E3022" t="str">
        <f>"19647330106997"</f>
        <v>19647330106997</v>
      </c>
      <c r="F3022" s="8">
        <v>1708</v>
      </c>
      <c r="G3022" s="8">
        <v>9272</v>
      </c>
      <c r="H3022" s="8">
        <v>936</v>
      </c>
      <c r="I3022" s="8">
        <v>2052</v>
      </c>
    </row>
    <row r="3023" spans="1:9" x14ac:dyDescent="0.2">
      <c r="A3023" t="s">
        <v>436</v>
      </c>
      <c r="B3023" t="s">
        <v>686</v>
      </c>
      <c r="C3023" t="str">
        <f t="shared" si="140"/>
        <v>19647330000000</v>
      </c>
      <c r="D3023" t="s">
        <v>4748</v>
      </c>
      <c r="E3023" t="str">
        <f>"19647336019798"</f>
        <v>19647336019798</v>
      </c>
      <c r="F3023" s="8">
        <v>1229</v>
      </c>
      <c r="G3023" s="8">
        <v>9778</v>
      </c>
      <c r="H3023" s="8">
        <v>918</v>
      </c>
      <c r="I3023" s="8">
        <v>2016</v>
      </c>
    </row>
    <row r="3024" spans="1:9" x14ac:dyDescent="0.2">
      <c r="A3024" t="s">
        <v>436</v>
      </c>
      <c r="B3024" t="s">
        <v>686</v>
      </c>
      <c r="C3024" t="str">
        <f t="shared" si="140"/>
        <v>19647330000000</v>
      </c>
      <c r="D3024" t="s">
        <v>4749</v>
      </c>
      <c r="E3024" t="str">
        <f>"19647330106989"</f>
        <v>19647330106989</v>
      </c>
      <c r="F3024" s="8">
        <v>1887</v>
      </c>
      <c r="G3024" s="8">
        <v>9069</v>
      </c>
      <c r="H3024" s="8">
        <v>916</v>
      </c>
      <c r="I3024" s="8">
        <v>2029</v>
      </c>
    </row>
    <row r="3025" spans="1:9" x14ac:dyDescent="0.2">
      <c r="A3025" t="s">
        <v>436</v>
      </c>
      <c r="B3025" t="s">
        <v>686</v>
      </c>
      <c r="C3025" t="str">
        <f t="shared" si="140"/>
        <v>19647330000000</v>
      </c>
      <c r="D3025" t="s">
        <v>4750</v>
      </c>
      <c r="E3025" t="str">
        <f>"19647336016521"</f>
        <v>19647336016521</v>
      </c>
      <c r="F3025" s="8">
        <v>1381</v>
      </c>
      <c r="G3025" s="8">
        <v>9509</v>
      </c>
      <c r="H3025" s="8">
        <v>937</v>
      </c>
      <c r="I3025" s="8">
        <v>2071</v>
      </c>
    </row>
    <row r="3026" spans="1:9" x14ac:dyDescent="0.2">
      <c r="A3026" t="s">
        <v>436</v>
      </c>
      <c r="B3026" t="s">
        <v>686</v>
      </c>
      <c r="C3026" t="str">
        <f t="shared" si="140"/>
        <v>19647330000000</v>
      </c>
      <c r="D3026" t="s">
        <v>4751</v>
      </c>
      <c r="E3026" t="str">
        <f>"19647330107003"</f>
        <v>19647330107003</v>
      </c>
      <c r="F3026" s="8">
        <v>1328</v>
      </c>
      <c r="G3026" s="8">
        <v>9636</v>
      </c>
      <c r="H3026" s="8">
        <v>918</v>
      </c>
      <c r="I3026" s="8">
        <v>2015</v>
      </c>
    </row>
    <row r="3027" spans="1:9" x14ac:dyDescent="0.2">
      <c r="A3027" t="s">
        <v>436</v>
      </c>
      <c r="B3027" t="s">
        <v>686</v>
      </c>
      <c r="C3027" t="str">
        <f t="shared" si="140"/>
        <v>19647330000000</v>
      </c>
      <c r="D3027" t="s">
        <v>4752</v>
      </c>
      <c r="E3027" t="str">
        <f>"19647336018352"</f>
        <v>19647336018352</v>
      </c>
      <c r="F3027" s="8">
        <v>1893</v>
      </c>
      <c r="G3027" s="8">
        <v>8886</v>
      </c>
      <c r="H3027" s="8">
        <v>932</v>
      </c>
      <c r="I3027" s="8">
        <v>2155</v>
      </c>
    </row>
    <row r="3028" spans="1:9" x14ac:dyDescent="0.2">
      <c r="A3028" t="s">
        <v>436</v>
      </c>
      <c r="B3028" t="s">
        <v>686</v>
      </c>
      <c r="C3028" t="str">
        <f t="shared" si="140"/>
        <v>19647330000000</v>
      </c>
      <c r="D3028" t="s">
        <v>4753</v>
      </c>
      <c r="E3028" t="str">
        <f>"19647336020010"</f>
        <v>19647336020010</v>
      </c>
      <c r="F3028" s="8">
        <v>920</v>
      </c>
      <c r="G3028" s="8">
        <v>9916</v>
      </c>
      <c r="H3028" s="8">
        <v>937</v>
      </c>
      <c r="I3028" s="8">
        <v>2083</v>
      </c>
    </row>
    <row r="3029" spans="1:9" x14ac:dyDescent="0.2">
      <c r="A3029" t="s">
        <v>436</v>
      </c>
      <c r="B3029" t="s">
        <v>686</v>
      </c>
      <c r="C3029" t="str">
        <f t="shared" si="140"/>
        <v>19647330000000</v>
      </c>
      <c r="D3029" t="s">
        <v>710</v>
      </c>
      <c r="E3029" t="str">
        <f>"19647336018238"</f>
        <v>19647336018238</v>
      </c>
      <c r="F3029" s="8">
        <v>1557</v>
      </c>
      <c r="G3029" s="8">
        <v>9283</v>
      </c>
      <c r="H3029" s="8">
        <v>936</v>
      </c>
      <c r="I3029" s="8">
        <v>2074</v>
      </c>
    </row>
    <row r="3030" spans="1:9" x14ac:dyDescent="0.2">
      <c r="A3030" t="s">
        <v>436</v>
      </c>
      <c r="B3030" t="s">
        <v>686</v>
      </c>
      <c r="C3030" t="str">
        <f t="shared" si="140"/>
        <v>19647330000000</v>
      </c>
      <c r="D3030" t="s">
        <v>4754</v>
      </c>
      <c r="E3030" t="str">
        <f>"19647330126383"</f>
        <v>19647330126383</v>
      </c>
      <c r="F3030" s="8">
        <v>1460</v>
      </c>
      <c r="G3030" s="8">
        <v>9294</v>
      </c>
      <c r="H3030" s="8">
        <v>947</v>
      </c>
      <c r="I3030" s="8">
        <v>2112</v>
      </c>
    </row>
    <row r="3031" spans="1:9" x14ac:dyDescent="0.2">
      <c r="A3031" t="s">
        <v>436</v>
      </c>
      <c r="B3031" t="s">
        <v>686</v>
      </c>
      <c r="C3031" t="str">
        <f t="shared" ref="C3031:C3094" si="141">"19647330000000"</f>
        <v>19647330000000</v>
      </c>
      <c r="D3031" t="s">
        <v>3608</v>
      </c>
      <c r="E3031" t="str">
        <f>"19647336057954"</f>
        <v>19647336057954</v>
      </c>
      <c r="F3031" s="8">
        <v>1731</v>
      </c>
      <c r="G3031" s="8">
        <v>9134</v>
      </c>
      <c r="H3031" s="8">
        <v>920</v>
      </c>
      <c r="I3031" s="8">
        <v>2023</v>
      </c>
    </row>
    <row r="3032" spans="1:9" x14ac:dyDescent="0.2">
      <c r="A3032" t="s">
        <v>436</v>
      </c>
      <c r="B3032" t="s">
        <v>686</v>
      </c>
      <c r="C3032" t="str">
        <f t="shared" si="141"/>
        <v>19647330000000</v>
      </c>
      <c r="D3032" t="s">
        <v>4755</v>
      </c>
      <c r="E3032" t="str">
        <f>"19647330119685"</f>
        <v>19647330119685</v>
      </c>
      <c r="F3032" s="8">
        <v>2074</v>
      </c>
      <c r="G3032" s="8">
        <v>8760</v>
      </c>
      <c r="H3032" s="8">
        <v>919</v>
      </c>
      <c r="I3032" s="8">
        <v>2052</v>
      </c>
    </row>
    <row r="3033" spans="1:9" x14ac:dyDescent="0.2">
      <c r="A3033" t="s">
        <v>436</v>
      </c>
      <c r="B3033" t="s">
        <v>686</v>
      </c>
      <c r="C3033" t="str">
        <f t="shared" si="141"/>
        <v>19647330000000</v>
      </c>
      <c r="D3033" t="s">
        <v>4756</v>
      </c>
      <c r="E3033" t="str">
        <f>"19647336019475"</f>
        <v>19647336019475</v>
      </c>
      <c r="F3033" s="8">
        <v>1426</v>
      </c>
      <c r="G3033" s="8">
        <v>9408</v>
      </c>
      <c r="H3033" s="8">
        <v>925</v>
      </c>
      <c r="I3033" s="8">
        <v>2044</v>
      </c>
    </row>
    <row r="3034" spans="1:9" x14ac:dyDescent="0.2">
      <c r="A3034" t="s">
        <v>436</v>
      </c>
      <c r="B3034" t="s">
        <v>686</v>
      </c>
      <c r="C3034" t="str">
        <f t="shared" si="141"/>
        <v>19647330000000</v>
      </c>
      <c r="D3034" t="s">
        <v>4757</v>
      </c>
      <c r="E3034" t="str">
        <f>"19647336016562"</f>
        <v>19647336016562</v>
      </c>
      <c r="F3034" s="8">
        <v>1036</v>
      </c>
      <c r="G3034" s="8">
        <v>9827</v>
      </c>
      <c r="H3034" s="8">
        <v>919</v>
      </c>
      <c r="I3034" s="8">
        <v>2018</v>
      </c>
    </row>
    <row r="3035" spans="1:9" x14ac:dyDescent="0.2">
      <c r="A3035" t="s">
        <v>436</v>
      </c>
      <c r="B3035" t="s">
        <v>686</v>
      </c>
      <c r="C3035" t="str">
        <f t="shared" si="141"/>
        <v>19647330000000</v>
      </c>
      <c r="D3035" t="s">
        <v>4758</v>
      </c>
      <c r="E3035" t="str">
        <f>"19647331932540"</f>
        <v>19647331932540</v>
      </c>
      <c r="F3035" s="8">
        <v>1009</v>
      </c>
      <c r="G3035" s="8">
        <v>9798</v>
      </c>
      <c r="H3035" s="8">
        <v>919</v>
      </c>
      <c r="I3035" s="8">
        <v>2045</v>
      </c>
    </row>
    <row r="3036" spans="1:9" x14ac:dyDescent="0.2">
      <c r="A3036" t="s">
        <v>436</v>
      </c>
      <c r="B3036" t="s">
        <v>686</v>
      </c>
      <c r="C3036" t="str">
        <f t="shared" si="141"/>
        <v>19647330000000</v>
      </c>
      <c r="D3036" t="s">
        <v>4759</v>
      </c>
      <c r="E3036" t="str">
        <f>"19647336018113"</f>
        <v>19647336018113</v>
      </c>
      <c r="F3036" s="8">
        <v>1321</v>
      </c>
      <c r="G3036" s="8">
        <v>9427</v>
      </c>
      <c r="H3036" s="8">
        <v>935</v>
      </c>
      <c r="I3036" s="8">
        <v>2074</v>
      </c>
    </row>
    <row r="3037" spans="1:9" x14ac:dyDescent="0.2">
      <c r="A3037" t="s">
        <v>436</v>
      </c>
      <c r="B3037" t="s">
        <v>686</v>
      </c>
      <c r="C3037" t="str">
        <f t="shared" si="141"/>
        <v>19647330000000</v>
      </c>
      <c r="D3037" t="s">
        <v>4760</v>
      </c>
      <c r="E3037" t="str">
        <f>"19647336017974"</f>
        <v>19647336017974</v>
      </c>
      <c r="F3037" s="8">
        <v>1605</v>
      </c>
      <c r="G3037" s="8">
        <v>9185</v>
      </c>
      <c r="H3037" s="8">
        <v>916</v>
      </c>
      <c r="I3037" s="8">
        <v>2041</v>
      </c>
    </row>
    <row r="3038" spans="1:9" x14ac:dyDescent="0.2">
      <c r="A3038" t="s">
        <v>436</v>
      </c>
      <c r="B3038" t="s">
        <v>686</v>
      </c>
      <c r="C3038" t="str">
        <f t="shared" si="141"/>
        <v>19647330000000</v>
      </c>
      <c r="D3038" t="s">
        <v>4761</v>
      </c>
      <c r="E3038" t="str">
        <f>"19647330126425"</f>
        <v>19647330126425</v>
      </c>
      <c r="F3038" s="8">
        <v>1611</v>
      </c>
      <c r="G3038" s="8">
        <v>9112</v>
      </c>
      <c r="H3038" s="8">
        <v>938</v>
      </c>
      <c r="I3038" s="8">
        <v>2076</v>
      </c>
    </row>
    <row r="3039" spans="1:9" x14ac:dyDescent="0.2">
      <c r="A3039" t="s">
        <v>436</v>
      </c>
      <c r="B3039" t="s">
        <v>686</v>
      </c>
      <c r="C3039" t="str">
        <f t="shared" si="141"/>
        <v>19647330000000</v>
      </c>
      <c r="D3039" t="s">
        <v>4762</v>
      </c>
      <c r="E3039" t="str">
        <f>"19647336058374"</f>
        <v>19647336058374</v>
      </c>
      <c r="F3039" s="8">
        <v>1521</v>
      </c>
      <c r="G3039" s="8">
        <v>9253</v>
      </c>
      <c r="H3039" s="8">
        <v>911</v>
      </c>
      <c r="I3039" s="8">
        <v>2033</v>
      </c>
    </row>
    <row r="3040" spans="1:9" x14ac:dyDescent="0.2">
      <c r="A3040" t="s">
        <v>436</v>
      </c>
      <c r="B3040" t="s">
        <v>686</v>
      </c>
      <c r="C3040" t="str">
        <f t="shared" si="141"/>
        <v>19647330000000</v>
      </c>
      <c r="D3040" t="s">
        <v>4763</v>
      </c>
      <c r="E3040" t="str">
        <f>"19647336019426"</f>
        <v>19647336019426</v>
      </c>
      <c r="F3040" s="8">
        <v>983</v>
      </c>
      <c r="G3040" s="8">
        <v>9778</v>
      </c>
      <c r="H3040" s="8">
        <v>919</v>
      </c>
      <c r="I3040" s="8">
        <v>2022</v>
      </c>
    </row>
    <row r="3041" spans="1:9" x14ac:dyDescent="0.2">
      <c r="A3041" t="s">
        <v>436</v>
      </c>
      <c r="B3041" t="s">
        <v>686</v>
      </c>
      <c r="C3041" t="str">
        <f t="shared" si="141"/>
        <v>19647330000000</v>
      </c>
      <c r="D3041" t="s">
        <v>4764</v>
      </c>
      <c r="E3041" t="str">
        <f>"19647330126524"</f>
        <v>19647330126524</v>
      </c>
      <c r="F3041" s="8">
        <v>1417</v>
      </c>
      <c r="G3041" s="8">
        <v>9317</v>
      </c>
      <c r="H3041" s="8">
        <v>918</v>
      </c>
      <c r="I3041" s="8">
        <v>2039</v>
      </c>
    </row>
    <row r="3042" spans="1:9" x14ac:dyDescent="0.2">
      <c r="A3042" t="s">
        <v>436</v>
      </c>
      <c r="B3042" t="s">
        <v>686</v>
      </c>
      <c r="C3042" t="str">
        <f t="shared" si="141"/>
        <v>19647330000000</v>
      </c>
      <c r="D3042" t="s">
        <v>4765</v>
      </c>
      <c r="E3042" t="str">
        <f>"19647336016323"</f>
        <v>19647336016323</v>
      </c>
      <c r="F3042" s="8">
        <v>1243</v>
      </c>
      <c r="G3042" s="8">
        <v>9431</v>
      </c>
      <c r="H3042" s="8">
        <v>940</v>
      </c>
      <c r="I3042" s="8">
        <v>2069</v>
      </c>
    </row>
    <row r="3043" spans="1:9" x14ac:dyDescent="0.2">
      <c r="A3043" t="s">
        <v>436</v>
      </c>
      <c r="B3043" t="s">
        <v>686</v>
      </c>
      <c r="C3043" t="str">
        <f t="shared" si="141"/>
        <v>19647330000000</v>
      </c>
      <c r="D3043" t="s">
        <v>4766</v>
      </c>
      <c r="E3043" t="str">
        <f>"19647330126466"</f>
        <v>19647330126466</v>
      </c>
      <c r="F3043" s="8">
        <v>1642</v>
      </c>
      <c r="G3043" s="8">
        <v>9049</v>
      </c>
      <c r="H3043" s="8">
        <v>918</v>
      </c>
      <c r="I3043" s="8">
        <v>2038</v>
      </c>
    </row>
    <row r="3044" spans="1:9" x14ac:dyDescent="0.2">
      <c r="A3044" t="s">
        <v>436</v>
      </c>
      <c r="B3044" t="s">
        <v>686</v>
      </c>
      <c r="C3044" t="str">
        <f t="shared" si="141"/>
        <v>19647330000000</v>
      </c>
      <c r="D3044" t="s">
        <v>4767</v>
      </c>
      <c r="E3044" t="str">
        <f>"19647331932888"</f>
        <v>19647331932888</v>
      </c>
      <c r="F3044" s="8">
        <v>1402</v>
      </c>
      <c r="G3044" s="8">
        <v>9337</v>
      </c>
      <c r="H3044" s="8">
        <v>904</v>
      </c>
      <c r="I3044" s="8">
        <v>1986</v>
      </c>
    </row>
    <row r="3045" spans="1:9" x14ac:dyDescent="0.2">
      <c r="A3045" t="s">
        <v>436</v>
      </c>
      <c r="B3045" t="s">
        <v>686</v>
      </c>
      <c r="C3045" t="str">
        <f t="shared" si="141"/>
        <v>19647330000000</v>
      </c>
      <c r="D3045" t="s">
        <v>4768</v>
      </c>
      <c r="E3045" t="str">
        <f>"19647330126581"</f>
        <v>19647330126581</v>
      </c>
      <c r="F3045" s="8">
        <v>1487</v>
      </c>
      <c r="G3045" s="8">
        <v>9195</v>
      </c>
      <c r="H3045" s="8">
        <v>911</v>
      </c>
      <c r="I3045" s="8">
        <v>2034</v>
      </c>
    </row>
    <row r="3046" spans="1:9" x14ac:dyDescent="0.2">
      <c r="A3046" t="s">
        <v>436</v>
      </c>
      <c r="B3046" t="s">
        <v>686</v>
      </c>
      <c r="C3046" t="str">
        <f t="shared" si="141"/>
        <v>19647330000000</v>
      </c>
      <c r="D3046" t="s">
        <v>4769</v>
      </c>
      <c r="E3046" t="str">
        <f>"19647336061436"</f>
        <v>19647336061436</v>
      </c>
      <c r="F3046" s="8">
        <v>1277</v>
      </c>
      <c r="G3046" s="8">
        <v>9400</v>
      </c>
      <c r="H3046" s="8">
        <v>920</v>
      </c>
      <c r="I3046" s="8">
        <v>2030</v>
      </c>
    </row>
    <row r="3047" spans="1:9" x14ac:dyDescent="0.2">
      <c r="A3047" t="s">
        <v>436</v>
      </c>
      <c r="B3047" t="s">
        <v>686</v>
      </c>
      <c r="C3047" t="str">
        <f t="shared" si="141"/>
        <v>19647330000000</v>
      </c>
      <c r="D3047" t="s">
        <v>4770</v>
      </c>
      <c r="E3047" t="str">
        <f>"19647336018964"</f>
        <v>19647336018964</v>
      </c>
      <c r="F3047" s="8">
        <v>910</v>
      </c>
      <c r="G3047" s="8">
        <v>9705</v>
      </c>
      <c r="H3047" s="8">
        <v>939</v>
      </c>
      <c r="I3047" s="8">
        <v>2065</v>
      </c>
    </row>
    <row r="3048" spans="1:9" x14ac:dyDescent="0.2">
      <c r="A3048" t="s">
        <v>436</v>
      </c>
      <c r="B3048" t="s">
        <v>686</v>
      </c>
      <c r="C3048" t="str">
        <f t="shared" si="141"/>
        <v>19647330000000</v>
      </c>
      <c r="D3048" t="s">
        <v>4771</v>
      </c>
      <c r="E3048" t="str">
        <f>"19647336016778"</f>
        <v>19647336016778</v>
      </c>
      <c r="F3048" s="8">
        <v>1076</v>
      </c>
      <c r="G3048" s="8">
        <v>9573</v>
      </c>
      <c r="H3048" s="8">
        <v>916</v>
      </c>
      <c r="I3048" s="8">
        <v>2018</v>
      </c>
    </row>
    <row r="3049" spans="1:9" x14ac:dyDescent="0.2">
      <c r="A3049" t="s">
        <v>436</v>
      </c>
      <c r="B3049" t="s">
        <v>686</v>
      </c>
      <c r="C3049" t="str">
        <f t="shared" si="141"/>
        <v>19647330000000</v>
      </c>
      <c r="D3049" t="s">
        <v>4772</v>
      </c>
      <c r="E3049" t="str">
        <f>"19647336018048"</f>
        <v>19647336018048</v>
      </c>
      <c r="F3049" s="8">
        <v>818</v>
      </c>
      <c r="G3049" s="8">
        <v>9738</v>
      </c>
      <c r="H3049" s="8">
        <v>935</v>
      </c>
      <c r="I3049" s="8">
        <v>2070</v>
      </c>
    </row>
    <row r="3050" spans="1:9" x14ac:dyDescent="0.2">
      <c r="A3050" t="s">
        <v>436</v>
      </c>
      <c r="B3050" t="s">
        <v>686</v>
      </c>
      <c r="C3050" t="str">
        <f t="shared" si="141"/>
        <v>19647330000000</v>
      </c>
      <c r="D3050" t="s">
        <v>4773</v>
      </c>
      <c r="E3050" t="str">
        <f>"19647336017727"</f>
        <v>19647336017727</v>
      </c>
      <c r="F3050" s="8">
        <v>1196</v>
      </c>
      <c r="G3050" s="8">
        <v>9398</v>
      </c>
      <c r="H3050" s="8">
        <v>916</v>
      </c>
      <c r="I3050" s="8">
        <v>2016</v>
      </c>
    </row>
    <row r="3051" spans="1:9" x14ac:dyDescent="0.2">
      <c r="A3051" t="s">
        <v>436</v>
      </c>
      <c r="B3051" t="s">
        <v>686</v>
      </c>
      <c r="C3051" t="str">
        <f t="shared" si="141"/>
        <v>19647330000000</v>
      </c>
      <c r="D3051" t="s">
        <v>4774</v>
      </c>
      <c r="E3051" t="str">
        <f>"19647331995448"</f>
        <v>19647331995448</v>
      </c>
      <c r="F3051" s="8">
        <v>1180</v>
      </c>
      <c r="G3051" s="8">
        <v>9360</v>
      </c>
      <c r="H3051" s="8">
        <v>917</v>
      </c>
      <c r="I3051" s="8">
        <v>2041</v>
      </c>
    </row>
    <row r="3052" spans="1:9" x14ac:dyDescent="0.2">
      <c r="A3052" t="s">
        <v>436</v>
      </c>
      <c r="B3052" t="s">
        <v>686</v>
      </c>
      <c r="C3052" t="str">
        <f t="shared" si="141"/>
        <v>19647330000000</v>
      </c>
      <c r="D3052" t="s">
        <v>4775</v>
      </c>
      <c r="E3052" t="str">
        <f>"19647336061584"</f>
        <v>19647336061584</v>
      </c>
      <c r="F3052" s="8">
        <v>802</v>
      </c>
      <c r="G3052" s="8">
        <v>9736</v>
      </c>
      <c r="H3052" s="8">
        <v>917</v>
      </c>
      <c r="I3052" s="8">
        <v>2005</v>
      </c>
    </row>
    <row r="3053" spans="1:9" x14ac:dyDescent="0.2">
      <c r="A3053" t="s">
        <v>436</v>
      </c>
      <c r="B3053" t="s">
        <v>686</v>
      </c>
      <c r="C3053" t="str">
        <f t="shared" si="141"/>
        <v>19647330000000</v>
      </c>
      <c r="D3053" t="s">
        <v>4776</v>
      </c>
      <c r="E3053" t="str">
        <f>"19647330133736"</f>
        <v>19647330133736</v>
      </c>
      <c r="F3053" s="8">
        <v>747</v>
      </c>
      <c r="G3053" s="8">
        <v>9781</v>
      </c>
      <c r="H3053" s="8">
        <v>919</v>
      </c>
      <c r="I3053" s="8">
        <v>2013</v>
      </c>
    </row>
    <row r="3054" spans="1:9" x14ac:dyDescent="0.2">
      <c r="A3054" t="s">
        <v>436</v>
      </c>
      <c r="B3054" t="s">
        <v>686</v>
      </c>
      <c r="C3054" t="str">
        <f t="shared" si="141"/>
        <v>19647330000000</v>
      </c>
      <c r="D3054" t="s">
        <v>4777</v>
      </c>
      <c r="E3054" t="str">
        <f>"19647331935568"</f>
        <v>19647331935568</v>
      </c>
      <c r="F3054" s="8">
        <v>1084</v>
      </c>
      <c r="G3054" s="8">
        <v>9416</v>
      </c>
      <c r="H3054" s="8">
        <v>916</v>
      </c>
      <c r="I3054" s="8">
        <v>2040</v>
      </c>
    </row>
    <row r="3055" spans="1:9" x14ac:dyDescent="0.2">
      <c r="A3055" t="s">
        <v>436</v>
      </c>
      <c r="B3055" t="s">
        <v>686</v>
      </c>
      <c r="C3055" t="str">
        <f t="shared" si="141"/>
        <v>19647330000000</v>
      </c>
      <c r="D3055" t="s">
        <v>4778</v>
      </c>
      <c r="E3055" t="str">
        <f>"19647336016935"</f>
        <v>19647336016935</v>
      </c>
      <c r="F3055" s="8">
        <v>1215</v>
      </c>
      <c r="G3055" s="8">
        <v>9306</v>
      </c>
      <c r="H3055" s="8">
        <v>918</v>
      </c>
      <c r="I3055" s="8">
        <v>2011</v>
      </c>
    </row>
    <row r="3056" spans="1:9" x14ac:dyDescent="0.2">
      <c r="A3056" t="s">
        <v>436</v>
      </c>
      <c r="B3056" t="s">
        <v>686</v>
      </c>
      <c r="C3056" t="str">
        <f t="shared" si="141"/>
        <v>19647330000000</v>
      </c>
      <c r="D3056" t="s">
        <v>4779</v>
      </c>
      <c r="E3056" t="str">
        <f>"19647331933852"</f>
        <v>19647331933852</v>
      </c>
      <c r="F3056" s="8">
        <v>1155</v>
      </c>
      <c r="G3056" s="8">
        <v>9276</v>
      </c>
      <c r="H3056" s="8">
        <v>937</v>
      </c>
      <c r="I3056" s="8">
        <v>2075</v>
      </c>
    </row>
    <row r="3057" spans="1:9" x14ac:dyDescent="0.2">
      <c r="A3057" t="s">
        <v>436</v>
      </c>
      <c r="B3057" t="s">
        <v>686</v>
      </c>
      <c r="C3057" t="str">
        <f t="shared" si="141"/>
        <v>19647330000000</v>
      </c>
      <c r="D3057" t="s">
        <v>4780</v>
      </c>
      <c r="E3057" t="str">
        <f>"19647336017701"</f>
        <v>19647336017701</v>
      </c>
      <c r="F3057" s="8">
        <v>931</v>
      </c>
      <c r="G3057" s="8">
        <v>9464</v>
      </c>
      <c r="H3057" s="8">
        <v>940</v>
      </c>
      <c r="I3057" s="8">
        <v>2069</v>
      </c>
    </row>
    <row r="3058" spans="1:9" x14ac:dyDescent="0.2">
      <c r="A3058" t="s">
        <v>436</v>
      </c>
      <c r="B3058" t="s">
        <v>686</v>
      </c>
      <c r="C3058" t="str">
        <f t="shared" si="141"/>
        <v>19647330000000</v>
      </c>
      <c r="D3058" t="s">
        <v>4781</v>
      </c>
      <c r="E3058" t="str">
        <f>"19647330126615"</f>
        <v>19647330126615</v>
      </c>
      <c r="F3058" s="8">
        <v>1165</v>
      </c>
      <c r="G3058" s="8">
        <v>9292</v>
      </c>
      <c r="H3058" s="8">
        <v>919</v>
      </c>
      <c r="I3058" s="8">
        <v>2021</v>
      </c>
    </row>
    <row r="3059" spans="1:9" x14ac:dyDescent="0.2">
      <c r="A3059" t="s">
        <v>436</v>
      </c>
      <c r="B3059" t="s">
        <v>686</v>
      </c>
      <c r="C3059" t="str">
        <f t="shared" si="141"/>
        <v>19647330000000</v>
      </c>
      <c r="D3059" t="s">
        <v>4782</v>
      </c>
      <c r="E3059" t="str">
        <f>"19647330135855"</f>
        <v>19647330135855</v>
      </c>
      <c r="F3059" s="8">
        <v>1549</v>
      </c>
      <c r="G3059" s="8">
        <v>8836</v>
      </c>
      <c r="H3059" s="8">
        <v>918</v>
      </c>
      <c r="I3059" s="8">
        <v>2041</v>
      </c>
    </row>
    <row r="3060" spans="1:9" x14ac:dyDescent="0.2">
      <c r="A3060" t="s">
        <v>436</v>
      </c>
      <c r="B3060" t="s">
        <v>686</v>
      </c>
      <c r="C3060" t="str">
        <f t="shared" si="141"/>
        <v>19647330000000</v>
      </c>
      <c r="D3060" t="s">
        <v>4783</v>
      </c>
      <c r="E3060" t="str">
        <f>"19647336015762"</f>
        <v>19647336015762</v>
      </c>
      <c r="F3060" s="8">
        <v>1728</v>
      </c>
      <c r="G3060" s="8">
        <v>8598</v>
      </c>
      <c r="H3060" s="8">
        <v>923</v>
      </c>
      <c r="I3060" s="8">
        <v>2043</v>
      </c>
    </row>
    <row r="3061" spans="1:9" x14ac:dyDescent="0.2">
      <c r="A3061" t="s">
        <v>436</v>
      </c>
      <c r="B3061" t="s">
        <v>686</v>
      </c>
      <c r="C3061" t="str">
        <f t="shared" si="141"/>
        <v>19647330000000</v>
      </c>
      <c r="D3061" t="s">
        <v>4784</v>
      </c>
      <c r="E3061" t="str">
        <f>"19647336016463"</f>
        <v>19647336016463</v>
      </c>
      <c r="F3061" s="8">
        <v>1286</v>
      </c>
      <c r="G3061" s="8">
        <v>9034</v>
      </c>
      <c r="H3061" s="8">
        <v>918</v>
      </c>
      <c r="I3061" s="8">
        <v>2012</v>
      </c>
    </row>
    <row r="3062" spans="1:9" x14ac:dyDescent="0.2">
      <c r="A3062" t="s">
        <v>436</v>
      </c>
      <c r="B3062" t="s">
        <v>686</v>
      </c>
      <c r="C3062" t="str">
        <f t="shared" si="141"/>
        <v>19647330000000</v>
      </c>
      <c r="D3062" t="s">
        <v>4785</v>
      </c>
      <c r="E3062" t="str">
        <f>"19647331936350"</f>
        <v>19647331936350</v>
      </c>
      <c r="F3062" s="8">
        <v>1136</v>
      </c>
      <c r="G3062" s="8">
        <v>9179</v>
      </c>
      <c r="H3062" s="8">
        <v>919</v>
      </c>
      <c r="I3062" s="8">
        <v>2013</v>
      </c>
    </row>
    <row r="3063" spans="1:9" x14ac:dyDescent="0.2">
      <c r="A3063" t="s">
        <v>436</v>
      </c>
      <c r="B3063" t="s">
        <v>686</v>
      </c>
      <c r="C3063" t="str">
        <f t="shared" si="141"/>
        <v>19647330000000</v>
      </c>
      <c r="D3063" t="s">
        <v>4786</v>
      </c>
      <c r="E3063" t="str">
        <f>"19647330126623"</f>
        <v>19647330126623</v>
      </c>
      <c r="F3063" s="8">
        <v>1214</v>
      </c>
      <c r="G3063" s="8">
        <v>9084</v>
      </c>
      <c r="H3063" s="8">
        <v>919</v>
      </c>
      <c r="I3063" s="8">
        <v>2022</v>
      </c>
    </row>
    <row r="3064" spans="1:9" x14ac:dyDescent="0.2">
      <c r="A3064" t="s">
        <v>436</v>
      </c>
      <c r="B3064" t="s">
        <v>686</v>
      </c>
      <c r="C3064" t="str">
        <f t="shared" si="141"/>
        <v>19647330000000</v>
      </c>
      <c r="D3064" t="s">
        <v>4787</v>
      </c>
      <c r="E3064" t="str">
        <f>"19647336016240"</f>
        <v>19647336016240</v>
      </c>
      <c r="F3064" s="8">
        <v>897</v>
      </c>
      <c r="G3064" s="8">
        <v>9415</v>
      </c>
      <c r="H3064" s="8">
        <v>917</v>
      </c>
      <c r="I3064" s="8">
        <v>2010</v>
      </c>
    </row>
    <row r="3065" spans="1:9" x14ac:dyDescent="0.2">
      <c r="A3065" t="s">
        <v>436</v>
      </c>
      <c r="B3065" t="s">
        <v>686</v>
      </c>
      <c r="C3065" t="str">
        <f t="shared" si="141"/>
        <v>19647330000000</v>
      </c>
      <c r="D3065" t="s">
        <v>4788</v>
      </c>
      <c r="E3065" t="str">
        <f>"19647336017172"</f>
        <v>19647336017172</v>
      </c>
      <c r="F3065" s="8">
        <v>1527</v>
      </c>
      <c r="G3065" s="8">
        <v>8752</v>
      </c>
      <c r="H3065" s="8">
        <v>916</v>
      </c>
      <c r="I3065" s="8">
        <v>2039</v>
      </c>
    </row>
    <row r="3066" spans="1:9" x14ac:dyDescent="0.2">
      <c r="A3066" t="s">
        <v>436</v>
      </c>
      <c r="B3066" t="s">
        <v>686</v>
      </c>
      <c r="C3066" t="str">
        <f t="shared" si="141"/>
        <v>19647330000000</v>
      </c>
      <c r="D3066" t="s">
        <v>4789</v>
      </c>
      <c r="E3066" t="str">
        <f>"19647336058226"</f>
        <v>19647336058226</v>
      </c>
      <c r="F3066" s="8">
        <v>1312</v>
      </c>
      <c r="G3066" s="8">
        <v>8914</v>
      </c>
      <c r="H3066" s="8">
        <v>937</v>
      </c>
      <c r="I3066" s="8">
        <v>2070</v>
      </c>
    </row>
    <row r="3067" spans="1:9" x14ac:dyDescent="0.2">
      <c r="A3067" t="s">
        <v>436</v>
      </c>
      <c r="B3067" t="s">
        <v>686</v>
      </c>
      <c r="C3067" t="str">
        <f t="shared" si="141"/>
        <v>19647330000000</v>
      </c>
      <c r="D3067" t="s">
        <v>4790</v>
      </c>
      <c r="E3067" t="str">
        <f>"19647330128710"</f>
        <v>19647330128710</v>
      </c>
      <c r="F3067" s="8">
        <v>1892</v>
      </c>
      <c r="G3067" s="8">
        <v>8444</v>
      </c>
      <c r="H3067" s="8">
        <v>904</v>
      </c>
      <c r="I3067" s="8">
        <v>1990</v>
      </c>
    </row>
    <row r="3068" spans="1:9" x14ac:dyDescent="0.2">
      <c r="A3068" t="s">
        <v>436</v>
      </c>
      <c r="B3068" t="s">
        <v>686</v>
      </c>
      <c r="C3068" t="str">
        <f t="shared" si="141"/>
        <v>19647330000000</v>
      </c>
      <c r="D3068" t="s">
        <v>4791</v>
      </c>
      <c r="E3068" t="str">
        <f>"19647336017768"</f>
        <v>19647336017768</v>
      </c>
      <c r="F3068" s="8">
        <v>1051</v>
      </c>
      <c r="G3068" s="8">
        <v>9210</v>
      </c>
      <c r="H3068" s="8">
        <v>918</v>
      </c>
      <c r="I3068" s="8">
        <v>2011</v>
      </c>
    </row>
    <row r="3069" spans="1:9" x14ac:dyDescent="0.2">
      <c r="A3069" t="s">
        <v>436</v>
      </c>
      <c r="B3069" t="s">
        <v>686</v>
      </c>
      <c r="C3069" t="str">
        <f t="shared" si="141"/>
        <v>19647330000000</v>
      </c>
      <c r="D3069" t="s">
        <v>4792</v>
      </c>
      <c r="E3069" t="str">
        <f>"19647330122374"</f>
        <v>19647330122374</v>
      </c>
      <c r="F3069" s="8">
        <v>1699</v>
      </c>
      <c r="G3069" s="8">
        <v>8535</v>
      </c>
      <c r="H3069" s="8">
        <v>917</v>
      </c>
      <c r="I3069" s="8">
        <v>2035</v>
      </c>
    </row>
    <row r="3070" spans="1:9" x14ac:dyDescent="0.2">
      <c r="A3070" t="s">
        <v>436</v>
      </c>
      <c r="B3070" t="s">
        <v>686</v>
      </c>
      <c r="C3070" t="str">
        <f t="shared" si="141"/>
        <v>19647330000000</v>
      </c>
      <c r="D3070" t="s">
        <v>4793</v>
      </c>
      <c r="E3070" t="str">
        <f>"19647330102491"</f>
        <v>19647330102491</v>
      </c>
      <c r="F3070" s="8">
        <v>1507</v>
      </c>
      <c r="G3070" s="8">
        <v>8688</v>
      </c>
      <c r="H3070" s="8">
        <v>926</v>
      </c>
      <c r="I3070" s="8">
        <v>2049</v>
      </c>
    </row>
    <row r="3071" spans="1:9" x14ac:dyDescent="0.2">
      <c r="A3071" t="s">
        <v>436</v>
      </c>
      <c r="B3071" t="s">
        <v>686</v>
      </c>
      <c r="C3071" t="str">
        <f t="shared" si="141"/>
        <v>19647330000000</v>
      </c>
      <c r="D3071" t="s">
        <v>4794</v>
      </c>
      <c r="E3071" t="str">
        <f>"19647331938612"</f>
        <v>19647331938612</v>
      </c>
      <c r="F3071" s="8">
        <v>906</v>
      </c>
      <c r="G3071" s="8">
        <v>9327</v>
      </c>
      <c r="H3071" s="8">
        <v>917</v>
      </c>
      <c r="I3071" s="8">
        <v>2005</v>
      </c>
    </row>
    <row r="3072" spans="1:9" x14ac:dyDescent="0.2">
      <c r="A3072" t="s">
        <v>436</v>
      </c>
      <c r="B3072" t="s">
        <v>686</v>
      </c>
      <c r="C3072" t="str">
        <f t="shared" si="141"/>
        <v>19647330000000</v>
      </c>
      <c r="D3072" t="s">
        <v>4795</v>
      </c>
      <c r="E3072" t="str">
        <f>"19647336058093"</f>
        <v>19647336058093</v>
      </c>
      <c r="F3072" s="8">
        <v>1213</v>
      </c>
      <c r="G3072" s="8">
        <v>8989</v>
      </c>
      <c r="H3072" s="8">
        <v>918</v>
      </c>
      <c r="I3072" s="8">
        <v>2008</v>
      </c>
    </row>
    <row r="3073" spans="1:9" x14ac:dyDescent="0.2">
      <c r="A3073" t="s">
        <v>436</v>
      </c>
      <c r="B3073" t="s">
        <v>686</v>
      </c>
      <c r="C3073" t="str">
        <f t="shared" si="141"/>
        <v>19647330000000</v>
      </c>
      <c r="D3073" t="s">
        <v>4796</v>
      </c>
      <c r="E3073" t="str">
        <f>"19647331996115"</f>
        <v>19647331996115</v>
      </c>
      <c r="F3073" s="8">
        <v>1857</v>
      </c>
      <c r="G3073" s="8">
        <v>8284</v>
      </c>
      <c r="H3073" s="8">
        <v>917</v>
      </c>
      <c r="I3073" s="8">
        <v>2045</v>
      </c>
    </row>
    <row r="3074" spans="1:9" x14ac:dyDescent="0.2">
      <c r="A3074" t="s">
        <v>436</v>
      </c>
      <c r="B3074" t="s">
        <v>686</v>
      </c>
      <c r="C3074" t="str">
        <f t="shared" si="141"/>
        <v>19647330000000</v>
      </c>
      <c r="D3074" t="s">
        <v>4797</v>
      </c>
      <c r="E3074" t="str">
        <f>"19647336058275"</f>
        <v>19647336058275</v>
      </c>
      <c r="F3074" s="8">
        <v>922</v>
      </c>
      <c r="G3074" s="8">
        <v>9239</v>
      </c>
      <c r="H3074" s="8">
        <v>917</v>
      </c>
      <c r="I3074" s="8">
        <v>2008</v>
      </c>
    </row>
    <row r="3075" spans="1:9" x14ac:dyDescent="0.2">
      <c r="A3075" t="s">
        <v>436</v>
      </c>
      <c r="B3075" t="s">
        <v>686</v>
      </c>
      <c r="C3075" t="str">
        <f t="shared" si="141"/>
        <v>19647330000000</v>
      </c>
      <c r="D3075" t="s">
        <v>4798</v>
      </c>
      <c r="E3075" t="str">
        <f>"19647336017685"</f>
        <v>19647336017685</v>
      </c>
      <c r="F3075" s="8">
        <v>1157</v>
      </c>
      <c r="G3075" s="8">
        <v>8940</v>
      </c>
      <c r="H3075" s="8">
        <v>916</v>
      </c>
      <c r="I3075" s="8">
        <v>2041</v>
      </c>
    </row>
    <row r="3076" spans="1:9" x14ac:dyDescent="0.2">
      <c r="A3076" t="s">
        <v>436</v>
      </c>
      <c r="B3076" t="s">
        <v>686</v>
      </c>
      <c r="C3076" t="str">
        <f t="shared" si="141"/>
        <v>19647330000000</v>
      </c>
      <c r="D3076" t="s">
        <v>4799</v>
      </c>
      <c r="E3076" t="str">
        <f>"19647336061410"</f>
        <v>19647336061410</v>
      </c>
      <c r="F3076" s="8">
        <v>1261</v>
      </c>
      <c r="G3076" s="8">
        <v>8767</v>
      </c>
      <c r="H3076" s="8">
        <v>936</v>
      </c>
      <c r="I3076" s="8">
        <v>2071</v>
      </c>
    </row>
    <row r="3077" spans="1:9" x14ac:dyDescent="0.2">
      <c r="A3077" t="s">
        <v>436</v>
      </c>
      <c r="B3077" t="s">
        <v>686</v>
      </c>
      <c r="C3077" t="str">
        <f t="shared" si="141"/>
        <v>19647330000000</v>
      </c>
      <c r="D3077" t="s">
        <v>4800</v>
      </c>
      <c r="E3077" t="str">
        <f>"19647336100069"</f>
        <v>19647336100069</v>
      </c>
      <c r="F3077" s="8">
        <v>655</v>
      </c>
      <c r="G3077" s="8">
        <v>9405</v>
      </c>
      <c r="H3077" s="8">
        <v>918</v>
      </c>
      <c r="I3077" s="8">
        <v>2014</v>
      </c>
    </row>
    <row r="3078" spans="1:9" x14ac:dyDescent="0.2">
      <c r="A3078" t="s">
        <v>436</v>
      </c>
      <c r="B3078" t="s">
        <v>686</v>
      </c>
      <c r="C3078" t="str">
        <f t="shared" si="141"/>
        <v>19647330000000</v>
      </c>
      <c r="D3078" t="s">
        <v>4801</v>
      </c>
      <c r="E3078" t="str">
        <f>"19647330125989"</f>
        <v>19647330125989</v>
      </c>
      <c r="F3078" s="8">
        <v>1763</v>
      </c>
      <c r="G3078" s="8">
        <v>8116</v>
      </c>
      <c r="H3078" s="8">
        <v>938</v>
      </c>
      <c r="I3078" s="8">
        <v>2084</v>
      </c>
    </row>
    <row r="3079" spans="1:9" x14ac:dyDescent="0.2">
      <c r="A3079" t="s">
        <v>436</v>
      </c>
      <c r="B3079" t="s">
        <v>686</v>
      </c>
      <c r="C3079" t="str">
        <f t="shared" si="141"/>
        <v>19647330000000</v>
      </c>
      <c r="D3079" t="s">
        <v>4802</v>
      </c>
      <c r="E3079" t="str">
        <f>"19647336020044"</f>
        <v>19647336020044</v>
      </c>
      <c r="F3079" s="8">
        <v>1581</v>
      </c>
      <c r="G3079" s="8">
        <v>8383</v>
      </c>
      <c r="H3079" s="8">
        <v>918</v>
      </c>
      <c r="I3079" s="8">
        <v>2012</v>
      </c>
    </row>
    <row r="3080" spans="1:9" x14ac:dyDescent="0.2">
      <c r="A3080" t="s">
        <v>436</v>
      </c>
      <c r="B3080" t="s">
        <v>686</v>
      </c>
      <c r="C3080" t="str">
        <f t="shared" si="141"/>
        <v>19647330000000</v>
      </c>
      <c r="D3080" t="s">
        <v>4803</v>
      </c>
      <c r="E3080" t="str">
        <f>"19647331937838"</f>
        <v>19647331937838</v>
      </c>
      <c r="F3080" s="8">
        <v>1118</v>
      </c>
      <c r="G3080" s="8">
        <v>8824</v>
      </c>
      <c r="H3080" s="8">
        <v>920</v>
      </c>
      <c r="I3080" s="8">
        <v>2024</v>
      </c>
    </row>
    <row r="3081" spans="1:9" x14ac:dyDescent="0.2">
      <c r="A3081" t="s">
        <v>436</v>
      </c>
      <c r="B3081" t="s">
        <v>686</v>
      </c>
      <c r="C3081" t="str">
        <f t="shared" si="141"/>
        <v>19647330000000</v>
      </c>
      <c r="D3081" t="s">
        <v>4804</v>
      </c>
      <c r="E3081" t="str">
        <f>"19647336018246"</f>
        <v>19647336018246</v>
      </c>
      <c r="F3081" s="8">
        <v>1130</v>
      </c>
      <c r="G3081" s="8">
        <v>8773</v>
      </c>
      <c r="H3081" s="8">
        <v>919</v>
      </c>
      <c r="I3081" s="8">
        <v>2044</v>
      </c>
    </row>
    <row r="3082" spans="1:9" x14ac:dyDescent="0.2">
      <c r="A3082" t="s">
        <v>436</v>
      </c>
      <c r="B3082" t="s">
        <v>686</v>
      </c>
      <c r="C3082" t="str">
        <f t="shared" si="141"/>
        <v>19647330000000</v>
      </c>
      <c r="D3082" t="s">
        <v>4805</v>
      </c>
      <c r="E3082" t="str">
        <f>"19647336071435"</f>
        <v>19647336071435</v>
      </c>
      <c r="F3082" s="8">
        <v>1200</v>
      </c>
      <c r="G3082" s="8">
        <v>8688</v>
      </c>
      <c r="H3082" s="8">
        <v>916</v>
      </c>
      <c r="I3082" s="8">
        <v>2009</v>
      </c>
    </row>
    <row r="3083" spans="1:9" x14ac:dyDescent="0.2">
      <c r="A3083" t="s">
        <v>436</v>
      </c>
      <c r="B3083" t="s">
        <v>686</v>
      </c>
      <c r="C3083" t="str">
        <f t="shared" si="141"/>
        <v>19647330000000</v>
      </c>
      <c r="D3083" t="s">
        <v>4806</v>
      </c>
      <c r="E3083" t="str">
        <f>"19647331933001"</f>
        <v>19647331933001</v>
      </c>
      <c r="F3083" s="8">
        <v>1247</v>
      </c>
      <c r="G3083" s="8">
        <v>8603</v>
      </c>
      <c r="H3083" s="8">
        <v>911</v>
      </c>
      <c r="I3083" s="8">
        <v>2048</v>
      </c>
    </row>
    <row r="3084" spans="1:9" x14ac:dyDescent="0.2">
      <c r="A3084" t="s">
        <v>436</v>
      </c>
      <c r="B3084" t="s">
        <v>686</v>
      </c>
      <c r="C3084" t="str">
        <f t="shared" si="141"/>
        <v>19647330000000</v>
      </c>
      <c r="D3084" t="s">
        <v>4807</v>
      </c>
      <c r="E3084" t="str">
        <f>"19647336016356"</f>
        <v>19647336016356</v>
      </c>
      <c r="F3084" s="8">
        <v>977</v>
      </c>
      <c r="G3084" s="8">
        <v>8771</v>
      </c>
      <c r="H3084" s="8">
        <v>919</v>
      </c>
      <c r="I3084" s="8">
        <v>2018</v>
      </c>
    </row>
    <row r="3085" spans="1:9" x14ac:dyDescent="0.2">
      <c r="A3085" t="s">
        <v>436</v>
      </c>
      <c r="B3085" t="s">
        <v>686</v>
      </c>
      <c r="C3085" t="str">
        <f t="shared" si="141"/>
        <v>19647330000000</v>
      </c>
      <c r="D3085" t="s">
        <v>4808</v>
      </c>
      <c r="E3085" t="str">
        <f>"19647336058085"</f>
        <v>19647336058085</v>
      </c>
      <c r="F3085" s="8">
        <v>1079</v>
      </c>
      <c r="G3085" s="8">
        <v>8615</v>
      </c>
      <c r="H3085" s="8">
        <v>916</v>
      </c>
      <c r="I3085" s="8">
        <v>2041</v>
      </c>
    </row>
    <row r="3086" spans="1:9" x14ac:dyDescent="0.2">
      <c r="A3086" t="s">
        <v>436</v>
      </c>
      <c r="B3086" t="s">
        <v>686</v>
      </c>
      <c r="C3086" t="str">
        <f t="shared" si="141"/>
        <v>19647330000000</v>
      </c>
      <c r="D3086" t="s">
        <v>4809</v>
      </c>
      <c r="E3086" t="str">
        <f>"19647330102921"</f>
        <v>19647330102921</v>
      </c>
      <c r="F3086" s="8">
        <v>1128</v>
      </c>
      <c r="G3086" s="8">
        <v>8562</v>
      </c>
      <c r="H3086" s="8">
        <v>911</v>
      </c>
      <c r="I3086" s="8">
        <v>2036</v>
      </c>
    </row>
    <row r="3087" spans="1:9" x14ac:dyDescent="0.2">
      <c r="A3087" t="s">
        <v>436</v>
      </c>
      <c r="B3087" t="s">
        <v>686</v>
      </c>
      <c r="C3087" t="str">
        <f t="shared" si="141"/>
        <v>19647330000000</v>
      </c>
      <c r="D3087" t="s">
        <v>4810</v>
      </c>
      <c r="E3087" t="str">
        <f>"19647330124503"</f>
        <v>19647330124503</v>
      </c>
      <c r="F3087" s="8">
        <v>1860</v>
      </c>
      <c r="G3087" s="8">
        <v>7825</v>
      </c>
      <c r="H3087" s="8">
        <v>911</v>
      </c>
      <c r="I3087" s="8">
        <v>2038</v>
      </c>
    </row>
    <row r="3088" spans="1:9" x14ac:dyDescent="0.2">
      <c r="A3088" t="s">
        <v>436</v>
      </c>
      <c r="B3088" t="s">
        <v>686</v>
      </c>
      <c r="C3088" t="str">
        <f t="shared" si="141"/>
        <v>19647330000000</v>
      </c>
      <c r="D3088" t="s">
        <v>2716</v>
      </c>
      <c r="E3088" t="str">
        <f>"19647330102913"</f>
        <v>19647330102913</v>
      </c>
      <c r="F3088" s="8">
        <v>1168</v>
      </c>
      <c r="G3088" s="8">
        <v>8415</v>
      </c>
      <c r="H3088" s="8">
        <v>940</v>
      </c>
      <c r="I3088" s="8">
        <v>2084</v>
      </c>
    </row>
    <row r="3089" spans="1:9" x14ac:dyDescent="0.2">
      <c r="A3089" t="s">
        <v>436</v>
      </c>
      <c r="B3089" t="s">
        <v>686</v>
      </c>
      <c r="C3089" t="str">
        <f t="shared" si="141"/>
        <v>19647330000000</v>
      </c>
      <c r="D3089" t="s">
        <v>4811</v>
      </c>
      <c r="E3089" t="str">
        <f>"19647331931864"</f>
        <v>19647331931864</v>
      </c>
      <c r="F3089" s="8">
        <v>911</v>
      </c>
      <c r="G3089" s="8">
        <v>8698</v>
      </c>
      <c r="H3089" s="8">
        <v>920</v>
      </c>
      <c r="I3089" s="8">
        <v>2017</v>
      </c>
    </row>
    <row r="3090" spans="1:9" x14ac:dyDescent="0.2">
      <c r="A3090" t="s">
        <v>436</v>
      </c>
      <c r="B3090" t="s">
        <v>686</v>
      </c>
      <c r="C3090" t="str">
        <f t="shared" si="141"/>
        <v>19647330000000</v>
      </c>
      <c r="D3090" t="s">
        <v>4812</v>
      </c>
      <c r="E3090" t="str">
        <f>"19647336058267"</f>
        <v>19647336058267</v>
      </c>
      <c r="F3090" s="8">
        <v>618</v>
      </c>
      <c r="G3090" s="8">
        <v>8828</v>
      </c>
      <c r="H3090" s="8">
        <v>939</v>
      </c>
      <c r="I3090" s="8">
        <v>2066</v>
      </c>
    </row>
    <row r="3091" spans="1:9" x14ac:dyDescent="0.2">
      <c r="A3091" t="s">
        <v>436</v>
      </c>
      <c r="B3091" t="s">
        <v>686</v>
      </c>
      <c r="C3091" t="str">
        <f t="shared" si="141"/>
        <v>19647330000000</v>
      </c>
      <c r="D3091" t="s">
        <v>4813</v>
      </c>
      <c r="E3091" t="str">
        <f>"19647330122333"</f>
        <v>19647330122333</v>
      </c>
      <c r="F3091" s="8">
        <v>1252</v>
      </c>
      <c r="G3091" s="8">
        <v>8150</v>
      </c>
      <c r="H3091" s="8">
        <v>910</v>
      </c>
      <c r="I3091" s="8">
        <v>2069</v>
      </c>
    </row>
    <row r="3092" spans="1:9" x14ac:dyDescent="0.2">
      <c r="A3092" t="s">
        <v>436</v>
      </c>
      <c r="B3092" t="s">
        <v>686</v>
      </c>
      <c r="C3092" t="str">
        <f t="shared" si="141"/>
        <v>19647330000000</v>
      </c>
      <c r="D3092" t="s">
        <v>4814</v>
      </c>
      <c r="E3092" t="str">
        <f>"19647330107011"</f>
        <v>19647330107011</v>
      </c>
      <c r="F3092" s="8">
        <v>1450</v>
      </c>
      <c r="G3092" s="8">
        <v>7971</v>
      </c>
      <c r="H3092" s="8">
        <v>917</v>
      </c>
      <c r="I3092" s="8">
        <v>2032</v>
      </c>
    </row>
    <row r="3093" spans="1:9" x14ac:dyDescent="0.2">
      <c r="A3093" t="s">
        <v>436</v>
      </c>
      <c r="B3093" t="s">
        <v>686</v>
      </c>
      <c r="C3093" t="str">
        <f t="shared" si="141"/>
        <v>19647330000000</v>
      </c>
      <c r="D3093" t="s">
        <v>4815</v>
      </c>
      <c r="E3093" t="str">
        <f>"19647330126607"</f>
        <v>19647330126607</v>
      </c>
      <c r="F3093" s="8">
        <v>1092</v>
      </c>
      <c r="G3093" s="8">
        <v>8321</v>
      </c>
      <c r="H3093" s="8">
        <v>919</v>
      </c>
      <c r="I3093" s="8">
        <v>2011</v>
      </c>
    </row>
    <row r="3094" spans="1:9" x14ac:dyDescent="0.2">
      <c r="A3094" t="s">
        <v>436</v>
      </c>
      <c r="B3094" t="s">
        <v>686</v>
      </c>
      <c r="C3094" t="str">
        <f t="shared" si="141"/>
        <v>19647330000000</v>
      </c>
      <c r="D3094" t="s">
        <v>4816</v>
      </c>
      <c r="E3094" t="str">
        <f>"19647336019855"</f>
        <v>19647336019855</v>
      </c>
      <c r="F3094" s="8">
        <v>992</v>
      </c>
      <c r="G3094" s="8">
        <v>8376</v>
      </c>
      <c r="H3094" s="8">
        <v>917</v>
      </c>
      <c r="I3094" s="8">
        <v>2007</v>
      </c>
    </row>
    <row r="3095" spans="1:9" x14ac:dyDescent="0.2">
      <c r="A3095" t="s">
        <v>436</v>
      </c>
      <c r="B3095" t="s">
        <v>686</v>
      </c>
      <c r="C3095" t="str">
        <f t="shared" ref="C3095:C3107" si="142">"19647330000000"</f>
        <v>19647330000000</v>
      </c>
      <c r="D3095" t="s">
        <v>4817</v>
      </c>
      <c r="E3095" t="str">
        <f>"19647330124388"</f>
        <v>19647330124388</v>
      </c>
      <c r="F3095" s="8">
        <v>1321</v>
      </c>
      <c r="G3095" s="8">
        <v>8006</v>
      </c>
      <c r="H3095" s="8">
        <v>916</v>
      </c>
      <c r="I3095" s="8">
        <v>2035</v>
      </c>
    </row>
    <row r="3096" spans="1:9" x14ac:dyDescent="0.2">
      <c r="A3096" t="s">
        <v>436</v>
      </c>
      <c r="B3096" t="s">
        <v>686</v>
      </c>
      <c r="C3096" t="str">
        <f t="shared" si="142"/>
        <v>19647330000000</v>
      </c>
      <c r="D3096" t="s">
        <v>4818</v>
      </c>
      <c r="E3096" t="str">
        <f>"19647336061543"</f>
        <v>19647336061543</v>
      </c>
      <c r="F3096" s="8">
        <v>734</v>
      </c>
      <c r="G3096" s="8">
        <v>8604</v>
      </c>
      <c r="H3096" s="8">
        <v>919</v>
      </c>
      <c r="I3096" s="8">
        <v>2010</v>
      </c>
    </row>
    <row r="3097" spans="1:9" x14ac:dyDescent="0.2">
      <c r="A3097" t="s">
        <v>436</v>
      </c>
      <c r="B3097" t="s">
        <v>686</v>
      </c>
      <c r="C3097" t="str">
        <f t="shared" si="142"/>
        <v>19647330000000</v>
      </c>
      <c r="D3097" t="s">
        <v>4819</v>
      </c>
      <c r="E3097" t="str">
        <f>"19647331932847"</f>
        <v>19647331932847</v>
      </c>
      <c r="F3097" s="8">
        <v>945</v>
      </c>
      <c r="G3097" s="8">
        <v>8290</v>
      </c>
      <c r="H3097" s="8">
        <v>935</v>
      </c>
      <c r="I3097" s="8">
        <v>2069</v>
      </c>
    </row>
    <row r="3098" spans="1:9" x14ac:dyDescent="0.2">
      <c r="A3098" t="s">
        <v>436</v>
      </c>
      <c r="B3098" t="s">
        <v>686</v>
      </c>
      <c r="C3098" t="str">
        <f t="shared" si="142"/>
        <v>19647330000000</v>
      </c>
      <c r="D3098" t="s">
        <v>4820</v>
      </c>
      <c r="E3098" t="str">
        <f>"19647331933233"</f>
        <v>19647331933233</v>
      </c>
      <c r="F3098" s="8">
        <v>782</v>
      </c>
      <c r="G3098" s="8">
        <v>8512</v>
      </c>
      <c r="H3098" s="8">
        <v>920</v>
      </c>
      <c r="I3098" s="8">
        <v>2018</v>
      </c>
    </row>
    <row r="3099" spans="1:9" x14ac:dyDescent="0.2">
      <c r="A3099" t="s">
        <v>436</v>
      </c>
      <c r="B3099" t="s">
        <v>686</v>
      </c>
      <c r="C3099" t="str">
        <f t="shared" si="142"/>
        <v>19647330000000</v>
      </c>
      <c r="D3099" t="s">
        <v>4821</v>
      </c>
      <c r="E3099" t="str">
        <f>"19647336062699"</f>
        <v>19647336062699</v>
      </c>
      <c r="F3099" s="8">
        <v>969</v>
      </c>
      <c r="G3099" s="8">
        <v>8296</v>
      </c>
      <c r="H3099" s="8">
        <v>919</v>
      </c>
      <c r="I3099" s="8">
        <v>2019</v>
      </c>
    </row>
    <row r="3100" spans="1:9" x14ac:dyDescent="0.2">
      <c r="A3100" t="s">
        <v>436</v>
      </c>
      <c r="B3100" t="s">
        <v>686</v>
      </c>
      <c r="C3100" t="str">
        <f t="shared" si="142"/>
        <v>19647330000000</v>
      </c>
      <c r="D3100" t="s">
        <v>4822</v>
      </c>
      <c r="E3100" t="str">
        <f>"19647336058150"</f>
        <v>19647336058150</v>
      </c>
      <c r="F3100" s="8">
        <v>943</v>
      </c>
      <c r="G3100" s="8">
        <v>8316</v>
      </c>
      <c r="H3100" s="8">
        <v>916</v>
      </c>
      <c r="I3100" s="8">
        <v>2012</v>
      </c>
    </row>
    <row r="3101" spans="1:9" x14ac:dyDescent="0.2">
      <c r="A3101" t="s">
        <v>436</v>
      </c>
      <c r="B3101" t="s">
        <v>686</v>
      </c>
      <c r="C3101" t="str">
        <f t="shared" si="142"/>
        <v>19647330000000</v>
      </c>
      <c r="D3101" t="s">
        <v>4823</v>
      </c>
      <c r="E3101" t="str">
        <f>"19647336016539"</f>
        <v>19647336016539</v>
      </c>
      <c r="F3101" s="8">
        <v>1168</v>
      </c>
      <c r="G3101" s="8">
        <v>7991</v>
      </c>
      <c r="H3101" s="8">
        <v>936</v>
      </c>
      <c r="I3101" s="8">
        <v>2075</v>
      </c>
    </row>
    <row r="3102" spans="1:9" x14ac:dyDescent="0.2">
      <c r="A3102" t="s">
        <v>436</v>
      </c>
      <c r="B3102" t="s">
        <v>686</v>
      </c>
      <c r="C3102" t="str">
        <f t="shared" si="142"/>
        <v>19647330000000</v>
      </c>
      <c r="D3102" t="s">
        <v>4824</v>
      </c>
      <c r="E3102" t="str">
        <f>"19647336016125"</f>
        <v>19647336016125</v>
      </c>
      <c r="F3102" s="8">
        <v>985</v>
      </c>
      <c r="G3102" s="8">
        <v>8139</v>
      </c>
      <c r="H3102" s="8">
        <v>936</v>
      </c>
      <c r="I3102" s="8">
        <v>2077</v>
      </c>
    </row>
    <row r="3103" spans="1:9" x14ac:dyDescent="0.2">
      <c r="A3103" t="s">
        <v>436</v>
      </c>
      <c r="B3103" t="s">
        <v>686</v>
      </c>
      <c r="C3103" t="str">
        <f t="shared" si="142"/>
        <v>19647330000000</v>
      </c>
      <c r="D3103" t="s">
        <v>4825</v>
      </c>
      <c r="E3103" t="str">
        <f>"19647336019939"</f>
        <v>19647336019939</v>
      </c>
      <c r="F3103" s="8">
        <v>847</v>
      </c>
      <c r="G3103" s="8">
        <v>8186</v>
      </c>
      <c r="H3103" s="8">
        <v>940</v>
      </c>
      <c r="I3103" s="8">
        <v>2069</v>
      </c>
    </row>
    <row r="3104" spans="1:9" x14ac:dyDescent="0.2">
      <c r="A3104" t="s">
        <v>436</v>
      </c>
      <c r="B3104" t="s">
        <v>686</v>
      </c>
      <c r="C3104" t="str">
        <f t="shared" si="142"/>
        <v>19647330000000</v>
      </c>
      <c r="D3104" t="s">
        <v>4826</v>
      </c>
      <c r="E3104" t="str">
        <f>"19647336015986"</f>
        <v>19647336015986</v>
      </c>
      <c r="F3104" s="8">
        <v>1184</v>
      </c>
      <c r="G3104" s="8">
        <v>7874</v>
      </c>
      <c r="H3104" s="8">
        <v>918</v>
      </c>
      <c r="I3104" s="8">
        <v>2008</v>
      </c>
    </row>
    <row r="3105" spans="1:9" x14ac:dyDescent="0.2">
      <c r="A3105" t="s">
        <v>436</v>
      </c>
      <c r="B3105" t="s">
        <v>686</v>
      </c>
      <c r="C3105" t="str">
        <f t="shared" si="142"/>
        <v>19647330000000</v>
      </c>
      <c r="D3105" t="s">
        <v>4827</v>
      </c>
      <c r="E3105" t="str">
        <f>"19647336019830"</f>
        <v>19647336019830</v>
      </c>
      <c r="F3105" s="8">
        <v>962</v>
      </c>
      <c r="G3105" s="8">
        <v>7863</v>
      </c>
      <c r="H3105" s="8">
        <v>939</v>
      </c>
      <c r="I3105" s="8">
        <v>2065</v>
      </c>
    </row>
    <row r="3106" spans="1:9" x14ac:dyDescent="0.2">
      <c r="A3106" t="s">
        <v>436</v>
      </c>
      <c r="B3106" t="s">
        <v>686</v>
      </c>
      <c r="C3106" t="str">
        <f t="shared" si="142"/>
        <v>19647330000000</v>
      </c>
      <c r="D3106" t="s">
        <v>4828</v>
      </c>
      <c r="E3106" t="str">
        <f>"19647336061477"</f>
        <v>19647336061477</v>
      </c>
      <c r="F3106" s="8">
        <v>589</v>
      </c>
      <c r="G3106" s="8">
        <v>8316</v>
      </c>
      <c r="H3106" s="8">
        <v>917</v>
      </c>
      <c r="I3106" s="8">
        <v>2005</v>
      </c>
    </row>
    <row r="3107" spans="1:9" x14ac:dyDescent="0.2">
      <c r="A3107" t="s">
        <v>436</v>
      </c>
      <c r="B3107" t="s">
        <v>686</v>
      </c>
      <c r="C3107" t="str">
        <f t="shared" si="142"/>
        <v>19647330000000</v>
      </c>
      <c r="D3107" t="s">
        <v>4829</v>
      </c>
      <c r="E3107" t="str">
        <f>"19647330133603"</f>
        <v>19647330133603</v>
      </c>
      <c r="F3107" s="8">
        <v>952</v>
      </c>
      <c r="G3107" s="8">
        <v>6847</v>
      </c>
      <c r="H3107" s="8">
        <v>938</v>
      </c>
      <c r="I3107" s="8">
        <v>2077</v>
      </c>
    </row>
    <row r="3108" spans="1:9" x14ac:dyDescent="0.2">
      <c r="A3108" t="s">
        <v>436</v>
      </c>
      <c r="B3108" t="s">
        <v>687</v>
      </c>
      <c r="C3108" t="str">
        <f>"19744350000000"</f>
        <v>19744350000000</v>
      </c>
      <c r="D3108" t="s">
        <v>4830</v>
      </c>
      <c r="E3108" t="str">
        <f>"19744351995083"</f>
        <v>19744351995083</v>
      </c>
      <c r="F3108" s="8" t="s">
        <v>30</v>
      </c>
      <c r="G3108" s="8" t="s">
        <v>30</v>
      </c>
      <c r="H3108" s="8" t="s">
        <v>30</v>
      </c>
      <c r="I3108" s="8" t="s">
        <v>30</v>
      </c>
    </row>
    <row r="3109" spans="1:9" x14ac:dyDescent="0.2">
      <c r="A3109" t="s">
        <v>436</v>
      </c>
      <c r="B3109" t="s">
        <v>690</v>
      </c>
      <c r="C3109" t="str">
        <f>"19647580000000"</f>
        <v>19647580000000</v>
      </c>
      <c r="D3109" t="s">
        <v>4831</v>
      </c>
      <c r="E3109" t="str">
        <f>"19647586020093"</f>
        <v>19647586020093</v>
      </c>
      <c r="F3109" s="8">
        <v>280</v>
      </c>
      <c r="G3109" s="8">
        <v>11481</v>
      </c>
      <c r="H3109" s="8">
        <v>1953</v>
      </c>
      <c r="I3109" s="8">
        <v>4729</v>
      </c>
    </row>
    <row r="3110" spans="1:9" x14ac:dyDescent="0.2">
      <c r="A3110" t="s">
        <v>436</v>
      </c>
      <c r="B3110" t="s">
        <v>690</v>
      </c>
      <c r="C3110" t="str">
        <f>"19647580000000"</f>
        <v>19647580000000</v>
      </c>
      <c r="D3110" t="s">
        <v>4832</v>
      </c>
      <c r="E3110" t="str">
        <f>"19647586020101"</f>
        <v>19647586020101</v>
      </c>
      <c r="F3110" s="8">
        <v>1107</v>
      </c>
      <c r="G3110" s="8">
        <v>9443</v>
      </c>
      <c r="H3110" s="8">
        <v>1953</v>
      </c>
      <c r="I3110" s="8">
        <v>4729</v>
      </c>
    </row>
    <row r="3111" spans="1:9" x14ac:dyDescent="0.2">
      <c r="A3111" t="s">
        <v>436</v>
      </c>
      <c r="B3111" t="s">
        <v>690</v>
      </c>
      <c r="C3111" t="str">
        <f>"19647580000000"</f>
        <v>19647580000000</v>
      </c>
      <c r="D3111" t="s">
        <v>4833</v>
      </c>
      <c r="E3111" t="str">
        <f>"19647586020085"</f>
        <v>19647586020085</v>
      </c>
      <c r="F3111" s="8">
        <v>281</v>
      </c>
      <c r="G3111" s="8">
        <v>8582</v>
      </c>
      <c r="H3111" s="8">
        <v>1953</v>
      </c>
      <c r="I3111" s="8">
        <v>4729</v>
      </c>
    </row>
    <row r="3112" spans="1:9" x14ac:dyDescent="0.2">
      <c r="A3112" t="s">
        <v>436</v>
      </c>
      <c r="B3112" t="s">
        <v>690</v>
      </c>
      <c r="C3112" t="str">
        <f>"19647580000000"</f>
        <v>19647580000000</v>
      </c>
      <c r="D3112" t="s">
        <v>4834</v>
      </c>
      <c r="E3112" t="str">
        <f>"19647586020077"</f>
        <v>19647586020077</v>
      </c>
      <c r="F3112" s="8">
        <v>262</v>
      </c>
      <c r="G3112" s="8">
        <v>7124</v>
      </c>
      <c r="H3112" s="8">
        <v>1953</v>
      </c>
      <c r="I3112" s="8">
        <v>4729</v>
      </c>
    </row>
    <row r="3113" spans="1:9" x14ac:dyDescent="0.2">
      <c r="A3113" t="s">
        <v>436</v>
      </c>
      <c r="B3113" t="s">
        <v>691</v>
      </c>
      <c r="C3113" t="str">
        <f t="shared" ref="C3113:C3131" si="143">"19647740000000"</f>
        <v>19647740000000</v>
      </c>
      <c r="D3113" t="s">
        <v>4835</v>
      </c>
      <c r="E3113" t="str">
        <f>"19647741935428"</f>
        <v>19647741935428</v>
      </c>
      <c r="F3113" s="8">
        <v>435</v>
      </c>
      <c r="G3113" s="8">
        <v>13244</v>
      </c>
      <c r="H3113" s="8">
        <v>2734</v>
      </c>
      <c r="I3113" s="8">
        <v>6914</v>
      </c>
    </row>
    <row r="3114" spans="1:9" x14ac:dyDescent="0.2">
      <c r="A3114" t="s">
        <v>436</v>
      </c>
      <c r="B3114" t="s">
        <v>691</v>
      </c>
      <c r="C3114" t="str">
        <f t="shared" si="143"/>
        <v>19647740000000</v>
      </c>
      <c r="D3114" t="s">
        <v>4836</v>
      </c>
      <c r="E3114" t="str">
        <f>"19647740114777"</f>
        <v>19647740114777</v>
      </c>
      <c r="F3114" s="8">
        <v>5360</v>
      </c>
      <c r="G3114" s="8">
        <v>5595</v>
      </c>
      <c r="H3114" s="8">
        <v>2734</v>
      </c>
      <c r="I3114" s="8">
        <v>6914</v>
      </c>
    </row>
    <row r="3115" spans="1:9" x14ac:dyDescent="0.2">
      <c r="A3115" t="s">
        <v>436</v>
      </c>
      <c r="B3115" t="s">
        <v>691</v>
      </c>
      <c r="C3115" t="str">
        <f t="shared" si="143"/>
        <v>19647740000000</v>
      </c>
      <c r="D3115" t="s">
        <v>4837</v>
      </c>
      <c r="E3115" t="str">
        <f>"19647746115539"</f>
        <v>19647746115539</v>
      </c>
      <c r="F3115" s="8">
        <v>242</v>
      </c>
      <c r="G3115" s="8">
        <v>7442</v>
      </c>
      <c r="H3115" s="8">
        <v>2734</v>
      </c>
      <c r="I3115" s="8">
        <v>6914</v>
      </c>
    </row>
    <row r="3116" spans="1:9" x14ac:dyDescent="0.2">
      <c r="A3116" t="s">
        <v>436</v>
      </c>
      <c r="B3116" t="s">
        <v>691</v>
      </c>
      <c r="C3116" t="str">
        <f t="shared" si="143"/>
        <v>19647740000000</v>
      </c>
      <c r="D3116" t="s">
        <v>2243</v>
      </c>
      <c r="E3116" t="str">
        <f>"19647746020242"</f>
        <v>19647746020242</v>
      </c>
      <c r="F3116" s="8">
        <v>214</v>
      </c>
      <c r="G3116" s="8">
        <v>6976</v>
      </c>
      <c r="H3116" s="8">
        <v>2734</v>
      </c>
      <c r="I3116" s="8">
        <v>6914</v>
      </c>
    </row>
    <row r="3117" spans="1:9" x14ac:dyDescent="0.2">
      <c r="A3117" t="s">
        <v>436</v>
      </c>
      <c r="B3117" t="s">
        <v>691</v>
      </c>
      <c r="C3117" t="str">
        <f t="shared" si="143"/>
        <v>19647740000000</v>
      </c>
      <c r="D3117" t="s">
        <v>4838</v>
      </c>
      <c r="E3117" t="str">
        <f>"19647746116685"</f>
        <v>19647746116685</v>
      </c>
      <c r="F3117" s="8">
        <v>429</v>
      </c>
      <c r="G3117" s="8">
        <v>6734</v>
      </c>
      <c r="H3117" s="8">
        <v>2734</v>
      </c>
      <c r="I3117" s="8">
        <v>6914</v>
      </c>
    </row>
    <row r="3118" spans="1:9" x14ac:dyDescent="0.2">
      <c r="A3118" t="s">
        <v>436</v>
      </c>
      <c r="B3118" t="s">
        <v>691</v>
      </c>
      <c r="C3118" t="str">
        <f t="shared" si="143"/>
        <v>19647740000000</v>
      </c>
      <c r="D3118" t="s">
        <v>4839</v>
      </c>
      <c r="E3118" t="str">
        <f>"19647746020234"</f>
        <v>19647746020234</v>
      </c>
      <c r="F3118" s="8">
        <v>345</v>
      </c>
      <c r="G3118" s="8">
        <v>6628</v>
      </c>
      <c r="H3118" s="8">
        <v>2734</v>
      </c>
      <c r="I3118" s="8">
        <v>6914</v>
      </c>
    </row>
    <row r="3119" spans="1:9" x14ac:dyDescent="0.2">
      <c r="A3119" t="s">
        <v>436</v>
      </c>
      <c r="B3119" t="s">
        <v>691</v>
      </c>
      <c r="C3119" t="str">
        <f t="shared" si="143"/>
        <v>19647740000000</v>
      </c>
      <c r="D3119" t="s">
        <v>2094</v>
      </c>
      <c r="E3119" t="str">
        <f>"19647746020291"</f>
        <v>19647746020291</v>
      </c>
      <c r="F3119" s="8">
        <v>361</v>
      </c>
      <c r="G3119" s="8">
        <v>6140</v>
      </c>
      <c r="H3119" s="8">
        <v>2734</v>
      </c>
      <c r="I3119" s="8">
        <v>6914</v>
      </c>
    </row>
    <row r="3120" spans="1:9" x14ac:dyDescent="0.2">
      <c r="A3120" t="s">
        <v>436</v>
      </c>
      <c r="B3120" t="s">
        <v>691</v>
      </c>
      <c r="C3120" t="str">
        <f t="shared" si="143"/>
        <v>19647740000000</v>
      </c>
      <c r="D3120" t="s">
        <v>4840</v>
      </c>
      <c r="E3120" t="str">
        <f>"19647746020259"</f>
        <v>19647746020259</v>
      </c>
      <c r="F3120" s="8">
        <v>355</v>
      </c>
      <c r="G3120" s="8">
        <v>6121</v>
      </c>
      <c r="H3120" s="8">
        <v>2734</v>
      </c>
      <c r="I3120" s="8">
        <v>6914</v>
      </c>
    </row>
    <row r="3121" spans="1:9" x14ac:dyDescent="0.2">
      <c r="A3121" t="s">
        <v>436</v>
      </c>
      <c r="B3121" t="s">
        <v>691</v>
      </c>
      <c r="C3121" t="str">
        <f t="shared" si="143"/>
        <v>19647740000000</v>
      </c>
      <c r="D3121" t="s">
        <v>4841</v>
      </c>
      <c r="E3121" t="str">
        <f>"19647740108381"</f>
        <v>19647740108381</v>
      </c>
      <c r="F3121" s="8">
        <v>277</v>
      </c>
      <c r="G3121" s="8">
        <v>6109</v>
      </c>
      <c r="H3121" s="8">
        <v>2734</v>
      </c>
      <c r="I3121" s="8">
        <v>6914</v>
      </c>
    </row>
    <row r="3122" spans="1:9" x14ac:dyDescent="0.2">
      <c r="A3122" t="s">
        <v>436</v>
      </c>
      <c r="B3122" t="s">
        <v>691</v>
      </c>
      <c r="C3122" t="str">
        <f t="shared" si="143"/>
        <v>19647740000000</v>
      </c>
      <c r="D3122" t="s">
        <v>4842</v>
      </c>
      <c r="E3122" t="str">
        <f>"19647746020267"</f>
        <v>19647746020267</v>
      </c>
      <c r="F3122" s="8">
        <v>465</v>
      </c>
      <c r="G3122" s="8">
        <v>5902</v>
      </c>
      <c r="H3122" s="8">
        <v>2734</v>
      </c>
      <c r="I3122" s="8">
        <v>6914</v>
      </c>
    </row>
    <row r="3123" spans="1:9" x14ac:dyDescent="0.2">
      <c r="A3123" t="s">
        <v>436</v>
      </c>
      <c r="B3123" t="s">
        <v>691</v>
      </c>
      <c r="C3123" t="str">
        <f t="shared" si="143"/>
        <v>19647740000000</v>
      </c>
      <c r="D3123" t="s">
        <v>2465</v>
      </c>
      <c r="E3123" t="str">
        <f>"19647746020275"</f>
        <v>19647746020275</v>
      </c>
      <c r="F3123" s="8">
        <v>252</v>
      </c>
      <c r="G3123" s="8">
        <v>6065</v>
      </c>
      <c r="H3123" s="8">
        <v>2734</v>
      </c>
      <c r="I3123" s="8">
        <v>6914</v>
      </c>
    </row>
    <row r="3124" spans="1:9" x14ac:dyDescent="0.2">
      <c r="A3124" t="s">
        <v>436</v>
      </c>
      <c r="B3124" t="s">
        <v>691</v>
      </c>
      <c r="C3124" t="str">
        <f t="shared" si="143"/>
        <v>19647740000000</v>
      </c>
      <c r="D3124" t="s">
        <v>2178</v>
      </c>
      <c r="E3124" t="str">
        <f>"19647740108399"</f>
        <v>19647740108399</v>
      </c>
      <c r="F3124" s="8">
        <v>115</v>
      </c>
      <c r="G3124" s="8">
        <v>6157</v>
      </c>
      <c r="H3124" s="8">
        <v>2734</v>
      </c>
      <c r="I3124" s="8">
        <v>6914</v>
      </c>
    </row>
    <row r="3125" spans="1:9" x14ac:dyDescent="0.2">
      <c r="A3125" t="s">
        <v>436</v>
      </c>
      <c r="B3125" t="s">
        <v>691</v>
      </c>
      <c r="C3125" t="str">
        <f t="shared" si="143"/>
        <v>19647740000000</v>
      </c>
      <c r="D3125" t="s">
        <v>4843</v>
      </c>
      <c r="E3125" t="str">
        <f>"19647740107912"</f>
        <v>19647740107912</v>
      </c>
      <c r="F3125" s="8">
        <v>334</v>
      </c>
      <c r="G3125" s="8">
        <v>5936</v>
      </c>
      <c r="H3125" s="8">
        <v>2734</v>
      </c>
      <c r="I3125" s="8">
        <v>6914</v>
      </c>
    </row>
    <row r="3126" spans="1:9" x14ac:dyDescent="0.2">
      <c r="A3126" t="s">
        <v>436</v>
      </c>
      <c r="B3126" t="s">
        <v>691</v>
      </c>
      <c r="C3126" t="str">
        <f t="shared" si="143"/>
        <v>19647740000000</v>
      </c>
      <c r="D3126" t="s">
        <v>2347</v>
      </c>
      <c r="E3126" t="str">
        <f>"19647746020283"</f>
        <v>19647746020283</v>
      </c>
      <c r="F3126" s="8">
        <v>443</v>
      </c>
      <c r="G3126" s="8">
        <v>5793</v>
      </c>
      <c r="H3126" s="8">
        <v>2734</v>
      </c>
      <c r="I3126" s="8">
        <v>6914</v>
      </c>
    </row>
    <row r="3127" spans="1:9" x14ac:dyDescent="0.2">
      <c r="A3127" t="s">
        <v>436</v>
      </c>
      <c r="B3127" t="s">
        <v>691</v>
      </c>
      <c r="C3127" t="str">
        <f t="shared" si="143"/>
        <v>19647740000000</v>
      </c>
      <c r="D3127" t="s">
        <v>4844</v>
      </c>
      <c r="E3127" t="str">
        <f>"19647746115547"</f>
        <v>19647746115547</v>
      </c>
      <c r="F3127" s="8">
        <v>184</v>
      </c>
      <c r="G3127" s="8">
        <v>6029</v>
      </c>
      <c r="H3127" s="8">
        <v>2734</v>
      </c>
      <c r="I3127" s="8">
        <v>6914</v>
      </c>
    </row>
    <row r="3128" spans="1:9" x14ac:dyDescent="0.2">
      <c r="A3128" t="s">
        <v>436</v>
      </c>
      <c r="B3128" t="s">
        <v>691</v>
      </c>
      <c r="C3128" t="str">
        <f t="shared" si="143"/>
        <v>19647740000000</v>
      </c>
      <c r="D3128" t="s">
        <v>4845</v>
      </c>
      <c r="E3128" t="str">
        <f>"19647746020309"</f>
        <v>19647746020309</v>
      </c>
      <c r="F3128" s="8">
        <v>395</v>
      </c>
      <c r="G3128" s="8">
        <v>5807</v>
      </c>
      <c r="H3128" s="8">
        <v>2734</v>
      </c>
      <c r="I3128" s="8">
        <v>6914</v>
      </c>
    </row>
    <row r="3129" spans="1:9" x14ac:dyDescent="0.2">
      <c r="A3129" t="s">
        <v>436</v>
      </c>
      <c r="B3129" t="s">
        <v>691</v>
      </c>
      <c r="C3129" t="str">
        <f t="shared" si="143"/>
        <v>19647740000000</v>
      </c>
      <c r="D3129" t="s">
        <v>4846</v>
      </c>
      <c r="E3129" t="str">
        <f>"19647741935436"</f>
        <v>19647741935436</v>
      </c>
      <c r="F3129" s="8">
        <v>252</v>
      </c>
      <c r="G3129" s="8">
        <v>5766</v>
      </c>
      <c r="H3129" s="8">
        <v>2734</v>
      </c>
      <c r="I3129" s="8">
        <v>6914</v>
      </c>
    </row>
    <row r="3130" spans="1:9" x14ac:dyDescent="0.2">
      <c r="A3130" t="s">
        <v>436</v>
      </c>
      <c r="B3130" t="s">
        <v>691</v>
      </c>
      <c r="C3130" t="str">
        <f t="shared" si="143"/>
        <v>19647740000000</v>
      </c>
      <c r="D3130" t="s">
        <v>4847</v>
      </c>
      <c r="E3130" t="str">
        <f>"19647740109538"</f>
        <v>19647740109538</v>
      </c>
      <c r="F3130" s="8">
        <v>108</v>
      </c>
      <c r="G3130" s="8">
        <v>5658</v>
      </c>
      <c r="H3130" s="8">
        <v>2734</v>
      </c>
      <c r="I3130" s="8">
        <v>6914</v>
      </c>
    </row>
    <row r="3131" spans="1:9" x14ac:dyDescent="0.2">
      <c r="A3131" t="s">
        <v>436</v>
      </c>
      <c r="B3131" t="s">
        <v>691</v>
      </c>
      <c r="C3131" t="str">
        <f t="shared" si="143"/>
        <v>19647740000000</v>
      </c>
      <c r="D3131" t="s">
        <v>2348</v>
      </c>
      <c r="E3131" t="str">
        <f>"19647746020317"</f>
        <v>19647746020317</v>
      </c>
      <c r="F3131" s="8">
        <v>408</v>
      </c>
      <c r="G3131" s="8">
        <v>4895</v>
      </c>
      <c r="H3131" s="8">
        <v>2734</v>
      </c>
      <c r="I3131" s="8">
        <v>6914</v>
      </c>
    </row>
    <row r="3132" spans="1:9" x14ac:dyDescent="0.2">
      <c r="A3132" t="s">
        <v>436</v>
      </c>
      <c r="B3132" t="s">
        <v>700</v>
      </c>
      <c r="C3132" t="str">
        <f t="shared" ref="C3132:C3138" si="144">"19753330000000"</f>
        <v>19753330000000</v>
      </c>
      <c r="D3132" t="s">
        <v>4848</v>
      </c>
      <c r="E3132" t="str">
        <f>"19753336020390"</f>
        <v>19753336020390</v>
      </c>
      <c r="F3132" s="8">
        <v>2006</v>
      </c>
      <c r="G3132" s="8">
        <v>8590</v>
      </c>
      <c r="H3132" s="8">
        <v>634</v>
      </c>
      <c r="I3132" s="8">
        <v>4705</v>
      </c>
    </row>
    <row r="3133" spans="1:9" x14ac:dyDescent="0.2">
      <c r="A3133" t="s">
        <v>436</v>
      </c>
      <c r="B3133" t="s">
        <v>700</v>
      </c>
      <c r="C3133" t="str">
        <f t="shared" si="144"/>
        <v>19753330000000</v>
      </c>
      <c r="D3133" t="s">
        <v>1692</v>
      </c>
      <c r="E3133" t="str">
        <f>"19753336020416"</f>
        <v>19753336020416</v>
      </c>
      <c r="F3133" s="8">
        <v>1352</v>
      </c>
      <c r="G3133" s="8">
        <v>8512</v>
      </c>
      <c r="H3133" s="8">
        <v>634</v>
      </c>
      <c r="I3133" s="8">
        <v>4705</v>
      </c>
    </row>
    <row r="3134" spans="1:9" x14ac:dyDescent="0.2">
      <c r="A3134" t="s">
        <v>436</v>
      </c>
      <c r="B3134" t="s">
        <v>700</v>
      </c>
      <c r="C3134" t="str">
        <f t="shared" si="144"/>
        <v>19753330000000</v>
      </c>
      <c r="D3134" t="s">
        <v>4849</v>
      </c>
      <c r="E3134" t="str">
        <f>"19753336020358"</f>
        <v>19753336020358</v>
      </c>
      <c r="F3134" s="8">
        <v>1100</v>
      </c>
      <c r="G3134" s="8">
        <v>8687</v>
      </c>
      <c r="H3134" s="8">
        <v>634</v>
      </c>
      <c r="I3134" s="8">
        <v>4705</v>
      </c>
    </row>
    <row r="3135" spans="1:9" x14ac:dyDescent="0.2">
      <c r="A3135" t="s">
        <v>436</v>
      </c>
      <c r="B3135" t="s">
        <v>700</v>
      </c>
      <c r="C3135" t="str">
        <f t="shared" si="144"/>
        <v>19753330000000</v>
      </c>
      <c r="D3135" t="s">
        <v>4850</v>
      </c>
      <c r="E3135" t="str">
        <f>"19753336020408"</f>
        <v>19753336020408</v>
      </c>
      <c r="F3135" s="8">
        <v>975</v>
      </c>
      <c r="G3135" s="8">
        <v>8462</v>
      </c>
      <c r="H3135" s="8">
        <v>634</v>
      </c>
      <c r="I3135" s="8">
        <v>4705</v>
      </c>
    </row>
    <row r="3136" spans="1:9" x14ac:dyDescent="0.2">
      <c r="A3136" t="s">
        <v>436</v>
      </c>
      <c r="B3136" t="s">
        <v>700</v>
      </c>
      <c r="C3136" t="str">
        <f t="shared" si="144"/>
        <v>19753330000000</v>
      </c>
      <c r="D3136" t="s">
        <v>4851</v>
      </c>
      <c r="E3136" t="str">
        <f>"19753336020325"</f>
        <v>19753336020325</v>
      </c>
      <c r="F3136" s="8">
        <v>1240</v>
      </c>
      <c r="G3136" s="8">
        <v>8082</v>
      </c>
      <c r="H3136" s="8">
        <v>634</v>
      </c>
      <c r="I3136" s="8">
        <v>4705</v>
      </c>
    </row>
    <row r="3137" spans="1:9" x14ac:dyDescent="0.2">
      <c r="A3137" t="s">
        <v>436</v>
      </c>
      <c r="B3137" t="s">
        <v>700</v>
      </c>
      <c r="C3137" t="str">
        <f t="shared" si="144"/>
        <v>19753330000000</v>
      </c>
      <c r="D3137" t="s">
        <v>4852</v>
      </c>
      <c r="E3137" t="str">
        <f>"19753331935808"</f>
        <v>19753331935808</v>
      </c>
      <c r="F3137" s="8">
        <v>687</v>
      </c>
      <c r="G3137" s="8">
        <v>7932</v>
      </c>
      <c r="H3137" s="8">
        <v>634</v>
      </c>
      <c r="I3137" s="8">
        <v>4705</v>
      </c>
    </row>
    <row r="3138" spans="1:9" x14ac:dyDescent="0.2">
      <c r="A3138" t="s">
        <v>436</v>
      </c>
      <c r="B3138" t="s">
        <v>700</v>
      </c>
      <c r="C3138" t="str">
        <f t="shared" si="144"/>
        <v>19753330000000</v>
      </c>
      <c r="D3138" t="s">
        <v>4853</v>
      </c>
      <c r="E3138" t="str">
        <f>"19753336115307"</f>
        <v>19753336115307</v>
      </c>
      <c r="F3138" s="8">
        <v>1108</v>
      </c>
      <c r="G3138" s="8">
        <v>6888</v>
      </c>
      <c r="H3138" s="8">
        <v>634</v>
      </c>
      <c r="I3138" s="8">
        <v>4705</v>
      </c>
    </row>
    <row r="3139" spans="1:9" x14ac:dyDescent="0.2">
      <c r="A3139" t="s">
        <v>436</v>
      </c>
      <c r="B3139" t="s">
        <v>706</v>
      </c>
      <c r="C3139" t="str">
        <f t="shared" ref="C3139:C3148" si="145">"19647900000000"</f>
        <v>19647900000000</v>
      </c>
      <c r="D3139" t="s">
        <v>4854</v>
      </c>
      <c r="E3139" t="str">
        <f>"19647901935899"</f>
        <v>19647901935899</v>
      </c>
      <c r="F3139" s="8">
        <v>528</v>
      </c>
      <c r="G3139" s="8">
        <v>23869</v>
      </c>
      <c r="H3139" s="8">
        <v>1375</v>
      </c>
      <c r="I3139" s="8">
        <v>4725</v>
      </c>
    </row>
    <row r="3140" spans="1:9" x14ac:dyDescent="0.2">
      <c r="A3140" t="s">
        <v>436</v>
      </c>
      <c r="B3140" t="s">
        <v>706</v>
      </c>
      <c r="C3140" t="str">
        <f t="shared" si="145"/>
        <v>19647900000000</v>
      </c>
      <c r="D3140" t="s">
        <v>4855</v>
      </c>
      <c r="E3140" t="str">
        <f>"19647906020481"</f>
        <v>19647906020481</v>
      </c>
      <c r="F3140" s="8">
        <v>429</v>
      </c>
      <c r="G3140" s="8">
        <v>8039</v>
      </c>
      <c r="H3140" s="8">
        <v>1375</v>
      </c>
      <c r="I3140" s="8">
        <v>4725</v>
      </c>
    </row>
    <row r="3141" spans="1:9" x14ac:dyDescent="0.2">
      <c r="A3141" t="s">
        <v>436</v>
      </c>
      <c r="B3141" t="s">
        <v>706</v>
      </c>
      <c r="C3141" t="str">
        <f t="shared" si="145"/>
        <v>19647900000000</v>
      </c>
      <c r="D3141" t="s">
        <v>4856</v>
      </c>
      <c r="E3141" t="str">
        <f>"19647906020499"</f>
        <v>19647906020499</v>
      </c>
      <c r="F3141" s="8">
        <v>920</v>
      </c>
      <c r="G3141" s="8">
        <v>7249</v>
      </c>
      <c r="H3141" s="8">
        <v>1375</v>
      </c>
      <c r="I3141" s="8">
        <v>4725</v>
      </c>
    </row>
    <row r="3142" spans="1:9" x14ac:dyDescent="0.2">
      <c r="A3142" t="s">
        <v>436</v>
      </c>
      <c r="B3142" t="s">
        <v>706</v>
      </c>
      <c r="C3142" t="str">
        <f t="shared" si="145"/>
        <v>19647900000000</v>
      </c>
      <c r="D3142" t="s">
        <v>4857</v>
      </c>
      <c r="E3142" t="str">
        <f>"19647906020424"</f>
        <v>19647906020424</v>
      </c>
      <c r="F3142" s="8">
        <v>906</v>
      </c>
      <c r="G3142" s="8">
        <v>7094</v>
      </c>
      <c r="H3142" s="8">
        <v>1375</v>
      </c>
      <c r="I3142" s="8">
        <v>4725</v>
      </c>
    </row>
    <row r="3143" spans="1:9" x14ac:dyDescent="0.2">
      <c r="A3143" t="s">
        <v>436</v>
      </c>
      <c r="B3143" t="s">
        <v>706</v>
      </c>
      <c r="C3143" t="str">
        <f t="shared" si="145"/>
        <v>19647900000000</v>
      </c>
      <c r="D3143" t="s">
        <v>2373</v>
      </c>
      <c r="E3143" t="str">
        <f>"19647906020473"</f>
        <v>19647906020473</v>
      </c>
      <c r="F3143" s="8">
        <v>555</v>
      </c>
      <c r="G3143" s="8">
        <v>7064</v>
      </c>
      <c r="H3143" s="8">
        <v>1375</v>
      </c>
      <c r="I3143" s="8">
        <v>4725</v>
      </c>
    </row>
    <row r="3144" spans="1:9" x14ac:dyDescent="0.2">
      <c r="A3144" t="s">
        <v>436</v>
      </c>
      <c r="B3144" t="s">
        <v>706</v>
      </c>
      <c r="C3144" t="str">
        <f t="shared" si="145"/>
        <v>19647900000000</v>
      </c>
      <c r="D3144" t="s">
        <v>4858</v>
      </c>
      <c r="E3144" t="str">
        <f>"19647901935923"</f>
        <v>19647901935923</v>
      </c>
      <c r="F3144" s="8">
        <v>217</v>
      </c>
      <c r="G3144" s="8">
        <v>7274</v>
      </c>
      <c r="H3144" s="8">
        <v>1375</v>
      </c>
      <c r="I3144" s="8">
        <v>4725</v>
      </c>
    </row>
    <row r="3145" spans="1:9" x14ac:dyDescent="0.2">
      <c r="A3145" t="s">
        <v>436</v>
      </c>
      <c r="B3145" t="s">
        <v>706</v>
      </c>
      <c r="C3145" t="str">
        <f t="shared" si="145"/>
        <v>19647900000000</v>
      </c>
      <c r="D3145" t="s">
        <v>4859</v>
      </c>
      <c r="E3145" t="str">
        <f>"19647906020457"</f>
        <v>19647906020457</v>
      </c>
      <c r="F3145" s="8">
        <v>600</v>
      </c>
      <c r="G3145" s="8">
        <v>6833</v>
      </c>
      <c r="H3145" s="8">
        <v>1375</v>
      </c>
      <c r="I3145" s="8">
        <v>4725</v>
      </c>
    </row>
    <row r="3146" spans="1:9" x14ac:dyDescent="0.2">
      <c r="A3146" t="s">
        <v>436</v>
      </c>
      <c r="B3146" t="s">
        <v>706</v>
      </c>
      <c r="C3146" t="str">
        <f t="shared" si="145"/>
        <v>19647900000000</v>
      </c>
      <c r="D3146" t="s">
        <v>4860</v>
      </c>
      <c r="E3146" t="str">
        <f>"19647906020432"</f>
        <v>19647906020432</v>
      </c>
      <c r="F3146" s="8">
        <v>184</v>
      </c>
      <c r="G3146" s="8">
        <v>6751</v>
      </c>
      <c r="H3146" s="8">
        <v>1375</v>
      </c>
      <c r="I3146" s="8">
        <v>4725</v>
      </c>
    </row>
    <row r="3147" spans="1:9" x14ac:dyDescent="0.2">
      <c r="A3147" t="s">
        <v>436</v>
      </c>
      <c r="B3147" t="s">
        <v>706</v>
      </c>
      <c r="C3147" t="str">
        <f t="shared" si="145"/>
        <v>19647900000000</v>
      </c>
      <c r="D3147" t="s">
        <v>232</v>
      </c>
      <c r="E3147" t="str">
        <f>"19647906020465"</f>
        <v>19647906020465</v>
      </c>
      <c r="F3147" s="8">
        <v>504</v>
      </c>
      <c r="G3147" s="8">
        <v>6411</v>
      </c>
      <c r="H3147" s="8">
        <v>1375</v>
      </c>
      <c r="I3147" s="8">
        <v>4725</v>
      </c>
    </row>
    <row r="3148" spans="1:9" x14ac:dyDescent="0.2">
      <c r="A3148" t="s">
        <v>436</v>
      </c>
      <c r="B3148" t="s">
        <v>706</v>
      </c>
      <c r="C3148" t="str">
        <f t="shared" si="145"/>
        <v>19647900000000</v>
      </c>
      <c r="D3148" t="s">
        <v>4861</v>
      </c>
      <c r="E3148" t="str">
        <f>"19647901996404"</f>
        <v>19647901996404</v>
      </c>
      <c r="F3148" s="8">
        <v>188</v>
      </c>
      <c r="G3148" s="8">
        <v>4251</v>
      </c>
      <c r="H3148" s="8">
        <v>1375</v>
      </c>
      <c r="I3148" s="8">
        <v>4725</v>
      </c>
    </row>
    <row r="3149" spans="1:9" x14ac:dyDescent="0.2">
      <c r="A3149" t="s">
        <v>436</v>
      </c>
      <c r="B3149" t="s">
        <v>709</v>
      </c>
      <c r="C3149" t="str">
        <f t="shared" ref="C3149:C3177" si="146">"19648080000000"</f>
        <v>19648080000000</v>
      </c>
      <c r="D3149" t="s">
        <v>4862</v>
      </c>
      <c r="E3149" t="str">
        <f>"19648081996388"</f>
        <v>19648081996388</v>
      </c>
      <c r="F3149" s="8">
        <v>0</v>
      </c>
      <c r="G3149" s="8">
        <v>54919</v>
      </c>
      <c r="H3149" s="8">
        <v>938</v>
      </c>
      <c r="I3149" s="8">
        <v>8279</v>
      </c>
    </row>
    <row r="3150" spans="1:9" x14ac:dyDescent="0.2">
      <c r="A3150" t="s">
        <v>436</v>
      </c>
      <c r="B3150" t="s">
        <v>709</v>
      </c>
      <c r="C3150" t="str">
        <f t="shared" si="146"/>
        <v>19648080000000</v>
      </c>
      <c r="D3150" t="s">
        <v>4863</v>
      </c>
      <c r="E3150" t="str">
        <f>"19648081938927"</f>
        <v>19648081938927</v>
      </c>
      <c r="F3150" s="8">
        <v>1359</v>
      </c>
      <c r="G3150" s="8">
        <v>9968</v>
      </c>
      <c r="H3150" s="8">
        <v>938</v>
      </c>
      <c r="I3150" s="8">
        <v>8279</v>
      </c>
    </row>
    <row r="3151" spans="1:9" x14ac:dyDescent="0.2">
      <c r="A3151" t="s">
        <v>436</v>
      </c>
      <c r="B3151" t="s">
        <v>709</v>
      </c>
      <c r="C3151" t="str">
        <f t="shared" si="146"/>
        <v>19648080000000</v>
      </c>
      <c r="D3151" t="s">
        <v>4864</v>
      </c>
      <c r="E3151" t="str">
        <f>"19648080124552"</f>
        <v>19648080124552</v>
      </c>
      <c r="F3151" s="8">
        <v>449</v>
      </c>
      <c r="G3151" s="8">
        <v>9546</v>
      </c>
      <c r="H3151" s="8">
        <v>938</v>
      </c>
      <c r="I3151" s="8">
        <v>8279</v>
      </c>
    </row>
    <row r="3152" spans="1:9" x14ac:dyDescent="0.2">
      <c r="A3152" t="s">
        <v>436</v>
      </c>
      <c r="B3152" t="s">
        <v>709</v>
      </c>
      <c r="C3152" t="str">
        <f t="shared" si="146"/>
        <v>19648080000000</v>
      </c>
      <c r="D3152" t="s">
        <v>4865</v>
      </c>
      <c r="E3152" t="str">
        <f>"19648086020630"</f>
        <v>19648086020630</v>
      </c>
      <c r="F3152" s="8">
        <v>552</v>
      </c>
      <c r="G3152" s="8">
        <v>6540</v>
      </c>
      <c r="H3152" s="8">
        <v>938</v>
      </c>
      <c r="I3152" s="8">
        <v>8279</v>
      </c>
    </row>
    <row r="3153" spans="1:9" x14ac:dyDescent="0.2">
      <c r="A3153" t="s">
        <v>436</v>
      </c>
      <c r="B3153" t="s">
        <v>709</v>
      </c>
      <c r="C3153" t="str">
        <f t="shared" si="146"/>
        <v>19648080000000</v>
      </c>
      <c r="D3153" t="s">
        <v>4866</v>
      </c>
      <c r="E3153" t="str">
        <f>"19648086020507"</f>
        <v>19648086020507</v>
      </c>
      <c r="F3153" s="8">
        <v>845</v>
      </c>
      <c r="G3153" s="8">
        <v>6227</v>
      </c>
      <c r="H3153" s="8">
        <v>938</v>
      </c>
      <c r="I3153" s="8">
        <v>8279</v>
      </c>
    </row>
    <row r="3154" spans="1:9" x14ac:dyDescent="0.2">
      <c r="A3154" t="s">
        <v>436</v>
      </c>
      <c r="B3154" t="s">
        <v>709</v>
      </c>
      <c r="C3154" t="str">
        <f t="shared" si="146"/>
        <v>19648080000000</v>
      </c>
      <c r="D3154" t="s">
        <v>4867</v>
      </c>
      <c r="E3154" t="str">
        <f>"19648086058416"</f>
        <v>19648086058416</v>
      </c>
      <c r="F3154" s="8">
        <v>421</v>
      </c>
      <c r="G3154" s="8">
        <v>6350</v>
      </c>
      <c r="H3154" s="8">
        <v>938</v>
      </c>
      <c r="I3154" s="8">
        <v>8279</v>
      </c>
    </row>
    <row r="3155" spans="1:9" x14ac:dyDescent="0.2">
      <c r="A3155" t="s">
        <v>436</v>
      </c>
      <c r="B3155" t="s">
        <v>709</v>
      </c>
      <c r="C3155" t="str">
        <f t="shared" si="146"/>
        <v>19648080000000</v>
      </c>
      <c r="D3155" t="s">
        <v>4868</v>
      </c>
      <c r="E3155" t="str">
        <f>"19648086020614"</f>
        <v>19648086020614</v>
      </c>
      <c r="F3155" s="8">
        <v>647</v>
      </c>
      <c r="G3155" s="8">
        <v>6026</v>
      </c>
      <c r="H3155" s="8">
        <v>938</v>
      </c>
      <c r="I3155" s="8">
        <v>8279</v>
      </c>
    </row>
    <row r="3156" spans="1:9" x14ac:dyDescent="0.2">
      <c r="A3156" t="s">
        <v>436</v>
      </c>
      <c r="B3156" t="s">
        <v>709</v>
      </c>
      <c r="C3156" t="str">
        <f t="shared" si="146"/>
        <v>19648080000000</v>
      </c>
      <c r="D3156" t="s">
        <v>2500</v>
      </c>
      <c r="E3156" t="str">
        <f>"19648086020556"</f>
        <v>19648086020556</v>
      </c>
      <c r="F3156" s="8">
        <v>582</v>
      </c>
      <c r="G3156" s="8">
        <v>6065</v>
      </c>
      <c r="H3156" s="8">
        <v>938</v>
      </c>
      <c r="I3156" s="8">
        <v>8279</v>
      </c>
    </row>
    <row r="3157" spans="1:9" x14ac:dyDescent="0.2">
      <c r="A3157" t="s">
        <v>436</v>
      </c>
      <c r="B3157" t="s">
        <v>709</v>
      </c>
      <c r="C3157" t="str">
        <f t="shared" si="146"/>
        <v>19648080000000</v>
      </c>
      <c r="D3157" t="s">
        <v>4869</v>
      </c>
      <c r="E3157" t="str">
        <f>"19648086020648"</f>
        <v>19648086020648</v>
      </c>
      <c r="F3157" s="8">
        <v>442</v>
      </c>
      <c r="G3157" s="8">
        <v>5941</v>
      </c>
      <c r="H3157" s="8">
        <v>938</v>
      </c>
      <c r="I3157" s="8">
        <v>8279</v>
      </c>
    </row>
    <row r="3158" spans="1:9" x14ac:dyDescent="0.2">
      <c r="A3158" t="s">
        <v>436</v>
      </c>
      <c r="B3158" t="s">
        <v>709</v>
      </c>
      <c r="C3158" t="str">
        <f t="shared" si="146"/>
        <v>19648080000000</v>
      </c>
      <c r="D3158" t="s">
        <v>4870</v>
      </c>
      <c r="E3158" t="str">
        <f>"19648086020655"</f>
        <v>19648086020655</v>
      </c>
      <c r="F3158" s="8">
        <v>592</v>
      </c>
      <c r="G3158" s="8">
        <v>5722</v>
      </c>
      <c r="H3158" s="8">
        <v>938</v>
      </c>
      <c r="I3158" s="8">
        <v>8279</v>
      </c>
    </row>
    <row r="3159" spans="1:9" x14ac:dyDescent="0.2">
      <c r="A3159" t="s">
        <v>436</v>
      </c>
      <c r="B3159" t="s">
        <v>709</v>
      </c>
      <c r="C3159" t="str">
        <f t="shared" si="146"/>
        <v>19648080000000</v>
      </c>
      <c r="D3159" t="s">
        <v>4871</v>
      </c>
      <c r="E3159" t="str">
        <f>"19648086020549"</f>
        <v>19648086020549</v>
      </c>
      <c r="F3159" s="8">
        <v>568</v>
      </c>
      <c r="G3159" s="8">
        <v>5742</v>
      </c>
      <c r="H3159" s="8">
        <v>938</v>
      </c>
      <c r="I3159" s="8">
        <v>8279</v>
      </c>
    </row>
    <row r="3160" spans="1:9" x14ac:dyDescent="0.2">
      <c r="A3160" t="s">
        <v>436</v>
      </c>
      <c r="B3160" t="s">
        <v>709</v>
      </c>
      <c r="C3160" t="str">
        <f t="shared" si="146"/>
        <v>19648080000000</v>
      </c>
      <c r="D3160" t="s">
        <v>4872</v>
      </c>
      <c r="E3160" t="str">
        <f>"19648086058432"</f>
        <v>19648086058432</v>
      </c>
      <c r="F3160" s="8">
        <v>396</v>
      </c>
      <c r="G3160" s="8">
        <v>5766</v>
      </c>
      <c r="H3160" s="8">
        <v>938</v>
      </c>
      <c r="I3160" s="8">
        <v>8279</v>
      </c>
    </row>
    <row r="3161" spans="1:9" x14ac:dyDescent="0.2">
      <c r="A3161" t="s">
        <v>436</v>
      </c>
      <c r="B3161" t="s">
        <v>709</v>
      </c>
      <c r="C3161" t="str">
        <f t="shared" si="146"/>
        <v>19648080000000</v>
      </c>
      <c r="D3161" t="s">
        <v>4873</v>
      </c>
      <c r="E3161" t="str">
        <f>"19648086020572"</f>
        <v>19648086020572</v>
      </c>
      <c r="F3161" s="8">
        <v>374</v>
      </c>
      <c r="G3161" s="8">
        <v>5777</v>
      </c>
      <c r="H3161" s="8">
        <v>938</v>
      </c>
      <c r="I3161" s="8">
        <v>8279</v>
      </c>
    </row>
    <row r="3162" spans="1:9" x14ac:dyDescent="0.2">
      <c r="A3162" t="s">
        <v>436</v>
      </c>
      <c r="B3162" t="s">
        <v>709</v>
      </c>
      <c r="C3162" t="str">
        <f t="shared" si="146"/>
        <v>19648080000000</v>
      </c>
      <c r="D3162" t="s">
        <v>4874</v>
      </c>
      <c r="E3162" t="str">
        <f>"19648081935998"</f>
        <v>19648081935998</v>
      </c>
      <c r="F3162" s="8">
        <v>388</v>
      </c>
      <c r="G3162" s="8">
        <v>5759</v>
      </c>
      <c r="H3162" s="8">
        <v>938</v>
      </c>
      <c r="I3162" s="8">
        <v>8279</v>
      </c>
    </row>
    <row r="3163" spans="1:9" x14ac:dyDescent="0.2">
      <c r="A3163" t="s">
        <v>436</v>
      </c>
      <c r="B3163" t="s">
        <v>709</v>
      </c>
      <c r="C3163" t="str">
        <f t="shared" si="146"/>
        <v>19648080000000</v>
      </c>
      <c r="D3163" t="s">
        <v>4875</v>
      </c>
      <c r="E3163" t="str">
        <f>"19648086020689"</f>
        <v>19648086020689</v>
      </c>
      <c r="F3163" s="8">
        <v>492</v>
      </c>
      <c r="G3163" s="8">
        <v>5602</v>
      </c>
      <c r="H3163" s="8">
        <v>938</v>
      </c>
      <c r="I3163" s="8">
        <v>8279</v>
      </c>
    </row>
    <row r="3164" spans="1:9" x14ac:dyDescent="0.2">
      <c r="A3164" t="s">
        <v>436</v>
      </c>
      <c r="B3164" t="s">
        <v>709</v>
      </c>
      <c r="C3164" t="str">
        <f t="shared" si="146"/>
        <v>19648080000000</v>
      </c>
      <c r="D3164" t="s">
        <v>2698</v>
      </c>
      <c r="E3164" t="str">
        <f>"19648086020531"</f>
        <v>19648086020531</v>
      </c>
      <c r="F3164" s="8">
        <v>434</v>
      </c>
      <c r="G3164" s="8">
        <v>5625</v>
      </c>
      <c r="H3164" s="8">
        <v>938</v>
      </c>
      <c r="I3164" s="8">
        <v>8279</v>
      </c>
    </row>
    <row r="3165" spans="1:9" x14ac:dyDescent="0.2">
      <c r="A3165" t="s">
        <v>436</v>
      </c>
      <c r="B3165" t="s">
        <v>709</v>
      </c>
      <c r="C3165" t="str">
        <f t="shared" si="146"/>
        <v>19648080000000</v>
      </c>
      <c r="D3165" t="s">
        <v>4876</v>
      </c>
      <c r="E3165" t="str">
        <f>"19648081930825"</f>
        <v>19648081930825</v>
      </c>
      <c r="F3165" s="8">
        <v>241</v>
      </c>
      <c r="G3165" s="8">
        <v>5793</v>
      </c>
      <c r="H3165" s="8">
        <v>938</v>
      </c>
      <c r="I3165" s="8">
        <v>8279</v>
      </c>
    </row>
    <row r="3166" spans="1:9" x14ac:dyDescent="0.2">
      <c r="A3166" t="s">
        <v>436</v>
      </c>
      <c r="B3166" t="s">
        <v>709</v>
      </c>
      <c r="C3166" t="str">
        <f t="shared" si="146"/>
        <v>19648080000000</v>
      </c>
      <c r="D3166" t="s">
        <v>4877</v>
      </c>
      <c r="E3166" t="str">
        <f>"19648086058408"</f>
        <v>19648086058408</v>
      </c>
      <c r="F3166" s="8">
        <v>244</v>
      </c>
      <c r="G3166" s="8">
        <v>5688</v>
      </c>
      <c r="H3166" s="8">
        <v>938</v>
      </c>
      <c r="I3166" s="8">
        <v>8279</v>
      </c>
    </row>
    <row r="3167" spans="1:9" x14ac:dyDescent="0.2">
      <c r="A3167" t="s">
        <v>436</v>
      </c>
      <c r="B3167" t="s">
        <v>709</v>
      </c>
      <c r="C3167" t="str">
        <f t="shared" si="146"/>
        <v>19648080000000</v>
      </c>
      <c r="D3167" t="s">
        <v>4878</v>
      </c>
      <c r="E3167" t="str">
        <f>"19648081930155"</f>
        <v>19648081930155</v>
      </c>
      <c r="F3167" s="8">
        <v>138</v>
      </c>
      <c r="G3167" s="8">
        <v>5792</v>
      </c>
      <c r="H3167" s="8">
        <v>938</v>
      </c>
      <c r="I3167" s="8">
        <v>8279</v>
      </c>
    </row>
    <row r="3168" spans="1:9" x14ac:dyDescent="0.2">
      <c r="A3168" t="s">
        <v>436</v>
      </c>
      <c r="B3168" t="s">
        <v>709</v>
      </c>
      <c r="C3168" t="str">
        <f t="shared" si="146"/>
        <v>19648080000000</v>
      </c>
      <c r="D3168" t="s">
        <v>1703</v>
      </c>
      <c r="E3168" t="str">
        <f>"19648086020523"</f>
        <v>19648086020523</v>
      </c>
      <c r="F3168" s="8">
        <v>313</v>
      </c>
      <c r="G3168" s="8">
        <v>5543</v>
      </c>
      <c r="H3168" s="8">
        <v>938</v>
      </c>
      <c r="I3168" s="8">
        <v>8279</v>
      </c>
    </row>
    <row r="3169" spans="1:9" x14ac:dyDescent="0.2">
      <c r="A3169" t="s">
        <v>436</v>
      </c>
      <c r="B3169" t="s">
        <v>709</v>
      </c>
      <c r="C3169" t="str">
        <f t="shared" si="146"/>
        <v>19648080000000</v>
      </c>
      <c r="D3169" t="s">
        <v>280</v>
      </c>
      <c r="E3169" t="str">
        <f>"19648086020564"</f>
        <v>19648086020564</v>
      </c>
      <c r="F3169" s="8">
        <v>713</v>
      </c>
      <c r="G3169" s="8">
        <v>5108</v>
      </c>
      <c r="H3169" s="8">
        <v>938</v>
      </c>
      <c r="I3169" s="8">
        <v>8279</v>
      </c>
    </row>
    <row r="3170" spans="1:9" x14ac:dyDescent="0.2">
      <c r="A3170" t="s">
        <v>436</v>
      </c>
      <c r="B3170" t="s">
        <v>709</v>
      </c>
      <c r="C3170" t="str">
        <f t="shared" si="146"/>
        <v>19648080000000</v>
      </c>
      <c r="D3170" t="s">
        <v>4879</v>
      </c>
      <c r="E3170" t="str">
        <f>"19648086085682"</f>
        <v>19648086085682</v>
      </c>
      <c r="F3170" s="8">
        <v>263</v>
      </c>
      <c r="G3170" s="8">
        <v>5462</v>
      </c>
      <c r="H3170" s="8">
        <v>938</v>
      </c>
      <c r="I3170" s="8">
        <v>8279</v>
      </c>
    </row>
    <row r="3171" spans="1:9" x14ac:dyDescent="0.2">
      <c r="A3171" t="s">
        <v>436</v>
      </c>
      <c r="B3171" t="s">
        <v>709</v>
      </c>
      <c r="C3171" t="str">
        <f t="shared" si="146"/>
        <v>19648080000000</v>
      </c>
      <c r="D3171" t="s">
        <v>4880</v>
      </c>
      <c r="E3171" t="str">
        <f>"19648086020580"</f>
        <v>19648086020580</v>
      </c>
      <c r="F3171" s="8">
        <v>527</v>
      </c>
      <c r="G3171" s="8">
        <v>5134</v>
      </c>
      <c r="H3171" s="8">
        <v>938</v>
      </c>
      <c r="I3171" s="8">
        <v>8279</v>
      </c>
    </row>
    <row r="3172" spans="1:9" x14ac:dyDescent="0.2">
      <c r="A3172" t="s">
        <v>436</v>
      </c>
      <c r="B3172" t="s">
        <v>709</v>
      </c>
      <c r="C3172" t="str">
        <f t="shared" si="146"/>
        <v>19648080000000</v>
      </c>
      <c r="D3172" t="s">
        <v>2094</v>
      </c>
      <c r="E3172" t="str">
        <f>"19648086020663"</f>
        <v>19648086020663</v>
      </c>
      <c r="F3172" s="8">
        <v>206</v>
      </c>
      <c r="G3172" s="8">
        <v>5347</v>
      </c>
      <c r="H3172" s="8">
        <v>938</v>
      </c>
      <c r="I3172" s="8">
        <v>8279</v>
      </c>
    </row>
    <row r="3173" spans="1:9" x14ac:dyDescent="0.2">
      <c r="A3173" t="s">
        <v>436</v>
      </c>
      <c r="B3173" t="s">
        <v>709</v>
      </c>
      <c r="C3173" t="str">
        <f t="shared" si="146"/>
        <v>19648080000000</v>
      </c>
      <c r="D3173" t="s">
        <v>4881</v>
      </c>
      <c r="E3173" t="str">
        <f>"19648086020515"</f>
        <v>19648086020515</v>
      </c>
      <c r="F3173" s="8">
        <v>350</v>
      </c>
      <c r="G3173" s="8">
        <v>5153</v>
      </c>
      <c r="H3173" s="8">
        <v>938</v>
      </c>
      <c r="I3173" s="8">
        <v>8279</v>
      </c>
    </row>
    <row r="3174" spans="1:9" x14ac:dyDescent="0.2">
      <c r="A3174" t="s">
        <v>436</v>
      </c>
      <c r="B3174" t="s">
        <v>709</v>
      </c>
      <c r="C3174" t="str">
        <f t="shared" si="146"/>
        <v>19648080000000</v>
      </c>
      <c r="D3174" t="s">
        <v>4882</v>
      </c>
      <c r="E3174" t="str">
        <f>"19648086085674"</f>
        <v>19648086085674</v>
      </c>
      <c r="F3174" s="8">
        <v>313</v>
      </c>
      <c r="G3174" s="8">
        <v>4988</v>
      </c>
      <c r="H3174" s="8">
        <v>938</v>
      </c>
      <c r="I3174" s="8">
        <v>8279</v>
      </c>
    </row>
    <row r="3175" spans="1:9" x14ac:dyDescent="0.2">
      <c r="A3175" t="s">
        <v>436</v>
      </c>
      <c r="B3175" t="s">
        <v>709</v>
      </c>
      <c r="C3175" t="str">
        <f t="shared" si="146"/>
        <v>19648080000000</v>
      </c>
      <c r="D3175" t="s">
        <v>4883</v>
      </c>
      <c r="E3175" t="str">
        <f>"19648086020598"</f>
        <v>19648086020598</v>
      </c>
      <c r="F3175" s="8">
        <v>358</v>
      </c>
      <c r="G3175" s="8">
        <v>4908</v>
      </c>
      <c r="H3175" s="8">
        <v>938</v>
      </c>
      <c r="I3175" s="8">
        <v>8279</v>
      </c>
    </row>
    <row r="3176" spans="1:9" x14ac:dyDescent="0.2">
      <c r="A3176" t="s">
        <v>436</v>
      </c>
      <c r="B3176" t="s">
        <v>709</v>
      </c>
      <c r="C3176" t="str">
        <f t="shared" si="146"/>
        <v>19648080000000</v>
      </c>
      <c r="D3176" t="s">
        <v>4884</v>
      </c>
      <c r="E3176" t="str">
        <f>"19648086020671"</f>
        <v>19648086020671</v>
      </c>
      <c r="F3176" s="8">
        <v>314</v>
      </c>
      <c r="G3176" s="8">
        <v>4888</v>
      </c>
      <c r="H3176" s="8">
        <v>938</v>
      </c>
      <c r="I3176" s="8">
        <v>8279</v>
      </c>
    </row>
    <row r="3177" spans="1:9" x14ac:dyDescent="0.2">
      <c r="A3177" t="s">
        <v>436</v>
      </c>
      <c r="B3177" t="s">
        <v>709</v>
      </c>
      <c r="C3177" t="str">
        <f t="shared" si="146"/>
        <v>19648080000000</v>
      </c>
      <c r="D3177" t="s">
        <v>4885</v>
      </c>
      <c r="E3177" t="str">
        <f>"19648086020622"</f>
        <v>19648086020622</v>
      </c>
      <c r="F3177" s="8">
        <v>474</v>
      </c>
      <c r="G3177" s="8">
        <v>4680</v>
      </c>
      <c r="H3177" s="8">
        <v>938</v>
      </c>
      <c r="I3177" s="8">
        <v>8279</v>
      </c>
    </row>
    <row r="3178" spans="1:9" x14ac:dyDescent="0.2">
      <c r="A3178" t="s">
        <v>436</v>
      </c>
      <c r="B3178" t="s">
        <v>710</v>
      </c>
      <c r="C3178" t="str">
        <f t="shared" ref="C3178:C3189" si="147">"19648160000000"</f>
        <v>19648160000000</v>
      </c>
      <c r="D3178" t="s">
        <v>4886</v>
      </c>
      <c r="E3178" t="str">
        <f>"19648166020721"</f>
        <v>19648166020721</v>
      </c>
      <c r="F3178" s="8">
        <v>249</v>
      </c>
      <c r="G3178" s="8">
        <v>8248</v>
      </c>
      <c r="H3178" s="8">
        <v>1992</v>
      </c>
      <c r="I3178" s="8">
        <v>7182</v>
      </c>
    </row>
    <row r="3179" spans="1:9" x14ac:dyDescent="0.2">
      <c r="A3179" t="s">
        <v>436</v>
      </c>
      <c r="B3179" t="s">
        <v>710</v>
      </c>
      <c r="C3179" t="str">
        <f t="shared" si="147"/>
        <v>19648160000000</v>
      </c>
      <c r="D3179" t="s">
        <v>4887</v>
      </c>
      <c r="E3179" t="str">
        <f>"19648166020705"</f>
        <v>19648166020705</v>
      </c>
      <c r="F3179" s="8">
        <v>287</v>
      </c>
      <c r="G3179" s="8">
        <v>7700</v>
      </c>
      <c r="H3179" s="8">
        <v>1992</v>
      </c>
      <c r="I3179" s="8">
        <v>7182</v>
      </c>
    </row>
    <row r="3180" spans="1:9" x14ac:dyDescent="0.2">
      <c r="A3180" t="s">
        <v>436</v>
      </c>
      <c r="B3180" t="s">
        <v>710</v>
      </c>
      <c r="C3180" t="str">
        <f t="shared" si="147"/>
        <v>19648160000000</v>
      </c>
      <c r="D3180" t="s">
        <v>4888</v>
      </c>
      <c r="E3180" t="str">
        <f>"19648166020788"</f>
        <v>19648166020788</v>
      </c>
      <c r="F3180" s="8">
        <v>893</v>
      </c>
      <c r="G3180" s="8">
        <v>6688</v>
      </c>
      <c r="H3180" s="8">
        <v>1992</v>
      </c>
      <c r="I3180" s="8">
        <v>7182</v>
      </c>
    </row>
    <row r="3181" spans="1:9" x14ac:dyDescent="0.2">
      <c r="A3181" t="s">
        <v>436</v>
      </c>
      <c r="B3181" t="s">
        <v>710</v>
      </c>
      <c r="C3181" t="str">
        <f t="shared" si="147"/>
        <v>19648160000000</v>
      </c>
      <c r="D3181" t="s">
        <v>4889</v>
      </c>
      <c r="E3181" t="str">
        <f>"19648166110571"</f>
        <v>19648166110571</v>
      </c>
      <c r="F3181" s="8">
        <v>241</v>
      </c>
      <c r="G3181" s="8">
        <v>7171</v>
      </c>
      <c r="H3181" s="8">
        <v>1992</v>
      </c>
      <c r="I3181" s="8">
        <v>7182</v>
      </c>
    </row>
    <row r="3182" spans="1:9" x14ac:dyDescent="0.2">
      <c r="A3182" t="s">
        <v>436</v>
      </c>
      <c r="B3182" t="s">
        <v>710</v>
      </c>
      <c r="C3182" t="str">
        <f t="shared" si="147"/>
        <v>19648160000000</v>
      </c>
      <c r="D3182" t="s">
        <v>4890</v>
      </c>
      <c r="E3182" t="str">
        <f>"19648166020747"</f>
        <v>19648166020747</v>
      </c>
      <c r="F3182" s="8">
        <v>308</v>
      </c>
      <c r="G3182" s="8">
        <v>6906</v>
      </c>
      <c r="H3182" s="8">
        <v>1992</v>
      </c>
      <c r="I3182" s="8">
        <v>7182</v>
      </c>
    </row>
    <row r="3183" spans="1:9" x14ac:dyDescent="0.2">
      <c r="A3183" t="s">
        <v>436</v>
      </c>
      <c r="B3183" t="s">
        <v>710</v>
      </c>
      <c r="C3183" t="str">
        <f t="shared" si="147"/>
        <v>19648160000000</v>
      </c>
      <c r="D3183" t="s">
        <v>4891</v>
      </c>
      <c r="E3183" t="str">
        <f>"19648166105407"</f>
        <v>19648166105407</v>
      </c>
      <c r="F3183" s="8">
        <v>382</v>
      </c>
      <c r="G3183" s="8">
        <v>6796</v>
      </c>
      <c r="H3183" s="8">
        <v>1992</v>
      </c>
      <c r="I3183" s="8">
        <v>7182</v>
      </c>
    </row>
    <row r="3184" spans="1:9" x14ac:dyDescent="0.2">
      <c r="A3184" t="s">
        <v>436</v>
      </c>
      <c r="B3184" t="s">
        <v>710</v>
      </c>
      <c r="C3184" t="str">
        <f t="shared" si="147"/>
        <v>19648160000000</v>
      </c>
      <c r="D3184" t="s">
        <v>4892</v>
      </c>
      <c r="E3184" t="str">
        <f>"19648166020697"</f>
        <v>19648166020697</v>
      </c>
      <c r="F3184" s="8">
        <v>369</v>
      </c>
      <c r="G3184" s="8">
        <v>6704</v>
      </c>
      <c r="H3184" s="8">
        <v>1992</v>
      </c>
      <c r="I3184" s="8">
        <v>7182</v>
      </c>
    </row>
    <row r="3185" spans="1:9" x14ac:dyDescent="0.2">
      <c r="A3185" t="s">
        <v>436</v>
      </c>
      <c r="B3185" t="s">
        <v>710</v>
      </c>
      <c r="C3185" t="str">
        <f t="shared" si="147"/>
        <v>19648160000000</v>
      </c>
      <c r="D3185" t="s">
        <v>2827</v>
      </c>
      <c r="E3185" t="str">
        <f>"19648166020754"</f>
        <v>19648166020754</v>
      </c>
      <c r="F3185" s="8">
        <v>649</v>
      </c>
      <c r="G3185" s="8">
        <v>6241</v>
      </c>
      <c r="H3185" s="8">
        <v>1992</v>
      </c>
      <c r="I3185" s="8">
        <v>7182</v>
      </c>
    </row>
    <row r="3186" spans="1:9" x14ac:dyDescent="0.2">
      <c r="A3186" t="s">
        <v>436</v>
      </c>
      <c r="B3186" t="s">
        <v>710</v>
      </c>
      <c r="C3186" t="str">
        <f t="shared" si="147"/>
        <v>19648160000000</v>
      </c>
      <c r="D3186" t="s">
        <v>2402</v>
      </c>
      <c r="E3186" t="str">
        <f>"19648166020770"</f>
        <v>19648166020770</v>
      </c>
      <c r="F3186" s="8">
        <v>405</v>
      </c>
      <c r="G3186" s="8">
        <v>6455</v>
      </c>
      <c r="H3186" s="8">
        <v>1992</v>
      </c>
      <c r="I3186" s="8">
        <v>7182</v>
      </c>
    </row>
    <row r="3187" spans="1:9" x14ac:dyDescent="0.2">
      <c r="A3187" t="s">
        <v>436</v>
      </c>
      <c r="B3187" t="s">
        <v>710</v>
      </c>
      <c r="C3187" t="str">
        <f t="shared" si="147"/>
        <v>19648160000000</v>
      </c>
      <c r="D3187" t="s">
        <v>3877</v>
      </c>
      <c r="E3187" t="str">
        <f>"19648166020762"</f>
        <v>19648166020762</v>
      </c>
      <c r="F3187" s="8">
        <v>435</v>
      </c>
      <c r="G3187" s="8">
        <v>6368</v>
      </c>
      <c r="H3187" s="8">
        <v>1992</v>
      </c>
      <c r="I3187" s="8">
        <v>7182</v>
      </c>
    </row>
    <row r="3188" spans="1:9" x14ac:dyDescent="0.2">
      <c r="A3188" t="s">
        <v>436</v>
      </c>
      <c r="B3188" t="s">
        <v>710</v>
      </c>
      <c r="C3188" t="str">
        <f t="shared" si="147"/>
        <v>19648160000000</v>
      </c>
      <c r="D3188" t="s">
        <v>4893</v>
      </c>
      <c r="E3188" t="str">
        <f>"19648166020713"</f>
        <v>19648166020713</v>
      </c>
      <c r="F3188" s="8">
        <v>579</v>
      </c>
      <c r="G3188" s="8">
        <v>6142</v>
      </c>
      <c r="H3188" s="8">
        <v>1992</v>
      </c>
      <c r="I3188" s="8">
        <v>7182</v>
      </c>
    </row>
    <row r="3189" spans="1:9" x14ac:dyDescent="0.2">
      <c r="A3189" t="s">
        <v>436</v>
      </c>
      <c r="B3189" t="s">
        <v>710</v>
      </c>
      <c r="C3189" t="str">
        <f t="shared" si="147"/>
        <v>19648160000000</v>
      </c>
      <c r="D3189" t="s">
        <v>4894</v>
      </c>
      <c r="E3189" t="str">
        <f>"19648166020739"</f>
        <v>19648166020739</v>
      </c>
      <c r="F3189" s="8">
        <v>339</v>
      </c>
      <c r="G3189" s="8">
        <v>6332</v>
      </c>
      <c r="H3189" s="8">
        <v>1992</v>
      </c>
      <c r="I3189" s="8">
        <v>7182</v>
      </c>
    </row>
    <row r="3190" spans="1:9" x14ac:dyDescent="0.2">
      <c r="A3190" t="s">
        <v>436</v>
      </c>
      <c r="B3190" t="s">
        <v>724</v>
      </c>
      <c r="C3190" t="str">
        <f t="shared" ref="C3190:C3199" si="148">"19648320000000"</f>
        <v>19648320000000</v>
      </c>
      <c r="D3190" t="s">
        <v>4895</v>
      </c>
      <c r="E3190" t="str">
        <f>"19648326020812"</f>
        <v>19648326020812</v>
      </c>
      <c r="F3190" s="8">
        <v>261</v>
      </c>
      <c r="G3190" s="8">
        <v>6618</v>
      </c>
      <c r="H3190" s="8">
        <v>1078</v>
      </c>
      <c r="I3190" s="8">
        <v>8888</v>
      </c>
    </row>
    <row r="3191" spans="1:9" x14ac:dyDescent="0.2">
      <c r="A3191" t="s">
        <v>436</v>
      </c>
      <c r="B3191" t="s">
        <v>724</v>
      </c>
      <c r="C3191" t="str">
        <f t="shared" si="148"/>
        <v>19648320000000</v>
      </c>
      <c r="D3191" t="s">
        <v>4896</v>
      </c>
      <c r="E3191" t="str">
        <f>"19648326066773"</f>
        <v>19648326066773</v>
      </c>
      <c r="F3191" s="8">
        <v>110</v>
      </c>
      <c r="G3191" s="8">
        <v>6308</v>
      </c>
      <c r="H3191" s="8">
        <v>939</v>
      </c>
      <c r="I3191" s="8">
        <v>7272</v>
      </c>
    </row>
    <row r="3192" spans="1:9" x14ac:dyDescent="0.2">
      <c r="A3192" t="s">
        <v>436</v>
      </c>
      <c r="B3192" t="s">
        <v>724</v>
      </c>
      <c r="C3192" t="str">
        <f t="shared" si="148"/>
        <v>19648320000000</v>
      </c>
      <c r="D3192" t="s">
        <v>4897</v>
      </c>
      <c r="E3192" t="str">
        <f>"19648326020804"</f>
        <v>19648326020804</v>
      </c>
      <c r="F3192" s="8">
        <v>100</v>
      </c>
      <c r="G3192" s="8">
        <v>6474</v>
      </c>
      <c r="H3192" s="8">
        <v>1064</v>
      </c>
      <c r="I3192" s="8">
        <v>6938</v>
      </c>
    </row>
    <row r="3193" spans="1:9" x14ac:dyDescent="0.2">
      <c r="A3193" t="s">
        <v>436</v>
      </c>
      <c r="B3193" t="s">
        <v>724</v>
      </c>
      <c r="C3193" t="str">
        <f t="shared" si="148"/>
        <v>19648320000000</v>
      </c>
      <c r="D3193" t="s">
        <v>3194</v>
      </c>
      <c r="E3193" t="str">
        <f>"19648326095442"</f>
        <v>19648326095442</v>
      </c>
      <c r="F3193" s="8">
        <v>0</v>
      </c>
      <c r="G3193" s="8">
        <v>5806</v>
      </c>
      <c r="H3193" s="8">
        <v>825</v>
      </c>
      <c r="I3193" s="8">
        <v>6914</v>
      </c>
    </row>
    <row r="3194" spans="1:9" x14ac:dyDescent="0.2">
      <c r="A3194" t="s">
        <v>436</v>
      </c>
      <c r="B3194" t="s">
        <v>724</v>
      </c>
      <c r="C3194" t="str">
        <f t="shared" si="148"/>
        <v>19648320000000</v>
      </c>
      <c r="D3194" t="s">
        <v>4898</v>
      </c>
      <c r="E3194" t="str">
        <f>"19648326107171"</f>
        <v>19648326107171</v>
      </c>
      <c r="F3194" s="8">
        <v>0</v>
      </c>
      <c r="G3194" s="8">
        <v>5903</v>
      </c>
      <c r="H3194" s="8">
        <v>802</v>
      </c>
      <c r="I3194" s="8">
        <v>6607</v>
      </c>
    </row>
    <row r="3195" spans="1:9" x14ac:dyDescent="0.2">
      <c r="A3195" t="s">
        <v>436</v>
      </c>
      <c r="B3195" t="s">
        <v>724</v>
      </c>
      <c r="C3195" t="str">
        <f t="shared" si="148"/>
        <v>19648320000000</v>
      </c>
      <c r="D3195" t="s">
        <v>4899</v>
      </c>
      <c r="E3195" t="str">
        <f>"19648320108027"</f>
        <v>19648320108027</v>
      </c>
      <c r="F3195" s="8">
        <v>2</v>
      </c>
      <c r="G3195" s="8">
        <v>5760</v>
      </c>
      <c r="H3195" s="8">
        <v>805</v>
      </c>
      <c r="I3195" s="8">
        <v>6691</v>
      </c>
    </row>
    <row r="3196" spans="1:9" x14ac:dyDescent="0.2">
      <c r="A3196" t="s">
        <v>436</v>
      </c>
      <c r="B3196" t="s">
        <v>724</v>
      </c>
      <c r="C3196" t="str">
        <f t="shared" si="148"/>
        <v>19648320000000</v>
      </c>
      <c r="D3196" t="s">
        <v>4900</v>
      </c>
      <c r="E3196" t="str">
        <f>"19648326113047"</f>
        <v>19648326113047</v>
      </c>
      <c r="F3196" s="8">
        <v>0</v>
      </c>
      <c r="G3196" s="8">
        <v>6034</v>
      </c>
      <c r="H3196" s="8">
        <v>749</v>
      </c>
      <c r="I3196" s="8">
        <v>5972</v>
      </c>
    </row>
    <row r="3197" spans="1:9" x14ac:dyDescent="0.2">
      <c r="A3197" t="s">
        <v>436</v>
      </c>
      <c r="B3197" t="s">
        <v>724</v>
      </c>
      <c r="C3197" t="str">
        <f t="shared" si="148"/>
        <v>19648320000000</v>
      </c>
      <c r="D3197" t="s">
        <v>4901</v>
      </c>
      <c r="E3197" t="str">
        <f>"19648320100644"</f>
        <v>19648320100644</v>
      </c>
      <c r="F3197" s="8">
        <v>204</v>
      </c>
      <c r="G3197" s="8">
        <v>4339</v>
      </c>
      <c r="H3197" s="8">
        <v>923</v>
      </c>
      <c r="I3197" s="8">
        <v>7141</v>
      </c>
    </row>
    <row r="3198" spans="1:9" x14ac:dyDescent="0.2">
      <c r="A3198" t="s">
        <v>436</v>
      </c>
      <c r="B3198" t="s">
        <v>724</v>
      </c>
      <c r="C3198" t="str">
        <f t="shared" si="148"/>
        <v>19648320000000</v>
      </c>
      <c r="D3198" t="s">
        <v>4902</v>
      </c>
      <c r="E3198" t="str">
        <f>"19648326020796"</f>
        <v>19648326020796</v>
      </c>
      <c r="F3198" s="8">
        <v>158</v>
      </c>
      <c r="G3198" s="8">
        <v>4352</v>
      </c>
      <c r="H3198" s="8">
        <v>930</v>
      </c>
      <c r="I3198" s="8">
        <v>7129</v>
      </c>
    </row>
    <row r="3199" spans="1:9" x14ac:dyDescent="0.2">
      <c r="A3199" t="s">
        <v>436</v>
      </c>
      <c r="B3199" t="s">
        <v>724</v>
      </c>
      <c r="C3199" t="str">
        <f t="shared" si="148"/>
        <v>19648320000000</v>
      </c>
      <c r="D3199" t="s">
        <v>4903</v>
      </c>
      <c r="E3199" t="str">
        <f>"19648320100636"</f>
        <v>19648320100636</v>
      </c>
      <c r="F3199" s="8">
        <v>1</v>
      </c>
      <c r="G3199" s="8">
        <v>4290</v>
      </c>
      <c r="H3199" s="8">
        <v>826</v>
      </c>
      <c r="I3199" s="8">
        <v>6882</v>
      </c>
    </row>
    <row r="3200" spans="1:9" x14ac:dyDescent="0.2">
      <c r="A3200" t="s">
        <v>436</v>
      </c>
      <c r="B3200" t="s">
        <v>726</v>
      </c>
      <c r="C3200" t="str">
        <f t="shared" ref="C3200:C3226" si="149">"19648400000000"</f>
        <v>19648400000000</v>
      </c>
      <c r="D3200" t="s">
        <v>4904</v>
      </c>
      <c r="E3200" t="str">
        <f>"19648401936475"</f>
        <v>19648401936475</v>
      </c>
      <c r="F3200" s="8">
        <v>1199</v>
      </c>
      <c r="G3200" s="8">
        <v>13777</v>
      </c>
      <c r="H3200" s="8">
        <v>3149</v>
      </c>
      <c r="I3200" s="8">
        <v>3984</v>
      </c>
    </row>
    <row r="3201" spans="1:9" x14ac:dyDescent="0.2">
      <c r="A3201" t="s">
        <v>436</v>
      </c>
      <c r="B3201" t="s">
        <v>726</v>
      </c>
      <c r="C3201" t="str">
        <f t="shared" si="149"/>
        <v>19648400000000</v>
      </c>
      <c r="D3201" t="s">
        <v>4905</v>
      </c>
      <c r="E3201" t="str">
        <f>"19648406021091"</f>
        <v>19648406021091</v>
      </c>
      <c r="F3201" s="8">
        <v>1467</v>
      </c>
      <c r="G3201" s="8">
        <v>8859</v>
      </c>
      <c r="H3201" s="8">
        <v>3854</v>
      </c>
      <c r="I3201" s="8">
        <v>2564</v>
      </c>
    </row>
    <row r="3202" spans="1:9" x14ac:dyDescent="0.2">
      <c r="A3202" t="s">
        <v>436</v>
      </c>
      <c r="B3202" t="s">
        <v>726</v>
      </c>
      <c r="C3202" t="str">
        <f t="shared" si="149"/>
        <v>19648400000000</v>
      </c>
      <c r="D3202" t="s">
        <v>4906</v>
      </c>
      <c r="E3202" t="str">
        <f>"19648406021018"</f>
        <v>19648406021018</v>
      </c>
      <c r="F3202" s="8">
        <v>470</v>
      </c>
      <c r="G3202" s="8">
        <v>11504</v>
      </c>
      <c r="H3202" s="8">
        <v>1234</v>
      </c>
      <c r="I3202" s="8">
        <v>3331</v>
      </c>
    </row>
    <row r="3203" spans="1:9" x14ac:dyDescent="0.2">
      <c r="A3203" t="s">
        <v>436</v>
      </c>
      <c r="B3203" t="s">
        <v>726</v>
      </c>
      <c r="C3203" t="str">
        <f t="shared" si="149"/>
        <v>19648400000000</v>
      </c>
      <c r="D3203" t="s">
        <v>4907</v>
      </c>
      <c r="E3203" t="str">
        <f>"19648406020937"</f>
        <v>19648406020937</v>
      </c>
      <c r="F3203" s="8">
        <v>994</v>
      </c>
      <c r="G3203" s="8">
        <v>9686</v>
      </c>
      <c r="H3203" s="8">
        <v>2613</v>
      </c>
      <c r="I3203" s="8">
        <v>2802</v>
      </c>
    </row>
    <row r="3204" spans="1:9" x14ac:dyDescent="0.2">
      <c r="A3204" t="s">
        <v>436</v>
      </c>
      <c r="B3204" t="s">
        <v>726</v>
      </c>
      <c r="C3204" t="str">
        <f t="shared" si="149"/>
        <v>19648400000000</v>
      </c>
      <c r="D3204" t="s">
        <v>4908</v>
      </c>
      <c r="E3204" t="str">
        <f>"19648401933647"</f>
        <v>19648401933647</v>
      </c>
      <c r="F3204" s="8">
        <v>671</v>
      </c>
      <c r="G3204" s="8">
        <v>10369</v>
      </c>
      <c r="H3204" s="8">
        <v>1764</v>
      </c>
      <c r="I3204" s="8">
        <v>2999</v>
      </c>
    </row>
    <row r="3205" spans="1:9" x14ac:dyDescent="0.2">
      <c r="A3205" t="s">
        <v>436</v>
      </c>
      <c r="B3205" t="s">
        <v>726</v>
      </c>
      <c r="C3205" t="str">
        <f t="shared" si="149"/>
        <v>19648400000000</v>
      </c>
      <c r="D3205" t="s">
        <v>4909</v>
      </c>
      <c r="E3205" t="str">
        <f>"19648406021133"</f>
        <v>19648406021133</v>
      </c>
      <c r="F3205" s="8">
        <v>1042</v>
      </c>
      <c r="G3205" s="8">
        <v>8526</v>
      </c>
      <c r="H3205" s="8">
        <v>2738</v>
      </c>
      <c r="I3205" s="8">
        <v>2463</v>
      </c>
    </row>
    <row r="3206" spans="1:9" x14ac:dyDescent="0.2">
      <c r="A3206" t="s">
        <v>436</v>
      </c>
      <c r="B3206" t="s">
        <v>726</v>
      </c>
      <c r="C3206" t="str">
        <f t="shared" si="149"/>
        <v>19648400000000</v>
      </c>
      <c r="D3206" t="s">
        <v>3158</v>
      </c>
      <c r="E3206" t="str">
        <f>"19648406020853"</f>
        <v>19648406020853</v>
      </c>
      <c r="F3206" s="8">
        <v>840</v>
      </c>
      <c r="G3206" s="8">
        <v>8575</v>
      </c>
      <c r="H3206" s="8">
        <v>2208</v>
      </c>
      <c r="I3206" s="8">
        <v>2485</v>
      </c>
    </row>
    <row r="3207" spans="1:9" x14ac:dyDescent="0.2">
      <c r="A3207" t="s">
        <v>436</v>
      </c>
      <c r="B3207" t="s">
        <v>726</v>
      </c>
      <c r="C3207" t="str">
        <f t="shared" si="149"/>
        <v>19648400000000</v>
      </c>
      <c r="D3207" t="s">
        <v>4910</v>
      </c>
      <c r="E3207" t="str">
        <f>"19648406020838"</f>
        <v>19648406020838</v>
      </c>
      <c r="F3207" s="8">
        <v>848</v>
      </c>
      <c r="G3207" s="8">
        <v>7743</v>
      </c>
      <c r="H3207" s="8">
        <v>2228</v>
      </c>
      <c r="I3207" s="8">
        <v>2239</v>
      </c>
    </row>
    <row r="3208" spans="1:9" x14ac:dyDescent="0.2">
      <c r="A3208" t="s">
        <v>436</v>
      </c>
      <c r="B3208" t="s">
        <v>726</v>
      </c>
      <c r="C3208" t="str">
        <f t="shared" si="149"/>
        <v>19648400000000</v>
      </c>
      <c r="D3208" t="s">
        <v>4911</v>
      </c>
      <c r="E3208" t="str">
        <f>"19648406021075"</f>
        <v>19648406021075</v>
      </c>
      <c r="F3208" s="8">
        <v>615</v>
      </c>
      <c r="G3208" s="8">
        <v>8254</v>
      </c>
      <c r="H3208" s="8">
        <v>1616</v>
      </c>
      <c r="I3208" s="8">
        <v>2385</v>
      </c>
    </row>
    <row r="3209" spans="1:9" x14ac:dyDescent="0.2">
      <c r="A3209" t="s">
        <v>436</v>
      </c>
      <c r="B3209" t="s">
        <v>726</v>
      </c>
      <c r="C3209" t="str">
        <f t="shared" si="149"/>
        <v>19648400000000</v>
      </c>
      <c r="D3209" t="s">
        <v>4912</v>
      </c>
      <c r="E3209" t="str">
        <f>"19648406020911"</f>
        <v>19648406020911</v>
      </c>
      <c r="F3209" s="8">
        <v>597</v>
      </c>
      <c r="G3209" s="8">
        <v>7850</v>
      </c>
      <c r="H3209" s="8">
        <v>1569</v>
      </c>
      <c r="I3209" s="8">
        <v>2270</v>
      </c>
    </row>
    <row r="3210" spans="1:9" x14ac:dyDescent="0.2">
      <c r="A3210" t="s">
        <v>436</v>
      </c>
      <c r="B3210" t="s">
        <v>726</v>
      </c>
      <c r="C3210" t="str">
        <f t="shared" si="149"/>
        <v>19648400000000</v>
      </c>
      <c r="D3210" t="s">
        <v>4913</v>
      </c>
      <c r="E3210" t="str">
        <f>"19648406020895"</f>
        <v>19648406020895</v>
      </c>
      <c r="F3210" s="8">
        <v>395</v>
      </c>
      <c r="G3210" s="8">
        <v>8399</v>
      </c>
      <c r="H3210" s="8">
        <v>1038</v>
      </c>
      <c r="I3210" s="8">
        <v>2429</v>
      </c>
    </row>
    <row r="3211" spans="1:9" x14ac:dyDescent="0.2">
      <c r="A3211" t="s">
        <v>436</v>
      </c>
      <c r="B3211" t="s">
        <v>726</v>
      </c>
      <c r="C3211" t="str">
        <f t="shared" si="149"/>
        <v>19648400000000</v>
      </c>
      <c r="D3211" t="s">
        <v>4914</v>
      </c>
      <c r="E3211" t="str">
        <f>"19648406020994"</f>
        <v>19648406020994</v>
      </c>
      <c r="F3211" s="8">
        <v>682</v>
      </c>
      <c r="G3211" s="8">
        <v>7498</v>
      </c>
      <c r="H3211" s="8">
        <v>1792</v>
      </c>
      <c r="I3211" s="8">
        <v>2166</v>
      </c>
    </row>
    <row r="3212" spans="1:9" x14ac:dyDescent="0.2">
      <c r="A3212" t="s">
        <v>436</v>
      </c>
      <c r="B3212" t="s">
        <v>726</v>
      </c>
      <c r="C3212" t="str">
        <f t="shared" si="149"/>
        <v>19648400000000</v>
      </c>
      <c r="D3212" t="s">
        <v>4915</v>
      </c>
      <c r="E3212" t="str">
        <f>"19648406021083"</f>
        <v>19648406021083</v>
      </c>
      <c r="F3212" s="8">
        <v>533</v>
      </c>
      <c r="G3212" s="8">
        <v>7839</v>
      </c>
      <c r="H3212" s="8">
        <v>1397</v>
      </c>
      <c r="I3212" s="8">
        <v>2270</v>
      </c>
    </row>
    <row r="3213" spans="1:9" x14ac:dyDescent="0.2">
      <c r="A3213" t="s">
        <v>436</v>
      </c>
      <c r="B3213" t="s">
        <v>726</v>
      </c>
      <c r="C3213" t="str">
        <f t="shared" si="149"/>
        <v>19648400000000</v>
      </c>
      <c r="D3213" t="s">
        <v>4916</v>
      </c>
      <c r="E3213" t="str">
        <f>"19648406020887"</f>
        <v>19648406020887</v>
      </c>
      <c r="F3213" s="8">
        <v>483</v>
      </c>
      <c r="G3213" s="8">
        <v>7861</v>
      </c>
      <c r="H3213" s="8">
        <v>1269</v>
      </c>
      <c r="I3213" s="8">
        <v>2272</v>
      </c>
    </row>
    <row r="3214" spans="1:9" x14ac:dyDescent="0.2">
      <c r="A3214" t="s">
        <v>436</v>
      </c>
      <c r="B3214" t="s">
        <v>726</v>
      </c>
      <c r="C3214" t="str">
        <f t="shared" si="149"/>
        <v>19648400000000</v>
      </c>
      <c r="D3214" t="s">
        <v>4917</v>
      </c>
      <c r="E3214" t="str">
        <f>"19648406021000"</f>
        <v>19648406021000</v>
      </c>
      <c r="F3214" s="8">
        <v>111</v>
      </c>
      <c r="G3214" s="8">
        <v>8740</v>
      </c>
      <c r="H3214" s="8">
        <v>290</v>
      </c>
      <c r="I3214" s="8">
        <v>2528</v>
      </c>
    </row>
    <row r="3215" spans="1:9" x14ac:dyDescent="0.2">
      <c r="A3215" t="s">
        <v>436</v>
      </c>
      <c r="B3215" t="s">
        <v>726</v>
      </c>
      <c r="C3215" t="str">
        <f t="shared" si="149"/>
        <v>19648400000000</v>
      </c>
      <c r="D3215" t="s">
        <v>4918</v>
      </c>
      <c r="E3215" t="str">
        <f>"19648406021034"</f>
        <v>19648406021034</v>
      </c>
      <c r="F3215" s="8">
        <v>263</v>
      </c>
      <c r="G3215" s="8">
        <v>8101</v>
      </c>
      <c r="H3215" s="8">
        <v>691</v>
      </c>
      <c r="I3215" s="8">
        <v>2343</v>
      </c>
    </row>
    <row r="3216" spans="1:9" x14ac:dyDescent="0.2">
      <c r="A3216" t="s">
        <v>436</v>
      </c>
      <c r="B3216" t="s">
        <v>726</v>
      </c>
      <c r="C3216" t="str">
        <f t="shared" si="149"/>
        <v>19648400000000</v>
      </c>
      <c r="D3216" t="s">
        <v>4919</v>
      </c>
      <c r="E3216" t="str">
        <f>"19648406020952"</f>
        <v>19648406020952</v>
      </c>
      <c r="F3216" s="8">
        <v>464</v>
      </c>
      <c r="G3216" s="8">
        <v>7501</v>
      </c>
      <c r="H3216" s="8">
        <v>1219</v>
      </c>
      <c r="I3216" s="8">
        <v>2166</v>
      </c>
    </row>
    <row r="3217" spans="1:9" x14ac:dyDescent="0.2">
      <c r="A3217" t="s">
        <v>436</v>
      </c>
      <c r="B3217" t="s">
        <v>726</v>
      </c>
      <c r="C3217" t="str">
        <f t="shared" si="149"/>
        <v>19648400000000</v>
      </c>
      <c r="D3217" t="s">
        <v>4920</v>
      </c>
      <c r="E3217" t="str">
        <f>"19648406021026"</f>
        <v>19648406021026</v>
      </c>
      <c r="F3217" s="8">
        <v>554</v>
      </c>
      <c r="G3217" s="8">
        <v>7128</v>
      </c>
      <c r="H3217" s="8">
        <v>1456</v>
      </c>
      <c r="I3217" s="8">
        <v>2058</v>
      </c>
    </row>
    <row r="3218" spans="1:9" x14ac:dyDescent="0.2">
      <c r="A3218" t="s">
        <v>436</v>
      </c>
      <c r="B3218" t="s">
        <v>726</v>
      </c>
      <c r="C3218" t="str">
        <f t="shared" si="149"/>
        <v>19648400000000</v>
      </c>
      <c r="D3218" t="s">
        <v>4921</v>
      </c>
      <c r="E3218" t="str">
        <f>"19648401934728"</f>
        <v>19648401934728</v>
      </c>
      <c r="F3218" s="8">
        <v>229</v>
      </c>
      <c r="G3218" s="8">
        <v>7999</v>
      </c>
      <c r="H3218" s="8">
        <v>601</v>
      </c>
      <c r="I3218" s="8">
        <v>2313</v>
      </c>
    </row>
    <row r="3219" spans="1:9" x14ac:dyDescent="0.2">
      <c r="A3219" t="s">
        <v>436</v>
      </c>
      <c r="B3219" t="s">
        <v>726</v>
      </c>
      <c r="C3219" t="str">
        <f t="shared" si="149"/>
        <v>19648400000000</v>
      </c>
      <c r="D3219" t="s">
        <v>4922</v>
      </c>
      <c r="E3219" t="str">
        <f>"19648406116347"</f>
        <v>19648406116347</v>
      </c>
      <c r="F3219" s="8">
        <v>76</v>
      </c>
      <c r="G3219" s="8">
        <v>8399</v>
      </c>
      <c r="H3219" s="8">
        <v>202</v>
      </c>
      <c r="I3219" s="8">
        <v>2424</v>
      </c>
    </row>
    <row r="3220" spans="1:9" x14ac:dyDescent="0.2">
      <c r="A3220" t="s">
        <v>436</v>
      </c>
      <c r="B3220" t="s">
        <v>726</v>
      </c>
      <c r="C3220" t="str">
        <f t="shared" si="149"/>
        <v>19648400000000</v>
      </c>
      <c r="D3220" t="s">
        <v>4923</v>
      </c>
      <c r="E3220" t="str">
        <f>"19648401936467"</f>
        <v>19648401936467</v>
      </c>
      <c r="F3220" s="8">
        <v>333</v>
      </c>
      <c r="G3220" s="8">
        <v>7625</v>
      </c>
      <c r="H3220" s="8">
        <v>876</v>
      </c>
      <c r="I3220" s="8">
        <v>2205</v>
      </c>
    </row>
    <row r="3221" spans="1:9" x14ac:dyDescent="0.2">
      <c r="A3221" t="s">
        <v>436</v>
      </c>
      <c r="B3221" t="s">
        <v>726</v>
      </c>
      <c r="C3221" t="str">
        <f t="shared" si="149"/>
        <v>19648400000000</v>
      </c>
      <c r="D3221" t="s">
        <v>4924</v>
      </c>
      <c r="E3221" t="str">
        <f>"19648406020903"</f>
        <v>19648406020903</v>
      </c>
      <c r="F3221" s="8">
        <v>235</v>
      </c>
      <c r="G3221" s="8">
        <v>7628</v>
      </c>
      <c r="H3221" s="8">
        <v>618</v>
      </c>
      <c r="I3221" s="8">
        <v>2205</v>
      </c>
    </row>
    <row r="3222" spans="1:9" x14ac:dyDescent="0.2">
      <c r="A3222" t="s">
        <v>436</v>
      </c>
      <c r="B3222" t="s">
        <v>726</v>
      </c>
      <c r="C3222" t="str">
        <f t="shared" si="149"/>
        <v>19648400000000</v>
      </c>
      <c r="D3222" t="s">
        <v>4925</v>
      </c>
      <c r="E3222" t="str">
        <f>"19648406020929"</f>
        <v>19648406020929</v>
      </c>
      <c r="F3222" s="8">
        <v>175</v>
      </c>
      <c r="G3222" s="8">
        <v>7758</v>
      </c>
      <c r="H3222" s="8">
        <v>463</v>
      </c>
      <c r="I3222" s="8">
        <v>2240</v>
      </c>
    </row>
    <row r="3223" spans="1:9" x14ac:dyDescent="0.2">
      <c r="A3223" t="s">
        <v>436</v>
      </c>
      <c r="B3223" t="s">
        <v>726</v>
      </c>
      <c r="C3223" t="str">
        <f t="shared" si="149"/>
        <v>19648400000000</v>
      </c>
      <c r="D3223" t="s">
        <v>4926</v>
      </c>
      <c r="E3223" t="str">
        <f>"19648406021042"</f>
        <v>19648406021042</v>
      </c>
      <c r="F3223" s="8">
        <v>601</v>
      </c>
      <c r="G3223" s="8">
        <v>6397</v>
      </c>
      <c r="H3223" s="8">
        <v>1579</v>
      </c>
      <c r="I3223" s="8">
        <v>1849</v>
      </c>
    </row>
    <row r="3224" spans="1:9" x14ac:dyDescent="0.2">
      <c r="A3224" t="s">
        <v>436</v>
      </c>
      <c r="B3224" t="s">
        <v>726</v>
      </c>
      <c r="C3224" t="str">
        <f t="shared" si="149"/>
        <v>19648400000000</v>
      </c>
      <c r="D3224" t="s">
        <v>4927</v>
      </c>
      <c r="E3224" t="str">
        <f>"19648406020846"</f>
        <v>19648406020846</v>
      </c>
      <c r="F3224" s="8">
        <v>403</v>
      </c>
      <c r="G3224" s="8">
        <v>6707</v>
      </c>
      <c r="H3224" s="8">
        <v>1060</v>
      </c>
      <c r="I3224" s="8">
        <v>1941</v>
      </c>
    </row>
    <row r="3225" spans="1:9" x14ac:dyDescent="0.2">
      <c r="A3225" t="s">
        <v>436</v>
      </c>
      <c r="B3225" t="s">
        <v>726</v>
      </c>
      <c r="C3225" t="str">
        <f t="shared" si="149"/>
        <v>19648400000000</v>
      </c>
      <c r="D3225" t="s">
        <v>4928</v>
      </c>
      <c r="E3225" t="str">
        <f>"19648406021125"</f>
        <v>19648406021125</v>
      </c>
      <c r="F3225" s="8">
        <v>141</v>
      </c>
      <c r="G3225" s="8">
        <v>7255</v>
      </c>
      <c r="H3225" s="8">
        <v>370</v>
      </c>
      <c r="I3225" s="8">
        <v>2098</v>
      </c>
    </row>
    <row r="3226" spans="1:9" x14ac:dyDescent="0.2">
      <c r="A3226" t="s">
        <v>436</v>
      </c>
      <c r="B3226" t="s">
        <v>726</v>
      </c>
      <c r="C3226" t="str">
        <f t="shared" si="149"/>
        <v>19648400000000</v>
      </c>
      <c r="D3226" t="s">
        <v>4929</v>
      </c>
      <c r="E3226" t="str">
        <f>"19648406020945"</f>
        <v>19648406020945</v>
      </c>
      <c r="F3226" s="8">
        <v>181</v>
      </c>
      <c r="G3226" s="8">
        <v>6729</v>
      </c>
      <c r="H3226" s="8">
        <v>475</v>
      </c>
      <c r="I3226" s="8">
        <v>1947</v>
      </c>
    </row>
    <row r="3227" spans="1:9" x14ac:dyDescent="0.2">
      <c r="A3227" t="s">
        <v>436</v>
      </c>
      <c r="B3227" t="s">
        <v>742</v>
      </c>
      <c r="C3227" t="str">
        <f t="shared" ref="C3227:C3254" si="150">"19648570000000"</f>
        <v>19648570000000</v>
      </c>
      <c r="D3227" t="s">
        <v>4930</v>
      </c>
      <c r="E3227" t="str">
        <f>"19648570102269"</f>
        <v>19648570102269</v>
      </c>
      <c r="F3227" s="8">
        <v>3141</v>
      </c>
      <c r="G3227" s="8">
        <v>56956</v>
      </c>
      <c r="H3227" s="8">
        <v>1464</v>
      </c>
      <c r="I3227" s="8">
        <v>3294</v>
      </c>
    </row>
    <row r="3228" spans="1:9" x14ac:dyDescent="0.2">
      <c r="A3228" t="s">
        <v>436</v>
      </c>
      <c r="B3228" t="s">
        <v>742</v>
      </c>
      <c r="C3228" t="str">
        <f t="shared" si="150"/>
        <v>19648570000000</v>
      </c>
      <c r="D3228" t="s">
        <v>4931</v>
      </c>
      <c r="E3228" t="str">
        <f>"19648570133611"</f>
        <v>19648570133611</v>
      </c>
      <c r="F3228" s="8">
        <v>9360</v>
      </c>
      <c r="G3228" s="8">
        <v>40997</v>
      </c>
      <c r="H3228" s="8">
        <v>1464</v>
      </c>
      <c r="I3228" s="8">
        <v>3294</v>
      </c>
    </row>
    <row r="3229" spans="1:9" x14ac:dyDescent="0.2">
      <c r="A3229" t="s">
        <v>436</v>
      </c>
      <c r="B3229" t="s">
        <v>742</v>
      </c>
      <c r="C3229" t="str">
        <f t="shared" si="150"/>
        <v>19648570000000</v>
      </c>
      <c r="D3229" t="s">
        <v>4932</v>
      </c>
      <c r="E3229" t="str">
        <f>"19648570116558"</f>
        <v>19648570116558</v>
      </c>
      <c r="F3229" s="8">
        <v>2107</v>
      </c>
      <c r="G3229" s="8">
        <v>42495</v>
      </c>
      <c r="H3229" s="8">
        <v>1464</v>
      </c>
      <c r="I3229" s="8">
        <v>3294</v>
      </c>
    </row>
    <row r="3230" spans="1:9" x14ac:dyDescent="0.2">
      <c r="A3230" t="s">
        <v>436</v>
      </c>
      <c r="B3230" t="s">
        <v>742</v>
      </c>
      <c r="C3230" t="str">
        <f t="shared" si="150"/>
        <v>19648570000000</v>
      </c>
      <c r="D3230" t="s">
        <v>1942</v>
      </c>
      <c r="E3230" t="str">
        <f>"19648576108609"</f>
        <v>19648576108609</v>
      </c>
      <c r="F3230" s="8">
        <v>987</v>
      </c>
      <c r="G3230" s="8">
        <v>10735</v>
      </c>
      <c r="H3230" s="8">
        <v>1464</v>
      </c>
      <c r="I3230" s="8">
        <v>3294</v>
      </c>
    </row>
    <row r="3231" spans="1:9" x14ac:dyDescent="0.2">
      <c r="A3231" t="s">
        <v>436</v>
      </c>
      <c r="B3231" t="s">
        <v>742</v>
      </c>
      <c r="C3231" t="str">
        <f t="shared" si="150"/>
        <v>19648570000000</v>
      </c>
      <c r="D3231" t="s">
        <v>4933</v>
      </c>
      <c r="E3231" t="str">
        <f>"19648576021190"</f>
        <v>19648576021190</v>
      </c>
      <c r="F3231" s="8">
        <v>3518</v>
      </c>
      <c r="G3231" s="8">
        <v>8107</v>
      </c>
      <c r="H3231" s="8">
        <v>1464</v>
      </c>
      <c r="I3231" s="8">
        <v>3294</v>
      </c>
    </row>
    <row r="3232" spans="1:9" x14ac:dyDescent="0.2">
      <c r="A3232" t="s">
        <v>436</v>
      </c>
      <c r="B3232" t="s">
        <v>742</v>
      </c>
      <c r="C3232" t="str">
        <f t="shared" si="150"/>
        <v>19648570000000</v>
      </c>
      <c r="D3232" t="s">
        <v>4934</v>
      </c>
      <c r="E3232" t="str">
        <f>"19648570129973"</f>
        <v>19648570129973</v>
      </c>
      <c r="F3232" s="8">
        <v>782</v>
      </c>
      <c r="G3232" s="8">
        <v>10129</v>
      </c>
      <c r="H3232" s="8">
        <v>1464</v>
      </c>
      <c r="I3232" s="8">
        <v>3294</v>
      </c>
    </row>
    <row r="3233" spans="1:9" x14ac:dyDescent="0.2">
      <c r="A3233" t="s">
        <v>436</v>
      </c>
      <c r="B3233" t="s">
        <v>742</v>
      </c>
      <c r="C3233" t="str">
        <f t="shared" si="150"/>
        <v>19648570000000</v>
      </c>
      <c r="D3233" t="s">
        <v>4935</v>
      </c>
      <c r="E3233" t="str">
        <f>"19648576107635"</f>
        <v>19648576107635</v>
      </c>
      <c r="F3233" s="8">
        <v>740</v>
      </c>
      <c r="G3233" s="8">
        <v>10064</v>
      </c>
      <c r="H3233" s="8">
        <v>1464</v>
      </c>
      <c r="I3233" s="8">
        <v>3294</v>
      </c>
    </row>
    <row r="3234" spans="1:9" x14ac:dyDescent="0.2">
      <c r="A3234" t="s">
        <v>436</v>
      </c>
      <c r="B3234" t="s">
        <v>742</v>
      </c>
      <c r="C3234" t="str">
        <f t="shared" si="150"/>
        <v>19648570000000</v>
      </c>
      <c r="D3234" t="s">
        <v>4936</v>
      </c>
      <c r="E3234" t="str">
        <f>"19648576113906"</f>
        <v>19648576113906</v>
      </c>
      <c r="F3234" s="8">
        <v>802</v>
      </c>
      <c r="G3234" s="8">
        <v>9963</v>
      </c>
      <c r="H3234" s="8">
        <v>1464</v>
      </c>
      <c r="I3234" s="8">
        <v>3294</v>
      </c>
    </row>
    <row r="3235" spans="1:9" x14ac:dyDescent="0.2">
      <c r="A3235" t="s">
        <v>436</v>
      </c>
      <c r="B3235" t="s">
        <v>742</v>
      </c>
      <c r="C3235" t="str">
        <f t="shared" si="150"/>
        <v>19648570000000</v>
      </c>
      <c r="D3235" t="s">
        <v>4937</v>
      </c>
      <c r="E3235" t="str">
        <f>"19648576106793"</f>
        <v>19648576106793</v>
      </c>
      <c r="F3235" s="8">
        <v>775</v>
      </c>
      <c r="G3235" s="8">
        <v>9715</v>
      </c>
      <c r="H3235" s="8">
        <v>1464</v>
      </c>
      <c r="I3235" s="8">
        <v>3294</v>
      </c>
    </row>
    <row r="3236" spans="1:9" x14ac:dyDescent="0.2">
      <c r="A3236" t="s">
        <v>436</v>
      </c>
      <c r="B3236" t="s">
        <v>742</v>
      </c>
      <c r="C3236" t="str">
        <f t="shared" si="150"/>
        <v>19648570000000</v>
      </c>
      <c r="D3236" t="s">
        <v>4938</v>
      </c>
      <c r="E3236" t="str">
        <f>"19648570135301"</f>
        <v>19648570135301</v>
      </c>
      <c r="F3236" s="8">
        <v>997</v>
      </c>
      <c r="G3236" s="8">
        <v>9371</v>
      </c>
      <c r="H3236" s="8">
        <v>1464</v>
      </c>
      <c r="I3236" s="8">
        <v>3294</v>
      </c>
    </row>
    <row r="3237" spans="1:9" x14ac:dyDescent="0.2">
      <c r="A3237" t="s">
        <v>436</v>
      </c>
      <c r="B3237" t="s">
        <v>742</v>
      </c>
      <c r="C3237" t="str">
        <f t="shared" si="150"/>
        <v>19648570000000</v>
      </c>
      <c r="D3237" t="s">
        <v>4939</v>
      </c>
      <c r="E3237" t="str">
        <f>"19648576115273"</f>
        <v>19648576115273</v>
      </c>
      <c r="F3237" s="8">
        <v>757</v>
      </c>
      <c r="G3237" s="8">
        <v>9471</v>
      </c>
      <c r="H3237" s="8">
        <v>1464</v>
      </c>
      <c r="I3237" s="8">
        <v>3294</v>
      </c>
    </row>
    <row r="3238" spans="1:9" x14ac:dyDescent="0.2">
      <c r="A3238" t="s">
        <v>436</v>
      </c>
      <c r="B3238" t="s">
        <v>742</v>
      </c>
      <c r="C3238" t="str">
        <f t="shared" si="150"/>
        <v>19648570000000</v>
      </c>
      <c r="D3238" t="s">
        <v>4940</v>
      </c>
      <c r="E3238" t="str">
        <f>"19648576105613"</f>
        <v>19648576105613</v>
      </c>
      <c r="F3238" s="8">
        <v>933</v>
      </c>
      <c r="G3238" s="8">
        <v>9162</v>
      </c>
      <c r="H3238" s="8">
        <v>1464</v>
      </c>
      <c r="I3238" s="8">
        <v>3294</v>
      </c>
    </row>
    <row r="3239" spans="1:9" x14ac:dyDescent="0.2">
      <c r="A3239" t="s">
        <v>436</v>
      </c>
      <c r="B3239" t="s">
        <v>742</v>
      </c>
      <c r="C3239" t="str">
        <f t="shared" si="150"/>
        <v>19648570000000</v>
      </c>
      <c r="D3239" t="s">
        <v>4941</v>
      </c>
      <c r="E3239" t="str">
        <f>"19648576021208"</f>
        <v>19648576021208</v>
      </c>
      <c r="F3239" s="8">
        <v>612</v>
      </c>
      <c r="G3239" s="8">
        <v>9414</v>
      </c>
      <c r="H3239" s="8">
        <v>1464</v>
      </c>
      <c r="I3239" s="8">
        <v>3294</v>
      </c>
    </row>
    <row r="3240" spans="1:9" x14ac:dyDescent="0.2">
      <c r="A3240" t="s">
        <v>436</v>
      </c>
      <c r="B3240" t="s">
        <v>742</v>
      </c>
      <c r="C3240" t="str">
        <f t="shared" si="150"/>
        <v>19648570000000</v>
      </c>
      <c r="D3240" t="s">
        <v>4942</v>
      </c>
      <c r="E3240" t="str">
        <f>"19648570105981"</f>
        <v>19648570105981</v>
      </c>
      <c r="F3240" s="8">
        <v>1092</v>
      </c>
      <c r="G3240" s="8">
        <v>8901</v>
      </c>
      <c r="H3240" s="8">
        <v>1464</v>
      </c>
      <c r="I3240" s="8">
        <v>3294</v>
      </c>
    </row>
    <row r="3241" spans="1:9" x14ac:dyDescent="0.2">
      <c r="A3241" t="s">
        <v>436</v>
      </c>
      <c r="B3241" t="s">
        <v>742</v>
      </c>
      <c r="C3241" t="str">
        <f t="shared" si="150"/>
        <v>19648570000000</v>
      </c>
      <c r="D3241" t="s">
        <v>4943</v>
      </c>
      <c r="E3241" t="str">
        <f>"19648576108633"</f>
        <v>19648576108633</v>
      </c>
      <c r="F3241" s="8">
        <v>766</v>
      </c>
      <c r="G3241" s="8">
        <v>9203</v>
      </c>
      <c r="H3241" s="8">
        <v>1464</v>
      </c>
      <c r="I3241" s="8">
        <v>3294</v>
      </c>
    </row>
    <row r="3242" spans="1:9" x14ac:dyDescent="0.2">
      <c r="A3242" t="s">
        <v>436</v>
      </c>
      <c r="B3242" t="s">
        <v>742</v>
      </c>
      <c r="C3242" t="str">
        <f t="shared" si="150"/>
        <v>19648570000000</v>
      </c>
      <c r="D3242" t="s">
        <v>4944</v>
      </c>
      <c r="E3242" t="str">
        <f>"19648570126268"</f>
        <v>19648570126268</v>
      </c>
      <c r="F3242" s="8">
        <v>937</v>
      </c>
      <c r="G3242" s="8">
        <v>8984</v>
      </c>
      <c r="H3242" s="8">
        <v>1464</v>
      </c>
      <c r="I3242" s="8">
        <v>3294</v>
      </c>
    </row>
    <row r="3243" spans="1:9" x14ac:dyDescent="0.2">
      <c r="A3243" t="s">
        <v>436</v>
      </c>
      <c r="B3243" t="s">
        <v>742</v>
      </c>
      <c r="C3243" t="str">
        <f t="shared" si="150"/>
        <v>19648570000000</v>
      </c>
      <c r="D3243" t="s">
        <v>106</v>
      </c>
      <c r="E3243" t="str">
        <f>"19648576021158"</f>
        <v>19648576021158</v>
      </c>
      <c r="F3243" s="8">
        <v>677</v>
      </c>
      <c r="G3243" s="8">
        <v>9091</v>
      </c>
      <c r="H3243" s="8">
        <v>1464</v>
      </c>
      <c r="I3243" s="8">
        <v>3294</v>
      </c>
    </row>
    <row r="3244" spans="1:9" x14ac:dyDescent="0.2">
      <c r="A3244" t="s">
        <v>436</v>
      </c>
      <c r="B3244" t="s">
        <v>742</v>
      </c>
      <c r="C3244" t="str">
        <f t="shared" si="150"/>
        <v>19648570000000</v>
      </c>
      <c r="D3244" t="s">
        <v>4945</v>
      </c>
      <c r="E3244" t="str">
        <f>"19648576111538"</f>
        <v>19648576111538</v>
      </c>
      <c r="F3244" s="8">
        <v>730</v>
      </c>
      <c r="G3244" s="8">
        <v>8968</v>
      </c>
      <c r="H3244" s="8">
        <v>1464</v>
      </c>
      <c r="I3244" s="8">
        <v>3294</v>
      </c>
    </row>
    <row r="3245" spans="1:9" x14ac:dyDescent="0.2">
      <c r="A3245" t="s">
        <v>436</v>
      </c>
      <c r="B3245" t="s">
        <v>742</v>
      </c>
      <c r="C3245" t="str">
        <f t="shared" si="150"/>
        <v>19648570000000</v>
      </c>
      <c r="D3245" t="s">
        <v>4946</v>
      </c>
      <c r="E3245" t="str">
        <f>"19648576106900"</f>
        <v>19648576106900</v>
      </c>
      <c r="F3245" s="8">
        <v>651</v>
      </c>
      <c r="G3245" s="8">
        <v>8888</v>
      </c>
      <c r="H3245" s="8">
        <v>1464</v>
      </c>
      <c r="I3245" s="8">
        <v>3294</v>
      </c>
    </row>
    <row r="3246" spans="1:9" x14ac:dyDescent="0.2">
      <c r="A3246" t="s">
        <v>436</v>
      </c>
      <c r="B3246" t="s">
        <v>742</v>
      </c>
      <c r="C3246" t="str">
        <f t="shared" si="150"/>
        <v>19648570000000</v>
      </c>
      <c r="D3246" t="s">
        <v>4947</v>
      </c>
      <c r="E3246" t="str">
        <f>"19648576021141"</f>
        <v>19648576021141</v>
      </c>
      <c r="F3246" s="8">
        <v>605</v>
      </c>
      <c r="G3246" s="8">
        <v>8920</v>
      </c>
      <c r="H3246" s="8">
        <v>1464</v>
      </c>
      <c r="I3246" s="8">
        <v>3294</v>
      </c>
    </row>
    <row r="3247" spans="1:9" x14ac:dyDescent="0.2">
      <c r="A3247" t="s">
        <v>436</v>
      </c>
      <c r="B3247" t="s">
        <v>742</v>
      </c>
      <c r="C3247" t="str">
        <f t="shared" si="150"/>
        <v>19648570000000</v>
      </c>
      <c r="D3247" t="s">
        <v>4948</v>
      </c>
      <c r="E3247" t="str">
        <f>"19648576118749"</f>
        <v>19648576118749</v>
      </c>
      <c r="F3247" s="8">
        <v>618</v>
      </c>
      <c r="G3247" s="8">
        <v>8812</v>
      </c>
      <c r="H3247" s="8">
        <v>1464</v>
      </c>
      <c r="I3247" s="8">
        <v>3294</v>
      </c>
    </row>
    <row r="3248" spans="1:9" x14ac:dyDescent="0.2">
      <c r="A3248" t="s">
        <v>436</v>
      </c>
      <c r="B3248" t="s">
        <v>742</v>
      </c>
      <c r="C3248" t="str">
        <f t="shared" si="150"/>
        <v>19648570000000</v>
      </c>
      <c r="D3248" t="s">
        <v>4949</v>
      </c>
      <c r="E3248" t="str">
        <f>"19648576111546"</f>
        <v>19648576111546</v>
      </c>
      <c r="F3248" s="8">
        <v>550</v>
      </c>
      <c r="G3248" s="8">
        <v>8873</v>
      </c>
      <c r="H3248" s="8">
        <v>1464</v>
      </c>
      <c r="I3248" s="8">
        <v>3294</v>
      </c>
    </row>
    <row r="3249" spans="1:9" x14ac:dyDescent="0.2">
      <c r="A3249" t="s">
        <v>436</v>
      </c>
      <c r="B3249" t="s">
        <v>742</v>
      </c>
      <c r="C3249" t="str">
        <f t="shared" si="150"/>
        <v>19648570000000</v>
      </c>
      <c r="D3249" t="s">
        <v>4950</v>
      </c>
      <c r="E3249" t="str">
        <f>"19648576115281"</f>
        <v>19648576115281</v>
      </c>
      <c r="F3249" s="8">
        <v>868</v>
      </c>
      <c r="G3249" s="8">
        <v>8226</v>
      </c>
      <c r="H3249" s="8">
        <v>1464</v>
      </c>
      <c r="I3249" s="8">
        <v>3294</v>
      </c>
    </row>
    <row r="3250" spans="1:9" x14ac:dyDescent="0.2">
      <c r="A3250" t="s">
        <v>436</v>
      </c>
      <c r="B3250" t="s">
        <v>742</v>
      </c>
      <c r="C3250" t="str">
        <f t="shared" si="150"/>
        <v>19648570000000</v>
      </c>
      <c r="D3250" t="s">
        <v>4951</v>
      </c>
      <c r="E3250" t="str">
        <f>"19648570124156"</f>
        <v>19648570124156</v>
      </c>
      <c r="F3250" s="8">
        <v>528</v>
      </c>
      <c r="G3250" s="8">
        <v>8194</v>
      </c>
      <c r="H3250" s="8">
        <v>1464</v>
      </c>
      <c r="I3250" s="8">
        <v>3294</v>
      </c>
    </row>
    <row r="3251" spans="1:9" x14ac:dyDescent="0.2">
      <c r="A3251" t="s">
        <v>436</v>
      </c>
      <c r="B3251" t="s">
        <v>742</v>
      </c>
      <c r="C3251" t="str">
        <f t="shared" si="150"/>
        <v>19648570000000</v>
      </c>
      <c r="D3251" t="s">
        <v>4952</v>
      </c>
      <c r="E3251" t="str">
        <f>"19648576108625"</f>
        <v>19648576108625</v>
      </c>
      <c r="F3251" s="8">
        <v>543</v>
      </c>
      <c r="G3251" s="8">
        <v>7951</v>
      </c>
      <c r="H3251" s="8">
        <v>1464</v>
      </c>
      <c r="I3251" s="8">
        <v>3294</v>
      </c>
    </row>
    <row r="3252" spans="1:9" x14ac:dyDescent="0.2">
      <c r="A3252" t="s">
        <v>436</v>
      </c>
      <c r="B3252" t="s">
        <v>742</v>
      </c>
      <c r="C3252" t="str">
        <f t="shared" si="150"/>
        <v>19648570000000</v>
      </c>
      <c r="D3252" t="s">
        <v>4953</v>
      </c>
      <c r="E3252" t="str">
        <f>"19648576105621"</f>
        <v>19648576105621</v>
      </c>
      <c r="F3252" s="8">
        <v>532</v>
      </c>
      <c r="G3252" s="8">
        <v>7942</v>
      </c>
      <c r="H3252" s="8">
        <v>1464</v>
      </c>
      <c r="I3252" s="8">
        <v>3294</v>
      </c>
    </row>
    <row r="3253" spans="1:9" x14ac:dyDescent="0.2">
      <c r="A3253" t="s">
        <v>436</v>
      </c>
      <c r="B3253" t="s">
        <v>742</v>
      </c>
      <c r="C3253" t="str">
        <f t="shared" si="150"/>
        <v>19648570000000</v>
      </c>
      <c r="D3253" t="s">
        <v>4954</v>
      </c>
      <c r="E3253" t="str">
        <f>"19648570133173"</f>
        <v>19648570133173</v>
      </c>
      <c r="F3253" s="8">
        <v>327</v>
      </c>
      <c r="G3253" s="8">
        <v>7786</v>
      </c>
      <c r="H3253" s="8">
        <v>1464</v>
      </c>
      <c r="I3253" s="8">
        <v>3294</v>
      </c>
    </row>
    <row r="3254" spans="1:9" x14ac:dyDescent="0.2">
      <c r="A3254" t="s">
        <v>436</v>
      </c>
      <c r="B3254" t="s">
        <v>742</v>
      </c>
      <c r="C3254" t="str">
        <f t="shared" si="150"/>
        <v>19648570000000</v>
      </c>
      <c r="D3254" t="s">
        <v>4955</v>
      </c>
      <c r="E3254" t="str">
        <f>"19648576119143"</f>
        <v>19648576119143</v>
      </c>
      <c r="F3254" s="8">
        <v>418</v>
      </c>
      <c r="G3254" s="8">
        <v>7645</v>
      </c>
      <c r="H3254" s="8">
        <v>1464</v>
      </c>
      <c r="I3254" s="8">
        <v>3294</v>
      </c>
    </row>
    <row r="3255" spans="1:9" x14ac:dyDescent="0.2">
      <c r="A3255" t="s">
        <v>436</v>
      </c>
      <c r="B3255" t="s">
        <v>743</v>
      </c>
      <c r="C3255" t="str">
        <f t="shared" ref="C3255:C3270" si="151">"19648650000000"</f>
        <v>19648650000000</v>
      </c>
      <c r="D3255" t="s">
        <v>4956</v>
      </c>
      <c r="E3255" t="str">
        <f>"19648651933308"</f>
        <v>19648651933308</v>
      </c>
      <c r="F3255" s="8">
        <v>0</v>
      </c>
      <c r="G3255" s="8">
        <v>26049</v>
      </c>
      <c r="H3255" s="8">
        <v>434</v>
      </c>
      <c r="I3255" s="8">
        <v>4104</v>
      </c>
    </row>
    <row r="3256" spans="1:9" x14ac:dyDescent="0.2">
      <c r="A3256" t="s">
        <v>436</v>
      </c>
      <c r="B3256" t="s">
        <v>743</v>
      </c>
      <c r="C3256" t="str">
        <f t="shared" si="151"/>
        <v>19648650000000</v>
      </c>
      <c r="D3256" t="s">
        <v>4957</v>
      </c>
      <c r="E3256" t="str">
        <f>"19648656021240"</f>
        <v>19648656021240</v>
      </c>
      <c r="F3256" s="8">
        <v>4</v>
      </c>
      <c r="G3256" s="8">
        <v>8595</v>
      </c>
      <c r="H3256" s="8">
        <v>434</v>
      </c>
      <c r="I3256" s="8">
        <v>4116</v>
      </c>
    </row>
    <row r="3257" spans="1:9" x14ac:dyDescent="0.2">
      <c r="A3257" t="s">
        <v>436</v>
      </c>
      <c r="B3257" t="s">
        <v>743</v>
      </c>
      <c r="C3257" t="str">
        <f t="shared" si="151"/>
        <v>19648650000000</v>
      </c>
      <c r="D3257" t="s">
        <v>2653</v>
      </c>
      <c r="E3257" t="str">
        <f>"19648656021372"</f>
        <v>19648656021372</v>
      </c>
      <c r="F3257" s="8">
        <v>4</v>
      </c>
      <c r="G3257" s="8">
        <v>7538</v>
      </c>
      <c r="H3257" s="8">
        <v>434</v>
      </c>
      <c r="I3257" s="8">
        <v>4120</v>
      </c>
    </row>
    <row r="3258" spans="1:9" x14ac:dyDescent="0.2">
      <c r="A3258" t="s">
        <v>436</v>
      </c>
      <c r="B3258" t="s">
        <v>743</v>
      </c>
      <c r="C3258" t="str">
        <f t="shared" si="151"/>
        <v>19648650000000</v>
      </c>
      <c r="D3258" t="s">
        <v>4958</v>
      </c>
      <c r="E3258" t="str">
        <f>"19648651996552"</f>
        <v>19648651996552</v>
      </c>
      <c r="F3258" s="8">
        <v>127</v>
      </c>
      <c r="G3258" s="8">
        <v>7328</v>
      </c>
      <c r="H3258" s="8">
        <v>434</v>
      </c>
      <c r="I3258" s="8">
        <v>4169</v>
      </c>
    </row>
    <row r="3259" spans="1:9" x14ac:dyDescent="0.2">
      <c r="A3259" t="s">
        <v>436</v>
      </c>
      <c r="B3259" t="s">
        <v>743</v>
      </c>
      <c r="C3259" t="str">
        <f t="shared" si="151"/>
        <v>19648650000000</v>
      </c>
      <c r="D3259" t="s">
        <v>4959</v>
      </c>
      <c r="E3259" t="str">
        <f>"19648656021323"</f>
        <v>19648656021323</v>
      </c>
      <c r="F3259" s="8">
        <v>4</v>
      </c>
      <c r="G3259" s="8">
        <v>7381</v>
      </c>
      <c r="H3259" s="8">
        <v>434</v>
      </c>
      <c r="I3259" s="8">
        <v>4118</v>
      </c>
    </row>
    <row r="3260" spans="1:9" x14ac:dyDescent="0.2">
      <c r="A3260" t="s">
        <v>436</v>
      </c>
      <c r="B3260" t="s">
        <v>743</v>
      </c>
      <c r="C3260" t="str">
        <f t="shared" si="151"/>
        <v>19648650000000</v>
      </c>
      <c r="D3260" t="s">
        <v>4960</v>
      </c>
      <c r="E3260" t="str">
        <f>"19648656021349"</f>
        <v>19648656021349</v>
      </c>
      <c r="F3260" s="8">
        <v>3</v>
      </c>
      <c r="G3260" s="8">
        <v>7161</v>
      </c>
      <c r="H3260" s="8">
        <v>434</v>
      </c>
      <c r="I3260" s="8">
        <v>4124</v>
      </c>
    </row>
    <row r="3261" spans="1:9" x14ac:dyDescent="0.2">
      <c r="A3261" t="s">
        <v>436</v>
      </c>
      <c r="B3261" t="s">
        <v>743</v>
      </c>
      <c r="C3261" t="str">
        <f t="shared" si="151"/>
        <v>19648650000000</v>
      </c>
      <c r="D3261" t="s">
        <v>4961</v>
      </c>
      <c r="E3261" t="str">
        <f>"19648656021315"</f>
        <v>19648656021315</v>
      </c>
      <c r="F3261" s="8">
        <v>4</v>
      </c>
      <c r="G3261" s="8">
        <v>7070</v>
      </c>
      <c r="H3261" s="8">
        <v>434</v>
      </c>
      <c r="I3261" s="8">
        <v>4116</v>
      </c>
    </row>
    <row r="3262" spans="1:9" x14ac:dyDescent="0.2">
      <c r="A3262" t="s">
        <v>436</v>
      </c>
      <c r="B3262" t="s">
        <v>743</v>
      </c>
      <c r="C3262" t="str">
        <f t="shared" si="151"/>
        <v>19648650000000</v>
      </c>
      <c r="D3262" t="s">
        <v>4962</v>
      </c>
      <c r="E3262" t="str">
        <f>"19648651995588"</f>
        <v>19648651995588</v>
      </c>
      <c r="F3262" s="8">
        <v>253</v>
      </c>
      <c r="G3262" s="8">
        <v>6682</v>
      </c>
      <c r="H3262" s="8">
        <v>434</v>
      </c>
      <c r="I3262" s="8">
        <v>4205</v>
      </c>
    </row>
    <row r="3263" spans="1:9" x14ac:dyDescent="0.2">
      <c r="A3263" t="s">
        <v>436</v>
      </c>
      <c r="B3263" t="s">
        <v>743</v>
      </c>
      <c r="C3263" t="str">
        <f t="shared" si="151"/>
        <v>19648650000000</v>
      </c>
      <c r="D3263" t="s">
        <v>4963</v>
      </c>
      <c r="E3263" t="str">
        <f>"19648656021257"</f>
        <v>19648656021257</v>
      </c>
      <c r="F3263" s="8">
        <v>54</v>
      </c>
      <c r="G3263" s="8">
        <v>6882</v>
      </c>
      <c r="H3263" s="8">
        <v>434</v>
      </c>
      <c r="I3263" s="8">
        <v>4136</v>
      </c>
    </row>
    <row r="3264" spans="1:9" x14ac:dyDescent="0.2">
      <c r="A3264" t="s">
        <v>436</v>
      </c>
      <c r="B3264" t="s">
        <v>743</v>
      </c>
      <c r="C3264" t="str">
        <f t="shared" si="151"/>
        <v>19648650000000</v>
      </c>
      <c r="D3264" t="s">
        <v>4964</v>
      </c>
      <c r="E3264" t="str">
        <f>"19648656021356"</f>
        <v>19648656021356</v>
      </c>
      <c r="F3264" s="8">
        <v>5</v>
      </c>
      <c r="G3264" s="8">
        <v>6764</v>
      </c>
      <c r="H3264" s="8">
        <v>434</v>
      </c>
      <c r="I3264" s="8">
        <v>4121</v>
      </c>
    </row>
    <row r="3265" spans="1:9" x14ac:dyDescent="0.2">
      <c r="A3265" t="s">
        <v>436</v>
      </c>
      <c r="B3265" t="s">
        <v>743</v>
      </c>
      <c r="C3265" t="str">
        <f t="shared" si="151"/>
        <v>19648650000000</v>
      </c>
      <c r="D3265" t="s">
        <v>4965</v>
      </c>
      <c r="E3265" t="str">
        <f>"19648656021331"</f>
        <v>19648656021331</v>
      </c>
      <c r="F3265" s="8">
        <v>30</v>
      </c>
      <c r="G3265" s="8">
        <v>6534</v>
      </c>
      <c r="H3265" s="8">
        <v>434</v>
      </c>
      <c r="I3265" s="8">
        <v>4137</v>
      </c>
    </row>
    <row r="3266" spans="1:9" x14ac:dyDescent="0.2">
      <c r="A3266" t="s">
        <v>436</v>
      </c>
      <c r="B3266" t="s">
        <v>743</v>
      </c>
      <c r="C3266" t="str">
        <f t="shared" si="151"/>
        <v>19648650000000</v>
      </c>
      <c r="D3266" t="s">
        <v>4966</v>
      </c>
      <c r="E3266" t="str">
        <f>"19648656021299"</f>
        <v>19648656021299</v>
      </c>
      <c r="F3266" s="8">
        <v>5</v>
      </c>
      <c r="G3266" s="8">
        <v>6575</v>
      </c>
      <c r="H3266" s="8">
        <v>434</v>
      </c>
      <c r="I3266" s="8">
        <v>4121</v>
      </c>
    </row>
    <row r="3267" spans="1:9" x14ac:dyDescent="0.2">
      <c r="A3267" t="s">
        <v>436</v>
      </c>
      <c r="B3267" t="s">
        <v>743</v>
      </c>
      <c r="C3267" t="str">
        <f t="shared" si="151"/>
        <v>19648650000000</v>
      </c>
      <c r="D3267" t="s">
        <v>4967</v>
      </c>
      <c r="E3267" t="str">
        <f>"19648656021273"</f>
        <v>19648656021273</v>
      </c>
      <c r="F3267" s="8">
        <v>3</v>
      </c>
      <c r="G3267" s="8">
        <v>6420</v>
      </c>
      <c r="H3267" s="8">
        <v>434</v>
      </c>
      <c r="I3267" s="8">
        <v>4119</v>
      </c>
    </row>
    <row r="3268" spans="1:9" x14ac:dyDescent="0.2">
      <c r="A3268" t="s">
        <v>436</v>
      </c>
      <c r="B3268" t="s">
        <v>743</v>
      </c>
      <c r="C3268" t="str">
        <f t="shared" si="151"/>
        <v>19648650000000</v>
      </c>
      <c r="D3268" t="s">
        <v>4968</v>
      </c>
      <c r="E3268" t="str">
        <f>"19648656117584"</f>
        <v>19648656117584</v>
      </c>
      <c r="F3268" s="8">
        <v>70</v>
      </c>
      <c r="G3268" s="8">
        <v>5730</v>
      </c>
      <c r="H3268" s="8">
        <v>434</v>
      </c>
      <c r="I3268" s="8">
        <v>4141</v>
      </c>
    </row>
    <row r="3269" spans="1:9" x14ac:dyDescent="0.2">
      <c r="A3269" t="s">
        <v>436</v>
      </c>
      <c r="B3269" t="s">
        <v>743</v>
      </c>
      <c r="C3269" t="str">
        <f t="shared" si="151"/>
        <v>19648650000000</v>
      </c>
      <c r="D3269" t="s">
        <v>4969</v>
      </c>
      <c r="E3269" t="str">
        <f>"19648656116172"</f>
        <v>19648656116172</v>
      </c>
      <c r="F3269" s="8">
        <v>4</v>
      </c>
      <c r="G3269" s="8">
        <v>5797</v>
      </c>
      <c r="H3269" s="8">
        <v>434</v>
      </c>
      <c r="I3269" s="8">
        <v>4131</v>
      </c>
    </row>
    <row r="3270" spans="1:9" x14ac:dyDescent="0.2">
      <c r="A3270" t="s">
        <v>436</v>
      </c>
      <c r="B3270" t="s">
        <v>743</v>
      </c>
      <c r="C3270" t="str">
        <f t="shared" si="151"/>
        <v>19648650000000</v>
      </c>
      <c r="D3270" t="s">
        <v>4970</v>
      </c>
      <c r="E3270" t="str">
        <f>"19648656021307"</f>
        <v>19648656021307</v>
      </c>
      <c r="F3270" s="8">
        <v>3</v>
      </c>
      <c r="G3270" s="8">
        <v>5599</v>
      </c>
      <c r="H3270" s="8">
        <v>434</v>
      </c>
      <c r="I3270" s="8">
        <v>4120</v>
      </c>
    </row>
    <row r="3271" spans="1:9" x14ac:dyDescent="0.2">
      <c r="A3271" t="s">
        <v>436</v>
      </c>
      <c r="B3271" t="s">
        <v>747</v>
      </c>
      <c r="C3271" t="str">
        <f t="shared" ref="C3271:C3289" si="152">"19648730000000"</f>
        <v>19648730000000</v>
      </c>
      <c r="D3271" t="s">
        <v>4971</v>
      </c>
      <c r="E3271" t="str">
        <f>"19648731996107"</f>
        <v>19648731996107</v>
      </c>
      <c r="F3271" s="8">
        <v>605</v>
      </c>
      <c r="G3271" s="8">
        <v>65521</v>
      </c>
      <c r="H3271" s="8">
        <v>1948</v>
      </c>
      <c r="I3271" s="8">
        <v>8194</v>
      </c>
    </row>
    <row r="3272" spans="1:9" x14ac:dyDescent="0.2">
      <c r="A3272" t="s">
        <v>436</v>
      </c>
      <c r="B3272" t="s">
        <v>747</v>
      </c>
      <c r="C3272" t="str">
        <f t="shared" si="152"/>
        <v>19648730000000</v>
      </c>
      <c r="D3272" t="s">
        <v>4972</v>
      </c>
      <c r="E3272" t="str">
        <f>"19648731936756"</f>
        <v>19648731936756</v>
      </c>
      <c r="F3272" s="8">
        <v>558</v>
      </c>
      <c r="G3272" s="8">
        <v>15227</v>
      </c>
      <c r="H3272" s="8">
        <v>1948</v>
      </c>
      <c r="I3272" s="8">
        <v>8194</v>
      </c>
    </row>
    <row r="3273" spans="1:9" x14ac:dyDescent="0.2">
      <c r="A3273" t="s">
        <v>436</v>
      </c>
      <c r="B3273" t="s">
        <v>747</v>
      </c>
      <c r="C3273" t="str">
        <f t="shared" si="152"/>
        <v>19648730000000</v>
      </c>
      <c r="D3273" t="s">
        <v>4973</v>
      </c>
      <c r="E3273" t="str">
        <f>"19648736021455"</f>
        <v>19648736021455</v>
      </c>
      <c r="F3273" s="8">
        <v>2606</v>
      </c>
      <c r="G3273" s="8">
        <v>7117</v>
      </c>
      <c r="H3273" s="8">
        <v>1948</v>
      </c>
      <c r="I3273" s="8">
        <v>8194</v>
      </c>
    </row>
    <row r="3274" spans="1:9" x14ac:dyDescent="0.2">
      <c r="A3274" t="s">
        <v>436</v>
      </c>
      <c r="B3274" t="s">
        <v>747</v>
      </c>
      <c r="C3274" t="str">
        <f t="shared" si="152"/>
        <v>19648730000000</v>
      </c>
      <c r="D3274" t="s">
        <v>4974</v>
      </c>
      <c r="E3274" t="str">
        <f>"19648736021398"</f>
        <v>19648736021398</v>
      </c>
      <c r="F3274" s="8">
        <v>3323</v>
      </c>
      <c r="G3274" s="8">
        <v>6008</v>
      </c>
      <c r="H3274" s="8">
        <v>1948</v>
      </c>
      <c r="I3274" s="8">
        <v>8194</v>
      </c>
    </row>
    <row r="3275" spans="1:9" x14ac:dyDescent="0.2">
      <c r="A3275" t="s">
        <v>436</v>
      </c>
      <c r="B3275" t="s">
        <v>747</v>
      </c>
      <c r="C3275" t="str">
        <f t="shared" si="152"/>
        <v>19648730000000</v>
      </c>
      <c r="D3275" t="s">
        <v>4975</v>
      </c>
      <c r="E3275" t="str">
        <f>"19648736021489"</f>
        <v>19648736021489</v>
      </c>
      <c r="F3275" s="8">
        <v>292</v>
      </c>
      <c r="G3275" s="8">
        <v>8524</v>
      </c>
      <c r="H3275" s="8">
        <v>1948</v>
      </c>
      <c r="I3275" s="8">
        <v>8194</v>
      </c>
    </row>
    <row r="3276" spans="1:9" x14ac:dyDescent="0.2">
      <c r="A3276" t="s">
        <v>436</v>
      </c>
      <c r="B3276" t="s">
        <v>747</v>
      </c>
      <c r="C3276" t="str">
        <f t="shared" si="152"/>
        <v>19648730000000</v>
      </c>
      <c r="D3276" t="s">
        <v>4976</v>
      </c>
      <c r="E3276" t="str">
        <f>"19648730136705"</f>
        <v>19648730136705</v>
      </c>
      <c r="F3276" s="8">
        <v>1683</v>
      </c>
      <c r="G3276" s="8">
        <v>7015</v>
      </c>
      <c r="H3276" s="8">
        <v>1948</v>
      </c>
      <c r="I3276" s="8">
        <v>8194</v>
      </c>
    </row>
    <row r="3277" spans="1:9" x14ac:dyDescent="0.2">
      <c r="A3277" t="s">
        <v>436</v>
      </c>
      <c r="B3277" t="s">
        <v>747</v>
      </c>
      <c r="C3277" t="str">
        <f t="shared" si="152"/>
        <v>19648730000000</v>
      </c>
      <c r="D3277" t="s">
        <v>4977</v>
      </c>
      <c r="E3277" t="str">
        <f>"19648736114615"</f>
        <v>19648736114615</v>
      </c>
      <c r="F3277" s="8">
        <v>311</v>
      </c>
      <c r="G3277" s="8">
        <v>8345</v>
      </c>
      <c r="H3277" s="8">
        <v>1948</v>
      </c>
      <c r="I3277" s="8">
        <v>8194</v>
      </c>
    </row>
    <row r="3278" spans="1:9" x14ac:dyDescent="0.2">
      <c r="A3278" t="s">
        <v>436</v>
      </c>
      <c r="B3278" t="s">
        <v>747</v>
      </c>
      <c r="C3278" t="str">
        <f t="shared" si="152"/>
        <v>19648730000000</v>
      </c>
      <c r="D3278" t="s">
        <v>4978</v>
      </c>
      <c r="E3278" t="str">
        <f>"19648730119438"</f>
        <v>19648730119438</v>
      </c>
      <c r="F3278" s="8">
        <v>283</v>
      </c>
      <c r="G3278" s="8">
        <v>8021</v>
      </c>
      <c r="H3278" s="8">
        <v>1948</v>
      </c>
      <c r="I3278" s="8">
        <v>8194</v>
      </c>
    </row>
    <row r="3279" spans="1:9" x14ac:dyDescent="0.2">
      <c r="A3279" t="s">
        <v>436</v>
      </c>
      <c r="B3279" t="s">
        <v>747</v>
      </c>
      <c r="C3279" t="str">
        <f t="shared" si="152"/>
        <v>19648730000000</v>
      </c>
      <c r="D3279" t="s">
        <v>1194</v>
      </c>
      <c r="E3279" t="str">
        <f>"19648736117444"</f>
        <v>19648736117444</v>
      </c>
      <c r="F3279" s="8">
        <v>259</v>
      </c>
      <c r="G3279" s="8">
        <v>7999</v>
      </c>
      <c r="H3279" s="8">
        <v>1948</v>
      </c>
      <c r="I3279" s="8">
        <v>8194</v>
      </c>
    </row>
    <row r="3280" spans="1:9" x14ac:dyDescent="0.2">
      <c r="A3280" t="s">
        <v>436</v>
      </c>
      <c r="B3280" t="s">
        <v>747</v>
      </c>
      <c r="C3280" t="str">
        <f t="shared" si="152"/>
        <v>19648730000000</v>
      </c>
      <c r="D3280" t="s">
        <v>4979</v>
      </c>
      <c r="E3280" t="str">
        <f>"19648730108779"</f>
        <v>19648730108779</v>
      </c>
      <c r="F3280" s="8">
        <v>262</v>
      </c>
      <c r="G3280" s="8">
        <v>7852</v>
      </c>
      <c r="H3280" s="8">
        <v>1948</v>
      </c>
      <c r="I3280" s="8">
        <v>8194</v>
      </c>
    </row>
    <row r="3281" spans="1:9" x14ac:dyDescent="0.2">
      <c r="A3281" t="s">
        <v>436</v>
      </c>
      <c r="B3281" t="s">
        <v>747</v>
      </c>
      <c r="C3281" t="str">
        <f t="shared" si="152"/>
        <v>19648730000000</v>
      </c>
      <c r="D3281" t="s">
        <v>4980</v>
      </c>
      <c r="E3281" t="str">
        <f>"19648736021471"</f>
        <v>19648736021471</v>
      </c>
      <c r="F3281" s="8">
        <v>309</v>
      </c>
      <c r="G3281" s="8">
        <v>7755</v>
      </c>
      <c r="H3281" s="8">
        <v>1948</v>
      </c>
      <c r="I3281" s="8">
        <v>8194</v>
      </c>
    </row>
    <row r="3282" spans="1:9" x14ac:dyDescent="0.2">
      <c r="A3282" t="s">
        <v>436</v>
      </c>
      <c r="B3282" t="s">
        <v>747</v>
      </c>
      <c r="C3282" t="str">
        <f t="shared" si="152"/>
        <v>19648730000000</v>
      </c>
      <c r="D3282" t="s">
        <v>4981</v>
      </c>
      <c r="E3282" t="str">
        <f>"19648736021463"</f>
        <v>19648736021463</v>
      </c>
      <c r="F3282" s="8">
        <v>319</v>
      </c>
      <c r="G3282" s="8">
        <v>7706</v>
      </c>
      <c r="H3282" s="8">
        <v>1948</v>
      </c>
      <c r="I3282" s="8">
        <v>8194</v>
      </c>
    </row>
    <row r="3283" spans="1:9" x14ac:dyDescent="0.2">
      <c r="A3283" t="s">
        <v>436</v>
      </c>
      <c r="B3283" t="s">
        <v>747</v>
      </c>
      <c r="C3283" t="str">
        <f t="shared" si="152"/>
        <v>19648730000000</v>
      </c>
      <c r="D3283" t="s">
        <v>4982</v>
      </c>
      <c r="E3283" t="str">
        <f>"19648730102681"</f>
        <v>19648730102681</v>
      </c>
      <c r="F3283" s="8">
        <v>315</v>
      </c>
      <c r="G3283" s="8">
        <v>7678</v>
      </c>
      <c r="H3283" s="8">
        <v>1948</v>
      </c>
      <c r="I3283" s="8">
        <v>8194</v>
      </c>
    </row>
    <row r="3284" spans="1:9" x14ac:dyDescent="0.2">
      <c r="A3284" t="s">
        <v>436</v>
      </c>
      <c r="B3284" t="s">
        <v>747</v>
      </c>
      <c r="C3284" t="str">
        <f t="shared" si="152"/>
        <v>19648730000000</v>
      </c>
      <c r="D3284" t="s">
        <v>4983</v>
      </c>
      <c r="E3284" t="str">
        <f>"19648736021448"</f>
        <v>19648736021448</v>
      </c>
      <c r="F3284" s="8">
        <v>328</v>
      </c>
      <c r="G3284" s="8">
        <v>7563</v>
      </c>
      <c r="H3284" s="8">
        <v>1948</v>
      </c>
      <c r="I3284" s="8">
        <v>8194</v>
      </c>
    </row>
    <row r="3285" spans="1:9" x14ac:dyDescent="0.2">
      <c r="A3285" t="s">
        <v>436</v>
      </c>
      <c r="B3285" t="s">
        <v>747</v>
      </c>
      <c r="C3285" t="str">
        <f t="shared" si="152"/>
        <v>19648730000000</v>
      </c>
      <c r="D3285" t="s">
        <v>4984</v>
      </c>
      <c r="E3285" t="str">
        <f>"19648736021430"</f>
        <v>19648736021430</v>
      </c>
      <c r="F3285" s="8">
        <v>2444</v>
      </c>
      <c r="G3285" s="8">
        <v>5215</v>
      </c>
      <c r="H3285" s="8">
        <v>1948</v>
      </c>
      <c r="I3285" s="8">
        <v>8194</v>
      </c>
    </row>
    <row r="3286" spans="1:9" x14ac:dyDescent="0.2">
      <c r="A3286" t="s">
        <v>436</v>
      </c>
      <c r="B3286" t="s">
        <v>747</v>
      </c>
      <c r="C3286" t="str">
        <f t="shared" si="152"/>
        <v>19648730000000</v>
      </c>
      <c r="D3286" t="s">
        <v>4985</v>
      </c>
      <c r="E3286" t="str">
        <f>"19648736021380"</f>
        <v>19648736021380</v>
      </c>
      <c r="F3286" s="8">
        <v>2730</v>
      </c>
      <c r="G3286" s="8">
        <v>4908</v>
      </c>
      <c r="H3286" s="8">
        <v>1948</v>
      </c>
      <c r="I3286" s="8">
        <v>8194</v>
      </c>
    </row>
    <row r="3287" spans="1:9" x14ac:dyDescent="0.2">
      <c r="A3287" t="s">
        <v>436</v>
      </c>
      <c r="B3287" t="s">
        <v>747</v>
      </c>
      <c r="C3287" t="str">
        <f t="shared" si="152"/>
        <v>19648730000000</v>
      </c>
      <c r="D3287" t="s">
        <v>4986</v>
      </c>
      <c r="E3287" t="str">
        <f>"19648731936749"</f>
        <v>19648731936749</v>
      </c>
      <c r="F3287" s="8">
        <v>272</v>
      </c>
      <c r="G3287" s="8">
        <v>6949</v>
      </c>
      <c r="H3287" s="8">
        <v>1948</v>
      </c>
      <c r="I3287" s="8">
        <v>8194</v>
      </c>
    </row>
    <row r="3288" spans="1:9" x14ac:dyDescent="0.2">
      <c r="A3288" t="s">
        <v>436</v>
      </c>
      <c r="B3288" t="s">
        <v>747</v>
      </c>
      <c r="C3288" t="str">
        <f t="shared" si="152"/>
        <v>19648730000000</v>
      </c>
      <c r="D3288" t="s">
        <v>4987</v>
      </c>
      <c r="E3288" t="str">
        <f>"19648736021414"</f>
        <v>19648736021414</v>
      </c>
      <c r="F3288" s="8">
        <v>2442</v>
      </c>
      <c r="G3288" s="8">
        <v>4500</v>
      </c>
      <c r="H3288" s="8">
        <v>1948</v>
      </c>
      <c r="I3288" s="8">
        <v>8194</v>
      </c>
    </row>
    <row r="3289" spans="1:9" x14ac:dyDescent="0.2">
      <c r="A3289" t="s">
        <v>436</v>
      </c>
      <c r="B3289" t="s">
        <v>747</v>
      </c>
      <c r="C3289" t="str">
        <f t="shared" si="152"/>
        <v>19648730000000</v>
      </c>
      <c r="D3289" t="s">
        <v>4988</v>
      </c>
      <c r="E3289" t="str">
        <f>"19648730119446"</f>
        <v>19648730119446</v>
      </c>
      <c r="F3289" s="8">
        <v>224</v>
      </c>
      <c r="G3289" s="8">
        <v>6418</v>
      </c>
      <c r="H3289" s="8">
        <v>1948</v>
      </c>
      <c r="I3289" s="8">
        <v>8194</v>
      </c>
    </row>
    <row r="3290" spans="1:9" x14ac:dyDescent="0.2">
      <c r="A3290" t="s">
        <v>436</v>
      </c>
      <c r="B3290" t="s">
        <v>749</v>
      </c>
      <c r="C3290" t="str">
        <f t="shared" ref="C3290:C3312" si="153">"19648810000000"</f>
        <v>19648810000000</v>
      </c>
      <c r="D3290" t="s">
        <v>2898</v>
      </c>
      <c r="E3290" t="str">
        <f>"19648816021760"</f>
        <v>19648816021760</v>
      </c>
      <c r="F3290" s="8">
        <v>1689</v>
      </c>
      <c r="G3290" s="8">
        <v>10159</v>
      </c>
      <c r="H3290" s="8">
        <v>1544</v>
      </c>
      <c r="I3290" s="8">
        <v>7671</v>
      </c>
    </row>
    <row r="3291" spans="1:9" x14ac:dyDescent="0.2">
      <c r="A3291" t="s">
        <v>436</v>
      </c>
      <c r="B3291" t="s">
        <v>749</v>
      </c>
      <c r="C3291" t="str">
        <f t="shared" si="153"/>
        <v>19648810000000</v>
      </c>
      <c r="D3291" t="s">
        <v>4989</v>
      </c>
      <c r="E3291" t="str">
        <f>"19648811936806"</f>
        <v>19648811936806</v>
      </c>
      <c r="F3291" s="8">
        <v>1080</v>
      </c>
      <c r="G3291" s="8">
        <v>11708</v>
      </c>
      <c r="H3291" s="8">
        <v>1542</v>
      </c>
      <c r="I3291" s="8">
        <v>6034</v>
      </c>
    </row>
    <row r="3292" spans="1:9" x14ac:dyDescent="0.2">
      <c r="A3292" t="s">
        <v>436</v>
      </c>
      <c r="B3292" t="s">
        <v>749</v>
      </c>
      <c r="C3292" t="str">
        <f t="shared" si="153"/>
        <v>19648810000000</v>
      </c>
      <c r="D3292" t="s">
        <v>3250</v>
      </c>
      <c r="E3292" t="str">
        <f>"19648816021752"</f>
        <v>19648816021752</v>
      </c>
      <c r="F3292" s="8">
        <v>2025</v>
      </c>
      <c r="G3292" s="8">
        <v>8118</v>
      </c>
      <c r="H3292" s="8">
        <v>1670</v>
      </c>
      <c r="I3292" s="8">
        <v>6541</v>
      </c>
    </row>
    <row r="3293" spans="1:9" x14ac:dyDescent="0.2">
      <c r="A3293" t="s">
        <v>436</v>
      </c>
      <c r="B3293" t="s">
        <v>749</v>
      </c>
      <c r="C3293" t="str">
        <f t="shared" si="153"/>
        <v>19648810000000</v>
      </c>
      <c r="D3293" t="s">
        <v>4990</v>
      </c>
      <c r="E3293" t="str">
        <f>"19648816058465"</f>
        <v>19648816058465</v>
      </c>
      <c r="F3293" s="8">
        <v>472</v>
      </c>
      <c r="G3293" s="8">
        <v>8495</v>
      </c>
      <c r="H3293" s="8">
        <v>1541</v>
      </c>
      <c r="I3293" s="8">
        <v>7671</v>
      </c>
    </row>
    <row r="3294" spans="1:9" x14ac:dyDescent="0.2">
      <c r="A3294" t="s">
        <v>436</v>
      </c>
      <c r="B3294" t="s">
        <v>749</v>
      </c>
      <c r="C3294" t="str">
        <f t="shared" si="153"/>
        <v>19648810000000</v>
      </c>
      <c r="D3294" t="s">
        <v>4991</v>
      </c>
      <c r="E3294" t="str">
        <f>"19648811936103"</f>
        <v>19648811936103</v>
      </c>
      <c r="F3294" s="8">
        <v>1567</v>
      </c>
      <c r="G3294" s="8">
        <v>7562</v>
      </c>
      <c r="H3294" s="8">
        <v>1691</v>
      </c>
      <c r="I3294" s="8">
        <v>6829</v>
      </c>
    </row>
    <row r="3295" spans="1:9" x14ac:dyDescent="0.2">
      <c r="A3295" t="s">
        <v>436</v>
      </c>
      <c r="B3295" t="s">
        <v>749</v>
      </c>
      <c r="C3295" t="str">
        <f t="shared" si="153"/>
        <v>19648810000000</v>
      </c>
      <c r="D3295" t="s">
        <v>4053</v>
      </c>
      <c r="E3295" t="str">
        <f>"19648816021778"</f>
        <v>19648816021778</v>
      </c>
      <c r="F3295" s="8">
        <v>1070</v>
      </c>
      <c r="G3295" s="8">
        <v>8167</v>
      </c>
      <c r="H3295" s="8">
        <v>1517</v>
      </c>
      <c r="I3295" s="8">
        <v>5738</v>
      </c>
    </row>
    <row r="3296" spans="1:9" x14ac:dyDescent="0.2">
      <c r="A3296" t="s">
        <v>436</v>
      </c>
      <c r="B3296" t="s">
        <v>749</v>
      </c>
      <c r="C3296" t="str">
        <f t="shared" si="153"/>
        <v>19648810000000</v>
      </c>
      <c r="D3296" t="s">
        <v>4992</v>
      </c>
      <c r="E3296" t="str">
        <f>"19648811932409"</f>
        <v>19648811932409</v>
      </c>
      <c r="F3296" s="8">
        <v>1264</v>
      </c>
      <c r="G3296" s="8">
        <v>7837</v>
      </c>
      <c r="H3296" s="8">
        <v>1516</v>
      </c>
      <c r="I3296" s="8">
        <v>5794</v>
      </c>
    </row>
    <row r="3297" spans="1:9" x14ac:dyDescent="0.2">
      <c r="A3297" t="s">
        <v>436</v>
      </c>
      <c r="B3297" t="s">
        <v>749</v>
      </c>
      <c r="C3297" t="str">
        <f t="shared" si="153"/>
        <v>19648810000000</v>
      </c>
      <c r="D3297" t="s">
        <v>4993</v>
      </c>
      <c r="E3297" t="str">
        <f>"19648816021505"</f>
        <v>19648816021505</v>
      </c>
      <c r="F3297" s="8">
        <v>2125</v>
      </c>
      <c r="G3297" s="8">
        <v>7070</v>
      </c>
      <c r="H3297" s="8">
        <v>1633</v>
      </c>
      <c r="I3297" s="8">
        <v>5236</v>
      </c>
    </row>
    <row r="3298" spans="1:9" x14ac:dyDescent="0.2">
      <c r="A3298" t="s">
        <v>436</v>
      </c>
      <c r="B3298" t="s">
        <v>749</v>
      </c>
      <c r="C3298" t="str">
        <f t="shared" si="153"/>
        <v>19648810000000</v>
      </c>
      <c r="D3298" t="s">
        <v>2094</v>
      </c>
      <c r="E3298" t="str">
        <f>"19648816119549"</f>
        <v>19648816119549</v>
      </c>
      <c r="F3298" s="8">
        <v>446</v>
      </c>
      <c r="G3298" s="8">
        <v>7694</v>
      </c>
      <c r="H3298" s="8">
        <v>1524</v>
      </c>
      <c r="I3298" s="8">
        <v>5640</v>
      </c>
    </row>
    <row r="3299" spans="1:9" x14ac:dyDescent="0.2">
      <c r="A3299" t="s">
        <v>436</v>
      </c>
      <c r="B3299" t="s">
        <v>749</v>
      </c>
      <c r="C3299" t="str">
        <f t="shared" si="153"/>
        <v>19648810000000</v>
      </c>
      <c r="D3299" t="s">
        <v>2344</v>
      </c>
      <c r="E3299" t="str">
        <f>"19648816021687"</f>
        <v>19648816021687</v>
      </c>
      <c r="F3299" s="8">
        <v>899</v>
      </c>
      <c r="G3299" s="8">
        <v>6471</v>
      </c>
      <c r="H3299" s="8">
        <v>1553</v>
      </c>
      <c r="I3299" s="8">
        <v>5659</v>
      </c>
    </row>
    <row r="3300" spans="1:9" x14ac:dyDescent="0.2">
      <c r="A3300" t="s">
        <v>436</v>
      </c>
      <c r="B3300" t="s">
        <v>749</v>
      </c>
      <c r="C3300" t="str">
        <f t="shared" si="153"/>
        <v>19648810000000</v>
      </c>
      <c r="D3300" t="s">
        <v>4994</v>
      </c>
      <c r="E3300" t="str">
        <f>"19648816021554"</f>
        <v>19648816021554</v>
      </c>
      <c r="F3300" s="8">
        <v>336</v>
      </c>
      <c r="G3300" s="8">
        <v>7329</v>
      </c>
      <c r="H3300" s="8">
        <v>1490</v>
      </c>
      <c r="I3300" s="8">
        <v>5287</v>
      </c>
    </row>
    <row r="3301" spans="1:9" x14ac:dyDescent="0.2">
      <c r="A3301" t="s">
        <v>436</v>
      </c>
      <c r="B3301" t="s">
        <v>749</v>
      </c>
      <c r="C3301" t="str">
        <f t="shared" si="153"/>
        <v>19648810000000</v>
      </c>
      <c r="D3301" t="s">
        <v>4995</v>
      </c>
      <c r="E3301" t="str">
        <f>"19648811931062"</f>
        <v>19648811931062</v>
      </c>
      <c r="F3301" s="8">
        <v>327</v>
      </c>
      <c r="G3301" s="8">
        <v>7407</v>
      </c>
      <c r="H3301" s="8">
        <v>1506</v>
      </c>
      <c r="I3301" s="8">
        <v>5078</v>
      </c>
    </row>
    <row r="3302" spans="1:9" x14ac:dyDescent="0.2">
      <c r="A3302" t="s">
        <v>436</v>
      </c>
      <c r="B3302" t="s">
        <v>749</v>
      </c>
      <c r="C3302" t="str">
        <f t="shared" si="153"/>
        <v>19648810000000</v>
      </c>
      <c r="D3302" t="s">
        <v>4996</v>
      </c>
      <c r="E3302" t="str">
        <f>"19648811936822"</f>
        <v>19648811936822</v>
      </c>
      <c r="F3302" s="8">
        <v>204</v>
      </c>
      <c r="G3302" s="8">
        <v>6738</v>
      </c>
      <c r="H3302" s="8">
        <v>1511</v>
      </c>
      <c r="I3302" s="8">
        <v>5739</v>
      </c>
    </row>
    <row r="3303" spans="1:9" x14ac:dyDescent="0.2">
      <c r="A3303" t="s">
        <v>436</v>
      </c>
      <c r="B3303" t="s">
        <v>749</v>
      </c>
      <c r="C3303" t="str">
        <f t="shared" si="153"/>
        <v>19648810000000</v>
      </c>
      <c r="D3303" t="s">
        <v>4997</v>
      </c>
      <c r="E3303" t="str">
        <f>"19648816021737"</f>
        <v>19648816021737</v>
      </c>
      <c r="F3303" s="8">
        <v>351</v>
      </c>
      <c r="G3303" s="8">
        <v>7803</v>
      </c>
      <c r="H3303" s="8">
        <v>1471</v>
      </c>
      <c r="I3303" s="8">
        <v>4422</v>
      </c>
    </row>
    <row r="3304" spans="1:9" x14ac:dyDescent="0.2">
      <c r="A3304" t="s">
        <v>436</v>
      </c>
      <c r="B3304" t="s">
        <v>749</v>
      </c>
      <c r="C3304" t="str">
        <f t="shared" si="153"/>
        <v>19648810000000</v>
      </c>
      <c r="D3304" t="s">
        <v>4998</v>
      </c>
      <c r="E3304" t="str">
        <f>"19648810117440"</f>
        <v>19648810117440</v>
      </c>
      <c r="F3304" s="8">
        <v>428</v>
      </c>
      <c r="G3304" s="8">
        <v>6911</v>
      </c>
      <c r="H3304" s="8">
        <v>1559</v>
      </c>
      <c r="I3304" s="8">
        <v>5018</v>
      </c>
    </row>
    <row r="3305" spans="1:9" x14ac:dyDescent="0.2">
      <c r="A3305" t="s">
        <v>436</v>
      </c>
      <c r="B3305" t="s">
        <v>749</v>
      </c>
      <c r="C3305" t="str">
        <f t="shared" si="153"/>
        <v>19648810000000</v>
      </c>
      <c r="D3305" t="s">
        <v>4999</v>
      </c>
      <c r="E3305" t="str">
        <f>"19648810127746"</f>
        <v>19648810127746</v>
      </c>
      <c r="F3305" s="8">
        <v>306</v>
      </c>
      <c r="G3305" s="8">
        <v>7442</v>
      </c>
      <c r="H3305" s="8">
        <v>1464</v>
      </c>
      <c r="I3305" s="8">
        <v>4572</v>
      </c>
    </row>
    <row r="3306" spans="1:9" x14ac:dyDescent="0.2">
      <c r="A3306" t="s">
        <v>436</v>
      </c>
      <c r="B3306" t="s">
        <v>749</v>
      </c>
      <c r="C3306" t="str">
        <f t="shared" si="153"/>
        <v>19648810000000</v>
      </c>
      <c r="D3306" t="s">
        <v>2908</v>
      </c>
      <c r="E3306" t="str">
        <f>"19648816021612"</f>
        <v>19648816021612</v>
      </c>
      <c r="F3306" s="8">
        <v>373</v>
      </c>
      <c r="G3306" s="8">
        <v>7305</v>
      </c>
      <c r="H3306" s="8">
        <v>1474</v>
      </c>
      <c r="I3306" s="8">
        <v>4492</v>
      </c>
    </row>
    <row r="3307" spans="1:9" x14ac:dyDescent="0.2">
      <c r="A3307" t="s">
        <v>436</v>
      </c>
      <c r="B3307" t="s">
        <v>749</v>
      </c>
      <c r="C3307" t="str">
        <f t="shared" si="153"/>
        <v>19648810000000</v>
      </c>
      <c r="D3307" t="s">
        <v>5000</v>
      </c>
      <c r="E3307" t="str">
        <f>"19648816021679"</f>
        <v>19648816021679</v>
      </c>
      <c r="F3307" s="8">
        <v>514</v>
      </c>
      <c r="G3307" s="8">
        <v>6597</v>
      </c>
      <c r="H3307" s="8">
        <v>1507</v>
      </c>
      <c r="I3307" s="8">
        <v>4899</v>
      </c>
    </row>
    <row r="3308" spans="1:9" x14ac:dyDescent="0.2">
      <c r="A3308" t="s">
        <v>436</v>
      </c>
      <c r="B3308" t="s">
        <v>749</v>
      </c>
      <c r="C3308" t="str">
        <f t="shared" si="153"/>
        <v>19648810000000</v>
      </c>
      <c r="D3308" t="s">
        <v>5001</v>
      </c>
      <c r="E3308" t="str">
        <f>"19648816120265"</f>
        <v>19648816120265</v>
      </c>
      <c r="F3308" s="8">
        <v>588</v>
      </c>
      <c r="G3308" s="8">
        <v>6307</v>
      </c>
      <c r="H3308" s="8">
        <v>1485</v>
      </c>
      <c r="I3308" s="8">
        <v>4874</v>
      </c>
    </row>
    <row r="3309" spans="1:9" x14ac:dyDescent="0.2">
      <c r="A3309" t="s">
        <v>436</v>
      </c>
      <c r="B3309" t="s">
        <v>749</v>
      </c>
      <c r="C3309" t="str">
        <f t="shared" si="153"/>
        <v>19648810000000</v>
      </c>
      <c r="D3309" t="s">
        <v>5002</v>
      </c>
      <c r="E3309" t="str">
        <f>"19648816021729"</f>
        <v>19648816021729</v>
      </c>
      <c r="F3309" s="8">
        <v>358</v>
      </c>
      <c r="G3309" s="8">
        <v>6354</v>
      </c>
      <c r="H3309" s="8">
        <v>1482</v>
      </c>
      <c r="I3309" s="8">
        <v>4708</v>
      </c>
    </row>
    <row r="3310" spans="1:9" x14ac:dyDescent="0.2">
      <c r="A3310" t="s">
        <v>436</v>
      </c>
      <c r="B3310" t="s">
        <v>749</v>
      </c>
      <c r="C3310" t="str">
        <f t="shared" si="153"/>
        <v>19648810000000</v>
      </c>
      <c r="D3310" t="s">
        <v>5003</v>
      </c>
      <c r="E3310" t="str">
        <f>"19648811931674"</f>
        <v>19648811931674</v>
      </c>
      <c r="F3310" s="8">
        <v>313</v>
      </c>
      <c r="G3310" s="8">
        <v>6069</v>
      </c>
      <c r="H3310" s="8">
        <v>1470</v>
      </c>
      <c r="I3310" s="8">
        <v>4485</v>
      </c>
    </row>
    <row r="3311" spans="1:9" x14ac:dyDescent="0.2">
      <c r="A3311" t="s">
        <v>436</v>
      </c>
      <c r="B3311" t="s">
        <v>749</v>
      </c>
      <c r="C3311" t="str">
        <f t="shared" si="153"/>
        <v>19648810000000</v>
      </c>
      <c r="D3311" t="s">
        <v>5004</v>
      </c>
      <c r="E3311" t="str">
        <f>"19648816021570"</f>
        <v>19648816021570</v>
      </c>
      <c r="F3311" s="8">
        <v>295</v>
      </c>
      <c r="G3311" s="8">
        <v>6606</v>
      </c>
      <c r="H3311" s="8">
        <v>1442</v>
      </c>
      <c r="I3311" s="8">
        <v>3589</v>
      </c>
    </row>
    <row r="3312" spans="1:9" x14ac:dyDescent="0.2">
      <c r="A3312" t="s">
        <v>436</v>
      </c>
      <c r="B3312" t="s">
        <v>749</v>
      </c>
      <c r="C3312" t="str">
        <f t="shared" si="153"/>
        <v>19648810000000</v>
      </c>
      <c r="D3312" t="s">
        <v>2383</v>
      </c>
      <c r="E3312" t="str">
        <f>"19648816021620"</f>
        <v>19648816021620</v>
      </c>
      <c r="F3312" s="8">
        <v>351</v>
      </c>
      <c r="G3312" s="8">
        <v>5609</v>
      </c>
      <c r="H3312" s="8">
        <v>1469</v>
      </c>
      <c r="I3312" s="8">
        <v>3951</v>
      </c>
    </row>
    <row r="3313" spans="1:9" x14ac:dyDescent="0.2">
      <c r="A3313" t="s">
        <v>436</v>
      </c>
      <c r="B3313" t="s">
        <v>751</v>
      </c>
      <c r="C3313" t="str">
        <f t="shared" ref="C3313:C3353" si="154">"19649070000000"</f>
        <v>19649070000000</v>
      </c>
      <c r="D3313" t="s">
        <v>5005</v>
      </c>
      <c r="E3313" t="str">
        <f>"19649071936772"</f>
        <v>19649071936772</v>
      </c>
      <c r="F3313" s="8">
        <v>2473</v>
      </c>
      <c r="G3313" s="8">
        <v>20075</v>
      </c>
      <c r="H3313" s="8">
        <v>1384</v>
      </c>
      <c r="I3313" s="8">
        <v>5415</v>
      </c>
    </row>
    <row r="3314" spans="1:9" x14ac:dyDescent="0.2">
      <c r="A3314" t="s">
        <v>436</v>
      </c>
      <c r="B3314" t="s">
        <v>751</v>
      </c>
      <c r="C3314" t="str">
        <f t="shared" si="154"/>
        <v>19649070000000</v>
      </c>
      <c r="D3314" t="s">
        <v>5006</v>
      </c>
      <c r="E3314" t="str">
        <f>"19649076061642"</f>
        <v>19649076061642</v>
      </c>
      <c r="F3314" s="8">
        <v>4953</v>
      </c>
      <c r="G3314" s="8">
        <v>8198</v>
      </c>
      <c r="H3314" s="8">
        <v>1387</v>
      </c>
      <c r="I3314" s="8">
        <v>5306</v>
      </c>
    </row>
    <row r="3315" spans="1:9" x14ac:dyDescent="0.2">
      <c r="A3315" t="s">
        <v>436</v>
      </c>
      <c r="B3315" t="s">
        <v>751</v>
      </c>
      <c r="C3315" t="str">
        <f t="shared" si="154"/>
        <v>19649070000000</v>
      </c>
      <c r="D3315" t="s">
        <v>5007</v>
      </c>
      <c r="E3315" t="str">
        <f>"19649076021927"</f>
        <v>19649076021927</v>
      </c>
      <c r="F3315" s="8">
        <v>6078</v>
      </c>
      <c r="G3315" s="8">
        <v>5806</v>
      </c>
      <c r="H3315" s="8">
        <v>1387</v>
      </c>
      <c r="I3315" s="8">
        <v>5333</v>
      </c>
    </row>
    <row r="3316" spans="1:9" x14ac:dyDescent="0.2">
      <c r="A3316" t="s">
        <v>436</v>
      </c>
      <c r="B3316" t="s">
        <v>751</v>
      </c>
      <c r="C3316" t="str">
        <f t="shared" si="154"/>
        <v>19649070000000</v>
      </c>
      <c r="D3316" t="s">
        <v>5008</v>
      </c>
      <c r="E3316" t="str">
        <f>"19649071996495"</f>
        <v>19649071996495</v>
      </c>
      <c r="F3316" s="8">
        <v>573</v>
      </c>
      <c r="G3316" s="8">
        <v>11222</v>
      </c>
      <c r="H3316" s="8">
        <v>1384</v>
      </c>
      <c r="I3316" s="8">
        <v>5415</v>
      </c>
    </row>
    <row r="3317" spans="1:9" x14ac:dyDescent="0.2">
      <c r="A3317" t="s">
        <v>436</v>
      </c>
      <c r="B3317" t="s">
        <v>751</v>
      </c>
      <c r="C3317" t="str">
        <f t="shared" si="154"/>
        <v>19649070000000</v>
      </c>
      <c r="D3317" t="s">
        <v>5009</v>
      </c>
      <c r="E3317" t="str">
        <f>"19649071933175"</f>
        <v>19649071933175</v>
      </c>
      <c r="F3317" s="8">
        <v>419</v>
      </c>
      <c r="G3317" s="8">
        <v>8975</v>
      </c>
      <c r="H3317" s="8">
        <v>1384</v>
      </c>
      <c r="I3317" s="8">
        <v>5415</v>
      </c>
    </row>
    <row r="3318" spans="1:9" x14ac:dyDescent="0.2">
      <c r="A3318" t="s">
        <v>436</v>
      </c>
      <c r="B3318" t="s">
        <v>751</v>
      </c>
      <c r="C3318" t="str">
        <f t="shared" si="154"/>
        <v>19649070000000</v>
      </c>
      <c r="D3318" t="s">
        <v>5010</v>
      </c>
      <c r="E3318" t="str">
        <f>"19649076021919"</f>
        <v>19649076021919</v>
      </c>
      <c r="F3318" s="8">
        <v>1446</v>
      </c>
      <c r="G3318" s="8">
        <v>7910</v>
      </c>
      <c r="H3318" s="8">
        <v>1387</v>
      </c>
      <c r="I3318" s="8">
        <v>5333</v>
      </c>
    </row>
    <row r="3319" spans="1:9" x14ac:dyDescent="0.2">
      <c r="A3319" t="s">
        <v>436</v>
      </c>
      <c r="B3319" t="s">
        <v>751</v>
      </c>
      <c r="C3319" t="str">
        <f t="shared" si="154"/>
        <v>19649070000000</v>
      </c>
      <c r="D3319" t="s">
        <v>5011</v>
      </c>
      <c r="E3319" t="str">
        <f>"19649076021828"</f>
        <v>19649076021828</v>
      </c>
      <c r="F3319" s="8">
        <v>1285</v>
      </c>
      <c r="G3319" s="8">
        <v>7851</v>
      </c>
      <c r="H3319" s="8">
        <v>1387</v>
      </c>
      <c r="I3319" s="8">
        <v>5333</v>
      </c>
    </row>
    <row r="3320" spans="1:9" x14ac:dyDescent="0.2">
      <c r="A3320" t="s">
        <v>436</v>
      </c>
      <c r="B3320" t="s">
        <v>751</v>
      </c>
      <c r="C3320" t="str">
        <f t="shared" si="154"/>
        <v>19649070000000</v>
      </c>
      <c r="D3320" t="s">
        <v>5012</v>
      </c>
      <c r="E3320" t="str">
        <f>"19649070111047"</f>
        <v>19649070111047</v>
      </c>
      <c r="F3320" s="8">
        <v>3914</v>
      </c>
      <c r="G3320" s="8">
        <v>5201</v>
      </c>
      <c r="H3320" s="8">
        <v>1387</v>
      </c>
      <c r="I3320" s="8">
        <v>5333</v>
      </c>
    </row>
    <row r="3321" spans="1:9" x14ac:dyDescent="0.2">
      <c r="A3321" t="s">
        <v>436</v>
      </c>
      <c r="B3321" t="s">
        <v>751</v>
      </c>
      <c r="C3321" t="str">
        <f t="shared" si="154"/>
        <v>19649070000000</v>
      </c>
      <c r="D3321" t="s">
        <v>5013</v>
      </c>
      <c r="E3321" t="str">
        <f>"19649076021836"</f>
        <v>19649076021836</v>
      </c>
      <c r="F3321" s="8">
        <v>1157</v>
      </c>
      <c r="G3321" s="8">
        <v>7921</v>
      </c>
      <c r="H3321" s="8">
        <v>1387</v>
      </c>
      <c r="I3321" s="8">
        <v>5333</v>
      </c>
    </row>
    <row r="3322" spans="1:9" x14ac:dyDescent="0.2">
      <c r="A3322" t="s">
        <v>436</v>
      </c>
      <c r="B3322" t="s">
        <v>751</v>
      </c>
      <c r="C3322" t="str">
        <f t="shared" si="154"/>
        <v>19649070000000</v>
      </c>
      <c r="D3322" t="s">
        <v>5014</v>
      </c>
      <c r="E3322" t="str">
        <f>"19649076021851"</f>
        <v>19649076021851</v>
      </c>
      <c r="F3322" s="8">
        <v>753</v>
      </c>
      <c r="G3322" s="8">
        <v>8137</v>
      </c>
      <c r="H3322" s="8">
        <v>1387</v>
      </c>
      <c r="I3322" s="8">
        <v>5333</v>
      </c>
    </row>
    <row r="3323" spans="1:9" x14ac:dyDescent="0.2">
      <c r="A3323" t="s">
        <v>436</v>
      </c>
      <c r="B3323" t="s">
        <v>751</v>
      </c>
      <c r="C3323" t="str">
        <f t="shared" si="154"/>
        <v>19649070000000</v>
      </c>
      <c r="D3323" t="s">
        <v>5015</v>
      </c>
      <c r="E3323" t="str">
        <f>"19649076021976"</f>
        <v>19649076021976</v>
      </c>
      <c r="F3323" s="8">
        <v>1014</v>
      </c>
      <c r="G3323" s="8">
        <v>7085</v>
      </c>
      <c r="H3323" s="8">
        <v>1387</v>
      </c>
      <c r="I3323" s="8">
        <v>5333</v>
      </c>
    </row>
    <row r="3324" spans="1:9" x14ac:dyDescent="0.2">
      <c r="A3324" t="s">
        <v>436</v>
      </c>
      <c r="B3324" t="s">
        <v>751</v>
      </c>
      <c r="C3324" t="str">
        <f t="shared" si="154"/>
        <v>19649070000000</v>
      </c>
      <c r="D3324" t="s">
        <v>5016</v>
      </c>
      <c r="E3324" t="str">
        <f>"19649076058515"</f>
        <v>19649076058515</v>
      </c>
      <c r="F3324" s="8">
        <v>1191</v>
      </c>
      <c r="G3324" s="8">
        <v>6904</v>
      </c>
      <c r="H3324" s="8">
        <v>1387</v>
      </c>
      <c r="I3324" s="8">
        <v>5306</v>
      </c>
    </row>
    <row r="3325" spans="1:9" x14ac:dyDescent="0.2">
      <c r="A3325" t="s">
        <v>436</v>
      </c>
      <c r="B3325" t="s">
        <v>751</v>
      </c>
      <c r="C3325" t="str">
        <f t="shared" si="154"/>
        <v>19649070000000</v>
      </c>
      <c r="D3325" t="s">
        <v>2243</v>
      </c>
      <c r="E3325" t="str">
        <f>"19649076021893"</f>
        <v>19649076021893</v>
      </c>
      <c r="F3325" s="8">
        <v>1216</v>
      </c>
      <c r="G3325" s="8">
        <v>6843</v>
      </c>
      <c r="H3325" s="8">
        <v>1387</v>
      </c>
      <c r="I3325" s="8">
        <v>5333</v>
      </c>
    </row>
    <row r="3326" spans="1:9" x14ac:dyDescent="0.2">
      <c r="A3326" t="s">
        <v>436</v>
      </c>
      <c r="B3326" t="s">
        <v>751</v>
      </c>
      <c r="C3326" t="str">
        <f t="shared" si="154"/>
        <v>19649070000000</v>
      </c>
      <c r="D3326" t="s">
        <v>5017</v>
      </c>
      <c r="E3326" t="str">
        <f>"19649071937028"</f>
        <v>19649071937028</v>
      </c>
      <c r="F3326" s="8">
        <v>501</v>
      </c>
      <c r="G3326" s="8">
        <v>7460</v>
      </c>
      <c r="H3326" s="8">
        <v>1384</v>
      </c>
      <c r="I3326" s="8">
        <v>5415</v>
      </c>
    </row>
    <row r="3327" spans="1:9" x14ac:dyDescent="0.2">
      <c r="A3327" t="s">
        <v>436</v>
      </c>
      <c r="B3327" t="s">
        <v>751</v>
      </c>
      <c r="C3327" t="str">
        <f t="shared" si="154"/>
        <v>19649070000000</v>
      </c>
      <c r="D3327" t="s">
        <v>5018</v>
      </c>
      <c r="E3327" t="str">
        <f>"19649076021935"</f>
        <v>19649076021935</v>
      </c>
      <c r="F3327" s="8">
        <v>806</v>
      </c>
      <c r="G3327" s="8">
        <v>7214</v>
      </c>
      <c r="H3327" s="8">
        <v>1387</v>
      </c>
      <c r="I3327" s="8">
        <v>5333</v>
      </c>
    </row>
    <row r="3328" spans="1:9" x14ac:dyDescent="0.2">
      <c r="A3328" t="s">
        <v>436</v>
      </c>
      <c r="B3328" t="s">
        <v>751</v>
      </c>
      <c r="C3328" t="str">
        <f t="shared" si="154"/>
        <v>19649070000000</v>
      </c>
      <c r="D3328" t="s">
        <v>5019</v>
      </c>
      <c r="E3328" t="str">
        <f>"19649076061634"</f>
        <v>19649076061634</v>
      </c>
      <c r="F3328" s="8">
        <v>515</v>
      </c>
      <c r="G3328" s="8">
        <v>7223</v>
      </c>
      <c r="H3328" s="8">
        <v>1387</v>
      </c>
      <c r="I3328" s="8">
        <v>5306</v>
      </c>
    </row>
    <row r="3329" spans="1:9" x14ac:dyDescent="0.2">
      <c r="A3329" t="s">
        <v>436</v>
      </c>
      <c r="B3329" t="s">
        <v>751</v>
      </c>
      <c r="C3329" t="str">
        <f t="shared" si="154"/>
        <v>19649070000000</v>
      </c>
      <c r="D3329" t="s">
        <v>4389</v>
      </c>
      <c r="E3329" t="str">
        <f>"19649076112437"</f>
        <v>19649076112437</v>
      </c>
      <c r="F3329" s="8">
        <v>876</v>
      </c>
      <c r="G3329" s="8">
        <v>6779</v>
      </c>
      <c r="H3329" s="8">
        <v>1387</v>
      </c>
      <c r="I3329" s="8">
        <v>5333</v>
      </c>
    </row>
    <row r="3330" spans="1:9" x14ac:dyDescent="0.2">
      <c r="A3330" t="s">
        <v>436</v>
      </c>
      <c r="B3330" t="s">
        <v>751</v>
      </c>
      <c r="C3330" t="str">
        <f t="shared" si="154"/>
        <v>19649070000000</v>
      </c>
      <c r="D3330" t="s">
        <v>5020</v>
      </c>
      <c r="E3330" t="str">
        <f>"19649076021794"</f>
        <v>19649076021794</v>
      </c>
      <c r="F3330" s="8">
        <v>1026</v>
      </c>
      <c r="G3330" s="8">
        <v>6523</v>
      </c>
      <c r="H3330" s="8">
        <v>1387</v>
      </c>
      <c r="I3330" s="8">
        <v>5333</v>
      </c>
    </row>
    <row r="3331" spans="1:9" x14ac:dyDescent="0.2">
      <c r="A3331" t="s">
        <v>436</v>
      </c>
      <c r="B3331" t="s">
        <v>751</v>
      </c>
      <c r="C3331" t="str">
        <f t="shared" si="154"/>
        <v>19649070000000</v>
      </c>
      <c r="D3331" t="s">
        <v>2344</v>
      </c>
      <c r="E3331" t="str">
        <f>"19649076021901"</f>
        <v>19649076021901</v>
      </c>
      <c r="F3331" s="8">
        <v>1024</v>
      </c>
      <c r="G3331" s="8">
        <v>6437</v>
      </c>
      <c r="H3331" s="8">
        <v>1387</v>
      </c>
      <c r="I3331" s="8">
        <v>5333</v>
      </c>
    </row>
    <row r="3332" spans="1:9" x14ac:dyDescent="0.2">
      <c r="A3332" t="s">
        <v>436</v>
      </c>
      <c r="B3332" t="s">
        <v>751</v>
      </c>
      <c r="C3332" t="str">
        <f t="shared" si="154"/>
        <v>19649070000000</v>
      </c>
      <c r="D3332" t="s">
        <v>5021</v>
      </c>
      <c r="E3332" t="str">
        <f>"19649076021885"</f>
        <v>19649076021885</v>
      </c>
      <c r="F3332" s="8">
        <v>642</v>
      </c>
      <c r="G3332" s="8">
        <v>6809</v>
      </c>
      <c r="H3332" s="8">
        <v>1387</v>
      </c>
      <c r="I3332" s="8">
        <v>5333</v>
      </c>
    </row>
    <row r="3333" spans="1:9" x14ac:dyDescent="0.2">
      <c r="A3333" t="s">
        <v>436</v>
      </c>
      <c r="B3333" t="s">
        <v>751</v>
      </c>
      <c r="C3333" t="str">
        <f t="shared" si="154"/>
        <v>19649070000000</v>
      </c>
      <c r="D3333" t="s">
        <v>5022</v>
      </c>
      <c r="E3333" t="str">
        <f>"19649076068787"</f>
        <v>19649076068787</v>
      </c>
      <c r="F3333" s="8">
        <v>1060</v>
      </c>
      <c r="G3333" s="8">
        <v>6387</v>
      </c>
      <c r="H3333" s="8">
        <v>1387</v>
      </c>
      <c r="I3333" s="8">
        <v>5333</v>
      </c>
    </row>
    <row r="3334" spans="1:9" x14ac:dyDescent="0.2">
      <c r="A3334" t="s">
        <v>436</v>
      </c>
      <c r="B3334" t="s">
        <v>751</v>
      </c>
      <c r="C3334" t="str">
        <f t="shared" si="154"/>
        <v>19649070000000</v>
      </c>
      <c r="D3334" t="s">
        <v>5023</v>
      </c>
      <c r="E3334" t="str">
        <f>"19649076120653"</f>
        <v>19649076120653</v>
      </c>
      <c r="F3334" s="8">
        <v>604</v>
      </c>
      <c r="G3334" s="8">
        <v>6721</v>
      </c>
      <c r="H3334" s="8">
        <v>1387</v>
      </c>
      <c r="I3334" s="8">
        <v>5333</v>
      </c>
    </row>
    <row r="3335" spans="1:9" x14ac:dyDescent="0.2">
      <c r="A3335" t="s">
        <v>436</v>
      </c>
      <c r="B3335" t="s">
        <v>751</v>
      </c>
      <c r="C3335" t="str">
        <f t="shared" si="154"/>
        <v>19649070000000</v>
      </c>
      <c r="D3335" t="s">
        <v>5024</v>
      </c>
      <c r="E3335" t="str">
        <f>"19649070111054"</f>
        <v>19649070111054</v>
      </c>
      <c r="F3335" s="8">
        <v>758</v>
      </c>
      <c r="G3335" s="8">
        <v>6518</v>
      </c>
      <c r="H3335" s="8">
        <v>1387</v>
      </c>
      <c r="I3335" s="8">
        <v>5333</v>
      </c>
    </row>
    <row r="3336" spans="1:9" x14ac:dyDescent="0.2">
      <c r="A3336" t="s">
        <v>436</v>
      </c>
      <c r="B3336" t="s">
        <v>751</v>
      </c>
      <c r="C3336" t="str">
        <f t="shared" si="154"/>
        <v>19649070000000</v>
      </c>
      <c r="D3336" t="s">
        <v>5025</v>
      </c>
      <c r="E3336" t="str">
        <f>"19649076101133"</f>
        <v>19649076101133</v>
      </c>
      <c r="F3336" s="8">
        <v>882</v>
      </c>
      <c r="G3336" s="8">
        <v>6390</v>
      </c>
      <c r="H3336" s="8">
        <v>1387</v>
      </c>
      <c r="I3336" s="8">
        <v>5333</v>
      </c>
    </row>
    <row r="3337" spans="1:9" x14ac:dyDescent="0.2">
      <c r="A3337" t="s">
        <v>436</v>
      </c>
      <c r="B3337" t="s">
        <v>751</v>
      </c>
      <c r="C3337" t="str">
        <f t="shared" si="154"/>
        <v>19649070000000</v>
      </c>
      <c r="D3337" t="s">
        <v>2347</v>
      </c>
      <c r="E3337" t="str">
        <f>"19649076021943"</f>
        <v>19649076021943</v>
      </c>
      <c r="F3337" s="8">
        <v>923</v>
      </c>
      <c r="G3337" s="8">
        <v>6270</v>
      </c>
      <c r="H3337" s="8">
        <v>1387</v>
      </c>
      <c r="I3337" s="8">
        <v>5333</v>
      </c>
    </row>
    <row r="3338" spans="1:9" x14ac:dyDescent="0.2">
      <c r="A3338" t="s">
        <v>436</v>
      </c>
      <c r="B3338" t="s">
        <v>751</v>
      </c>
      <c r="C3338" t="str">
        <f t="shared" si="154"/>
        <v>19649070000000</v>
      </c>
      <c r="D3338" t="s">
        <v>5026</v>
      </c>
      <c r="E3338" t="str">
        <f>"19649076021869"</f>
        <v>19649076021869</v>
      </c>
      <c r="F3338" s="8">
        <v>1144</v>
      </c>
      <c r="G3338" s="8">
        <v>6006</v>
      </c>
      <c r="H3338" s="8">
        <v>1387</v>
      </c>
      <c r="I3338" s="8">
        <v>5333</v>
      </c>
    </row>
    <row r="3339" spans="1:9" x14ac:dyDescent="0.2">
      <c r="A3339" t="s">
        <v>436</v>
      </c>
      <c r="B3339" t="s">
        <v>751</v>
      </c>
      <c r="C3339" t="str">
        <f t="shared" si="154"/>
        <v>19649070000000</v>
      </c>
      <c r="D3339" t="s">
        <v>4397</v>
      </c>
      <c r="E3339" t="str">
        <f>"19649076021877"</f>
        <v>19649076021877</v>
      </c>
      <c r="F3339" s="8">
        <v>754</v>
      </c>
      <c r="G3339" s="8">
        <v>6334</v>
      </c>
      <c r="H3339" s="8">
        <v>1387</v>
      </c>
      <c r="I3339" s="8">
        <v>5333</v>
      </c>
    </row>
    <row r="3340" spans="1:9" x14ac:dyDescent="0.2">
      <c r="A3340" t="s">
        <v>436</v>
      </c>
      <c r="B3340" t="s">
        <v>751</v>
      </c>
      <c r="C3340" t="str">
        <f t="shared" si="154"/>
        <v>19649070000000</v>
      </c>
      <c r="D3340" t="s">
        <v>5027</v>
      </c>
      <c r="E3340" t="str">
        <f>"19649076058523"</f>
        <v>19649076058523</v>
      </c>
      <c r="F3340" s="8">
        <v>722</v>
      </c>
      <c r="G3340" s="8">
        <v>6393</v>
      </c>
      <c r="H3340" s="8">
        <v>1387</v>
      </c>
      <c r="I3340" s="8">
        <v>5306</v>
      </c>
    </row>
    <row r="3341" spans="1:9" x14ac:dyDescent="0.2">
      <c r="A3341" t="s">
        <v>436</v>
      </c>
      <c r="B3341" t="s">
        <v>751</v>
      </c>
      <c r="C3341" t="str">
        <f t="shared" si="154"/>
        <v>19649070000000</v>
      </c>
      <c r="D3341" t="s">
        <v>5028</v>
      </c>
      <c r="E3341" t="str">
        <f>"19649071995901"</f>
        <v>19649071995901</v>
      </c>
      <c r="F3341" s="8">
        <v>178</v>
      </c>
      <c r="G3341" s="8">
        <v>6809</v>
      </c>
      <c r="H3341" s="8">
        <v>1384</v>
      </c>
      <c r="I3341" s="8">
        <v>5415</v>
      </c>
    </row>
    <row r="3342" spans="1:9" x14ac:dyDescent="0.2">
      <c r="A3342" t="s">
        <v>436</v>
      </c>
      <c r="B3342" t="s">
        <v>751</v>
      </c>
      <c r="C3342" t="str">
        <f t="shared" si="154"/>
        <v>19649070000000</v>
      </c>
      <c r="D3342" t="s">
        <v>5029</v>
      </c>
      <c r="E3342" t="str">
        <f>"19649076021802"</f>
        <v>19649076021802</v>
      </c>
      <c r="F3342" s="8">
        <v>811</v>
      </c>
      <c r="G3342" s="8">
        <v>6226</v>
      </c>
      <c r="H3342" s="8">
        <v>1387</v>
      </c>
      <c r="I3342" s="8">
        <v>5333</v>
      </c>
    </row>
    <row r="3343" spans="1:9" x14ac:dyDescent="0.2">
      <c r="A3343" t="s">
        <v>436</v>
      </c>
      <c r="B3343" t="s">
        <v>751</v>
      </c>
      <c r="C3343" t="str">
        <f t="shared" si="154"/>
        <v>19649070000000</v>
      </c>
      <c r="D3343" t="s">
        <v>5030</v>
      </c>
      <c r="E3343" t="str">
        <f>"19649076066781"</f>
        <v>19649076066781</v>
      </c>
      <c r="F3343" s="8">
        <v>750</v>
      </c>
      <c r="G3343" s="8">
        <v>6304</v>
      </c>
      <c r="H3343" s="8">
        <v>1387</v>
      </c>
      <c r="I3343" s="8">
        <v>5306</v>
      </c>
    </row>
    <row r="3344" spans="1:9" x14ac:dyDescent="0.2">
      <c r="A3344" t="s">
        <v>436</v>
      </c>
      <c r="B3344" t="s">
        <v>751</v>
      </c>
      <c r="C3344" t="str">
        <f t="shared" si="154"/>
        <v>19649070000000</v>
      </c>
      <c r="D3344" t="s">
        <v>5031</v>
      </c>
      <c r="E3344" t="str">
        <f>"19649076021786"</f>
        <v>19649076021786</v>
      </c>
      <c r="F3344" s="8">
        <v>772</v>
      </c>
      <c r="G3344" s="8">
        <v>6226</v>
      </c>
      <c r="H3344" s="8">
        <v>1387</v>
      </c>
      <c r="I3344" s="8">
        <v>5333</v>
      </c>
    </row>
    <row r="3345" spans="1:9" x14ac:dyDescent="0.2">
      <c r="A3345" t="s">
        <v>436</v>
      </c>
      <c r="B3345" t="s">
        <v>751</v>
      </c>
      <c r="C3345" t="str">
        <f t="shared" si="154"/>
        <v>19649070000000</v>
      </c>
      <c r="D3345" t="s">
        <v>5032</v>
      </c>
      <c r="E3345" t="str">
        <f>"19649071933324"</f>
        <v>19649071933324</v>
      </c>
      <c r="F3345" s="8">
        <v>292</v>
      </c>
      <c r="G3345" s="8">
        <v>6427</v>
      </c>
      <c r="H3345" s="8">
        <v>1384</v>
      </c>
      <c r="I3345" s="8">
        <v>5415</v>
      </c>
    </row>
    <row r="3346" spans="1:9" x14ac:dyDescent="0.2">
      <c r="A3346" t="s">
        <v>436</v>
      </c>
      <c r="B3346" t="s">
        <v>751</v>
      </c>
      <c r="C3346" t="str">
        <f t="shared" si="154"/>
        <v>19649070000000</v>
      </c>
      <c r="D3346" t="s">
        <v>5033</v>
      </c>
      <c r="E3346" t="str">
        <f>"19649076108914"</f>
        <v>19649076108914</v>
      </c>
      <c r="F3346" s="8">
        <v>662</v>
      </c>
      <c r="G3346" s="8">
        <v>6008</v>
      </c>
      <c r="H3346" s="8">
        <v>1387</v>
      </c>
      <c r="I3346" s="8">
        <v>5333</v>
      </c>
    </row>
    <row r="3347" spans="1:9" x14ac:dyDescent="0.2">
      <c r="A3347" t="s">
        <v>436</v>
      </c>
      <c r="B3347" t="s">
        <v>751</v>
      </c>
      <c r="C3347" t="str">
        <f t="shared" si="154"/>
        <v>19649070000000</v>
      </c>
      <c r="D3347" t="s">
        <v>5034</v>
      </c>
      <c r="E3347" t="str">
        <f>"19649076108922"</f>
        <v>19649076108922</v>
      </c>
      <c r="F3347" s="8">
        <v>708</v>
      </c>
      <c r="G3347" s="8">
        <v>5835</v>
      </c>
      <c r="H3347" s="8">
        <v>1387</v>
      </c>
      <c r="I3347" s="8">
        <v>5333</v>
      </c>
    </row>
    <row r="3348" spans="1:9" x14ac:dyDescent="0.2">
      <c r="A3348" t="s">
        <v>436</v>
      </c>
      <c r="B3348" t="s">
        <v>751</v>
      </c>
      <c r="C3348" t="str">
        <f t="shared" si="154"/>
        <v>19649070000000</v>
      </c>
      <c r="D3348" t="s">
        <v>2094</v>
      </c>
      <c r="E3348" t="str">
        <f>"19649076021968"</f>
        <v>19649076021968</v>
      </c>
      <c r="F3348" s="8">
        <v>661</v>
      </c>
      <c r="G3348" s="8">
        <v>5802</v>
      </c>
      <c r="H3348" s="8">
        <v>1387</v>
      </c>
      <c r="I3348" s="8">
        <v>5333</v>
      </c>
    </row>
    <row r="3349" spans="1:9" x14ac:dyDescent="0.2">
      <c r="A3349" t="s">
        <v>436</v>
      </c>
      <c r="B3349" t="s">
        <v>751</v>
      </c>
      <c r="C3349" t="str">
        <f t="shared" si="154"/>
        <v>19649070000000</v>
      </c>
      <c r="D3349" t="s">
        <v>5035</v>
      </c>
      <c r="E3349" t="str">
        <f>"19649076021950"</f>
        <v>19649076021950</v>
      </c>
      <c r="F3349" s="8">
        <v>649</v>
      </c>
      <c r="G3349" s="8">
        <v>5752</v>
      </c>
      <c r="H3349" s="8">
        <v>1387</v>
      </c>
      <c r="I3349" s="8">
        <v>5333</v>
      </c>
    </row>
    <row r="3350" spans="1:9" x14ac:dyDescent="0.2">
      <c r="A3350" t="s">
        <v>436</v>
      </c>
      <c r="B3350" t="s">
        <v>751</v>
      </c>
      <c r="C3350" t="str">
        <f t="shared" si="154"/>
        <v>19649070000000</v>
      </c>
      <c r="D3350" t="s">
        <v>3255</v>
      </c>
      <c r="E3350" t="str">
        <f>"19649076058507"</f>
        <v>19649076058507</v>
      </c>
      <c r="F3350" s="8">
        <v>577</v>
      </c>
      <c r="G3350" s="8">
        <v>5647</v>
      </c>
      <c r="H3350" s="8">
        <v>1387</v>
      </c>
      <c r="I3350" s="8">
        <v>5306</v>
      </c>
    </row>
    <row r="3351" spans="1:9" x14ac:dyDescent="0.2">
      <c r="A3351" t="s">
        <v>436</v>
      </c>
      <c r="B3351" t="s">
        <v>751</v>
      </c>
      <c r="C3351" t="str">
        <f t="shared" si="154"/>
        <v>19649070000000</v>
      </c>
      <c r="D3351" t="s">
        <v>5036</v>
      </c>
      <c r="E3351" t="str">
        <f>"19649076021984"</f>
        <v>19649076021984</v>
      </c>
      <c r="F3351" s="8">
        <v>1037</v>
      </c>
      <c r="G3351" s="8">
        <v>328</v>
      </c>
      <c r="H3351" s="8">
        <v>1380</v>
      </c>
      <c r="I3351" s="8">
        <v>5255</v>
      </c>
    </row>
    <row r="3352" spans="1:9" x14ac:dyDescent="0.2">
      <c r="A3352" t="s">
        <v>436</v>
      </c>
      <c r="B3352" t="s">
        <v>751</v>
      </c>
      <c r="C3352" t="str">
        <f t="shared" si="154"/>
        <v>19649070000000</v>
      </c>
      <c r="D3352" t="s">
        <v>5037</v>
      </c>
      <c r="E3352" t="str">
        <f>"19649070115170"</f>
        <v>19649070115170</v>
      </c>
      <c r="F3352" s="8">
        <v>974</v>
      </c>
      <c r="G3352" s="8">
        <v>254</v>
      </c>
      <c r="H3352" s="8">
        <v>1380</v>
      </c>
      <c r="I3352" s="8">
        <v>5255</v>
      </c>
    </row>
    <row r="3353" spans="1:9" x14ac:dyDescent="0.2">
      <c r="A3353" t="s">
        <v>436</v>
      </c>
      <c r="B3353" t="s">
        <v>751</v>
      </c>
      <c r="C3353" t="str">
        <f t="shared" si="154"/>
        <v>19649070000000</v>
      </c>
      <c r="D3353" t="s">
        <v>5038</v>
      </c>
      <c r="E3353" t="str">
        <f>"19649071995547"</f>
        <v>19649071995547</v>
      </c>
      <c r="F3353" s="8">
        <v>312</v>
      </c>
      <c r="G3353" s="8">
        <v>185</v>
      </c>
      <c r="H3353" s="8">
        <v>1384</v>
      </c>
      <c r="I3353" s="8">
        <v>5415</v>
      </c>
    </row>
    <row r="3354" spans="1:9" x14ac:dyDescent="0.2">
      <c r="A3354" t="s">
        <v>436</v>
      </c>
      <c r="B3354" t="s">
        <v>768</v>
      </c>
      <c r="C3354" t="str">
        <f t="shared" ref="C3354:C3366" si="155">"19753410000000"</f>
        <v>19753410000000</v>
      </c>
      <c r="D3354" t="s">
        <v>5039</v>
      </c>
      <c r="E3354" t="str">
        <f>"19753410116285"</f>
        <v>19753410116285</v>
      </c>
      <c r="F3354" s="8">
        <v>0</v>
      </c>
      <c r="G3354" s="8">
        <v>31146</v>
      </c>
      <c r="H3354" s="8">
        <v>876</v>
      </c>
      <c r="I3354" s="8">
        <v>4805</v>
      </c>
    </row>
    <row r="3355" spans="1:9" x14ac:dyDescent="0.2">
      <c r="A3355" t="s">
        <v>436</v>
      </c>
      <c r="B3355" t="s">
        <v>768</v>
      </c>
      <c r="C3355" t="str">
        <f t="shared" si="155"/>
        <v>19753410000000</v>
      </c>
      <c r="D3355" t="s">
        <v>5040</v>
      </c>
      <c r="E3355" t="str">
        <f>"19753411995752"</f>
        <v>19753411995752</v>
      </c>
      <c r="F3355" s="8">
        <v>0</v>
      </c>
      <c r="G3355" s="8">
        <v>20021</v>
      </c>
      <c r="H3355" s="8">
        <v>876</v>
      </c>
      <c r="I3355" s="8">
        <v>4805</v>
      </c>
    </row>
    <row r="3356" spans="1:9" x14ac:dyDescent="0.2">
      <c r="A3356" t="s">
        <v>436</v>
      </c>
      <c r="B3356" t="s">
        <v>768</v>
      </c>
      <c r="C3356" t="str">
        <f t="shared" si="155"/>
        <v>19753410000000</v>
      </c>
      <c r="D3356" t="s">
        <v>1940</v>
      </c>
      <c r="E3356" t="str">
        <f>"19753416022008"</f>
        <v>19753416022008</v>
      </c>
      <c r="F3356" s="8">
        <v>1</v>
      </c>
      <c r="G3356" s="8">
        <v>7662</v>
      </c>
      <c r="H3356" s="8">
        <v>876</v>
      </c>
      <c r="I3356" s="8">
        <v>4805</v>
      </c>
    </row>
    <row r="3357" spans="1:9" x14ac:dyDescent="0.2">
      <c r="A3357" t="s">
        <v>436</v>
      </c>
      <c r="B3357" t="s">
        <v>768</v>
      </c>
      <c r="C3357" t="str">
        <f t="shared" si="155"/>
        <v>19753410000000</v>
      </c>
      <c r="D3357" t="s">
        <v>2344</v>
      </c>
      <c r="E3357" t="str">
        <f>"19753416022115"</f>
        <v>19753416022115</v>
      </c>
      <c r="F3357" s="8">
        <v>145</v>
      </c>
      <c r="G3357" s="8">
        <v>7483</v>
      </c>
      <c r="H3357" s="8">
        <v>876</v>
      </c>
      <c r="I3357" s="8">
        <v>4805</v>
      </c>
    </row>
    <row r="3358" spans="1:9" x14ac:dyDescent="0.2">
      <c r="A3358" t="s">
        <v>436</v>
      </c>
      <c r="B3358" t="s">
        <v>768</v>
      </c>
      <c r="C3358" t="str">
        <f t="shared" si="155"/>
        <v>19753410000000</v>
      </c>
      <c r="D3358" t="s">
        <v>2243</v>
      </c>
      <c r="E3358" t="str">
        <f>"19753416022107"</f>
        <v>19753416022107</v>
      </c>
      <c r="F3358" s="8">
        <v>0</v>
      </c>
      <c r="G3358" s="8">
        <v>7618</v>
      </c>
      <c r="H3358" s="8">
        <v>876</v>
      </c>
      <c r="I3358" s="8">
        <v>4805</v>
      </c>
    </row>
    <row r="3359" spans="1:9" x14ac:dyDescent="0.2">
      <c r="A3359" t="s">
        <v>436</v>
      </c>
      <c r="B3359" t="s">
        <v>768</v>
      </c>
      <c r="C3359" t="str">
        <f t="shared" si="155"/>
        <v>19753410000000</v>
      </c>
      <c r="D3359" t="s">
        <v>1194</v>
      </c>
      <c r="E3359" t="str">
        <f>"19753416022099"</f>
        <v>19753416022099</v>
      </c>
      <c r="F3359" s="8">
        <v>0</v>
      </c>
      <c r="G3359" s="8">
        <v>7475</v>
      </c>
      <c r="H3359" s="8">
        <v>876</v>
      </c>
      <c r="I3359" s="8">
        <v>4805</v>
      </c>
    </row>
    <row r="3360" spans="1:9" x14ac:dyDescent="0.2">
      <c r="A3360" t="s">
        <v>436</v>
      </c>
      <c r="B3360" t="s">
        <v>768</v>
      </c>
      <c r="C3360" t="str">
        <f t="shared" si="155"/>
        <v>19753410000000</v>
      </c>
      <c r="D3360" t="s">
        <v>5041</v>
      </c>
      <c r="E3360" t="str">
        <f>"19753416022149"</f>
        <v>19753416022149</v>
      </c>
      <c r="F3360" s="8">
        <v>0</v>
      </c>
      <c r="G3360" s="8">
        <v>7457</v>
      </c>
      <c r="H3360" s="8">
        <v>876</v>
      </c>
      <c r="I3360" s="8">
        <v>4805</v>
      </c>
    </row>
    <row r="3361" spans="1:9" x14ac:dyDescent="0.2">
      <c r="A3361" t="s">
        <v>436</v>
      </c>
      <c r="B3361" t="s">
        <v>768</v>
      </c>
      <c r="C3361" t="str">
        <f t="shared" si="155"/>
        <v>19753410000000</v>
      </c>
      <c r="D3361" t="s">
        <v>5042</v>
      </c>
      <c r="E3361" t="str">
        <f>"19753416022024"</f>
        <v>19753416022024</v>
      </c>
      <c r="F3361" s="8">
        <v>0</v>
      </c>
      <c r="G3361" s="8">
        <v>7368</v>
      </c>
      <c r="H3361" s="8">
        <v>876</v>
      </c>
      <c r="I3361" s="8">
        <v>4805</v>
      </c>
    </row>
    <row r="3362" spans="1:9" x14ac:dyDescent="0.2">
      <c r="A3362" t="s">
        <v>436</v>
      </c>
      <c r="B3362" t="s">
        <v>768</v>
      </c>
      <c r="C3362" t="str">
        <f t="shared" si="155"/>
        <v>19753410000000</v>
      </c>
      <c r="D3362" t="s">
        <v>2094</v>
      </c>
      <c r="E3362" t="str">
        <f>"19753416022156"</f>
        <v>19753416022156</v>
      </c>
      <c r="F3362" s="8">
        <v>128</v>
      </c>
      <c r="G3362" s="8">
        <v>6647</v>
      </c>
      <c r="H3362" s="8">
        <v>876</v>
      </c>
      <c r="I3362" s="8">
        <v>4805</v>
      </c>
    </row>
    <row r="3363" spans="1:9" x14ac:dyDescent="0.2">
      <c r="A3363" t="s">
        <v>436</v>
      </c>
      <c r="B3363" t="s">
        <v>768</v>
      </c>
      <c r="C3363" t="str">
        <f t="shared" si="155"/>
        <v>19753410000000</v>
      </c>
      <c r="D3363" t="s">
        <v>2922</v>
      </c>
      <c r="E3363" t="str">
        <f>"19753416022032"</f>
        <v>19753416022032</v>
      </c>
      <c r="F3363" s="8">
        <v>0</v>
      </c>
      <c r="G3363" s="8">
        <v>6608</v>
      </c>
      <c r="H3363" s="8">
        <v>876</v>
      </c>
      <c r="I3363" s="8">
        <v>4805</v>
      </c>
    </row>
    <row r="3364" spans="1:9" x14ac:dyDescent="0.2">
      <c r="A3364" t="s">
        <v>436</v>
      </c>
      <c r="B3364" t="s">
        <v>768</v>
      </c>
      <c r="C3364" t="str">
        <f t="shared" si="155"/>
        <v>19753410000000</v>
      </c>
      <c r="D3364" t="s">
        <v>5043</v>
      </c>
      <c r="E3364" t="str">
        <f>"19753411937143"</f>
        <v>19753411937143</v>
      </c>
      <c r="F3364" s="8">
        <v>9</v>
      </c>
      <c r="G3364" s="8">
        <v>6006</v>
      </c>
      <c r="H3364" s="8">
        <v>876</v>
      </c>
      <c r="I3364" s="8">
        <v>4805</v>
      </c>
    </row>
    <row r="3365" spans="1:9" x14ac:dyDescent="0.2">
      <c r="A3365" t="s">
        <v>436</v>
      </c>
      <c r="B3365" t="s">
        <v>768</v>
      </c>
      <c r="C3365" t="str">
        <f t="shared" si="155"/>
        <v>19753410000000</v>
      </c>
      <c r="D3365" t="s">
        <v>5044</v>
      </c>
      <c r="E3365" t="str">
        <f>"19753416021992"</f>
        <v>19753416021992</v>
      </c>
      <c r="F3365" s="8">
        <v>254</v>
      </c>
      <c r="G3365" s="8">
        <v>5334</v>
      </c>
      <c r="H3365" s="8">
        <v>876</v>
      </c>
      <c r="I3365" s="8">
        <v>4805</v>
      </c>
    </row>
    <row r="3366" spans="1:9" x14ac:dyDescent="0.2">
      <c r="A3366" t="s">
        <v>436</v>
      </c>
      <c r="B3366" t="s">
        <v>768</v>
      </c>
      <c r="C3366" t="str">
        <f t="shared" si="155"/>
        <v>19753410000000</v>
      </c>
      <c r="D3366" t="s">
        <v>5045</v>
      </c>
      <c r="E3366" t="str">
        <f>"19753416022081"</f>
        <v>19753416022081</v>
      </c>
      <c r="F3366" s="8">
        <v>0</v>
      </c>
      <c r="G3366" s="8">
        <v>4921</v>
      </c>
      <c r="H3366" s="8">
        <v>876</v>
      </c>
      <c r="I3366" s="8">
        <v>4805</v>
      </c>
    </row>
    <row r="3367" spans="1:9" x14ac:dyDescent="0.2">
      <c r="A3367" t="s">
        <v>436</v>
      </c>
      <c r="B3367" t="s">
        <v>774</v>
      </c>
      <c r="C3367" t="str">
        <f>"19649310000000"</f>
        <v>19649310000000</v>
      </c>
      <c r="D3367" t="s">
        <v>5046</v>
      </c>
      <c r="E3367" t="str">
        <f>"19649316022172"</f>
        <v>19649316022172</v>
      </c>
      <c r="F3367" s="8">
        <v>233</v>
      </c>
      <c r="G3367" s="8">
        <v>9583</v>
      </c>
      <c r="H3367" s="8">
        <v>1171</v>
      </c>
      <c r="I3367" s="8">
        <v>4018</v>
      </c>
    </row>
    <row r="3368" spans="1:9" x14ac:dyDescent="0.2">
      <c r="A3368" t="s">
        <v>436</v>
      </c>
      <c r="B3368" t="s">
        <v>774</v>
      </c>
      <c r="C3368" t="str">
        <f>"19649310000000"</f>
        <v>19649310000000</v>
      </c>
      <c r="D3368" t="s">
        <v>5047</v>
      </c>
      <c r="E3368" t="str">
        <f>"19649316022206"</f>
        <v>19649316022206</v>
      </c>
      <c r="F3368" s="8">
        <v>438</v>
      </c>
      <c r="G3368" s="8">
        <v>9032</v>
      </c>
      <c r="H3368" s="8">
        <v>1171</v>
      </c>
      <c r="I3368" s="8">
        <v>4018</v>
      </c>
    </row>
    <row r="3369" spans="1:9" x14ac:dyDescent="0.2">
      <c r="A3369" t="s">
        <v>436</v>
      </c>
      <c r="B3369" t="s">
        <v>774</v>
      </c>
      <c r="C3369" t="str">
        <f>"19649310000000"</f>
        <v>19649310000000</v>
      </c>
      <c r="D3369" t="s">
        <v>5048</v>
      </c>
      <c r="E3369" t="str">
        <f>"19649316022164"</f>
        <v>19649316022164</v>
      </c>
      <c r="F3369" s="8">
        <v>425</v>
      </c>
      <c r="G3369" s="8">
        <v>8189</v>
      </c>
      <c r="H3369" s="8">
        <v>1171</v>
      </c>
      <c r="I3369" s="8">
        <v>4018</v>
      </c>
    </row>
    <row r="3370" spans="1:9" x14ac:dyDescent="0.2">
      <c r="A3370" t="s">
        <v>436</v>
      </c>
      <c r="B3370" t="s">
        <v>774</v>
      </c>
      <c r="C3370" t="str">
        <f>"19649310000000"</f>
        <v>19649310000000</v>
      </c>
      <c r="D3370" t="s">
        <v>5049</v>
      </c>
      <c r="E3370" t="str">
        <f>"19649316022180"</f>
        <v>19649316022180</v>
      </c>
      <c r="F3370" s="8">
        <v>641</v>
      </c>
      <c r="G3370" s="8">
        <v>6931</v>
      </c>
      <c r="H3370" s="8">
        <v>1171</v>
      </c>
      <c r="I3370" s="8">
        <v>4018</v>
      </c>
    </row>
    <row r="3371" spans="1:9" x14ac:dyDescent="0.2">
      <c r="A3371" t="s">
        <v>436</v>
      </c>
      <c r="B3371" t="s">
        <v>774</v>
      </c>
      <c r="C3371" t="str">
        <f>"19649310000000"</f>
        <v>19649310000000</v>
      </c>
      <c r="D3371" t="s">
        <v>5050</v>
      </c>
      <c r="E3371" t="str">
        <f>"19649316022198"</f>
        <v>19649316022198</v>
      </c>
      <c r="F3371" s="8">
        <v>261</v>
      </c>
      <c r="G3371" s="8">
        <v>7219</v>
      </c>
      <c r="H3371" s="8">
        <v>1171</v>
      </c>
      <c r="I3371" s="8">
        <v>4018</v>
      </c>
    </row>
    <row r="3372" spans="1:9" x14ac:dyDescent="0.2">
      <c r="A3372" t="s">
        <v>436</v>
      </c>
      <c r="B3372" t="s">
        <v>775</v>
      </c>
      <c r="C3372" t="str">
        <f t="shared" ref="C3372:C3392" si="156">"19734520000000"</f>
        <v>19734520000000</v>
      </c>
      <c r="D3372" t="s">
        <v>5051</v>
      </c>
      <c r="E3372" t="str">
        <f>"19734521995943"</f>
        <v>19734521995943</v>
      </c>
      <c r="F3372" s="8">
        <v>0</v>
      </c>
      <c r="G3372" s="8">
        <v>0</v>
      </c>
      <c r="H3372" s="8">
        <v>2100</v>
      </c>
      <c r="I3372" s="8">
        <v>19090</v>
      </c>
    </row>
    <row r="3373" spans="1:9" x14ac:dyDescent="0.2">
      <c r="A3373" t="s">
        <v>436</v>
      </c>
      <c r="B3373" t="s">
        <v>775</v>
      </c>
      <c r="C3373" t="str">
        <f t="shared" si="156"/>
        <v>19734520000000</v>
      </c>
      <c r="D3373" t="s">
        <v>5052</v>
      </c>
      <c r="E3373" t="str">
        <f>"19734521930106"</f>
        <v>19734521930106</v>
      </c>
      <c r="F3373" s="8">
        <v>157</v>
      </c>
      <c r="G3373" s="8">
        <v>9705</v>
      </c>
      <c r="H3373" s="8">
        <v>2444</v>
      </c>
      <c r="I3373" s="8">
        <v>8516</v>
      </c>
    </row>
    <row r="3374" spans="1:9" x14ac:dyDescent="0.2">
      <c r="A3374" t="s">
        <v>436</v>
      </c>
      <c r="B3374" t="s">
        <v>775</v>
      </c>
      <c r="C3374" t="str">
        <f t="shared" si="156"/>
        <v>19734520000000</v>
      </c>
      <c r="D3374" t="s">
        <v>5053</v>
      </c>
      <c r="E3374" t="str">
        <f>"19734526022271"</f>
        <v>19734526022271</v>
      </c>
      <c r="F3374" s="8">
        <v>362</v>
      </c>
      <c r="G3374" s="8">
        <v>1848</v>
      </c>
      <c r="H3374" s="8">
        <v>1957</v>
      </c>
      <c r="I3374" s="8">
        <v>8438</v>
      </c>
    </row>
    <row r="3375" spans="1:9" x14ac:dyDescent="0.2">
      <c r="A3375" t="s">
        <v>436</v>
      </c>
      <c r="B3375" t="s">
        <v>775</v>
      </c>
      <c r="C3375" t="str">
        <f t="shared" si="156"/>
        <v>19734520000000</v>
      </c>
      <c r="D3375" t="s">
        <v>5054</v>
      </c>
      <c r="E3375" t="str">
        <f>"19734526022321"</f>
        <v>19734526022321</v>
      </c>
      <c r="F3375" s="8">
        <v>567</v>
      </c>
      <c r="G3375" s="8">
        <v>1958</v>
      </c>
      <c r="H3375" s="8">
        <v>2056</v>
      </c>
      <c r="I3375" s="8">
        <v>7525</v>
      </c>
    </row>
    <row r="3376" spans="1:9" x14ac:dyDescent="0.2">
      <c r="A3376" t="s">
        <v>436</v>
      </c>
      <c r="B3376" t="s">
        <v>775</v>
      </c>
      <c r="C3376" t="str">
        <f t="shared" si="156"/>
        <v>19734520000000</v>
      </c>
      <c r="D3376" t="s">
        <v>5055</v>
      </c>
      <c r="E3376" t="str">
        <f>"19734526022388"</f>
        <v>19734526022388</v>
      </c>
      <c r="F3376" s="8">
        <v>628</v>
      </c>
      <c r="G3376" s="8">
        <v>1952</v>
      </c>
      <c r="H3376" s="8">
        <v>1966</v>
      </c>
      <c r="I3376" s="8">
        <v>7375</v>
      </c>
    </row>
    <row r="3377" spans="1:9" x14ac:dyDescent="0.2">
      <c r="A3377" t="s">
        <v>436</v>
      </c>
      <c r="B3377" t="s">
        <v>775</v>
      </c>
      <c r="C3377" t="str">
        <f t="shared" si="156"/>
        <v>19734520000000</v>
      </c>
      <c r="D3377" t="s">
        <v>5056</v>
      </c>
      <c r="E3377" t="str">
        <f>"19734526022297"</f>
        <v>19734526022297</v>
      </c>
      <c r="F3377" s="8">
        <v>511</v>
      </c>
      <c r="G3377" s="8">
        <v>1683</v>
      </c>
      <c r="H3377" s="8">
        <v>1964</v>
      </c>
      <c r="I3377" s="8">
        <v>7537</v>
      </c>
    </row>
    <row r="3378" spans="1:9" x14ac:dyDescent="0.2">
      <c r="A3378" t="s">
        <v>436</v>
      </c>
      <c r="B3378" t="s">
        <v>775</v>
      </c>
      <c r="C3378" t="str">
        <f t="shared" si="156"/>
        <v>19734520000000</v>
      </c>
      <c r="D3378" t="s">
        <v>5057</v>
      </c>
      <c r="E3378" t="str">
        <f>"19734521936228"</f>
        <v>19734521936228</v>
      </c>
      <c r="F3378" s="8">
        <v>239</v>
      </c>
      <c r="G3378" s="8">
        <v>2658</v>
      </c>
      <c r="H3378" s="8">
        <v>1954</v>
      </c>
      <c r="I3378" s="8">
        <v>6743</v>
      </c>
    </row>
    <row r="3379" spans="1:9" x14ac:dyDescent="0.2">
      <c r="A3379" t="s">
        <v>436</v>
      </c>
      <c r="B3379" t="s">
        <v>775</v>
      </c>
      <c r="C3379" t="str">
        <f t="shared" si="156"/>
        <v>19734520000000</v>
      </c>
      <c r="D3379" t="s">
        <v>5058</v>
      </c>
      <c r="E3379" t="str">
        <f>"19734526022412"</f>
        <v>19734526022412</v>
      </c>
      <c r="F3379" s="8">
        <v>598</v>
      </c>
      <c r="G3379" s="8">
        <v>4258</v>
      </c>
      <c r="H3379" s="8">
        <v>1961</v>
      </c>
      <c r="I3379" s="8">
        <v>4633</v>
      </c>
    </row>
    <row r="3380" spans="1:9" x14ac:dyDescent="0.2">
      <c r="A3380" t="s">
        <v>436</v>
      </c>
      <c r="B3380" t="s">
        <v>775</v>
      </c>
      <c r="C3380" t="str">
        <f t="shared" si="156"/>
        <v>19734520000000</v>
      </c>
      <c r="D3380" t="s">
        <v>5059</v>
      </c>
      <c r="E3380" t="str">
        <f>"19734526022347"</f>
        <v>19734526022347</v>
      </c>
      <c r="F3380" s="8">
        <v>588</v>
      </c>
      <c r="G3380" s="8">
        <v>2073</v>
      </c>
      <c r="H3380" s="8">
        <v>1937</v>
      </c>
      <c r="I3380" s="8">
        <v>6754</v>
      </c>
    </row>
    <row r="3381" spans="1:9" x14ac:dyDescent="0.2">
      <c r="A3381" t="s">
        <v>436</v>
      </c>
      <c r="B3381" t="s">
        <v>775</v>
      </c>
      <c r="C3381" t="str">
        <f t="shared" si="156"/>
        <v>19734520000000</v>
      </c>
      <c r="D3381" t="s">
        <v>5060</v>
      </c>
      <c r="E3381" t="str">
        <f>"19734526022248"</f>
        <v>19734526022248</v>
      </c>
      <c r="F3381" s="8">
        <v>503</v>
      </c>
      <c r="G3381" s="8">
        <v>1872</v>
      </c>
      <c r="H3381" s="8">
        <v>1942</v>
      </c>
      <c r="I3381" s="8">
        <v>6991</v>
      </c>
    </row>
    <row r="3382" spans="1:9" x14ac:dyDescent="0.2">
      <c r="A3382" t="s">
        <v>436</v>
      </c>
      <c r="B3382" t="s">
        <v>775</v>
      </c>
      <c r="C3382" t="str">
        <f t="shared" si="156"/>
        <v>19734520000000</v>
      </c>
      <c r="D3382" t="s">
        <v>5061</v>
      </c>
      <c r="E3382" t="str">
        <f>"19734521937564"</f>
        <v>19734521937564</v>
      </c>
      <c r="F3382" s="8">
        <v>50</v>
      </c>
      <c r="G3382" s="8">
        <v>2642</v>
      </c>
      <c r="H3382" s="8">
        <v>1693</v>
      </c>
      <c r="I3382" s="8">
        <v>6848</v>
      </c>
    </row>
    <row r="3383" spans="1:9" x14ac:dyDescent="0.2">
      <c r="A3383" t="s">
        <v>436</v>
      </c>
      <c r="B3383" t="s">
        <v>775</v>
      </c>
      <c r="C3383" t="str">
        <f t="shared" si="156"/>
        <v>19734520000000</v>
      </c>
      <c r="D3383" t="s">
        <v>5062</v>
      </c>
      <c r="E3383" t="str">
        <f>"19734526022214"</f>
        <v>19734526022214</v>
      </c>
      <c r="F3383" s="8">
        <v>229</v>
      </c>
      <c r="G3383" s="8">
        <v>1564</v>
      </c>
      <c r="H3383" s="8">
        <v>1929</v>
      </c>
      <c r="I3383" s="8">
        <v>7295</v>
      </c>
    </row>
    <row r="3384" spans="1:9" x14ac:dyDescent="0.2">
      <c r="A3384" t="s">
        <v>436</v>
      </c>
      <c r="B3384" t="s">
        <v>775</v>
      </c>
      <c r="C3384" t="str">
        <f t="shared" si="156"/>
        <v>19734520000000</v>
      </c>
      <c r="D3384" t="s">
        <v>5063</v>
      </c>
      <c r="E3384" t="str">
        <f>"19734526022289"</f>
        <v>19734526022289</v>
      </c>
      <c r="F3384" s="8">
        <v>597</v>
      </c>
      <c r="G3384" s="8">
        <v>1830</v>
      </c>
      <c r="H3384" s="8">
        <v>1950</v>
      </c>
      <c r="I3384" s="8">
        <v>6528</v>
      </c>
    </row>
    <row r="3385" spans="1:9" x14ac:dyDescent="0.2">
      <c r="A3385" t="s">
        <v>436</v>
      </c>
      <c r="B3385" t="s">
        <v>775</v>
      </c>
      <c r="C3385" t="str">
        <f t="shared" si="156"/>
        <v>19734520000000</v>
      </c>
      <c r="D3385" t="s">
        <v>5064</v>
      </c>
      <c r="E3385" t="str">
        <f>"19734520125005"</f>
        <v>19734520125005</v>
      </c>
      <c r="F3385" s="8">
        <v>513</v>
      </c>
      <c r="G3385" s="8">
        <v>2998</v>
      </c>
      <c r="H3385" s="8">
        <v>1918</v>
      </c>
      <c r="I3385" s="8">
        <v>5442</v>
      </c>
    </row>
    <row r="3386" spans="1:9" x14ac:dyDescent="0.2">
      <c r="A3386" t="s">
        <v>436</v>
      </c>
      <c r="B3386" t="s">
        <v>775</v>
      </c>
      <c r="C3386" t="str">
        <f t="shared" si="156"/>
        <v>19734520000000</v>
      </c>
      <c r="D3386" t="s">
        <v>5065</v>
      </c>
      <c r="E3386" t="str">
        <f>"19734526022362"</f>
        <v>19734526022362</v>
      </c>
      <c r="F3386" s="8">
        <v>8</v>
      </c>
      <c r="G3386" s="8">
        <v>3590</v>
      </c>
      <c r="H3386" s="8">
        <v>1726</v>
      </c>
      <c r="I3386" s="8">
        <v>5501</v>
      </c>
    </row>
    <row r="3387" spans="1:9" x14ac:dyDescent="0.2">
      <c r="A3387" t="s">
        <v>436</v>
      </c>
      <c r="B3387" t="s">
        <v>775</v>
      </c>
      <c r="C3387" t="str">
        <f t="shared" si="156"/>
        <v>19734520000000</v>
      </c>
      <c r="D3387" t="s">
        <v>5066</v>
      </c>
      <c r="E3387" t="str">
        <f>"19734526022305"</f>
        <v>19734526022305</v>
      </c>
      <c r="F3387" s="8">
        <v>7</v>
      </c>
      <c r="G3387" s="8">
        <v>1686</v>
      </c>
      <c r="H3387" s="8">
        <v>1698</v>
      </c>
      <c r="I3387" s="8">
        <v>6916</v>
      </c>
    </row>
    <row r="3388" spans="1:9" x14ac:dyDescent="0.2">
      <c r="A3388" t="s">
        <v>436</v>
      </c>
      <c r="B3388" t="s">
        <v>775</v>
      </c>
      <c r="C3388" t="str">
        <f t="shared" si="156"/>
        <v>19734520000000</v>
      </c>
      <c r="D3388" t="s">
        <v>5067</v>
      </c>
      <c r="E3388" t="str">
        <f>"19734526022404"</f>
        <v>19734526022404</v>
      </c>
      <c r="F3388" s="8">
        <v>6</v>
      </c>
      <c r="G3388" s="8">
        <v>3243</v>
      </c>
      <c r="H3388" s="8">
        <v>1681</v>
      </c>
      <c r="I3388" s="8">
        <v>5178</v>
      </c>
    </row>
    <row r="3389" spans="1:9" x14ac:dyDescent="0.2">
      <c r="A3389" t="s">
        <v>436</v>
      </c>
      <c r="B3389" t="s">
        <v>775</v>
      </c>
      <c r="C3389" t="str">
        <f t="shared" si="156"/>
        <v>19734520000000</v>
      </c>
      <c r="D3389" t="s">
        <v>5068</v>
      </c>
      <c r="E3389" t="str">
        <f>"19734526022354"</f>
        <v>19734526022354</v>
      </c>
      <c r="F3389" s="8">
        <v>507</v>
      </c>
      <c r="G3389" s="8">
        <v>3742</v>
      </c>
      <c r="H3389" s="8">
        <v>1934</v>
      </c>
      <c r="I3389" s="8">
        <v>3760</v>
      </c>
    </row>
    <row r="3390" spans="1:9" x14ac:dyDescent="0.2">
      <c r="A3390" t="s">
        <v>436</v>
      </c>
      <c r="B3390" t="s">
        <v>775</v>
      </c>
      <c r="C3390" t="str">
        <f t="shared" si="156"/>
        <v>19734520000000</v>
      </c>
      <c r="D3390" t="s">
        <v>5069</v>
      </c>
      <c r="E3390" t="str">
        <f>"19734526022222"</f>
        <v>19734526022222</v>
      </c>
      <c r="F3390" s="8">
        <v>11</v>
      </c>
      <c r="G3390" s="8">
        <v>1568</v>
      </c>
      <c r="H3390" s="8">
        <v>1686</v>
      </c>
      <c r="I3390" s="8">
        <v>6043</v>
      </c>
    </row>
    <row r="3391" spans="1:9" x14ac:dyDescent="0.2">
      <c r="A3391" t="s">
        <v>436</v>
      </c>
      <c r="B3391" t="s">
        <v>775</v>
      </c>
      <c r="C3391" t="str">
        <f t="shared" si="156"/>
        <v>19734520000000</v>
      </c>
      <c r="D3391" t="s">
        <v>5070</v>
      </c>
      <c r="E3391" t="str">
        <f>"19734526103352"</f>
        <v>19734526103352</v>
      </c>
      <c r="F3391" s="8">
        <v>0</v>
      </c>
      <c r="G3391" s="8">
        <v>2991</v>
      </c>
      <c r="H3391" s="8">
        <v>1669</v>
      </c>
      <c r="I3391" s="8">
        <v>4591</v>
      </c>
    </row>
    <row r="3392" spans="1:9" x14ac:dyDescent="0.2">
      <c r="A3392" t="s">
        <v>436</v>
      </c>
      <c r="B3392" t="s">
        <v>775</v>
      </c>
      <c r="C3392" t="str">
        <f t="shared" si="156"/>
        <v>19734520000000</v>
      </c>
      <c r="D3392" t="s">
        <v>5071</v>
      </c>
      <c r="E3392" t="str">
        <f>"19734520111070"</f>
        <v>19734520111070</v>
      </c>
      <c r="F3392" s="8">
        <v>0</v>
      </c>
      <c r="G3392" s="8">
        <v>0</v>
      </c>
      <c r="H3392" s="8">
        <v>2241</v>
      </c>
      <c r="I3392" s="8">
        <v>5392</v>
      </c>
    </row>
    <row r="3393" spans="1:9" x14ac:dyDescent="0.2">
      <c r="A3393" t="s">
        <v>436</v>
      </c>
      <c r="B3393" t="s">
        <v>779</v>
      </c>
      <c r="C3393" t="str">
        <f t="shared" ref="C3393:C3400" si="157">"19752910000000"</f>
        <v>19752910000000</v>
      </c>
      <c r="D3393" t="s">
        <v>5072</v>
      </c>
      <c r="E3393" t="str">
        <f>"19752911996081"</f>
        <v>19752911996081</v>
      </c>
      <c r="F3393" s="8">
        <v>9733</v>
      </c>
      <c r="G3393" s="8">
        <v>43791</v>
      </c>
      <c r="H3393" s="8">
        <v>889</v>
      </c>
      <c r="I3393" s="8">
        <v>4435</v>
      </c>
    </row>
    <row r="3394" spans="1:9" x14ac:dyDescent="0.2">
      <c r="A3394" t="s">
        <v>436</v>
      </c>
      <c r="B3394" t="s">
        <v>779</v>
      </c>
      <c r="C3394" t="str">
        <f t="shared" si="157"/>
        <v>19752910000000</v>
      </c>
      <c r="D3394" t="s">
        <v>2347</v>
      </c>
      <c r="E3394" t="str">
        <f>"19752916022461"</f>
        <v>19752916022461</v>
      </c>
      <c r="F3394" s="8">
        <v>1846</v>
      </c>
      <c r="G3394" s="8">
        <v>8639</v>
      </c>
      <c r="H3394" s="8">
        <v>889</v>
      </c>
      <c r="I3394" s="8">
        <v>4435</v>
      </c>
    </row>
    <row r="3395" spans="1:9" x14ac:dyDescent="0.2">
      <c r="A3395" t="s">
        <v>436</v>
      </c>
      <c r="B3395" t="s">
        <v>779</v>
      </c>
      <c r="C3395" t="str">
        <f t="shared" si="157"/>
        <v>19752910000000</v>
      </c>
      <c r="D3395" t="s">
        <v>2348</v>
      </c>
      <c r="E3395" t="str">
        <f>"19752916022487"</f>
        <v>19752916022487</v>
      </c>
      <c r="F3395" s="8">
        <v>1862</v>
      </c>
      <c r="G3395" s="8">
        <v>8044</v>
      </c>
      <c r="H3395" s="8">
        <v>889</v>
      </c>
      <c r="I3395" s="8">
        <v>4435</v>
      </c>
    </row>
    <row r="3396" spans="1:9" x14ac:dyDescent="0.2">
      <c r="A3396" t="s">
        <v>436</v>
      </c>
      <c r="B3396" t="s">
        <v>779</v>
      </c>
      <c r="C3396" t="str">
        <f t="shared" si="157"/>
        <v>19752910000000</v>
      </c>
      <c r="D3396" t="s">
        <v>5073</v>
      </c>
      <c r="E3396" t="str">
        <f>"19752916022420"</f>
        <v>19752916022420</v>
      </c>
      <c r="F3396" s="8">
        <v>1280</v>
      </c>
      <c r="G3396" s="8">
        <v>8446</v>
      </c>
      <c r="H3396" s="8">
        <v>889</v>
      </c>
      <c r="I3396" s="8">
        <v>4435</v>
      </c>
    </row>
    <row r="3397" spans="1:9" x14ac:dyDescent="0.2">
      <c r="A3397" t="s">
        <v>436</v>
      </c>
      <c r="B3397" t="s">
        <v>779</v>
      </c>
      <c r="C3397" t="str">
        <f t="shared" si="157"/>
        <v>19752910000000</v>
      </c>
      <c r="D3397" t="s">
        <v>2349</v>
      </c>
      <c r="E3397" t="str">
        <f>"19752916022453"</f>
        <v>19752916022453</v>
      </c>
      <c r="F3397" s="8">
        <v>1381</v>
      </c>
      <c r="G3397" s="8">
        <v>7522</v>
      </c>
      <c r="H3397" s="8">
        <v>889</v>
      </c>
      <c r="I3397" s="8">
        <v>4435</v>
      </c>
    </row>
    <row r="3398" spans="1:9" x14ac:dyDescent="0.2">
      <c r="A3398" t="s">
        <v>436</v>
      </c>
      <c r="B3398" t="s">
        <v>779</v>
      </c>
      <c r="C3398" t="str">
        <f t="shared" si="157"/>
        <v>19752910000000</v>
      </c>
      <c r="D3398" t="s">
        <v>5074</v>
      </c>
      <c r="E3398" t="str">
        <f>"19752916022438"</f>
        <v>19752916022438</v>
      </c>
      <c r="F3398" s="8">
        <v>967</v>
      </c>
      <c r="G3398" s="8">
        <v>6847</v>
      </c>
      <c r="H3398" s="8">
        <v>889</v>
      </c>
      <c r="I3398" s="8">
        <v>4435</v>
      </c>
    </row>
    <row r="3399" spans="1:9" x14ac:dyDescent="0.2">
      <c r="A3399" t="s">
        <v>436</v>
      </c>
      <c r="B3399" t="s">
        <v>779</v>
      </c>
      <c r="C3399" t="str">
        <f t="shared" si="157"/>
        <v>19752910000000</v>
      </c>
      <c r="D3399" t="s">
        <v>5075</v>
      </c>
      <c r="E3399" t="str">
        <f>"19752911995810"</f>
        <v>19752911995810</v>
      </c>
      <c r="F3399" s="8">
        <v>589</v>
      </c>
      <c r="G3399" s="8">
        <v>7221</v>
      </c>
      <c r="H3399" s="8">
        <v>889</v>
      </c>
      <c r="I3399" s="8">
        <v>4435</v>
      </c>
    </row>
    <row r="3400" spans="1:9" x14ac:dyDescent="0.2">
      <c r="A3400" t="s">
        <v>436</v>
      </c>
      <c r="B3400" t="s">
        <v>779</v>
      </c>
      <c r="C3400" t="str">
        <f t="shared" si="157"/>
        <v>19752910000000</v>
      </c>
      <c r="D3400" t="s">
        <v>2094</v>
      </c>
      <c r="E3400" t="str">
        <f>"19752916022479"</f>
        <v>19752916022479</v>
      </c>
      <c r="F3400" s="8">
        <v>712</v>
      </c>
      <c r="G3400" s="8">
        <v>6133</v>
      </c>
      <c r="H3400" s="8">
        <v>889</v>
      </c>
      <c r="I3400" s="8">
        <v>4435</v>
      </c>
    </row>
    <row r="3401" spans="1:9" x14ac:dyDescent="0.2">
      <c r="A3401" t="s">
        <v>436</v>
      </c>
      <c r="B3401" t="s">
        <v>781</v>
      </c>
      <c r="C3401" t="str">
        <f>"19649640000000"</f>
        <v>19649640000000</v>
      </c>
      <c r="D3401" t="s">
        <v>5076</v>
      </c>
      <c r="E3401" t="str">
        <f>"19649646022503"</f>
        <v>19649646022503</v>
      </c>
      <c r="F3401" s="8">
        <v>359</v>
      </c>
      <c r="G3401" s="8">
        <v>9860</v>
      </c>
      <c r="H3401" s="8">
        <v>200</v>
      </c>
      <c r="I3401" s="8">
        <v>2542</v>
      </c>
    </row>
    <row r="3402" spans="1:9" x14ac:dyDescent="0.2">
      <c r="A3402" t="s">
        <v>436</v>
      </c>
      <c r="B3402" t="s">
        <v>781</v>
      </c>
      <c r="C3402" t="str">
        <f>"19649640000000"</f>
        <v>19649640000000</v>
      </c>
      <c r="D3402" t="s">
        <v>3728</v>
      </c>
      <c r="E3402" t="str">
        <f>"19649646022495"</f>
        <v>19649646022495</v>
      </c>
      <c r="F3402" s="8">
        <v>923</v>
      </c>
      <c r="G3402" s="8">
        <v>8715</v>
      </c>
      <c r="H3402" s="8">
        <v>200</v>
      </c>
      <c r="I3402" s="8">
        <v>2542</v>
      </c>
    </row>
    <row r="3403" spans="1:9" x14ac:dyDescent="0.2">
      <c r="A3403" t="s">
        <v>436</v>
      </c>
      <c r="B3403" t="s">
        <v>781</v>
      </c>
      <c r="C3403" t="str">
        <f>"19649640000000"</f>
        <v>19649640000000</v>
      </c>
      <c r="D3403" t="s">
        <v>5077</v>
      </c>
      <c r="E3403" t="str">
        <f>"19649641937754"</f>
        <v>19649641937754</v>
      </c>
      <c r="F3403" s="8">
        <v>690</v>
      </c>
      <c r="G3403" s="8">
        <v>8928</v>
      </c>
      <c r="H3403" s="8">
        <v>200</v>
      </c>
      <c r="I3403" s="8">
        <v>2542</v>
      </c>
    </row>
    <row r="3404" spans="1:9" x14ac:dyDescent="0.2">
      <c r="A3404" t="s">
        <v>436</v>
      </c>
      <c r="B3404" t="s">
        <v>781</v>
      </c>
      <c r="C3404" t="str">
        <f>"19649640000000"</f>
        <v>19649640000000</v>
      </c>
      <c r="D3404" t="s">
        <v>5078</v>
      </c>
      <c r="E3404" t="str">
        <f>"19649646022529"</f>
        <v>19649646022529</v>
      </c>
      <c r="F3404" s="8">
        <v>288</v>
      </c>
      <c r="G3404" s="8">
        <v>8510</v>
      </c>
      <c r="H3404" s="8">
        <v>200</v>
      </c>
      <c r="I3404" s="8">
        <v>2542</v>
      </c>
    </row>
    <row r="3405" spans="1:9" x14ac:dyDescent="0.2">
      <c r="A3405" t="s">
        <v>436</v>
      </c>
      <c r="B3405" t="s">
        <v>784</v>
      </c>
      <c r="C3405" t="str">
        <f t="shared" ref="C3405:C3420" si="158">"19649800000000"</f>
        <v>19649800000000</v>
      </c>
      <c r="D3405" t="s">
        <v>348</v>
      </c>
      <c r="E3405" t="str">
        <f>"19649806022545"</f>
        <v>19649806022545</v>
      </c>
      <c r="F3405" s="8" t="s">
        <v>30</v>
      </c>
      <c r="G3405" s="8" t="s">
        <v>30</v>
      </c>
      <c r="H3405" s="8" t="s">
        <v>30</v>
      </c>
      <c r="I3405" s="8" t="s">
        <v>30</v>
      </c>
    </row>
    <row r="3406" spans="1:9" x14ac:dyDescent="0.2">
      <c r="A3406" t="s">
        <v>436</v>
      </c>
      <c r="B3406" t="s">
        <v>784</v>
      </c>
      <c r="C3406" t="str">
        <f t="shared" si="158"/>
        <v>19649800000000</v>
      </c>
      <c r="D3406" t="s">
        <v>1894</v>
      </c>
      <c r="E3406" t="str">
        <f>"19649806022552"</f>
        <v>19649806022552</v>
      </c>
      <c r="F3406" s="8" t="s">
        <v>30</v>
      </c>
      <c r="G3406" s="8" t="s">
        <v>30</v>
      </c>
      <c r="H3406" s="8" t="s">
        <v>30</v>
      </c>
      <c r="I3406" s="8" t="s">
        <v>30</v>
      </c>
    </row>
    <row r="3407" spans="1:9" x14ac:dyDescent="0.2">
      <c r="A3407" t="s">
        <v>436</v>
      </c>
      <c r="B3407" t="s">
        <v>784</v>
      </c>
      <c r="C3407" t="str">
        <f t="shared" si="158"/>
        <v>19649800000000</v>
      </c>
      <c r="D3407" t="s">
        <v>1715</v>
      </c>
      <c r="E3407" t="str">
        <f>"19649806022560"</f>
        <v>19649806022560</v>
      </c>
      <c r="F3407" s="8" t="s">
        <v>30</v>
      </c>
      <c r="G3407" s="8" t="s">
        <v>30</v>
      </c>
      <c r="H3407" s="8" t="s">
        <v>30</v>
      </c>
      <c r="I3407" s="8" t="s">
        <v>30</v>
      </c>
    </row>
    <row r="3408" spans="1:9" x14ac:dyDescent="0.2">
      <c r="A3408" t="s">
        <v>436</v>
      </c>
      <c r="B3408" t="s">
        <v>784</v>
      </c>
      <c r="C3408" t="str">
        <f t="shared" si="158"/>
        <v>19649800000000</v>
      </c>
      <c r="D3408" t="s">
        <v>4492</v>
      </c>
      <c r="E3408" t="str">
        <f>"19649806058531"</f>
        <v>19649806058531</v>
      </c>
      <c r="F3408" s="8" t="s">
        <v>30</v>
      </c>
      <c r="G3408" s="8" t="s">
        <v>30</v>
      </c>
      <c r="H3408" s="8" t="s">
        <v>30</v>
      </c>
      <c r="I3408" s="8" t="s">
        <v>30</v>
      </c>
    </row>
    <row r="3409" spans="1:9" x14ac:dyDescent="0.2">
      <c r="A3409" t="s">
        <v>436</v>
      </c>
      <c r="B3409" t="s">
        <v>784</v>
      </c>
      <c r="C3409" t="str">
        <f t="shared" si="158"/>
        <v>19649800000000</v>
      </c>
      <c r="D3409" t="s">
        <v>2093</v>
      </c>
      <c r="E3409" t="str">
        <f>"19649806022578"</f>
        <v>19649806022578</v>
      </c>
      <c r="F3409" s="8" t="s">
        <v>30</v>
      </c>
      <c r="G3409" s="8" t="s">
        <v>30</v>
      </c>
      <c r="H3409" s="8" t="s">
        <v>30</v>
      </c>
      <c r="I3409" s="8" t="s">
        <v>30</v>
      </c>
    </row>
    <row r="3410" spans="1:9" x14ac:dyDescent="0.2">
      <c r="A3410" t="s">
        <v>436</v>
      </c>
      <c r="B3410" t="s">
        <v>784</v>
      </c>
      <c r="C3410" t="str">
        <f t="shared" si="158"/>
        <v>19649800000000</v>
      </c>
      <c r="D3410" t="s">
        <v>2074</v>
      </c>
      <c r="E3410" t="str">
        <f>"19649806061659"</f>
        <v>19649806061659</v>
      </c>
      <c r="F3410" s="8" t="s">
        <v>30</v>
      </c>
      <c r="G3410" s="8" t="s">
        <v>30</v>
      </c>
      <c r="H3410" s="8" t="s">
        <v>30</v>
      </c>
      <c r="I3410" s="8" t="s">
        <v>30</v>
      </c>
    </row>
    <row r="3411" spans="1:9" x14ac:dyDescent="0.2">
      <c r="A3411" t="s">
        <v>436</v>
      </c>
      <c r="B3411" t="s">
        <v>784</v>
      </c>
      <c r="C3411" t="str">
        <f t="shared" si="158"/>
        <v>19649800000000</v>
      </c>
      <c r="D3411" t="s">
        <v>5079</v>
      </c>
      <c r="E3411" t="str">
        <f>"19649806022602"</f>
        <v>19649806022602</v>
      </c>
      <c r="F3411" s="8" t="s">
        <v>30</v>
      </c>
      <c r="G3411" s="8" t="s">
        <v>30</v>
      </c>
      <c r="H3411" s="8" t="s">
        <v>30</v>
      </c>
      <c r="I3411" s="8" t="s">
        <v>30</v>
      </c>
    </row>
    <row r="3412" spans="1:9" x14ac:dyDescent="0.2">
      <c r="A3412" t="s">
        <v>436</v>
      </c>
      <c r="B3412" t="s">
        <v>784</v>
      </c>
      <c r="C3412" t="str">
        <f t="shared" si="158"/>
        <v>19649800000000</v>
      </c>
      <c r="D3412" t="s">
        <v>5080</v>
      </c>
      <c r="E3412" t="str">
        <f>"19649801995737"</f>
        <v>19649801995737</v>
      </c>
      <c r="F3412" s="8" t="s">
        <v>30</v>
      </c>
      <c r="G3412" s="8" t="s">
        <v>30</v>
      </c>
      <c r="H3412" s="8" t="s">
        <v>30</v>
      </c>
      <c r="I3412" s="8" t="s">
        <v>30</v>
      </c>
    </row>
    <row r="3413" spans="1:9" x14ac:dyDescent="0.2">
      <c r="A3413" t="s">
        <v>436</v>
      </c>
      <c r="B3413" t="s">
        <v>784</v>
      </c>
      <c r="C3413" t="str">
        <f t="shared" si="158"/>
        <v>19649800000000</v>
      </c>
      <c r="D3413" t="s">
        <v>5081</v>
      </c>
      <c r="E3413" t="str">
        <f>"19649800139311"</f>
        <v>19649800139311</v>
      </c>
      <c r="F3413" s="8" t="s">
        <v>30</v>
      </c>
      <c r="G3413" s="8" t="s">
        <v>30</v>
      </c>
      <c r="H3413" s="8" t="s">
        <v>30</v>
      </c>
      <c r="I3413" s="8" t="s">
        <v>30</v>
      </c>
    </row>
    <row r="3414" spans="1:9" x14ac:dyDescent="0.2">
      <c r="A3414" t="s">
        <v>436</v>
      </c>
      <c r="B3414" t="s">
        <v>784</v>
      </c>
      <c r="C3414" t="str">
        <f t="shared" si="158"/>
        <v>19649800000000</v>
      </c>
      <c r="D3414" t="s">
        <v>2349</v>
      </c>
      <c r="E3414" t="str">
        <f>"19649806022594"</f>
        <v>19649806022594</v>
      </c>
      <c r="F3414" s="8" t="s">
        <v>30</v>
      </c>
      <c r="G3414" s="8" t="s">
        <v>30</v>
      </c>
      <c r="H3414" s="8" t="s">
        <v>30</v>
      </c>
      <c r="I3414" s="8" t="s">
        <v>30</v>
      </c>
    </row>
    <row r="3415" spans="1:9" x14ac:dyDescent="0.2">
      <c r="A3415" t="s">
        <v>436</v>
      </c>
      <c r="B3415" t="s">
        <v>784</v>
      </c>
      <c r="C3415" t="str">
        <f t="shared" si="158"/>
        <v>19649800000000</v>
      </c>
      <c r="D3415" t="s">
        <v>5082</v>
      </c>
      <c r="E3415" t="str">
        <f>"19649801933373"</f>
        <v>19649801933373</v>
      </c>
      <c r="F3415" s="8" t="s">
        <v>30</v>
      </c>
      <c r="G3415" s="8" t="s">
        <v>30</v>
      </c>
      <c r="H3415" s="8" t="s">
        <v>30</v>
      </c>
      <c r="I3415" s="8" t="s">
        <v>30</v>
      </c>
    </row>
    <row r="3416" spans="1:9" x14ac:dyDescent="0.2">
      <c r="A3416" t="s">
        <v>436</v>
      </c>
      <c r="B3416" t="s">
        <v>784</v>
      </c>
      <c r="C3416" t="str">
        <f t="shared" si="158"/>
        <v>19649800000000</v>
      </c>
      <c r="D3416" t="s">
        <v>2347</v>
      </c>
      <c r="E3416" t="str">
        <f>"19649806022610"</f>
        <v>19649806022610</v>
      </c>
      <c r="F3416" s="8" t="s">
        <v>30</v>
      </c>
      <c r="G3416" s="8" t="s">
        <v>30</v>
      </c>
      <c r="H3416" s="8" t="s">
        <v>30</v>
      </c>
      <c r="I3416" s="8" t="s">
        <v>30</v>
      </c>
    </row>
    <row r="3417" spans="1:9" x14ac:dyDescent="0.2">
      <c r="A3417" t="s">
        <v>436</v>
      </c>
      <c r="B3417" t="s">
        <v>784</v>
      </c>
      <c r="C3417" t="str">
        <f t="shared" si="158"/>
        <v>19649800000000</v>
      </c>
      <c r="D3417" t="s">
        <v>5083</v>
      </c>
      <c r="E3417" t="str">
        <f>"19649806093538"</f>
        <v>19649806093538</v>
      </c>
      <c r="F3417" s="8" t="s">
        <v>30</v>
      </c>
      <c r="G3417" s="8" t="s">
        <v>30</v>
      </c>
      <c r="H3417" s="8" t="s">
        <v>30</v>
      </c>
      <c r="I3417" s="8" t="s">
        <v>30</v>
      </c>
    </row>
    <row r="3418" spans="1:9" x14ac:dyDescent="0.2">
      <c r="A3418" t="s">
        <v>436</v>
      </c>
      <c r="B3418" t="s">
        <v>784</v>
      </c>
      <c r="C3418" t="str">
        <f t="shared" si="158"/>
        <v>19649800000000</v>
      </c>
      <c r="D3418" t="s">
        <v>5084</v>
      </c>
      <c r="E3418" t="str">
        <f>"19649801938000"</f>
        <v>19649801938000</v>
      </c>
      <c r="F3418" s="8" t="s">
        <v>30</v>
      </c>
      <c r="G3418" s="8" t="s">
        <v>30</v>
      </c>
      <c r="H3418" s="8" t="s">
        <v>30</v>
      </c>
      <c r="I3418" s="8" t="s">
        <v>30</v>
      </c>
    </row>
    <row r="3419" spans="1:9" x14ac:dyDescent="0.2">
      <c r="A3419" t="s">
        <v>436</v>
      </c>
      <c r="B3419" t="s">
        <v>784</v>
      </c>
      <c r="C3419" t="str">
        <f t="shared" si="158"/>
        <v>19649800000000</v>
      </c>
      <c r="D3419" t="s">
        <v>2898</v>
      </c>
      <c r="E3419" t="str">
        <f>"19649806022636"</f>
        <v>19649806022636</v>
      </c>
      <c r="F3419" s="8" t="s">
        <v>30</v>
      </c>
      <c r="G3419" s="8" t="s">
        <v>30</v>
      </c>
      <c r="H3419" s="8" t="s">
        <v>30</v>
      </c>
      <c r="I3419" s="8" t="s">
        <v>30</v>
      </c>
    </row>
    <row r="3420" spans="1:9" x14ac:dyDescent="0.2">
      <c r="A3420" t="s">
        <v>436</v>
      </c>
      <c r="B3420" t="s">
        <v>784</v>
      </c>
      <c r="C3420" t="str">
        <f t="shared" si="158"/>
        <v>19649800000000</v>
      </c>
      <c r="D3420" t="s">
        <v>4845</v>
      </c>
      <c r="E3420" t="str">
        <f>"19649806022644"</f>
        <v>19649806022644</v>
      </c>
      <c r="F3420" s="8" t="s">
        <v>30</v>
      </c>
      <c r="G3420" s="8" t="s">
        <v>30</v>
      </c>
      <c r="H3420" s="8" t="s">
        <v>30</v>
      </c>
      <c r="I3420" s="8" t="s">
        <v>30</v>
      </c>
    </row>
    <row r="3421" spans="1:9" x14ac:dyDescent="0.2">
      <c r="A3421" t="s">
        <v>436</v>
      </c>
      <c r="B3421" t="s">
        <v>785</v>
      </c>
      <c r="C3421" t="str">
        <f t="shared" ref="C3421:C3435" si="159">"19649980000000"</f>
        <v>19649980000000</v>
      </c>
      <c r="D3421" t="s">
        <v>5085</v>
      </c>
      <c r="E3421" t="str">
        <f>"19649986022727"</f>
        <v>19649986022727</v>
      </c>
      <c r="F3421" s="8">
        <v>1095</v>
      </c>
      <c r="G3421" s="8">
        <v>22191</v>
      </c>
      <c r="H3421" s="8">
        <v>2320</v>
      </c>
      <c r="I3421" s="8">
        <v>13051</v>
      </c>
    </row>
    <row r="3422" spans="1:9" x14ac:dyDescent="0.2">
      <c r="A3422" t="s">
        <v>436</v>
      </c>
      <c r="B3422" t="s">
        <v>785</v>
      </c>
      <c r="C3422" t="str">
        <f t="shared" si="159"/>
        <v>19649980000000</v>
      </c>
      <c r="D3422" t="s">
        <v>2589</v>
      </c>
      <c r="E3422" t="str">
        <f>"19649986068860"</f>
        <v>19649986068860</v>
      </c>
      <c r="F3422" s="8">
        <v>0</v>
      </c>
      <c r="G3422" s="8">
        <v>6236</v>
      </c>
      <c r="H3422" s="8">
        <v>991</v>
      </c>
      <c r="I3422" s="8">
        <v>4933</v>
      </c>
    </row>
    <row r="3423" spans="1:9" x14ac:dyDescent="0.2">
      <c r="A3423" t="s">
        <v>436</v>
      </c>
      <c r="B3423" t="s">
        <v>785</v>
      </c>
      <c r="C3423" t="str">
        <f t="shared" si="159"/>
        <v>19649980000000</v>
      </c>
      <c r="D3423" t="s">
        <v>5086</v>
      </c>
      <c r="E3423" t="str">
        <f>"19649986106876"</f>
        <v>19649986106876</v>
      </c>
      <c r="F3423" s="8">
        <v>0</v>
      </c>
      <c r="G3423" s="8">
        <v>5985</v>
      </c>
      <c r="H3423" s="8">
        <v>1017</v>
      </c>
      <c r="I3423" s="8">
        <v>5094</v>
      </c>
    </row>
    <row r="3424" spans="1:9" x14ac:dyDescent="0.2">
      <c r="A3424" t="s">
        <v>436</v>
      </c>
      <c r="B3424" t="s">
        <v>785</v>
      </c>
      <c r="C3424" t="str">
        <f t="shared" si="159"/>
        <v>19649980000000</v>
      </c>
      <c r="D3424" t="s">
        <v>5087</v>
      </c>
      <c r="E3424" t="str">
        <f>"19649986022701"</f>
        <v>19649986022701</v>
      </c>
      <c r="F3424" s="8">
        <v>0</v>
      </c>
      <c r="G3424" s="8">
        <v>5459</v>
      </c>
      <c r="H3424" s="8">
        <v>1056</v>
      </c>
      <c r="I3424" s="8">
        <v>5333</v>
      </c>
    </row>
    <row r="3425" spans="1:9" x14ac:dyDescent="0.2">
      <c r="A3425" t="s">
        <v>436</v>
      </c>
      <c r="B3425" t="s">
        <v>785</v>
      </c>
      <c r="C3425" t="str">
        <f t="shared" si="159"/>
        <v>19649980000000</v>
      </c>
      <c r="D3425" t="s">
        <v>5088</v>
      </c>
      <c r="E3425" t="str">
        <f>"19649986116495"</f>
        <v>19649986116495</v>
      </c>
      <c r="F3425" s="8">
        <v>0</v>
      </c>
      <c r="G3425" s="8">
        <v>5101</v>
      </c>
      <c r="H3425" s="8">
        <v>1002</v>
      </c>
      <c r="I3425" s="8">
        <v>5002</v>
      </c>
    </row>
    <row r="3426" spans="1:9" x14ac:dyDescent="0.2">
      <c r="A3426" t="s">
        <v>436</v>
      </c>
      <c r="B3426" t="s">
        <v>785</v>
      </c>
      <c r="C3426" t="str">
        <f t="shared" si="159"/>
        <v>19649980000000</v>
      </c>
      <c r="D3426" t="s">
        <v>2575</v>
      </c>
      <c r="E3426" t="str">
        <f>"19649986022685"</f>
        <v>19649986022685</v>
      </c>
      <c r="F3426" s="8">
        <v>532</v>
      </c>
      <c r="G3426" s="8">
        <v>5679</v>
      </c>
      <c r="H3426" s="8">
        <v>831</v>
      </c>
      <c r="I3426" s="8">
        <v>3958</v>
      </c>
    </row>
    <row r="3427" spans="1:9" x14ac:dyDescent="0.2">
      <c r="A3427" t="s">
        <v>436</v>
      </c>
      <c r="B3427" t="s">
        <v>785</v>
      </c>
      <c r="C3427" t="str">
        <f t="shared" si="159"/>
        <v>19649980000000</v>
      </c>
      <c r="D3427" t="s">
        <v>5089</v>
      </c>
      <c r="E3427" t="str">
        <f>"19649986022693"</f>
        <v>19649986022693</v>
      </c>
      <c r="F3427" s="8">
        <v>0</v>
      </c>
      <c r="G3427" s="8">
        <v>5362</v>
      </c>
      <c r="H3427" s="8">
        <v>921</v>
      </c>
      <c r="I3427" s="8">
        <v>4509</v>
      </c>
    </row>
    <row r="3428" spans="1:9" x14ac:dyDescent="0.2">
      <c r="A3428" t="s">
        <v>436</v>
      </c>
      <c r="B3428" t="s">
        <v>785</v>
      </c>
      <c r="C3428" t="str">
        <f t="shared" si="159"/>
        <v>19649980000000</v>
      </c>
      <c r="D3428" t="s">
        <v>5090</v>
      </c>
      <c r="E3428" t="str">
        <f>"19649986022669"</f>
        <v>19649986022669</v>
      </c>
      <c r="F3428" s="8">
        <v>0</v>
      </c>
      <c r="G3428" s="8">
        <v>5242</v>
      </c>
      <c r="H3428" s="8">
        <v>917</v>
      </c>
      <c r="I3428" s="8">
        <v>4480</v>
      </c>
    </row>
    <row r="3429" spans="1:9" x14ac:dyDescent="0.2">
      <c r="A3429" t="s">
        <v>436</v>
      </c>
      <c r="B3429" t="s">
        <v>785</v>
      </c>
      <c r="C3429" t="str">
        <f t="shared" si="159"/>
        <v>19649980000000</v>
      </c>
      <c r="D3429" t="s">
        <v>5091</v>
      </c>
      <c r="E3429" t="str">
        <f>"19649986112528"</f>
        <v>19649986112528</v>
      </c>
      <c r="F3429" s="8">
        <v>0</v>
      </c>
      <c r="G3429" s="8">
        <v>4596</v>
      </c>
      <c r="H3429" s="8">
        <v>948</v>
      </c>
      <c r="I3429" s="8">
        <v>4674</v>
      </c>
    </row>
    <row r="3430" spans="1:9" x14ac:dyDescent="0.2">
      <c r="A3430" t="s">
        <v>436</v>
      </c>
      <c r="B3430" t="s">
        <v>785</v>
      </c>
      <c r="C3430" t="str">
        <f t="shared" si="159"/>
        <v>19649980000000</v>
      </c>
      <c r="D3430" t="s">
        <v>5092</v>
      </c>
      <c r="E3430" t="str">
        <f>"19649986120257"</f>
        <v>19649986120257</v>
      </c>
      <c r="F3430" s="8">
        <v>0</v>
      </c>
      <c r="G3430" s="8">
        <v>4898</v>
      </c>
      <c r="H3430" s="8">
        <v>890</v>
      </c>
      <c r="I3430" s="8">
        <v>4316</v>
      </c>
    </row>
    <row r="3431" spans="1:9" x14ac:dyDescent="0.2">
      <c r="A3431" t="s">
        <v>436</v>
      </c>
      <c r="B3431" t="s">
        <v>785</v>
      </c>
      <c r="C3431" t="str">
        <f t="shared" si="159"/>
        <v>19649980000000</v>
      </c>
      <c r="D3431" t="s">
        <v>5093</v>
      </c>
      <c r="E3431" t="str">
        <f>"19649980108597"</f>
        <v>19649980108597</v>
      </c>
      <c r="F3431" s="8">
        <v>0</v>
      </c>
      <c r="G3431" s="8">
        <v>5364</v>
      </c>
      <c r="H3431" s="8">
        <v>801</v>
      </c>
      <c r="I3431" s="8">
        <v>3773</v>
      </c>
    </row>
    <row r="3432" spans="1:9" x14ac:dyDescent="0.2">
      <c r="A3432" t="s">
        <v>436</v>
      </c>
      <c r="B3432" t="s">
        <v>785</v>
      </c>
      <c r="C3432" t="str">
        <f t="shared" si="159"/>
        <v>19649980000000</v>
      </c>
      <c r="D3432" t="s">
        <v>5094</v>
      </c>
      <c r="E3432" t="str">
        <f>"19649986022651"</f>
        <v>19649986022651</v>
      </c>
      <c r="F3432" s="8">
        <v>105</v>
      </c>
      <c r="G3432" s="8">
        <v>4893</v>
      </c>
      <c r="H3432" s="8">
        <v>838</v>
      </c>
      <c r="I3432" s="8">
        <v>4002</v>
      </c>
    </row>
    <row r="3433" spans="1:9" x14ac:dyDescent="0.2">
      <c r="A3433" t="s">
        <v>436</v>
      </c>
      <c r="B3433" t="s">
        <v>785</v>
      </c>
      <c r="C3433" t="str">
        <f t="shared" si="159"/>
        <v>19649980000000</v>
      </c>
      <c r="D3433" t="s">
        <v>5095</v>
      </c>
      <c r="E3433" t="str">
        <f>"19649986115513"</f>
        <v>19649986115513</v>
      </c>
      <c r="F3433" s="8">
        <v>0</v>
      </c>
      <c r="G3433" s="8">
        <v>4958</v>
      </c>
      <c r="H3433" s="8">
        <v>833</v>
      </c>
      <c r="I3433" s="8">
        <v>3971</v>
      </c>
    </row>
    <row r="3434" spans="1:9" x14ac:dyDescent="0.2">
      <c r="A3434" t="s">
        <v>436</v>
      </c>
      <c r="B3434" t="s">
        <v>785</v>
      </c>
      <c r="C3434" t="str">
        <f t="shared" si="159"/>
        <v>19649980000000</v>
      </c>
      <c r="D3434" t="s">
        <v>5096</v>
      </c>
      <c r="E3434" t="str">
        <f>"19649980119230"</f>
        <v>19649980119230</v>
      </c>
      <c r="F3434" s="8">
        <v>0</v>
      </c>
      <c r="G3434" s="8">
        <v>4648</v>
      </c>
      <c r="H3434" s="8">
        <v>774</v>
      </c>
      <c r="I3434" s="8">
        <v>3608</v>
      </c>
    </row>
    <row r="3435" spans="1:9" x14ac:dyDescent="0.2">
      <c r="A3435" t="s">
        <v>436</v>
      </c>
      <c r="B3435" t="s">
        <v>785</v>
      </c>
      <c r="C3435" t="str">
        <f t="shared" si="159"/>
        <v>19649980000000</v>
      </c>
      <c r="D3435" t="s">
        <v>5097</v>
      </c>
      <c r="E3435" t="str">
        <f>"19649986107924"</f>
        <v>19649986107924</v>
      </c>
      <c r="F3435" s="8">
        <v>0</v>
      </c>
      <c r="G3435" s="8">
        <v>3215</v>
      </c>
      <c r="H3435" s="8">
        <v>803</v>
      </c>
      <c r="I3435" s="8">
        <v>3787</v>
      </c>
    </row>
    <row r="3436" spans="1:9" x14ac:dyDescent="0.2">
      <c r="A3436" t="s">
        <v>436</v>
      </c>
      <c r="B3436" t="s">
        <v>790</v>
      </c>
      <c r="C3436" t="str">
        <f>"19650290000000"</f>
        <v>19650290000000</v>
      </c>
      <c r="D3436" t="s">
        <v>5098</v>
      </c>
      <c r="E3436" t="str">
        <f>"19650291938455"</f>
        <v>19650291938455</v>
      </c>
      <c r="F3436" s="8">
        <v>254</v>
      </c>
      <c r="G3436" s="8">
        <v>7113</v>
      </c>
      <c r="H3436" s="8">
        <v>506</v>
      </c>
      <c r="I3436" s="8">
        <v>4086</v>
      </c>
    </row>
    <row r="3437" spans="1:9" x14ac:dyDescent="0.2">
      <c r="A3437" t="s">
        <v>436</v>
      </c>
      <c r="B3437" t="s">
        <v>790</v>
      </c>
      <c r="C3437" t="str">
        <f>"19650290000000"</f>
        <v>19650290000000</v>
      </c>
      <c r="D3437" t="s">
        <v>5099</v>
      </c>
      <c r="E3437" t="str">
        <f>"19650296022784"</f>
        <v>19650296022784</v>
      </c>
      <c r="F3437" s="8">
        <v>101</v>
      </c>
      <c r="G3437" s="8">
        <v>6872</v>
      </c>
      <c r="H3437" s="8">
        <v>506</v>
      </c>
      <c r="I3437" s="8">
        <v>4086</v>
      </c>
    </row>
    <row r="3438" spans="1:9" x14ac:dyDescent="0.2">
      <c r="A3438" t="s">
        <v>436</v>
      </c>
      <c r="B3438" t="s">
        <v>790</v>
      </c>
      <c r="C3438" t="str">
        <f>"19650290000000"</f>
        <v>19650290000000</v>
      </c>
      <c r="D3438" t="s">
        <v>5100</v>
      </c>
      <c r="E3438" t="str">
        <f>"19650296022776"</f>
        <v>19650296022776</v>
      </c>
      <c r="F3438" s="8">
        <v>151</v>
      </c>
      <c r="G3438" s="8">
        <v>6522</v>
      </c>
      <c r="H3438" s="8">
        <v>506</v>
      </c>
      <c r="I3438" s="8">
        <v>4086</v>
      </c>
    </row>
    <row r="3439" spans="1:9" x14ac:dyDescent="0.2">
      <c r="A3439" t="s">
        <v>436</v>
      </c>
      <c r="B3439" t="s">
        <v>790</v>
      </c>
      <c r="C3439" t="str">
        <f>"19650290000000"</f>
        <v>19650290000000</v>
      </c>
      <c r="D3439" t="s">
        <v>5101</v>
      </c>
      <c r="E3439" t="str">
        <f>"19650296022768"</f>
        <v>19650296022768</v>
      </c>
      <c r="F3439" s="8">
        <v>166</v>
      </c>
      <c r="G3439" s="8">
        <v>6484</v>
      </c>
      <c r="H3439" s="8">
        <v>506</v>
      </c>
      <c r="I3439" s="8">
        <v>4086</v>
      </c>
    </row>
    <row r="3440" spans="1:9" x14ac:dyDescent="0.2">
      <c r="A3440" t="s">
        <v>436</v>
      </c>
      <c r="B3440" t="s">
        <v>790</v>
      </c>
      <c r="C3440" t="str">
        <f>"19650290000000"</f>
        <v>19650290000000</v>
      </c>
      <c r="D3440" t="s">
        <v>5102</v>
      </c>
      <c r="E3440" t="str">
        <f>"19650296058556"</f>
        <v>19650296058556</v>
      </c>
      <c r="F3440" s="8">
        <v>41</v>
      </c>
      <c r="G3440" s="8">
        <v>5901</v>
      </c>
      <c r="H3440" s="8">
        <v>506</v>
      </c>
      <c r="I3440" s="8">
        <v>4086</v>
      </c>
    </row>
    <row r="3441" spans="1:9" x14ac:dyDescent="0.2">
      <c r="A3441" t="s">
        <v>436</v>
      </c>
      <c r="B3441" t="s">
        <v>791</v>
      </c>
      <c r="C3441" t="str">
        <f t="shared" ref="C3441:C3447" si="160">"19650370000000"</f>
        <v>19650370000000</v>
      </c>
      <c r="D3441" t="s">
        <v>5103</v>
      </c>
      <c r="E3441" t="str">
        <f>"19650376022826"</f>
        <v>19650376022826</v>
      </c>
      <c r="F3441" s="8">
        <v>2084</v>
      </c>
      <c r="G3441" s="8">
        <v>11417</v>
      </c>
      <c r="H3441" s="8">
        <v>1214</v>
      </c>
      <c r="I3441" s="8">
        <v>3805</v>
      </c>
    </row>
    <row r="3442" spans="1:9" x14ac:dyDescent="0.2">
      <c r="A3442" t="s">
        <v>436</v>
      </c>
      <c r="B3442" t="s">
        <v>791</v>
      </c>
      <c r="C3442" t="str">
        <f t="shared" si="160"/>
        <v>19650370000000</v>
      </c>
      <c r="D3442" t="s">
        <v>5104</v>
      </c>
      <c r="E3442" t="str">
        <f>"19650376022800"</f>
        <v>19650376022800</v>
      </c>
      <c r="F3442" s="8">
        <v>2141</v>
      </c>
      <c r="G3442" s="8">
        <v>10591</v>
      </c>
      <c r="H3442" s="8">
        <v>1214</v>
      </c>
      <c r="I3442" s="8">
        <v>3879</v>
      </c>
    </row>
    <row r="3443" spans="1:9" x14ac:dyDescent="0.2">
      <c r="A3443" t="s">
        <v>436</v>
      </c>
      <c r="B3443" t="s">
        <v>791</v>
      </c>
      <c r="C3443" t="str">
        <f t="shared" si="160"/>
        <v>19650370000000</v>
      </c>
      <c r="D3443" t="s">
        <v>1642</v>
      </c>
      <c r="E3443" t="str">
        <f>"19650376022842"</f>
        <v>19650376022842</v>
      </c>
      <c r="F3443" s="8">
        <v>2389</v>
      </c>
      <c r="G3443" s="8">
        <v>9402</v>
      </c>
      <c r="H3443" s="8">
        <v>1214</v>
      </c>
      <c r="I3443" s="8">
        <v>3818</v>
      </c>
    </row>
    <row r="3444" spans="1:9" x14ac:dyDescent="0.2">
      <c r="A3444" t="s">
        <v>436</v>
      </c>
      <c r="B3444" t="s">
        <v>791</v>
      </c>
      <c r="C3444" t="str">
        <f t="shared" si="160"/>
        <v>19650370000000</v>
      </c>
      <c r="D3444" t="s">
        <v>5105</v>
      </c>
      <c r="E3444" t="str">
        <f>"19650376022859"</f>
        <v>19650376022859</v>
      </c>
      <c r="F3444" s="8">
        <v>2076</v>
      </c>
      <c r="G3444" s="8">
        <v>8543</v>
      </c>
      <c r="H3444" s="8">
        <v>1214</v>
      </c>
      <c r="I3444" s="8">
        <v>3823</v>
      </c>
    </row>
    <row r="3445" spans="1:9" x14ac:dyDescent="0.2">
      <c r="A3445" t="s">
        <v>436</v>
      </c>
      <c r="B3445" t="s">
        <v>791</v>
      </c>
      <c r="C3445" t="str">
        <f t="shared" si="160"/>
        <v>19650370000000</v>
      </c>
      <c r="D3445" t="s">
        <v>5106</v>
      </c>
      <c r="E3445" t="str">
        <f>"19650376022818"</f>
        <v>19650376022818</v>
      </c>
      <c r="F3445" s="8">
        <v>1710</v>
      </c>
      <c r="G3445" s="8">
        <v>8292</v>
      </c>
      <c r="H3445" s="8">
        <v>1214</v>
      </c>
      <c r="I3445" s="8">
        <v>3799</v>
      </c>
    </row>
    <row r="3446" spans="1:9" x14ac:dyDescent="0.2">
      <c r="A3446" t="s">
        <v>436</v>
      </c>
      <c r="B3446" t="s">
        <v>791</v>
      </c>
      <c r="C3446" t="str">
        <f t="shared" si="160"/>
        <v>19650370000000</v>
      </c>
      <c r="D3446" t="s">
        <v>5107</v>
      </c>
      <c r="E3446" t="str">
        <f>"19650376102966"</f>
        <v>19650376102966</v>
      </c>
      <c r="F3446" s="8">
        <v>1650</v>
      </c>
      <c r="G3446" s="8">
        <v>7779</v>
      </c>
      <c r="H3446" s="8">
        <v>1214</v>
      </c>
      <c r="I3446" s="8">
        <v>3799</v>
      </c>
    </row>
    <row r="3447" spans="1:9" x14ac:dyDescent="0.2">
      <c r="A3447" t="s">
        <v>436</v>
      </c>
      <c r="B3447" t="s">
        <v>791</v>
      </c>
      <c r="C3447" t="str">
        <f t="shared" si="160"/>
        <v>19650370000000</v>
      </c>
      <c r="D3447" t="s">
        <v>2517</v>
      </c>
      <c r="E3447" t="str">
        <f>"19650376022834"</f>
        <v>19650376022834</v>
      </c>
      <c r="F3447" s="8">
        <v>2170</v>
      </c>
      <c r="G3447" s="8">
        <v>7001</v>
      </c>
      <c r="H3447" s="8">
        <v>1214</v>
      </c>
      <c r="I3447" s="8">
        <v>3838</v>
      </c>
    </row>
    <row r="3448" spans="1:9" x14ac:dyDescent="0.2">
      <c r="A3448" t="s">
        <v>436</v>
      </c>
      <c r="B3448" t="s">
        <v>792</v>
      </c>
      <c r="C3448" t="str">
        <f>"19743360000000"</f>
        <v>19743360000000</v>
      </c>
      <c r="D3448" t="s">
        <v>792</v>
      </c>
      <c r="E3448" t="str">
        <f>"19743361995067"</f>
        <v>19743361995067</v>
      </c>
      <c r="F3448" s="8" t="s">
        <v>30</v>
      </c>
      <c r="G3448" s="8" t="s">
        <v>30</v>
      </c>
      <c r="H3448" s="8" t="s">
        <v>30</v>
      </c>
      <c r="I3448" s="8" t="s">
        <v>30</v>
      </c>
    </row>
    <row r="3449" spans="1:9" x14ac:dyDescent="0.2">
      <c r="A3449" t="s">
        <v>436</v>
      </c>
      <c r="B3449" t="s">
        <v>796</v>
      </c>
      <c r="C3449" t="str">
        <f t="shared" ref="C3449:C3458" si="161">"19650450000000"</f>
        <v>19650450000000</v>
      </c>
      <c r="D3449" t="s">
        <v>5108</v>
      </c>
      <c r="E3449" t="str">
        <f>"19650456022883"</f>
        <v>19650456022883</v>
      </c>
      <c r="F3449" s="8">
        <v>828</v>
      </c>
      <c r="G3449" s="8">
        <v>10646</v>
      </c>
      <c r="H3449" s="8">
        <v>929</v>
      </c>
      <c r="I3449" s="8">
        <v>4122</v>
      </c>
    </row>
    <row r="3450" spans="1:9" x14ac:dyDescent="0.2">
      <c r="A3450" t="s">
        <v>436</v>
      </c>
      <c r="B3450" t="s">
        <v>796</v>
      </c>
      <c r="C3450" t="str">
        <f t="shared" si="161"/>
        <v>19650450000000</v>
      </c>
      <c r="D3450" t="s">
        <v>5109</v>
      </c>
      <c r="E3450" t="str">
        <f>"19650456071682"</f>
        <v>19650456071682</v>
      </c>
      <c r="F3450" s="8">
        <v>276</v>
      </c>
      <c r="G3450" s="8">
        <v>9232</v>
      </c>
      <c r="H3450" s="8">
        <v>929</v>
      </c>
      <c r="I3450" s="8">
        <v>4122</v>
      </c>
    </row>
    <row r="3451" spans="1:9" x14ac:dyDescent="0.2">
      <c r="A3451" t="s">
        <v>436</v>
      </c>
      <c r="B3451" t="s">
        <v>796</v>
      </c>
      <c r="C3451" t="str">
        <f t="shared" si="161"/>
        <v>19650450000000</v>
      </c>
      <c r="D3451" t="s">
        <v>5110</v>
      </c>
      <c r="E3451" t="str">
        <f>"19650456022917"</f>
        <v>19650456022917</v>
      </c>
      <c r="F3451" s="8">
        <v>176</v>
      </c>
      <c r="G3451" s="8">
        <v>8093</v>
      </c>
      <c r="H3451" s="8">
        <v>929</v>
      </c>
      <c r="I3451" s="8">
        <v>4122</v>
      </c>
    </row>
    <row r="3452" spans="1:9" x14ac:dyDescent="0.2">
      <c r="A3452" t="s">
        <v>436</v>
      </c>
      <c r="B3452" t="s">
        <v>796</v>
      </c>
      <c r="C3452" t="str">
        <f t="shared" si="161"/>
        <v>19650450000000</v>
      </c>
      <c r="D3452" t="s">
        <v>5111</v>
      </c>
      <c r="E3452" t="str">
        <f>"19650456022677"</f>
        <v>19650456022677</v>
      </c>
      <c r="F3452" s="8">
        <v>630</v>
      </c>
      <c r="G3452" s="8">
        <v>7430</v>
      </c>
      <c r="H3452" s="8">
        <v>929</v>
      </c>
      <c r="I3452" s="8">
        <v>4122</v>
      </c>
    </row>
    <row r="3453" spans="1:9" x14ac:dyDescent="0.2">
      <c r="A3453" t="s">
        <v>436</v>
      </c>
      <c r="B3453" t="s">
        <v>796</v>
      </c>
      <c r="C3453" t="str">
        <f t="shared" si="161"/>
        <v>19650450000000</v>
      </c>
      <c r="D3453" t="s">
        <v>5112</v>
      </c>
      <c r="E3453" t="str">
        <f>"19650456022891"</f>
        <v>19650456022891</v>
      </c>
      <c r="F3453" s="8">
        <v>654</v>
      </c>
      <c r="G3453" s="8">
        <v>6975</v>
      </c>
      <c r="H3453" s="8">
        <v>929</v>
      </c>
      <c r="I3453" s="8">
        <v>4122</v>
      </c>
    </row>
    <row r="3454" spans="1:9" x14ac:dyDescent="0.2">
      <c r="A3454" t="s">
        <v>436</v>
      </c>
      <c r="B3454" t="s">
        <v>796</v>
      </c>
      <c r="C3454" t="str">
        <f t="shared" si="161"/>
        <v>19650450000000</v>
      </c>
      <c r="D3454" t="s">
        <v>5113</v>
      </c>
      <c r="E3454" t="str">
        <f>"19650456066807"</f>
        <v>19650456066807</v>
      </c>
      <c r="F3454" s="8">
        <v>505</v>
      </c>
      <c r="G3454" s="8">
        <v>6068</v>
      </c>
      <c r="H3454" s="8">
        <v>929</v>
      </c>
      <c r="I3454" s="8">
        <v>4122</v>
      </c>
    </row>
    <row r="3455" spans="1:9" x14ac:dyDescent="0.2">
      <c r="A3455" t="s">
        <v>436</v>
      </c>
      <c r="B3455" t="s">
        <v>796</v>
      </c>
      <c r="C3455" t="str">
        <f t="shared" si="161"/>
        <v>19650450000000</v>
      </c>
      <c r="D3455" t="s">
        <v>5114</v>
      </c>
      <c r="E3455" t="str">
        <f>"19650456107205"</f>
        <v>19650456107205</v>
      </c>
      <c r="F3455" s="8">
        <v>151</v>
      </c>
      <c r="G3455" s="8">
        <v>6302</v>
      </c>
      <c r="H3455" s="8">
        <v>929</v>
      </c>
      <c r="I3455" s="8">
        <v>4122</v>
      </c>
    </row>
    <row r="3456" spans="1:9" x14ac:dyDescent="0.2">
      <c r="A3456" t="s">
        <v>436</v>
      </c>
      <c r="B3456" t="s">
        <v>796</v>
      </c>
      <c r="C3456" t="str">
        <f t="shared" si="161"/>
        <v>19650450000000</v>
      </c>
      <c r="D3456" t="s">
        <v>5115</v>
      </c>
      <c r="E3456" t="str">
        <f>"19650450116616"</f>
        <v>19650450116616</v>
      </c>
      <c r="F3456" s="8">
        <v>68</v>
      </c>
      <c r="G3456" s="8">
        <v>5899</v>
      </c>
      <c r="H3456" s="8">
        <v>929</v>
      </c>
      <c r="I3456" s="8">
        <v>4122</v>
      </c>
    </row>
    <row r="3457" spans="1:9" x14ac:dyDescent="0.2">
      <c r="A3457" t="s">
        <v>436</v>
      </c>
      <c r="B3457" t="s">
        <v>796</v>
      </c>
      <c r="C3457" t="str">
        <f t="shared" si="161"/>
        <v>19650450000000</v>
      </c>
      <c r="D3457" t="s">
        <v>5116</v>
      </c>
      <c r="E3457" t="str">
        <f>"19650456120513"</f>
        <v>19650456120513</v>
      </c>
      <c r="F3457" s="8">
        <v>88</v>
      </c>
      <c r="G3457" s="8">
        <v>5551</v>
      </c>
      <c r="H3457" s="8">
        <v>929</v>
      </c>
      <c r="I3457" s="8">
        <v>4122</v>
      </c>
    </row>
    <row r="3458" spans="1:9" x14ac:dyDescent="0.2">
      <c r="A3458" t="s">
        <v>436</v>
      </c>
      <c r="B3458" t="s">
        <v>796</v>
      </c>
      <c r="C3458" t="str">
        <f t="shared" si="161"/>
        <v>19650450000000</v>
      </c>
      <c r="D3458" t="s">
        <v>5117</v>
      </c>
      <c r="E3458" t="str">
        <f>"19650450135764"</f>
        <v>19650450135764</v>
      </c>
      <c r="F3458" s="8" t="s">
        <v>30</v>
      </c>
      <c r="G3458" s="8" t="s">
        <v>30</v>
      </c>
      <c r="H3458" s="8" t="s">
        <v>30</v>
      </c>
      <c r="I3458" s="8" t="s">
        <v>30</v>
      </c>
    </row>
    <row r="3459" spans="1:9" x14ac:dyDescent="0.2">
      <c r="A3459" t="s">
        <v>436</v>
      </c>
      <c r="B3459" t="s">
        <v>803</v>
      </c>
      <c r="C3459" t="str">
        <f t="shared" ref="C3459:C3466" si="162">"19650520000000"</f>
        <v>19650520000000</v>
      </c>
      <c r="D3459" t="s">
        <v>5118</v>
      </c>
      <c r="E3459" t="str">
        <f>"19650521995745"</f>
        <v>19650521995745</v>
      </c>
      <c r="F3459" s="8">
        <v>180</v>
      </c>
      <c r="G3459" s="8">
        <v>18712</v>
      </c>
      <c r="H3459" s="8">
        <v>818</v>
      </c>
      <c r="I3459" s="8">
        <v>4026</v>
      </c>
    </row>
    <row r="3460" spans="1:9" x14ac:dyDescent="0.2">
      <c r="A3460" t="s">
        <v>436</v>
      </c>
      <c r="B3460" t="s">
        <v>803</v>
      </c>
      <c r="C3460" t="str">
        <f t="shared" si="162"/>
        <v>19650520000000</v>
      </c>
      <c r="D3460" t="s">
        <v>5119</v>
      </c>
      <c r="E3460" t="str">
        <f>"19650521995976"</f>
        <v>19650521995976</v>
      </c>
      <c r="F3460" s="8">
        <v>180</v>
      </c>
      <c r="G3460" s="8">
        <v>18712</v>
      </c>
      <c r="H3460" s="8">
        <v>818</v>
      </c>
      <c r="I3460" s="8">
        <v>4026</v>
      </c>
    </row>
    <row r="3461" spans="1:9" x14ac:dyDescent="0.2">
      <c r="A3461" t="s">
        <v>436</v>
      </c>
      <c r="B3461" t="s">
        <v>803</v>
      </c>
      <c r="C3461" t="str">
        <f t="shared" si="162"/>
        <v>19650520000000</v>
      </c>
      <c r="D3461" t="s">
        <v>5120</v>
      </c>
      <c r="E3461" t="str">
        <f>"19650526022941"</f>
        <v>19650526022941</v>
      </c>
      <c r="F3461" s="8">
        <v>113</v>
      </c>
      <c r="G3461" s="8">
        <v>7151</v>
      </c>
      <c r="H3461" s="8">
        <v>818</v>
      </c>
      <c r="I3461" s="8">
        <v>4026</v>
      </c>
    </row>
    <row r="3462" spans="1:9" x14ac:dyDescent="0.2">
      <c r="A3462" t="s">
        <v>436</v>
      </c>
      <c r="B3462" t="s">
        <v>803</v>
      </c>
      <c r="C3462" t="str">
        <f t="shared" si="162"/>
        <v>19650520000000</v>
      </c>
      <c r="D3462" t="s">
        <v>5121</v>
      </c>
      <c r="E3462" t="str">
        <f>"19650521938679"</f>
        <v>19650521938679</v>
      </c>
      <c r="F3462" s="8">
        <v>0</v>
      </c>
      <c r="G3462" s="8">
        <v>6779</v>
      </c>
      <c r="H3462" s="8">
        <v>818</v>
      </c>
      <c r="I3462" s="8">
        <v>4026</v>
      </c>
    </row>
    <row r="3463" spans="1:9" x14ac:dyDescent="0.2">
      <c r="A3463" t="s">
        <v>436</v>
      </c>
      <c r="B3463" t="s">
        <v>803</v>
      </c>
      <c r="C3463" t="str">
        <f t="shared" si="162"/>
        <v>19650520000000</v>
      </c>
      <c r="D3463" t="s">
        <v>5122</v>
      </c>
      <c r="E3463" t="str">
        <f>"19650526022958"</f>
        <v>19650526022958</v>
      </c>
      <c r="F3463" s="8">
        <v>121</v>
      </c>
      <c r="G3463" s="8">
        <v>6461</v>
      </c>
      <c r="H3463" s="8">
        <v>818</v>
      </c>
      <c r="I3463" s="8">
        <v>4026</v>
      </c>
    </row>
    <row r="3464" spans="1:9" x14ac:dyDescent="0.2">
      <c r="A3464" t="s">
        <v>436</v>
      </c>
      <c r="B3464" t="s">
        <v>803</v>
      </c>
      <c r="C3464" t="str">
        <f t="shared" si="162"/>
        <v>19650520000000</v>
      </c>
      <c r="D3464" t="s">
        <v>5123</v>
      </c>
      <c r="E3464" t="str">
        <f>"19650526022933"</f>
        <v>19650526022933</v>
      </c>
      <c r="F3464" s="8">
        <v>113</v>
      </c>
      <c r="G3464" s="8">
        <v>6221</v>
      </c>
      <c r="H3464" s="8">
        <v>818</v>
      </c>
      <c r="I3464" s="8">
        <v>4026</v>
      </c>
    </row>
    <row r="3465" spans="1:9" x14ac:dyDescent="0.2">
      <c r="A3465" t="s">
        <v>436</v>
      </c>
      <c r="B3465" t="s">
        <v>803</v>
      </c>
      <c r="C3465" t="str">
        <f t="shared" si="162"/>
        <v>19650520000000</v>
      </c>
      <c r="D3465" t="s">
        <v>5124</v>
      </c>
      <c r="E3465" t="str">
        <f>"19650526022966"</f>
        <v>19650526022966</v>
      </c>
      <c r="F3465" s="8">
        <v>96</v>
      </c>
      <c r="G3465" s="8">
        <v>6131</v>
      </c>
      <c r="H3465" s="8">
        <v>818</v>
      </c>
      <c r="I3465" s="8">
        <v>4026</v>
      </c>
    </row>
    <row r="3466" spans="1:9" x14ac:dyDescent="0.2">
      <c r="A3466" t="s">
        <v>436</v>
      </c>
      <c r="B3466" t="s">
        <v>803</v>
      </c>
      <c r="C3466" t="str">
        <f t="shared" si="162"/>
        <v>19650520000000</v>
      </c>
      <c r="D3466" t="s">
        <v>5125</v>
      </c>
      <c r="E3466" t="str">
        <f>"19650526022925"</f>
        <v>19650526022925</v>
      </c>
      <c r="F3466" s="8">
        <v>42</v>
      </c>
      <c r="G3466" s="8">
        <v>5961</v>
      </c>
      <c r="H3466" s="8">
        <v>818</v>
      </c>
      <c r="I3466" s="8">
        <v>4026</v>
      </c>
    </row>
    <row r="3467" spans="1:9" x14ac:dyDescent="0.2">
      <c r="A3467" t="s">
        <v>436</v>
      </c>
      <c r="B3467" t="s">
        <v>806</v>
      </c>
      <c r="C3467" t="str">
        <f t="shared" ref="C3467:C3497" si="163">"19650600000000"</f>
        <v>19650600000000</v>
      </c>
      <c r="D3467" t="s">
        <v>5126</v>
      </c>
      <c r="E3467" t="str">
        <f>"19650600110320"</f>
        <v>19650600110320</v>
      </c>
      <c r="F3467" s="8">
        <v>0</v>
      </c>
      <c r="G3467" s="8">
        <v>28359</v>
      </c>
      <c r="H3467" s="8">
        <v>0</v>
      </c>
      <c r="I3467" s="8">
        <v>4750</v>
      </c>
    </row>
    <row r="3468" spans="1:9" x14ac:dyDescent="0.2">
      <c r="A3468" t="s">
        <v>436</v>
      </c>
      <c r="B3468" t="s">
        <v>806</v>
      </c>
      <c r="C3468" t="str">
        <f t="shared" si="163"/>
        <v>19650600000000</v>
      </c>
      <c r="D3468" t="s">
        <v>5127</v>
      </c>
      <c r="E3468" t="str">
        <f>"19650601938083"</f>
        <v>19650601938083</v>
      </c>
      <c r="F3468" s="8">
        <v>14</v>
      </c>
      <c r="G3468" s="8">
        <v>14910</v>
      </c>
      <c r="H3468" s="8">
        <v>0</v>
      </c>
      <c r="I3468" s="8">
        <v>4750</v>
      </c>
    </row>
    <row r="3469" spans="1:9" x14ac:dyDescent="0.2">
      <c r="A3469" t="s">
        <v>436</v>
      </c>
      <c r="B3469" t="s">
        <v>806</v>
      </c>
      <c r="C3469" t="str">
        <f t="shared" si="163"/>
        <v>19650600000000</v>
      </c>
      <c r="D3469" t="s">
        <v>5128</v>
      </c>
      <c r="E3469" t="str">
        <f>"19650606023329"</f>
        <v>19650606023329</v>
      </c>
      <c r="F3469" s="8">
        <v>214</v>
      </c>
      <c r="G3469" s="8">
        <v>6460</v>
      </c>
      <c r="H3469" s="8">
        <v>799</v>
      </c>
      <c r="I3469" s="8">
        <v>4750</v>
      </c>
    </row>
    <row r="3470" spans="1:9" x14ac:dyDescent="0.2">
      <c r="A3470" t="s">
        <v>436</v>
      </c>
      <c r="B3470" t="s">
        <v>806</v>
      </c>
      <c r="C3470" t="str">
        <f t="shared" si="163"/>
        <v>19650600000000</v>
      </c>
      <c r="D3470" t="s">
        <v>5129</v>
      </c>
      <c r="E3470" t="str">
        <f>"19650606023022"</f>
        <v>19650606023022</v>
      </c>
      <c r="F3470" s="8">
        <v>317</v>
      </c>
      <c r="G3470" s="8">
        <v>5968</v>
      </c>
      <c r="H3470" s="8">
        <v>799</v>
      </c>
      <c r="I3470" s="8">
        <v>4750</v>
      </c>
    </row>
    <row r="3471" spans="1:9" x14ac:dyDescent="0.2">
      <c r="A3471" t="s">
        <v>436</v>
      </c>
      <c r="B3471" t="s">
        <v>806</v>
      </c>
      <c r="C3471" t="str">
        <f t="shared" si="163"/>
        <v>19650600000000</v>
      </c>
      <c r="D3471" t="s">
        <v>5130</v>
      </c>
      <c r="E3471" t="str">
        <f>"19650606023170"</f>
        <v>19650606023170</v>
      </c>
      <c r="F3471" s="8">
        <v>203</v>
      </c>
      <c r="G3471" s="8">
        <v>5991</v>
      </c>
      <c r="H3471" s="8">
        <v>799</v>
      </c>
      <c r="I3471" s="8">
        <v>4750</v>
      </c>
    </row>
    <row r="3472" spans="1:9" x14ac:dyDescent="0.2">
      <c r="A3472" t="s">
        <v>436</v>
      </c>
      <c r="B3472" t="s">
        <v>806</v>
      </c>
      <c r="C3472" t="str">
        <f t="shared" si="163"/>
        <v>19650600000000</v>
      </c>
      <c r="D3472" t="s">
        <v>3317</v>
      </c>
      <c r="E3472" t="str">
        <f>"19650601936277"</f>
        <v>19650601936277</v>
      </c>
      <c r="F3472" s="8">
        <v>26</v>
      </c>
      <c r="G3472" s="8">
        <v>6058</v>
      </c>
      <c r="H3472" s="8">
        <v>799</v>
      </c>
      <c r="I3472" s="8">
        <v>4750</v>
      </c>
    </row>
    <row r="3473" spans="1:9" x14ac:dyDescent="0.2">
      <c r="A3473" t="s">
        <v>436</v>
      </c>
      <c r="B3473" t="s">
        <v>806</v>
      </c>
      <c r="C3473" t="str">
        <f t="shared" si="163"/>
        <v>19650600000000</v>
      </c>
      <c r="D3473" t="s">
        <v>3314</v>
      </c>
      <c r="E3473" t="str">
        <f>"19650601939602"</f>
        <v>19650601939602</v>
      </c>
      <c r="F3473" s="8">
        <v>20</v>
      </c>
      <c r="G3473" s="8">
        <v>6047</v>
      </c>
      <c r="H3473" s="8">
        <v>799</v>
      </c>
      <c r="I3473" s="8">
        <v>4750</v>
      </c>
    </row>
    <row r="3474" spans="1:9" x14ac:dyDescent="0.2">
      <c r="A3474" t="s">
        <v>436</v>
      </c>
      <c r="B3474" t="s">
        <v>806</v>
      </c>
      <c r="C3474" t="str">
        <f t="shared" si="163"/>
        <v>19650600000000</v>
      </c>
      <c r="D3474" t="s">
        <v>2243</v>
      </c>
      <c r="E3474" t="str">
        <f>"19650606023147"</f>
        <v>19650606023147</v>
      </c>
      <c r="F3474" s="8">
        <v>186</v>
      </c>
      <c r="G3474" s="8">
        <v>5847</v>
      </c>
      <c r="H3474" s="8">
        <v>799</v>
      </c>
      <c r="I3474" s="8">
        <v>4750</v>
      </c>
    </row>
    <row r="3475" spans="1:9" x14ac:dyDescent="0.2">
      <c r="A3475" t="s">
        <v>436</v>
      </c>
      <c r="B3475" t="s">
        <v>806</v>
      </c>
      <c r="C3475" t="str">
        <f t="shared" si="163"/>
        <v>19650600000000</v>
      </c>
      <c r="D3475" t="s">
        <v>348</v>
      </c>
      <c r="E3475" t="str">
        <f>"19650606023063"</f>
        <v>19650606023063</v>
      </c>
      <c r="F3475" s="8">
        <v>204</v>
      </c>
      <c r="G3475" s="8">
        <v>5722</v>
      </c>
      <c r="H3475" s="8">
        <v>799</v>
      </c>
      <c r="I3475" s="8">
        <v>4750</v>
      </c>
    </row>
    <row r="3476" spans="1:9" x14ac:dyDescent="0.2">
      <c r="A3476" t="s">
        <v>436</v>
      </c>
      <c r="B3476" t="s">
        <v>806</v>
      </c>
      <c r="C3476" t="str">
        <f t="shared" si="163"/>
        <v>19650600000000</v>
      </c>
      <c r="D3476" t="s">
        <v>5131</v>
      </c>
      <c r="E3476" t="str">
        <f>"19650606022990"</f>
        <v>19650606022990</v>
      </c>
      <c r="F3476" s="8">
        <v>157</v>
      </c>
      <c r="G3476" s="8">
        <v>5726</v>
      </c>
      <c r="H3476" s="8">
        <v>799</v>
      </c>
      <c r="I3476" s="8">
        <v>4750</v>
      </c>
    </row>
    <row r="3477" spans="1:9" x14ac:dyDescent="0.2">
      <c r="A3477" t="s">
        <v>436</v>
      </c>
      <c r="B3477" t="s">
        <v>806</v>
      </c>
      <c r="C3477" t="str">
        <f t="shared" si="163"/>
        <v>19650600000000</v>
      </c>
      <c r="D3477" t="s">
        <v>5132</v>
      </c>
      <c r="E3477" t="str">
        <f>"19650601938752"</f>
        <v>19650601938752</v>
      </c>
      <c r="F3477" s="8">
        <v>20</v>
      </c>
      <c r="G3477" s="8">
        <v>5802</v>
      </c>
      <c r="H3477" s="8">
        <v>799</v>
      </c>
      <c r="I3477" s="8">
        <v>4750</v>
      </c>
    </row>
    <row r="3478" spans="1:9" x14ac:dyDescent="0.2">
      <c r="A3478" t="s">
        <v>436</v>
      </c>
      <c r="B3478" t="s">
        <v>806</v>
      </c>
      <c r="C3478" t="str">
        <f t="shared" si="163"/>
        <v>19650600000000</v>
      </c>
      <c r="D3478" t="s">
        <v>5133</v>
      </c>
      <c r="E3478" t="str">
        <f>"19650606023238"</f>
        <v>19650606023238</v>
      </c>
      <c r="F3478" s="8">
        <v>5</v>
      </c>
      <c r="G3478" s="8">
        <v>5788</v>
      </c>
      <c r="H3478" s="8">
        <v>799</v>
      </c>
      <c r="I3478" s="8">
        <v>4750</v>
      </c>
    </row>
    <row r="3479" spans="1:9" x14ac:dyDescent="0.2">
      <c r="A3479" t="s">
        <v>436</v>
      </c>
      <c r="B3479" t="s">
        <v>806</v>
      </c>
      <c r="C3479" t="str">
        <f t="shared" si="163"/>
        <v>19650600000000</v>
      </c>
      <c r="D3479" t="s">
        <v>3318</v>
      </c>
      <c r="E3479" t="str">
        <f>"19650601938356"</f>
        <v>19650601938356</v>
      </c>
      <c r="F3479" s="8">
        <v>27</v>
      </c>
      <c r="G3479" s="8">
        <v>5710</v>
      </c>
      <c r="H3479" s="8">
        <v>799</v>
      </c>
      <c r="I3479" s="8">
        <v>4750</v>
      </c>
    </row>
    <row r="3480" spans="1:9" x14ac:dyDescent="0.2">
      <c r="A3480" t="s">
        <v>436</v>
      </c>
      <c r="B3480" t="s">
        <v>806</v>
      </c>
      <c r="C3480" t="str">
        <f t="shared" si="163"/>
        <v>19650600000000</v>
      </c>
      <c r="D3480" t="s">
        <v>5134</v>
      </c>
      <c r="E3480" t="str">
        <f>"19650606023071"</f>
        <v>19650606023071</v>
      </c>
      <c r="F3480" s="8">
        <v>158</v>
      </c>
      <c r="G3480" s="8">
        <v>5531</v>
      </c>
      <c r="H3480" s="8">
        <v>799</v>
      </c>
      <c r="I3480" s="8">
        <v>4750</v>
      </c>
    </row>
    <row r="3481" spans="1:9" x14ac:dyDescent="0.2">
      <c r="A3481" t="s">
        <v>436</v>
      </c>
      <c r="B3481" t="s">
        <v>806</v>
      </c>
      <c r="C3481" t="str">
        <f t="shared" si="163"/>
        <v>19650600000000</v>
      </c>
      <c r="D3481" t="s">
        <v>5135</v>
      </c>
      <c r="E3481" t="str">
        <f>"19650606023089"</f>
        <v>19650606023089</v>
      </c>
      <c r="F3481" s="8">
        <v>9</v>
      </c>
      <c r="G3481" s="8">
        <v>5657</v>
      </c>
      <c r="H3481" s="8">
        <v>799</v>
      </c>
      <c r="I3481" s="8">
        <v>4750</v>
      </c>
    </row>
    <row r="3482" spans="1:9" x14ac:dyDescent="0.2">
      <c r="A3482" t="s">
        <v>436</v>
      </c>
      <c r="B3482" t="s">
        <v>806</v>
      </c>
      <c r="C3482" t="str">
        <f t="shared" si="163"/>
        <v>19650600000000</v>
      </c>
      <c r="D3482" t="s">
        <v>5136</v>
      </c>
      <c r="E3482" t="str">
        <f>"19650606023303"</f>
        <v>19650606023303</v>
      </c>
      <c r="F3482" s="8">
        <v>175</v>
      </c>
      <c r="G3482" s="8">
        <v>5416</v>
      </c>
      <c r="H3482" s="8">
        <v>799</v>
      </c>
      <c r="I3482" s="8">
        <v>4750</v>
      </c>
    </row>
    <row r="3483" spans="1:9" x14ac:dyDescent="0.2">
      <c r="A3483" t="s">
        <v>436</v>
      </c>
      <c r="B3483" t="s">
        <v>806</v>
      </c>
      <c r="C3483" t="str">
        <f t="shared" si="163"/>
        <v>19650600000000</v>
      </c>
      <c r="D3483" t="s">
        <v>5137</v>
      </c>
      <c r="E3483" t="str">
        <f>"19650606023261"</f>
        <v>19650606023261</v>
      </c>
      <c r="F3483" s="8">
        <v>231</v>
      </c>
      <c r="G3483" s="8">
        <v>5331</v>
      </c>
      <c r="H3483" s="8">
        <v>799</v>
      </c>
      <c r="I3483" s="8">
        <v>4750</v>
      </c>
    </row>
    <row r="3484" spans="1:9" x14ac:dyDescent="0.2">
      <c r="A3484" t="s">
        <v>436</v>
      </c>
      <c r="B3484" t="s">
        <v>806</v>
      </c>
      <c r="C3484" t="str">
        <f t="shared" si="163"/>
        <v>19650600000000</v>
      </c>
      <c r="D3484" t="s">
        <v>5138</v>
      </c>
      <c r="E3484" t="str">
        <f>"19650606023030"</f>
        <v>19650606023030</v>
      </c>
      <c r="F3484" s="8">
        <v>162</v>
      </c>
      <c r="G3484" s="8">
        <v>5395</v>
      </c>
      <c r="H3484" s="8">
        <v>799</v>
      </c>
      <c r="I3484" s="8">
        <v>4750</v>
      </c>
    </row>
    <row r="3485" spans="1:9" x14ac:dyDescent="0.2">
      <c r="A3485" t="s">
        <v>436</v>
      </c>
      <c r="B3485" t="s">
        <v>806</v>
      </c>
      <c r="C3485" t="str">
        <f t="shared" si="163"/>
        <v>19650600000000</v>
      </c>
      <c r="D3485" t="s">
        <v>5139</v>
      </c>
      <c r="E3485" t="str">
        <f>"19650606023006"</f>
        <v>19650606023006</v>
      </c>
      <c r="F3485" s="8">
        <v>4</v>
      </c>
      <c r="G3485" s="8">
        <v>5522</v>
      </c>
      <c r="H3485" s="8">
        <v>799</v>
      </c>
      <c r="I3485" s="8">
        <v>4750</v>
      </c>
    </row>
    <row r="3486" spans="1:9" x14ac:dyDescent="0.2">
      <c r="A3486" t="s">
        <v>436</v>
      </c>
      <c r="B3486" t="s">
        <v>806</v>
      </c>
      <c r="C3486" t="str">
        <f t="shared" si="163"/>
        <v>19650600000000</v>
      </c>
      <c r="D3486" t="s">
        <v>5140</v>
      </c>
      <c r="E3486" t="str">
        <f>"19650606022974"</f>
        <v>19650606022974</v>
      </c>
      <c r="F3486" s="8">
        <v>194</v>
      </c>
      <c r="G3486" s="8">
        <v>5330</v>
      </c>
      <c r="H3486" s="8">
        <v>799</v>
      </c>
      <c r="I3486" s="8">
        <v>4750</v>
      </c>
    </row>
    <row r="3487" spans="1:9" x14ac:dyDescent="0.2">
      <c r="A3487" t="s">
        <v>436</v>
      </c>
      <c r="B3487" t="s">
        <v>806</v>
      </c>
      <c r="C3487" t="str">
        <f t="shared" si="163"/>
        <v>19650600000000</v>
      </c>
      <c r="D3487" t="s">
        <v>5141</v>
      </c>
      <c r="E3487" t="str">
        <f>"19650606023279"</f>
        <v>19650606023279</v>
      </c>
      <c r="F3487" s="8">
        <v>5</v>
      </c>
      <c r="G3487" s="8">
        <v>5458</v>
      </c>
      <c r="H3487" s="8">
        <v>799</v>
      </c>
      <c r="I3487" s="8">
        <v>4750</v>
      </c>
    </row>
    <row r="3488" spans="1:9" x14ac:dyDescent="0.2">
      <c r="A3488" t="s">
        <v>436</v>
      </c>
      <c r="B3488" t="s">
        <v>806</v>
      </c>
      <c r="C3488" t="str">
        <f t="shared" si="163"/>
        <v>19650600000000</v>
      </c>
      <c r="D3488" t="s">
        <v>5142</v>
      </c>
      <c r="E3488" t="str">
        <f>"19650606068878"</f>
        <v>19650606068878</v>
      </c>
      <c r="F3488" s="8">
        <v>230</v>
      </c>
      <c r="G3488" s="8">
        <v>5179</v>
      </c>
      <c r="H3488" s="8">
        <v>799</v>
      </c>
      <c r="I3488" s="8">
        <v>4750</v>
      </c>
    </row>
    <row r="3489" spans="1:9" x14ac:dyDescent="0.2">
      <c r="A3489" t="s">
        <v>436</v>
      </c>
      <c r="B3489" t="s">
        <v>806</v>
      </c>
      <c r="C3489" t="str">
        <f t="shared" si="163"/>
        <v>19650600000000</v>
      </c>
      <c r="D3489" t="s">
        <v>5143</v>
      </c>
      <c r="E3489" t="str">
        <f>"19650606023295"</f>
        <v>19650606023295</v>
      </c>
      <c r="F3489" s="8">
        <v>5</v>
      </c>
      <c r="G3489" s="8">
        <v>5357</v>
      </c>
      <c r="H3489" s="8">
        <v>799</v>
      </c>
      <c r="I3489" s="8">
        <v>4750</v>
      </c>
    </row>
    <row r="3490" spans="1:9" x14ac:dyDescent="0.2">
      <c r="A3490" t="s">
        <v>436</v>
      </c>
      <c r="B3490" t="s">
        <v>806</v>
      </c>
      <c r="C3490" t="str">
        <f t="shared" si="163"/>
        <v>19650600000000</v>
      </c>
      <c r="D3490" t="s">
        <v>5144</v>
      </c>
      <c r="E3490" t="str">
        <f>"19650606023162"</f>
        <v>19650606023162</v>
      </c>
      <c r="F3490" s="8">
        <v>11</v>
      </c>
      <c r="G3490" s="8">
        <v>5307</v>
      </c>
      <c r="H3490" s="8">
        <v>799</v>
      </c>
      <c r="I3490" s="8">
        <v>4750</v>
      </c>
    </row>
    <row r="3491" spans="1:9" x14ac:dyDescent="0.2">
      <c r="A3491" t="s">
        <v>436</v>
      </c>
      <c r="B3491" t="s">
        <v>806</v>
      </c>
      <c r="C3491" t="str">
        <f t="shared" si="163"/>
        <v>19650600000000</v>
      </c>
      <c r="D3491" t="s">
        <v>1275</v>
      </c>
      <c r="E3491" t="str">
        <f>"19650606023287"</f>
        <v>19650606023287</v>
      </c>
      <c r="F3491" s="8">
        <v>3</v>
      </c>
      <c r="G3491" s="8">
        <v>5284</v>
      </c>
      <c r="H3491" s="8">
        <v>799</v>
      </c>
      <c r="I3491" s="8">
        <v>4750</v>
      </c>
    </row>
    <row r="3492" spans="1:9" x14ac:dyDescent="0.2">
      <c r="A3492" t="s">
        <v>436</v>
      </c>
      <c r="B3492" t="s">
        <v>806</v>
      </c>
      <c r="C3492" t="str">
        <f t="shared" si="163"/>
        <v>19650600000000</v>
      </c>
      <c r="D3492" t="s">
        <v>5145</v>
      </c>
      <c r="E3492" t="str">
        <f>"19650606022982"</f>
        <v>19650606022982</v>
      </c>
      <c r="F3492" s="8">
        <v>4</v>
      </c>
      <c r="G3492" s="8">
        <v>5275</v>
      </c>
      <c r="H3492" s="8">
        <v>799</v>
      </c>
      <c r="I3492" s="8">
        <v>4750</v>
      </c>
    </row>
    <row r="3493" spans="1:9" x14ac:dyDescent="0.2">
      <c r="A3493" t="s">
        <v>436</v>
      </c>
      <c r="B3493" t="s">
        <v>806</v>
      </c>
      <c r="C3493" t="str">
        <f t="shared" si="163"/>
        <v>19650600000000</v>
      </c>
      <c r="D3493" t="s">
        <v>5146</v>
      </c>
      <c r="E3493" t="str">
        <f>"19650606023196"</f>
        <v>19650606023196</v>
      </c>
      <c r="F3493" s="8">
        <v>2</v>
      </c>
      <c r="G3493" s="8">
        <v>5238</v>
      </c>
      <c r="H3493" s="8">
        <v>799</v>
      </c>
      <c r="I3493" s="8">
        <v>4750</v>
      </c>
    </row>
    <row r="3494" spans="1:9" x14ac:dyDescent="0.2">
      <c r="A3494" t="s">
        <v>436</v>
      </c>
      <c r="B3494" t="s">
        <v>806</v>
      </c>
      <c r="C3494" t="str">
        <f t="shared" si="163"/>
        <v>19650600000000</v>
      </c>
      <c r="D3494" t="s">
        <v>3486</v>
      </c>
      <c r="E3494" t="str">
        <f>"19650606023220"</f>
        <v>19650606023220</v>
      </c>
      <c r="F3494" s="8">
        <v>5</v>
      </c>
      <c r="G3494" s="8">
        <v>5190</v>
      </c>
      <c r="H3494" s="8">
        <v>799</v>
      </c>
      <c r="I3494" s="8">
        <v>4750</v>
      </c>
    </row>
    <row r="3495" spans="1:9" x14ac:dyDescent="0.2">
      <c r="A3495" t="s">
        <v>436</v>
      </c>
      <c r="B3495" t="s">
        <v>806</v>
      </c>
      <c r="C3495" t="str">
        <f t="shared" si="163"/>
        <v>19650600000000</v>
      </c>
      <c r="D3495" t="s">
        <v>5147</v>
      </c>
      <c r="E3495" t="str">
        <f>"19650606023014"</f>
        <v>19650606023014</v>
      </c>
      <c r="F3495" s="8">
        <v>0</v>
      </c>
      <c r="G3495" s="8">
        <v>5187</v>
      </c>
      <c r="H3495" s="8">
        <v>799</v>
      </c>
      <c r="I3495" s="8">
        <v>4750</v>
      </c>
    </row>
    <row r="3496" spans="1:9" x14ac:dyDescent="0.2">
      <c r="A3496" t="s">
        <v>436</v>
      </c>
      <c r="B3496" t="s">
        <v>806</v>
      </c>
      <c r="C3496" t="str">
        <f t="shared" si="163"/>
        <v>19650600000000</v>
      </c>
      <c r="D3496" t="s">
        <v>5148</v>
      </c>
      <c r="E3496" t="str">
        <f>"19650606023105"</f>
        <v>19650606023105</v>
      </c>
      <c r="F3496" s="8">
        <v>4</v>
      </c>
      <c r="G3496" s="8">
        <v>5163</v>
      </c>
      <c r="H3496" s="8">
        <v>799</v>
      </c>
      <c r="I3496" s="8">
        <v>4750</v>
      </c>
    </row>
    <row r="3497" spans="1:9" x14ac:dyDescent="0.2">
      <c r="A3497" t="s">
        <v>436</v>
      </c>
      <c r="B3497" t="s">
        <v>806</v>
      </c>
      <c r="C3497" t="str">
        <f t="shared" si="163"/>
        <v>19650600000000</v>
      </c>
      <c r="D3497" t="s">
        <v>5074</v>
      </c>
      <c r="E3497" t="str">
        <f>"19650606023121"</f>
        <v>19650606023121</v>
      </c>
      <c r="F3497" s="8">
        <v>9</v>
      </c>
      <c r="G3497" s="8">
        <v>5080</v>
      </c>
      <c r="H3497" s="8">
        <v>799</v>
      </c>
      <c r="I3497" s="8">
        <v>4750</v>
      </c>
    </row>
    <row r="3498" spans="1:9" x14ac:dyDescent="0.2">
      <c r="A3498" t="s">
        <v>436</v>
      </c>
      <c r="B3498" t="s">
        <v>809</v>
      </c>
      <c r="C3498" t="str">
        <f>"19650780000000"</f>
        <v>19650780000000</v>
      </c>
      <c r="D3498" t="s">
        <v>5149</v>
      </c>
      <c r="E3498" t="str">
        <f>"19650786023337"</f>
        <v>19650786023337</v>
      </c>
      <c r="F3498" s="8">
        <v>1525</v>
      </c>
      <c r="G3498" s="8">
        <v>9487</v>
      </c>
      <c r="H3498" s="8">
        <v>60</v>
      </c>
      <c r="I3498" s="8">
        <v>2098</v>
      </c>
    </row>
    <row r="3499" spans="1:9" x14ac:dyDescent="0.2">
      <c r="A3499" t="s">
        <v>436</v>
      </c>
      <c r="B3499" t="s">
        <v>809</v>
      </c>
      <c r="C3499" t="str">
        <f>"19650780000000"</f>
        <v>19650780000000</v>
      </c>
      <c r="D3499" t="s">
        <v>5150</v>
      </c>
      <c r="E3499" t="str">
        <f>"19650786023345"</f>
        <v>19650786023345</v>
      </c>
      <c r="F3499" s="8">
        <v>1624</v>
      </c>
      <c r="G3499" s="8">
        <v>7960</v>
      </c>
      <c r="H3499" s="8">
        <v>60</v>
      </c>
      <c r="I3499" s="8">
        <v>2098</v>
      </c>
    </row>
    <row r="3500" spans="1:9" x14ac:dyDescent="0.2">
      <c r="A3500" t="s">
        <v>436</v>
      </c>
      <c r="B3500" t="s">
        <v>822</v>
      </c>
      <c r="C3500" t="str">
        <f t="shared" ref="C3500:C3514" si="164">"19734600000000"</f>
        <v>19734600000000</v>
      </c>
      <c r="D3500" t="s">
        <v>5151</v>
      </c>
      <c r="E3500" t="str">
        <f>"19734601937747"</f>
        <v>19734601937747</v>
      </c>
      <c r="F3500" s="8">
        <v>0</v>
      </c>
      <c r="G3500" s="8">
        <v>10918</v>
      </c>
      <c r="H3500" s="8">
        <v>1076</v>
      </c>
      <c r="I3500" s="8">
        <v>3101</v>
      </c>
    </row>
    <row r="3501" spans="1:9" x14ac:dyDescent="0.2">
      <c r="A3501" t="s">
        <v>436</v>
      </c>
      <c r="B3501" t="s">
        <v>822</v>
      </c>
      <c r="C3501" t="str">
        <f t="shared" si="164"/>
        <v>19734600000000</v>
      </c>
      <c r="D3501" t="s">
        <v>5152</v>
      </c>
      <c r="E3501" t="str">
        <f>"19734601939149"</f>
        <v>19734601939149</v>
      </c>
      <c r="F3501" s="8">
        <v>0</v>
      </c>
      <c r="G3501" s="8">
        <v>8293</v>
      </c>
      <c r="H3501" s="8">
        <v>1193</v>
      </c>
      <c r="I3501" s="8">
        <v>4223</v>
      </c>
    </row>
    <row r="3502" spans="1:9" x14ac:dyDescent="0.2">
      <c r="A3502" t="s">
        <v>436</v>
      </c>
      <c r="B3502" t="s">
        <v>822</v>
      </c>
      <c r="C3502" t="str">
        <f t="shared" si="164"/>
        <v>19734600000000</v>
      </c>
      <c r="D3502" t="s">
        <v>3629</v>
      </c>
      <c r="E3502" t="str">
        <f>"19734606023402"</f>
        <v>19734606023402</v>
      </c>
      <c r="F3502" s="8">
        <v>347</v>
      </c>
      <c r="G3502" s="8">
        <v>6393</v>
      </c>
      <c r="H3502" s="8">
        <v>1286</v>
      </c>
      <c r="I3502" s="8">
        <v>5111</v>
      </c>
    </row>
    <row r="3503" spans="1:9" x14ac:dyDescent="0.2">
      <c r="A3503" t="s">
        <v>436</v>
      </c>
      <c r="B3503" t="s">
        <v>822</v>
      </c>
      <c r="C3503" t="str">
        <f t="shared" si="164"/>
        <v>19734600000000</v>
      </c>
      <c r="D3503" t="s">
        <v>5153</v>
      </c>
      <c r="E3503" t="str">
        <f>"19734601932862"</f>
        <v>19734601932862</v>
      </c>
      <c r="F3503" s="8">
        <v>0</v>
      </c>
      <c r="G3503" s="8">
        <v>7486</v>
      </c>
      <c r="H3503" s="8">
        <v>1160</v>
      </c>
      <c r="I3503" s="8">
        <v>3912</v>
      </c>
    </row>
    <row r="3504" spans="1:9" x14ac:dyDescent="0.2">
      <c r="A3504" t="s">
        <v>436</v>
      </c>
      <c r="B3504" t="s">
        <v>822</v>
      </c>
      <c r="C3504" t="str">
        <f t="shared" si="164"/>
        <v>19734600000000</v>
      </c>
      <c r="D3504" t="s">
        <v>5154</v>
      </c>
      <c r="E3504" t="str">
        <f>"19734606095467"</f>
        <v>19734606095467</v>
      </c>
      <c r="F3504" s="8">
        <v>415</v>
      </c>
      <c r="G3504" s="8">
        <v>6461</v>
      </c>
      <c r="H3504" s="8">
        <v>1195</v>
      </c>
      <c r="I3504" s="8">
        <v>4242</v>
      </c>
    </row>
    <row r="3505" spans="1:9" x14ac:dyDescent="0.2">
      <c r="A3505" t="s">
        <v>436</v>
      </c>
      <c r="B3505" t="s">
        <v>822</v>
      </c>
      <c r="C3505" t="str">
        <f t="shared" si="164"/>
        <v>19734600000000</v>
      </c>
      <c r="D3505" t="s">
        <v>5155</v>
      </c>
      <c r="E3505" t="str">
        <f>"19734606023352"</f>
        <v>19734606023352</v>
      </c>
      <c r="F3505" s="8">
        <v>0</v>
      </c>
      <c r="G3505" s="8">
        <v>5772</v>
      </c>
      <c r="H3505" s="8">
        <v>1256</v>
      </c>
      <c r="I3505" s="8">
        <v>4826</v>
      </c>
    </row>
    <row r="3506" spans="1:9" x14ac:dyDescent="0.2">
      <c r="A3506" t="s">
        <v>436</v>
      </c>
      <c r="B3506" t="s">
        <v>822</v>
      </c>
      <c r="C3506" t="str">
        <f t="shared" si="164"/>
        <v>19734600000000</v>
      </c>
      <c r="D3506" t="s">
        <v>1629</v>
      </c>
      <c r="E3506" t="str">
        <f>"19734606023378"</f>
        <v>19734606023378</v>
      </c>
      <c r="F3506" s="8">
        <v>0</v>
      </c>
      <c r="G3506" s="8">
        <v>5917</v>
      </c>
      <c r="H3506" s="8">
        <v>1229</v>
      </c>
      <c r="I3506" s="8">
        <v>4568</v>
      </c>
    </row>
    <row r="3507" spans="1:9" x14ac:dyDescent="0.2">
      <c r="A3507" t="s">
        <v>436</v>
      </c>
      <c r="B3507" t="s">
        <v>822</v>
      </c>
      <c r="C3507" t="str">
        <f t="shared" si="164"/>
        <v>19734600000000</v>
      </c>
      <c r="D3507" t="s">
        <v>5156</v>
      </c>
      <c r="E3507" t="str">
        <f>"19734606108344"</f>
        <v>19734606108344</v>
      </c>
      <c r="F3507" s="8">
        <v>405</v>
      </c>
      <c r="G3507" s="8">
        <v>6303</v>
      </c>
      <c r="H3507" s="8">
        <v>1151</v>
      </c>
      <c r="I3507" s="8">
        <v>3822</v>
      </c>
    </row>
    <row r="3508" spans="1:9" x14ac:dyDescent="0.2">
      <c r="A3508" t="s">
        <v>436</v>
      </c>
      <c r="B3508" t="s">
        <v>822</v>
      </c>
      <c r="C3508" t="str">
        <f t="shared" si="164"/>
        <v>19734600000000</v>
      </c>
      <c r="D3508" t="s">
        <v>5157</v>
      </c>
      <c r="E3508" t="str">
        <f>"19734606023360"</f>
        <v>19734606023360</v>
      </c>
      <c r="F3508" s="8">
        <v>368</v>
      </c>
      <c r="G3508" s="8">
        <v>5899</v>
      </c>
      <c r="H3508" s="8">
        <v>1193</v>
      </c>
      <c r="I3508" s="8">
        <v>4219</v>
      </c>
    </row>
    <row r="3509" spans="1:9" x14ac:dyDescent="0.2">
      <c r="A3509" t="s">
        <v>436</v>
      </c>
      <c r="B3509" t="s">
        <v>822</v>
      </c>
      <c r="C3509" t="str">
        <f t="shared" si="164"/>
        <v>19734600000000</v>
      </c>
      <c r="D3509" t="s">
        <v>5158</v>
      </c>
      <c r="E3509" t="str">
        <f>"19734606023386"</f>
        <v>19734606023386</v>
      </c>
      <c r="F3509" s="8">
        <v>0</v>
      </c>
      <c r="G3509" s="8">
        <v>6174</v>
      </c>
      <c r="H3509" s="8">
        <v>1176</v>
      </c>
      <c r="I3509" s="8">
        <v>4064</v>
      </c>
    </row>
    <row r="3510" spans="1:9" x14ac:dyDescent="0.2">
      <c r="A3510" t="s">
        <v>436</v>
      </c>
      <c r="B3510" t="s">
        <v>822</v>
      </c>
      <c r="C3510" t="str">
        <f t="shared" si="164"/>
        <v>19734600000000</v>
      </c>
      <c r="D3510" t="s">
        <v>5033</v>
      </c>
      <c r="E3510" t="str">
        <f>"19734606023394"</f>
        <v>19734606023394</v>
      </c>
      <c r="F3510" s="8">
        <v>325</v>
      </c>
      <c r="G3510" s="8">
        <v>5918</v>
      </c>
      <c r="H3510" s="8">
        <v>1154</v>
      </c>
      <c r="I3510" s="8">
        <v>3853</v>
      </c>
    </row>
    <row r="3511" spans="1:9" x14ac:dyDescent="0.2">
      <c r="A3511" t="s">
        <v>436</v>
      </c>
      <c r="B3511" t="s">
        <v>822</v>
      </c>
      <c r="C3511" t="str">
        <f t="shared" si="164"/>
        <v>19734600000000</v>
      </c>
      <c r="D3511" t="s">
        <v>5159</v>
      </c>
      <c r="E3511" t="str">
        <f>"19734606100309"</f>
        <v>19734606100309</v>
      </c>
      <c r="F3511" s="8">
        <v>0</v>
      </c>
      <c r="G3511" s="8">
        <v>6317</v>
      </c>
      <c r="H3511" s="8">
        <v>1125</v>
      </c>
      <c r="I3511" s="8">
        <v>3574</v>
      </c>
    </row>
    <row r="3512" spans="1:9" x14ac:dyDescent="0.2">
      <c r="A3512" t="s">
        <v>436</v>
      </c>
      <c r="B3512" t="s">
        <v>822</v>
      </c>
      <c r="C3512" t="str">
        <f t="shared" si="164"/>
        <v>19734600000000</v>
      </c>
      <c r="D3512" t="s">
        <v>5160</v>
      </c>
      <c r="E3512" t="str">
        <f>"19734606106918"</f>
        <v>19734606106918</v>
      </c>
      <c r="F3512" s="8">
        <v>0</v>
      </c>
      <c r="G3512" s="8">
        <v>5937</v>
      </c>
      <c r="H3512" s="8">
        <v>1159</v>
      </c>
      <c r="I3512" s="8">
        <v>3898</v>
      </c>
    </row>
    <row r="3513" spans="1:9" x14ac:dyDescent="0.2">
      <c r="A3513" t="s">
        <v>436</v>
      </c>
      <c r="B3513" t="s">
        <v>822</v>
      </c>
      <c r="C3513" t="str">
        <f t="shared" si="164"/>
        <v>19734600000000</v>
      </c>
      <c r="D3513" t="s">
        <v>5161</v>
      </c>
      <c r="E3513" t="str">
        <f>"19734606096358"</f>
        <v>19734606096358</v>
      </c>
      <c r="F3513" s="8">
        <v>0</v>
      </c>
      <c r="G3513" s="8">
        <v>5734</v>
      </c>
      <c r="H3513" s="8">
        <v>1117</v>
      </c>
      <c r="I3513" s="8">
        <v>3496</v>
      </c>
    </row>
    <row r="3514" spans="1:9" x14ac:dyDescent="0.2">
      <c r="A3514" t="s">
        <v>436</v>
      </c>
      <c r="B3514" t="s">
        <v>822</v>
      </c>
      <c r="C3514" t="str">
        <f t="shared" si="164"/>
        <v>19734600000000</v>
      </c>
      <c r="D3514" t="s">
        <v>5162</v>
      </c>
      <c r="E3514" t="str">
        <f>"19734606108336"</f>
        <v>19734606108336</v>
      </c>
      <c r="F3514" s="8">
        <v>0</v>
      </c>
      <c r="G3514" s="8">
        <v>5970</v>
      </c>
      <c r="H3514" s="8">
        <v>1086</v>
      </c>
      <c r="I3514" s="8">
        <v>3197</v>
      </c>
    </row>
    <row r="3515" spans="1:9" x14ac:dyDescent="0.2">
      <c r="A3515" t="s">
        <v>436</v>
      </c>
      <c r="B3515" t="s">
        <v>826</v>
      </c>
      <c r="C3515" t="str">
        <f t="shared" ref="C3515:C3529" si="165">"19650940000000"</f>
        <v>19650940000000</v>
      </c>
      <c r="D3515" t="s">
        <v>5163</v>
      </c>
      <c r="E3515" t="str">
        <f>"19650941939537"</f>
        <v>19650941939537</v>
      </c>
      <c r="F3515" s="8">
        <v>1119.8503649635036</v>
      </c>
      <c r="G3515" s="8">
        <v>7346.0125130344104</v>
      </c>
      <c r="H3515" s="8">
        <v>1490.9697601668404</v>
      </c>
      <c r="I3515" s="8">
        <v>4990.4859228362875</v>
      </c>
    </row>
    <row r="3516" spans="1:9" x14ac:dyDescent="0.2">
      <c r="A3516" t="s">
        <v>436</v>
      </c>
      <c r="B3516" t="s">
        <v>826</v>
      </c>
      <c r="C3516" t="str">
        <f t="shared" si="165"/>
        <v>19650940000000</v>
      </c>
      <c r="D3516" t="s">
        <v>5164</v>
      </c>
      <c r="E3516" t="str">
        <f>"19650940122432"</f>
        <v>19650940122432</v>
      </c>
      <c r="F3516" s="8">
        <v>611.48994082840238</v>
      </c>
      <c r="G3516" s="8">
        <v>8554.1183431952668</v>
      </c>
      <c r="H3516" s="8">
        <v>1490.9704142011835</v>
      </c>
      <c r="I3516" s="8">
        <v>4990.4863905325446</v>
      </c>
    </row>
    <row r="3517" spans="1:9" x14ac:dyDescent="0.2">
      <c r="A3517" t="s">
        <v>436</v>
      </c>
      <c r="B3517" t="s">
        <v>826</v>
      </c>
      <c r="C3517" t="str">
        <f t="shared" si="165"/>
        <v>19650940000000</v>
      </c>
      <c r="D3517" t="s">
        <v>5165</v>
      </c>
      <c r="E3517" t="str">
        <f>"19650946023477"</f>
        <v>19650946023477</v>
      </c>
      <c r="F3517" s="8">
        <v>716.99866844207725</v>
      </c>
      <c r="G3517" s="8">
        <v>6764.1384820239682</v>
      </c>
      <c r="H3517" s="8">
        <v>1490.9693741677763</v>
      </c>
      <c r="I3517" s="8">
        <v>4990.4860186418109</v>
      </c>
    </row>
    <row r="3518" spans="1:9" x14ac:dyDescent="0.2">
      <c r="A3518" t="s">
        <v>436</v>
      </c>
      <c r="B3518" t="s">
        <v>826</v>
      </c>
      <c r="C3518" t="str">
        <f t="shared" si="165"/>
        <v>19650940000000</v>
      </c>
      <c r="D3518" t="s">
        <v>5166</v>
      </c>
      <c r="E3518" t="str">
        <f>"19650946107296"</f>
        <v>19650946107296</v>
      </c>
      <c r="F3518" s="8">
        <v>2403.3014981273409</v>
      </c>
      <c r="G3518" s="8">
        <v>7702.5056179775283</v>
      </c>
      <c r="H3518" s="8">
        <v>1490.9700374531835</v>
      </c>
      <c r="I3518" s="8">
        <v>4990.485018726592</v>
      </c>
    </row>
    <row r="3519" spans="1:9" x14ac:dyDescent="0.2">
      <c r="A3519" t="s">
        <v>436</v>
      </c>
      <c r="B3519" t="s">
        <v>826</v>
      </c>
      <c r="C3519" t="str">
        <f t="shared" si="165"/>
        <v>19650940000000</v>
      </c>
      <c r="D3519" t="s">
        <v>3281</v>
      </c>
      <c r="E3519" t="str">
        <f>"19650946023519"</f>
        <v>19650946023519</v>
      </c>
      <c r="F3519" s="8">
        <v>811.24959481361429</v>
      </c>
      <c r="G3519" s="8">
        <v>6297.196110210697</v>
      </c>
      <c r="H3519" s="8">
        <v>1490.9692058346839</v>
      </c>
      <c r="I3519" s="8">
        <v>4990.4862236628851</v>
      </c>
    </row>
    <row r="3520" spans="1:9" x14ac:dyDescent="0.2">
      <c r="A3520" t="s">
        <v>436</v>
      </c>
      <c r="B3520" t="s">
        <v>826</v>
      </c>
      <c r="C3520" t="str">
        <f t="shared" si="165"/>
        <v>19650940000000</v>
      </c>
      <c r="D3520" t="s">
        <v>5167</v>
      </c>
      <c r="E3520" t="str">
        <f>"19650946023485"</f>
        <v>19650946023485</v>
      </c>
      <c r="F3520" s="8">
        <v>702.24143556280592</v>
      </c>
      <c r="G3520" s="8">
        <v>5485.3882544861335</v>
      </c>
      <c r="H3520" s="8">
        <v>1490.9706362153345</v>
      </c>
      <c r="I3520" s="8">
        <v>4990.4861337683524</v>
      </c>
    </row>
    <row r="3521" spans="1:9" x14ac:dyDescent="0.2">
      <c r="A3521" t="s">
        <v>436</v>
      </c>
      <c r="B3521" t="s">
        <v>826</v>
      </c>
      <c r="C3521" t="str">
        <f t="shared" si="165"/>
        <v>19650940000000</v>
      </c>
      <c r="D3521" t="s">
        <v>3877</v>
      </c>
      <c r="E3521" t="str">
        <f>"19650946023501"</f>
        <v>19650946023501</v>
      </c>
      <c r="F3521" s="8">
        <v>1078.6457489878542</v>
      </c>
      <c r="G3521" s="8">
        <v>7055.8056680161944</v>
      </c>
      <c r="H3521" s="8">
        <v>1490.9696356275304</v>
      </c>
      <c r="I3521" s="8">
        <v>4990.4858299595144</v>
      </c>
    </row>
    <row r="3522" spans="1:9" x14ac:dyDescent="0.2">
      <c r="A3522" t="s">
        <v>436</v>
      </c>
      <c r="B3522" t="s">
        <v>826</v>
      </c>
      <c r="C3522" t="str">
        <f t="shared" si="165"/>
        <v>19650940000000</v>
      </c>
      <c r="D3522" t="s">
        <v>5168</v>
      </c>
      <c r="E3522" t="str">
        <f>"19650946023535"</f>
        <v>19650946023535</v>
      </c>
      <c r="F3522" s="8">
        <v>945.22197802197798</v>
      </c>
      <c r="G3522" s="8">
        <v>7671.6945054945054</v>
      </c>
      <c r="H3522" s="8">
        <v>1490.9692307692308</v>
      </c>
      <c r="I3522" s="8">
        <v>4990.4857142857145</v>
      </c>
    </row>
    <row r="3523" spans="1:9" x14ac:dyDescent="0.2">
      <c r="A3523" t="s">
        <v>436</v>
      </c>
      <c r="B3523" t="s">
        <v>826</v>
      </c>
      <c r="C3523" t="str">
        <f t="shared" si="165"/>
        <v>19650940000000</v>
      </c>
      <c r="D3523" t="s">
        <v>5169</v>
      </c>
      <c r="E3523" t="str">
        <f>"19650946023493"</f>
        <v>19650946023493</v>
      </c>
      <c r="F3523" s="8">
        <v>871.95876288659792</v>
      </c>
      <c r="G3523" s="8">
        <v>6773.934020618557</v>
      </c>
      <c r="H3523" s="8">
        <v>1490.9690721649486</v>
      </c>
      <c r="I3523" s="8">
        <v>4990.4865979381448</v>
      </c>
    </row>
    <row r="3524" spans="1:9" x14ac:dyDescent="0.2">
      <c r="A3524" t="s">
        <v>436</v>
      </c>
      <c r="B3524" t="s">
        <v>826</v>
      </c>
      <c r="C3524" t="str">
        <f t="shared" si="165"/>
        <v>19650940000000</v>
      </c>
      <c r="D3524" t="s">
        <v>5170</v>
      </c>
      <c r="E3524" t="str">
        <f>"19650940116566"</f>
        <v>19650940116566</v>
      </c>
      <c r="F3524" s="8">
        <v>1401.0694864048339</v>
      </c>
      <c r="G3524" s="8">
        <v>10500.018126888217</v>
      </c>
      <c r="H3524" s="8">
        <v>1490.9697885196374</v>
      </c>
      <c r="I3524" s="8">
        <v>4990.4864048338368</v>
      </c>
    </row>
    <row r="3525" spans="1:9" x14ac:dyDescent="0.2">
      <c r="A3525" t="s">
        <v>436</v>
      </c>
      <c r="B3525" t="s">
        <v>826</v>
      </c>
      <c r="C3525" t="str">
        <f t="shared" si="165"/>
        <v>19650940000000</v>
      </c>
      <c r="D3525" t="s">
        <v>5171</v>
      </c>
      <c r="E3525" t="str">
        <f>"19650946023428"</f>
        <v>19650946023428</v>
      </c>
      <c r="F3525" s="8">
        <v>1338.4715025906735</v>
      </c>
      <c r="G3525" s="8">
        <v>6912.443005181347</v>
      </c>
      <c r="H3525" s="8">
        <v>1490.9689119170985</v>
      </c>
      <c r="I3525" s="8">
        <v>4990.4870466321245</v>
      </c>
    </row>
    <row r="3526" spans="1:9" x14ac:dyDescent="0.2">
      <c r="A3526" t="s">
        <v>436</v>
      </c>
      <c r="B3526" t="s">
        <v>826</v>
      </c>
      <c r="C3526" t="str">
        <f t="shared" si="165"/>
        <v>19650940000000</v>
      </c>
      <c r="D3526" t="s">
        <v>5172</v>
      </c>
      <c r="E3526" t="str">
        <f>"19650946023543"</f>
        <v>19650946023543</v>
      </c>
      <c r="F3526" s="8">
        <v>2446.4258373205744</v>
      </c>
      <c r="G3526" s="8">
        <v>13490.133971291865</v>
      </c>
      <c r="H3526" s="8">
        <v>1490.9712918660287</v>
      </c>
      <c r="I3526" s="8">
        <v>4990.4880382775118</v>
      </c>
    </row>
    <row r="3527" spans="1:9" x14ac:dyDescent="0.2">
      <c r="A3527" t="s">
        <v>436</v>
      </c>
      <c r="B3527" t="s">
        <v>826</v>
      </c>
      <c r="C3527" t="str">
        <f t="shared" si="165"/>
        <v>19650940000000</v>
      </c>
      <c r="D3527" t="s">
        <v>5173</v>
      </c>
      <c r="E3527" t="str">
        <f>"19650941938513"</f>
        <v>19650941938513</v>
      </c>
      <c r="F3527" s="8">
        <v>3073.1403508771928</v>
      </c>
      <c r="G3527" s="8">
        <v>30311.429824561405</v>
      </c>
      <c r="H3527" s="8">
        <v>1490.9736842105262</v>
      </c>
      <c r="I3527" s="8">
        <v>4990.4824561403511</v>
      </c>
    </row>
    <row r="3528" spans="1:9" x14ac:dyDescent="0.2">
      <c r="A3528" t="s">
        <v>436</v>
      </c>
      <c r="B3528" t="s">
        <v>826</v>
      </c>
      <c r="C3528" t="str">
        <f t="shared" si="165"/>
        <v>19650940000000</v>
      </c>
      <c r="D3528" t="s">
        <v>3897</v>
      </c>
      <c r="E3528" t="str">
        <f>"19650946023410"</f>
        <v>19650946023410</v>
      </c>
      <c r="F3528" s="8">
        <v>1652.8257261410788</v>
      </c>
      <c r="G3528" s="8">
        <v>8228.8132780082979</v>
      </c>
      <c r="H3528" s="8">
        <v>1490.9709543568465</v>
      </c>
      <c r="I3528" s="8">
        <v>4990.485477178423</v>
      </c>
    </row>
    <row r="3529" spans="1:9" x14ac:dyDescent="0.2">
      <c r="A3529" t="s">
        <v>436</v>
      </c>
      <c r="B3529" t="s">
        <v>826</v>
      </c>
      <c r="C3529" t="str">
        <f t="shared" si="165"/>
        <v>19650940000000</v>
      </c>
      <c r="D3529" t="s">
        <v>5174</v>
      </c>
      <c r="E3529" t="str">
        <f>"19650940137042"</f>
        <v>19650940137042</v>
      </c>
      <c r="F3529" s="8">
        <v>919.9606986899563</v>
      </c>
      <c r="G3529" s="8">
        <v>7459.235807860262</v>
      </c>
      <c r="H3529" s="8">
        <v>1490.9694323144104</v>
      </c>
      <c r="I3529" s="8">
        <v>4990.4847161572052</v>
      </c>
    </row>
    <row r="3530" spans="1:9" x14ac:dyDescent="0.2">
      <c r="A3530" t="s">
        <v>436</v>
      </c>
      <c r="B3530" t="s">
        <v>827</v>
      </c>
      <c r="C3530" t="str">
        <f t="shared" ref="C3530:C3541" si="166">"19651020000000"</f>
        <v>19651020000000</v>
      </c>
      <c r="D3530" t="s">
        <v>5175</v>
      </c>
      <c r="E3530" t="str">
        <f>"19651026023576"</f>
        <v>19651026023576</v>
      </c>
      <c r="F3530" s="8">
        <v>998</v>
      </c>
      <c r="G3530" s="8">
        <v>10472</v>
      </c>
      <c r="H3530" s="8">
        <v>602</v>
      </c>
      <c r="I3530" s="8">
        <v>2897</v>
      </c>
    </row>
    <row r="3531" spans="1:9" x14ac:dyDescent="0.2">
      <c r="A3531" t="s">
        <v>436</v>
      </c>
      <c r="B3531" t="s">
        <v>827</v>
      </c>
      <c r="C3531" t="str">
        <f t="shared" si="166"/>
        <v>19651020000000</v>
      </c>
      <c r="D3531" t="s">
        <v>5176</v>
      </c>
      <c r="E3531" t="str">
        <f>"19651020125690"</f>
        <v>19651020125690</v>
      </c>
      <c r="F3531" s="8">
        <v>958</v>
      </c>
      <c r="G3531" s="8">
        <v>7518</v>
      </c>
      <c r="H3531" s="8">
        <v>602</v>
      </c>
      <c r="I3531" s="8">
        <v>2897</v>
      </c>
    </row>
    <row r="3532" spans="1:9" x14ac:dyDescent="0.2">
      <c r="A3532" t="s">
        <v>436</v>
      </c>
      <c r="B3532" t="s">
        <v>827</v>
      </c>
      <c r="C3532" t="str">
        <f t="shared" si="166"/>
        <v>19651020000000</v>
      </c>
      <c r="D3532" t="s">
        <v>5177</v>
      </c>
      <c r="E3532" t="str">
        <f>"19651026071690"</f>
        <v>19651026071690</v>
      </c>
      <c r="F3532" s="8">
        <v>404</v>
      </c>
      <c r="G3532" s="8">
        <v>7413</v>
      </c>
      <c r="H3532" s="8">
        <v>602</v>
      </c>
      <c r="I3532" s="8">
        <v>2897</v>
      </c>
    </row>
    <row r="3533" spans="1:9" x14ac:dyDescent="0.2">
      <c r="A3533" t="s">
        <v>436</v>
      </c>
      <c r="B3533" t="s">
        <v>827</v>
      </c>
      <c r="C3533" t="str">
        <f t="shared" si="166"/>
        <v>19651020000000</v>
      </c>
      <c r="D3533" t="s">
        <v>5178</v>
      </c>
      <c r="E3533" t="str">
        <f>"19651026023584"</f>
        <v>19651026023584</v>
      </c>
      <c r="F3533" s="8">
        <v>833</v>
      </c>
      <c r="G3533" s="8">
        <v>6900</v>
      </c>
      <c r="H3533" s="8">
        <v>602</v>
      </c>
      <c r="I3533" s="8">
        <v>2897</v>
      </c>
    </row>
    <row r="3534" spans="1:9" x14ac:dyDescent="0.2">
      <c r="A3534" t="s">
        <v>436</v>
      </c>
      <c r="B3534" t="s">
        <v>827</v>
      </c>
      <c r="C3534" t="str">
        <f t="shared" si="166"/>
        <v>19651020000000</v>
      </c>
      <c r="D3534" t="s">
        <v>2328</v>
      </c>
      <c r="E3534" t="str">
        <f>"19651026023592"</f>
        <v>19651026023592</v>
      </c>
      <c r="F3534" s="8">
        <v>890</v>
      </c>
      <c r="G3534" s="8">
        <v>6721</v>
      </c>
      <c r="H3534" s="8">
        <v>602</v>
      </c>
      <c r="I3534" s="8">
        <v>2897</v>
      </c>
    </row>
    <row r="3535" spans="1:9" x14ac:dyDescent="0.2">
      <c r="A3535" t="s">
        <v>436</v>
      </c>
      <c r="B3535" t="s">
        <v>827</v>
      </c>
      <c r="C3535" t="str">
        <f t="shared" si="166"/>
        <v>19651020000000</v>
      </c>
      <c r="D3535" t="s">
        <v>5179</v>
      </c>
      <c r="E3535" t="str">
        <f>"19651026109664"</f>
        <v>19651026109664</v>
      </c>
      <c r="F3535" s="8">
        <v>779</v>
      </c>
      <c r="G3535" s="8">
        <v>6694</v>
      </c>
      <c r="H3535" s="8">
        <v>602</v>
      </c>
      <c r="I3535" s="8">
        <v>2897</v>
      </c>
    </row>
    <row r="3536" spans="1:9" x14ac:dyDescent="0.2">
      <c r="A3536" t="s">
        <v>436</v>
      </c>
      <c r="B3536" t="s">
        <v>827</v>
      </c>
      <c r="C3536" t="str">
        <f t="shared" si="166"/>
        <v>19651020000000</v>
      </c>
      <c r="D3536" t="s">
        <v>2299</v>
      </c>
      <c r="E3536" t="str">
        <f>"19651020101543"</f>
        <v>19651020101543</v>
      </c>
      <c r="F3536" s="8">
        <v>683</v>
      </c>
      <c r="G3536" s="8">
        <v>6662</v>
      </c>
      <c r="H3536" s="8">
        <v>602</v>
      </c>
      <c r="I3536" s="8">
        <v>2897</v>
      </c>
    </row>
    <row r="3537" spans="1:9" x14ac:dyDescent="0.2">
      <c r="A3537" t="s">
        <v>436</v>
      </c>
      <c r="B3537" t="s">
        <v>827</v>
      </c>
      <c r="C3537" t="str">
        <f t="shared" si="166"/>
        <v>19651020000000</v>
      </c>
      <c r="D3537" t="s">
        <v>5180</v>
      </c>
      <c r="E3537" t="str">
        <f>"19651026023568"</f>
        <v>19651026023568</v>
      </c>
      <c r="F3537" s="8">
        <v>371</v>
      </c>
      <c r="G3537" s="8">
        <v>6837</v>
      </c>
      <c r="H3537" s="8">
        <v>602</v>
      </c>
      <c r="I3537" s="8">
        <v>2897</v>
      </c>
    </row>
    <row r="3538" spans="1:9" x14ac:dyDescent="0.2">
      <c r="A3538" t="s">
        <v>436</v>
      </c>
      <c r="B3538" t="s">
        <v>827</v>
      </c>
      <c r="C3538" t="str">
        <f t="shared" si="166"/>
        <v>19651020000000</v>
      </c>
      <c r="D3538" t="s">
        <v>5181</v>
      </c>
      <c r="E3538" t="str">
        <f>"19651026111520"</f>
        <v>19651026111520</v>
      </c>
      <c r="F3538" s="8">
        <v>741</v>
      </c>
      <c r="G3538" s="8">
        <v>6343</v>
      </c>
      <c r="H3538" s="8">
        <v>602</v>
      </c>
      <c r="I3538" s="8">
        <v>2897</v>
      </c>
    </row>
    <row r="3539" spans="1:9" x14ac:dyDescent="0.2">
      <c r="A3539" t="s">
        <v>436</v>
      </c>
      <c r="B3539" t="s">
        <v>827</v>
      </c>
      <c r="C3539" t="str">
        <f t="shared" si="166"/>
        <v>19651020000000</v>
      </c>
      <c r="D3539" t="s">
        <v>3797</v>
      </c>
      <c r="E3539" t="str">
        <f>"19651026110837"</f>
        <v>19651026110837</v>
      </c>
      <c r="F3539" s="8">
        <v>481</v>
      </c>
      <c r="G3539" s="8">
        <v>6467</v>
      </c>
      <c r="H3539" s="8">
        <v>602</v>
      </c>
      <c r="I3539" s="8">
        <v>2897</v>
      </c>
    </row>
    <row r="3540" spans="1:9" x14ac:dyDescent="0.2">
      <c r="A3540" t="s">
        <v>436</v>
      </c>
      <c r="B3540" t="s">
        <v>827</v>
      </c>
      <c r="C3540" t="str">
        <f t="shared" si="166"/>
        <v>19651020000000</v>
      </c>
      <c r="D3540" t="s">
        <v>5182</v>
      </c>
      <c r="E3540" t="str">
        <f>"19651020110098"</f>
        <v>19651020110098</v>
      </c>
      <c r="F3540" s="8">
        <v>661</v>
      </c>
      <c r="G3540" s="8">
        <v>5703</v>
      </c>
      <c r="H3540" s="8">
        <v>602</v>
      </c>
      <c r="I3540" s="8">
        <v>2897</v>
      </c>
    </row>
    <row r="3541" spans="1:9" x14ac:dyDescent="0.2">
      <c r="A3541" t="s">
        <v>436</v>
      </c>
      <c r="B3541" t="s">
        <v>827</v>
      </c>
      <c r="C3541" t="str">
        <f t="shared" si="166"/>
        <v>19651020000000</v>
      </c>
      <c r="D3541" t="s">
        <v>4959</v>
      </c>
      <c r="E3541" t="str">
        <f>"19651026108245"</f>
        <v>19651026108245</v>
      </c>
      <c r="F3541" s="8">
        <v>540</v>
      </c>
      <c r="G3541" s="8">
        <v>5775</v>
      </c>
      <c r="H3541" s="8">
        <v>602</v>
      </c>
      <c r="I3541" s="8">
        <v>2897</v>
      </c>
    </row>
    <row r="3542" spans="1:9" x14ac:dyDescent="0.2">
      <c r="A3542" t="s">
        <v>436</v>
      </c>
      <c r="B3542" t="s">
        <v>828</v>
      </c>
      <c r="C3542" t="str">
        <f t="shared" ref="C3542:C3552" si="167">"19651100000000"</f>
        <v>19651100000000</v>
      </c>
      <c r="D3542" t="s">
        <v>5183</v>
      </c>
      <c r="E3542" t="str">
        <f>"19651106023675"</f>
        <v>19651106023675</v>
      </c>
      <c r="F3542" s="8">
        <v>124</v>
      </c>
      <c r="G3542" s="8">
        <v>6490</v>
      </c>
      <c r="H3542" s="8">
        <v>2307</v>
      </c>
      <c r="I3542" s="8">
        <v>5357</v>
      </c>
    </row>
    <row r="3543" spans="1:9" x14ac:dyDescent="0.2">
      <c r="A3543" t="s">
        <v>436</v>
      </c>
      <c r="B3543" t="s">
        <v>828</v>
      </c>
      <c r="C3543" t="str">
        <f t="shared" si="167"/>
        <v>19651100000000</v>
      </c>
      <c r="D3543" t="s">
        <v>5184</v>
      </c>
      <c r="E3543" t="str">
        <f>"19651106023634"</f>
        <v>19651106023634</v>
      </c>
      <c r="F3543" s="8">
        <v>71</v>
      </c>
      <c r="G3543" s="8">
        <v>6151</v>
      </c>
      <c r="H3543" s="8">
        <v>2307</v>
      </c>
      <c r="I3543" s="8">
        <v>5357</v>
      </c>
    </row>
    <row r="3544" spans="1:9" x14ac:dyDescent="0.2">
      <c r="A3544" t="s">
        <v>436</v>
      </c>
      <c r="B3544" t="s">
        <v>828</v>
      </c>
      <c r="C3544" t="str">
        <f t="shared" si="167"/>
        <v>19651100000000</v>
      </c>
      <c r="D3544" t="s">
        <v>5185</v>
      </c>
      <c r="E3544" t="str">
        <f>"19651106023725"</f>
        <v>19651106023725</v>
      </c>
      <c r="F3544" s="8">
        <v>67</v>
      </c>
      <c r="G3544" s="8">
        <v>6113</v>
      </c>
      <c r="H3544" s="8">
        <v>2307</v>
      </c>
      <c r="I3544" s="8">
        <v>5357</v>
      </c>
    </row>
    <row r="3545" spans="1:9" x14ac:dyDescent="0.2">
      <c r="A3545" t="s">
        <v>436</v>
      </c>
      <c r="B3545" t="s">
        <v>828</v>
      </c>
      <c r="C3545" t="str">
        <f t="shared" si="167"/>
        <v>19651100000000</v>
      </c>
      <c r="D3545" t="s">
        <v>5186</v>
      </c>
      <c r="E3545" t="str">
        <f>"19651106023709"</f>
        <v>19651106023709</v>
      </c>
      <c r="F3545" s="8">
        <v>51</v>
      </c>
      <c r="G3545" s="8">
        <v>6121</v>
      </c>
      <c r="H3545" s="8">
        <v>2307</v>
      </c>
      <c r="I3545" s="8">
        <v>5357</v>
      </c>
    </row>
    <row r="3546" spans="1:9" x14ac:dyDescent="0.2">
      <c r="A3546" t="s">
        <v>436</v>
      </c>
      <c r="B3546" t="s">
        <v>828</v>
      </c>
      <c r="C3546" t="str">
        <f t="shared" si="167"/>
        <v>19651100000000</v>
      </c>
      <c r="D3546" t="s">
        <v>3246</v>
      </c>
      <c r="E3546" t="str">
        <f>"19651106023667"</f>
        <v>19651106023667</v>
      </c>
      <c r="F3546" s="8">
        <v>118</v>
      </c>
      <c r="G3546" s="8">
        <v>5981</v>
      </c>
      <c r="H3546" s="8">
        <v>2307</v>
      </c>
      <c r="I3546" s="8">
        <v>5357</v>
      </c>
    </row>
    <row r="3547" spans="1:9" x14ac:dyDescent="0.2">
      <c r="A3547" t="s">
        <v>436</v>
      </c>
      <c r="B3547" t="s">
        <v>828</v>
      </c>
      <c r="C3547" t="str">
        <f t="shared" si="167"/>
        <v>19651100000000</v>
      </c>
      <c r="D3547" t="s">
        <v>5187</v>
      </c>
      <c r="E3547" t="str">
        <f>"19651106023733"</f>
        <v>19651106023733</v>
      </c>
      <c r="F3547" s="8">
        <v>87</v>
      </c>
      <c r="G3547" s="8">
        <v>5969</v>
      </c>
      <c r="H3547" s="8">
        <v>2307</v>
      </c>
      <c r="I3547" s="8">
        <v>5357</v>
      </c>
    </row>
    <row r="3548" spans="1:9" x14ac:dyDescent="0.2">
      <c r="A3548" t="s">
        <v>436</v>
      </c>
      <c r="B3548" t="s">
        <v>828</v>
      </c>
      <c r="C3548" t="str">
        <f t="shared" si="167"/>
        <v>19651100000000</v>
      </c>
      <c r="D3548" t="s">
        <v>5188</v>
      </c>
      <c r="E3548" t="str">
        <f>"19651106023691"</f>
        <v>19651106023691</v>
      </c>
      <c r="F3548" s="8">
        <v>79</v>
      </c>
      <c r="G3548" s="8">
        <v>5898</v>
      </c>
      <c r="H3548" s="8">
        <v>2307</v>
      </c>
      <c r="I3548" s="8">
        <v>5357</v>
      </c>
    </row>
    <row r="3549" spans="1:9" x14ac:dyDescent="0.2">
      <c r="A3549" t="s">
        <v>436</v>
      </c>
      <c r="B3549" t="s">
        <v>828</v>
      </c>
      <c r="C3549" t="str">
        <f t="shared" si="167"/>
        <v>19651100000000</v>
      </c>
      <c r="D3549" t="s">
        <v>5189</v>
      </c>
      <c r="E3549" t="str">
        <f>"19651106023683"</f>
        <v>19651106023683</v>
      </c>
      <c r="F3549" s="8">
        <v>139</v>
      </c>
      <c r="G3549" s="8">
        <v>5829</v>
      </c>
      <c r="H3549" s="8">
        <v>2307</v>
      </c>
      <c r="I3549" s="8">
        <v>5357</v>
      </c>
    </row>
    <row r="3550" spans="1:9" x14ac:dyDescent="0.2">
      <c r="A3550" t="s">
        <v>436</v>
      </c>
      <c r="B3550" t="s">
        <v>828</v>
      </c>
      <c r="C3550" t="str">
        <f t="shared" si="167"/>
        <v>19651100000000</v>
      </c>
      <c r="D3550" t="s">
        <v>5190</v>
      </c>
      <c r="E3550" t="str">
        <f>"19651106023717"</f>
        <v>19651106023717</v>
      </c>
      <c r="F3550" s="8">
        <v>107</v>
      </c>
      <c r="G3550" s="8">
        <v>5731</v>
      </c>
      <c r="H3550" s="8">
        <v>2307</v>
      </c>
      <c r="I3550" s="8">
        <v>5357</v>
      </c>
    </row>
    <row r="3551" spans="1:9" x14ac:dyDescent="0.2">
      <c r="A3551" t="s">
        <v>436</v>
      </c>
      <c r="B3551" t="s">
        <v>828</v>
      </c>
      <c r="C3551" t="str">
        <f t="shared" si="167"/>
        <v>19651100000000</v>
      </c>
      <c r="D3551" t="s">
        <v>5191</v>
      </c>
      <c r="E3551" t="str">
        <f>"19651106023659"</f>
        <v>19651106023659</v>
      </c>
      <c r="F3551" s="8">
        <v>125</v>
      </c>
      <c r="G3551" s="8">
        <v>5689</v>
      </c>
      <c r="H3551" s="8">
        <v>2307</v>
      </c>
      <c r="I3551" s="8">
        <v>5357</v>
      </c>
    </row>
    <row r="3552" spans="1:9" x14ac:dyDescent="0.2">
      <c r="A3552" t="s">
        <v>436</v>
      </c>
      <c r="B3552" t="s">
        <v>828</v>
      </c>
      <c r="C3552" t="str">
        <f t="shared" si="167"/>
        <v>19651100000000</v>
      </c>
      <c r="D3552" t="s">
        <v>5192</v>
      </c>
      <c r="E3552" t="str">
        <f>"19651106023626"</f>
        <v>19651106023626</v>
      </c>
      <c r="F3552" s="8">
        <v>105</v>
      </c>
      <c r="G3552" s="8">
        <v>5351</v>
      </c>
      <c r="H3552" s="8">
        <v>2307</v>
      </c>
      <c r="I3552" s="8">
        <v>5357</v>
      </c>
    </row>
    <row r="3553" spans="1:9" x14ac:dyDescent="0.2">
      <c r="A3553" t="s">
        <v>436</v>
      </c>
      <c r="B3553" t="s">
        <v>829</v>
      </c>
      <c r="C3553" t="str">
        <f t="shared" ref="C3553:C3559" si="168">"19651280000000"</f>
        <v>19651280000000</v>
      </c>
      <c r="D3553" t="s">
        <v>5193</v>
      </c>
      <c r="E3553" t="str">
        <f>"19651281995653"</f>
        <v>19651281995653</v>
      </c>
      <c r="F3553" s="8">
        <v>933</v>
      </c>
      <c r="G3553" s="8">
        <v>9824</v>
      </c>
      <c r="H3553" s="8">
        <v>1072</v>
      </c>
      <c r="I3553" s="8">
        <v>4985</v>
      </c>
    </row>
    <row r="3554" spans="1:9" x14ac:dyDescent="0.2">
      <c r="A3554" t="s">
        <v>436</v>
      </c>
      <c r="B3554" t="s">
        <v>829</v>
      </c>
      <c r="C3554" t="str">
        <f t="shared" si="168"/>
        <v>19651280000000</v>
      </c>
      <c r="D3554" t="s">
        <v>5194</v>
      </c>
      <c r="E3554" t="str">
        <f>"19651281936889"</f>
        <v>19651281936889</v>
      </c>
      <c r="F3554" s="8">
        <v>730</v>
      </c>
      <c r="G3554" s="8">
        <v>9381</v>
      </c>
      <c r="H3554" s="8">
        <v>1072</v>
      </c>
      <c r="I3554" s="8">
        <v>4985</v>
      </c>
    </row>
    <row r="3555" spans="1:9" x14ac:dyDescent="0.2">
      <c r="A3555" t="s">
        <v>436</v>
      </c>
      <c r="B3555" t="s">
        <v>829</v>
      </c>
      <c r="C3555" t="str">
        <f t="shared" si="168"/>
        <v>19651280000000</v>
      </c>
      <c r="D3555" t="s">
        <v>5195</v>
      </c>
      <c r="E3555" t="str">
        <f>"19651281939701"</f>
        <v>19651281939701</v>
      </c>
      <c r="F3555" s="8">
        <v>819</v>
      </c>
      <c r="G3555" s="8">
        <v>8491</v>
      </c>
      <c r="H3555" s="8">
        <v>1072</v>
      </c>
      <c r="I3555" s="8">
        <v>4985</v>
      </c>
    </row>
    <row r="3556" spans="1:9" x14ac:dyDescent="0.2">
      <c r="A3556" t="s">
        <v>436</v>
      </c>
      <c r="B3556" t="s">
        <v>829</v>
      </c>
      <c r="C3556" t="str">
        <f t="shared" si="168"/>
        <v>19651280000000</v>
      </c>
      <c r="D3556" t="s">
        <v>5196</v>
      </c>
      <c r="E3556" t="str">
        <f>"19651281937903"</f>
        <v>19651281937903</v>
      </c>
      <c r="F3556" s="8">
        <v>361</v>
      </c>
      <c r="G3556" s="8">
        <v>8207</v>
      </c>
      <c r="H3556" s="8">
        <v>1072</v>
      </c>
      <c r="I3556" s="8">
        <v>4985</v>
      </c>
    </row>
    <row r="3557" spans="1:9" x14ac:dyDescent="0.2">
      <c r="A3557" t="s">
        <v>436</v>
      </c>
      <c r="B3557" t="s">
        <v>829</v>
      </c>
      <c r="C3557" t="str">
        <f t="shared" si="168"/>
        <v>19651280000000</v>
      </c>
      <c r="D3557" t="s">
        <v>2652</v>
      </c>
      <c r="E3557" t="str">
        <f>"19651281931302"</f>
        <v>19651281931302</v>
      </c>
      <c r="F3557" s="8">
        <v>289</v>
      </c>
      <c r="G3557" s="8">
        <v>7814</v>
      </c>
      <c r="H3557" s="8">
        <v>1072</v>
      </c>
      <c r="I3557" s="8">
        <v>4985</v>
      </c>
    </row>
    <row r="3558" spans="1:9" x14ac:dyDescent="0.2">
      <c r="A3558" t="s">
        <v>436</v>
      </c>
      <c r="B3558" t="s">
        <v>829</v>
      </c>
      <c r="C3558" t="str">
        <f t="shared" si="168"/>
        <v>19651280000000</v>
      </c>
      <c r="D3558" t="s">
        <v>5197</v>
      </c>
      <c r="E3558" t="str">
        <f>"19651281930338"</f>
        <v>19651281930338</v>
      </c>
      <c r="F3558" s="8">
        <v>1275</v>
      </c>
      <c r="G3558" s="8">
        <v>6812</v>
      </c>
      <c r="H3558" s="8">
        <v>1072</v>
      </c>
      <c r="I3558" s="8">
        <v>4985</v>
      </c>
    </row>
    <row r="3559" spans="1:9" x14ac:dyDescent="0.2">
      <c r="A3559" t="s">
        <v>436</v>
      </c>
      <c r="B3559" t="s">
        <v>829</v>
      </c>
      <c r="C3559" t="str">
        <f t="shared" si="168"/>
        <v>19651280000000</v>
      </c>
      <c r="D3559" t="s">
        <v>5198</v>
      </c>
      <c r="E3559" t="str">
        <f>"19651281934868"</f>
        <v>19651281934868</v>
      </c>
      <c r="F3559" s="8">
        <v>303</v>
      </c>
      <c r="G3559" s="8">
        <v>7264</v>
      </c>
      <c r="H3559" s="8">
        <v>1072</v>
      </c>
      <c r="I3559" s="8">
        <v>4985</v>
      </c>
    </row>
    <row r="3560" spans="1:9" x14ac:dyDescent="0.2">
      <c r="A3560" t="s">
        <v>436</v>
      </c>
      <c r="B3560" t="s">
        <v>832</v>
      </c>
      <c r="C3560" t="str">
        <f t="shared" ref="C3560:C3575" si="169">"19651360000000"</f>
        <v>19651360000000</v>
      </c>
      <c r="D3560" t="s">
        <v>5199</v>
      </c>
      <c r="E3560" t="str">
        <f>"19651361934421"</f>
        <v>19651361934421</v>
      </c>
      <c r="F3560" s="8">
        <v>77</v>
      </c>
      <c r="G3560" s="8">
        <v>12796</v>
      </c>
      <c r="H3560" s="8">
        <v>648</v>
      </c>
      <c r="I3560" s="8">
        <v>3241</v>
      </c>
    </row>
    <row r="3561" spans="1:9" x14ac:dyDescent="0.2">
      <c r="A3561" t="s">
        <v>436</v>
      </c>
      <c r="B3561" t="s">
        <v>832</v>
      </c>
      <c r="C3561" t="str">
        <f t="shared" si="169"/>
        <v>19651360000000</v>
      </c>
      <c r="D3561" t="s">
        <v>5200</v>
      </c>
      <c r="E3561" t="str">
        <f>"19651360138727"</f>
        <v>19651360138727</v>
      </c>
      <c r="F3561" s="8">
        <v>0</v>
      </c>
      <c r="G3561" s="8">
        <v>10142</v>
      </c>
      <c r="H3561" s="8">
        <v>648</v>
      </c>
      <c r="I3561" s="8">
        <v>3241</v>
      </c>
    </row>
    <row r="3562" spans="1:9" x14ac:dyDescent="0.2">
      <c r="A3562" t="s">
        <v>436</v>
      </c>
      <c r="B3562" t="s">
        <v>832</v>
      </c>
      <c r="C3562" t="str">
        <f t="shared" si="169"/>
        <v>19651360000000</v>
      </c>
      <c r="D3562" t="s">
        <v>5201</v>
      </c>
      <c r="E3562" t="str">
        <f>"19651366111926"</f>
        <v>19651366111926</v>
      </c>
      <c r="F3562" s="8">
        <v>926</v>
      </c>
      <c r="G3562" s="8">
        <v>7748</v>
      </c>
      <c r="H3562" s="8">
        <v>648</v>
      </c>
      <c r="I3562" s="8">
        <v>3241</v>
      </c>
    </row>
    <row r="3563" spans="1:9" x14ac:dyDescent="0.2">
      <c r="A3563" t="s">
        <v>436</v>
      </c>
      <c r="B3563" t="s">
        <v>832</v>
      </c>
      <c r="C3563" t="str">
        <f t="shared" si="169"/>
        <v>19651360000000</v>
      </c>
      <c r="D3563" t="s">
        <v>5202</v>
      </c>
      <c r="E3563" t="str">
        <f>"19651360101022"</f>
        <v>19651360101022</v>
      </c>
      <c r="F3563" s="8">
        <v>1130</v>
      </c>
      <c r="G3563" s="8">
        <v>7202</v>
      </c>
      <c r="H3563" s="8">
        <v>648</v>
      </c>
      <c r="I3563" s="8">
        <v>3241</v>
      </c>
    </row>
    <row r="3564" spans="1:9" x14ac:dyDescent="0.2">
      <c r="A3564" t="s">
        <v>436</v>
      </c>
      <c r="B3564" t="s">
        <v>832</v>
      </c>
      <c r="C3564" t="str">
        <f t="shared" si="169"/>
        <v>19651360000000</v>
      </c>
      <c r="D3564" t="s">
        <v>5203</v>
      </c>
      <c r="E3564" t="str">
        <f>"19651361995802"</f>
        <v>19651361995802</v>
      </c>
      <c r="F3564" s="8">
        <v>100</v>
      </c>
      <c r="G3564" s="8">
        <v>7744</v>
      </c>
      <c r="H3564" s="8">
        <v>648</v>
      </c>
      <c r="I3564" s="8">
        <v>3241</v>
      </c>
    </row>
    <row r="3565" spans="1:9" x14ac:dyDescent="0.2">
      <c r="A3565" t="s">
        <v>436</v>
      </c>
      <c r="B3565" t="s">
        <v>832</v>
      </c>
      <c r="C3565" t="str">
        <f t="shared" si="169"/>
        <v>19651360000000</v>
      </c>
      <c r="D3565" t="s">
        <v>3322</v>
      </c>
      <c r="E3565" t="str">
        <f>"19651360102459"</f>
        <v>19651360102459</v>
      </c>
      <c r="F3565" s="8">
        <v>222</v>
      </c>
      <c r="G3565" s="8">
        <v>7512</v>
      </c>
      <c r="H3565" s="8">
        <v>648</v>
      </c>
      <c r="I3565" s="8">
        <v>3241</v>
      </c>
    </row>
    <row r="3566" spans="1:9" x14ac:dyDescent="0.2">
      <c r="A3566" t="s">
        <v>436</v>
      </c>
      <c r="B3566" t="s">
        <v>832</v>
      </c>
      <c r="C3566" t="str">
        <f t="shared" si="169"/>
        <v>19651360000000</v>
      </c>
      <c r="D3566" t="s">
        <v>5204</v>
      </c>
      <c r="E3566" t="str">
        <f>"19651366058572"</f>
        <v>19651366058572</v>
      </c>
      <c r="F3566" s="8">
        <v>385</v>
      </c>
      <c r="G3566" s="8">
        <v>7326</v>
      </c>
      <c r="H3566" s="8">
        <v>648</v>
      </c>
      <c r="I3566" s="8">
        <v>3241</v>
      </c>
    </row>
    <row r="3567" spans="1:9" x14ac:dyDescent="0.2">
      <c r="A3567" t="s">
        <v>436</v>
      </c>
      <c r="B3567" t="s">
        <v>832</v>
      </c>
      <c r="C3567" t="str">
        <f t="shared" si="169"/>
        <v>19651360000000</v>
      </c>
      <c r="D3567" t="s">
        <v>5205</v>
      </c>
      <c r="E3567" t="str">
        <f>"19651360102467"</f>
        <v>19651360102467</v>
      </c>
      <c r="F3567" s="8">
        <v>623</v>
      </c>
      <c r="G3567" s="8">
        <v>7079</v>
      </c>
      <c r="H3567" s="8">
        <v>648</v>
      </c>
      <c r="I3567" s="8">
        <v>3241</v>
      </c>
    </row>
    <row r="3568" spans="1:9" x14ac:dyDescent="0.2">
      <c r="A3568" t="s">
        <v>436</v>
      </c>
      <c r="B3568" t="s">
        <v>832</v>
      </c>
      <c r="C3568" t="str">
        <f t="shared" si="169"/>
        <v>19651360000000</v>
      </c>
      <c r="D3568" t="s">
        <v>5206</v>
      </c>
      <c r="E3568" t="str">
        <f>"19651361933902"</f>
        <v>19651361933902</v>
      </c>
      <c r="F3568" s="8">
        <v>116</v>
      </c>
      <c r="G3568" s="8">
        <v>7514</v>
      </c>
      <c r="H3568" s="8">
        <v>648</v>
      </c>
      <c r="I3568" s="8">
        <v>3241</v>
      </c>
    </row>
    <row r="3569" spans="1:9" x14ac:dyDescent="0.2">
      <c r="A3569" t="s">
        <v>436</v>
      </c>
      <c r="B3569" t="s">
        <v>832</v>
      </c>
      <c r="C3569" t="str">
        <f t="shared" si="169"/>
        <v>19651360000000</v>
      </c>
      <c r="D3569" t="s">
        <v>5207</v>
      </c>
      <c r="E3569" t="str">
        <f>"19651361931492"</f>
        <v>19651361931492</v>
      </c>
      <c r="F3569" s="8">
        <v>150</v>
      </c>
      <c r="G3569" s="8">
        <v>7277</v>
      </c>
      <c r="H3569" s="8">
        <v>648</v>
      </c>
      <c r="I3569" s="8">
        <v>3241</v>
      </c>
    </row>
    <row r="3570" spans="1:9" x14ac:dyDescent="0.2">
      <c r="A3570" t="s">
        <v>436</v>
      </c>
      <c r="B3570" t="s">
        <v>832</v>
      </c>
      <c r="C3570" t="str">
        <f t="shared" si="169"/>
        <v>19651360000000</v>
      </c>
      <c r="D3570" t="s">
        <v>5208</v>
      </c>
      <c r="E3570" t="str">
        <f>"19651366058580"</f>
        <v>19651366058580</v>
      </c>
      <c r="F3570" s="8">
        <v>407</v>
      </c>
      <c r="G3570" s="8">
        <v>6759</v>
      </c>
      <c r="H3570" s="8">
        <v>648</v>
      </c>
      <c r="I3570" s="8">
        <v>3241</v>
      </c>
    </row>
    <row r="3571" spans="1:9" x14ac:dyDescent="0.2">
      <c r="A3571" t="s">
        <v>436</v>
      </c>
      <c r="B3571" t="s">
        <v>832</v>
      </c>
      <c r="C3571" t="str">
        <f t="shared" si="169"/>
        <v>19651360000000</v>
      </c>
      <c r="D3571" t="s">
        <v>5209</v>
      </c>
      <c r="E3571" t="str">
        <f>"19651360102475"</f>
        <v>19651360102475</v>
      </c>
      <c r="F3571" s="8">
        <v>14</v>
      </c>
      <c r="G3571" s="8">
        <v>7113</v>
      </c>
      <c r="H3571" s="8">
        <v>648</v>
      </c>
      <c r="I3571" s="8">
        <v>3241</v>
      </c>
    </row>
    <row r="3572" spans="1:9" x14ac:dyDescent="0.2">
      <c r="A3572" t="s">
        <v>436</v>
      </c>
      <c r="B3572" t="s">
        <v>832</v>
      </c>
      <c r="C3572" t="str">
        <f t="shared" si="169"/>
        <v>19651360000000</v>
      </c>
      <c r="D3572" t="s">
        <v>5210</v>
      </c>
      <c r="E3572" t="str">
        <f>"19651366058564"</f>
        <v>19651366058564</v>
      </c>
      <c r="F3572" s="8">
        <v>258</v>
      </c>
      <c r="G3572" s="8">
        <v>6707</v>
      </c>
      <c r="H3572" s="8">
        <v>648</v>
      </c>
      <c r="I3572" s="8">
        <v>3241</v>
      </c>
    </row>
    <row r="3573" spans="1:9" x14ac:dyDescent="0.2">
      <c r="A3573" t="s">
        <v>436</v>
      </c>
      <c r="B3573" t="s">
        <v>832</v>
      </c>
      <c r="C3573" t="str">
        <f t="shared" si="169"/>
        <v>19651360000000</v>
      </c>
      <c r="D3573" t="s">
        <v>5211</v>
      </c>
      <c r="E3573" t="str">
        <f>"19651361931740"</f>
        <v>19651361931740</v>
      </c>
      <c r="F3573" s="8">
        <v>0</v>
      </c>
      <c r="G3573" s="8">
        <v>6803</v>
      </c>
      <c r="H3573" s="8">
        <v>648</v>
      </c>
      <c r="I3573" s="8">
        <v>3241</v>
      </c>
    </row>
    <row r="3574" spans="1:9" x14ac:dyDescent="0.2">
      <c r="A3574" t="s">
        <v>436</v>
      </c>
      <c r="B3574" t="s">
        <v>832</v>
      </c>
      <c r="C3574" t="str">
        <f t="shared" si="169"/>
        <v>19651360000000</v>
      </c>
      <c r="D3574" t="s">
        <v>5212</v>
      </c>
      <c r="E3574" t="str">
        <f>"19651361932532"</f>
        <v>19651361932532</v>
      </c>
      <c r="F3574" s="8">
        <v>0</v>
      </c>
      <c r="G3574" s="8">
        <v>6026</v>
      </c>
      <c r="H3574" s="8">
        <v>648</v>
      </c>
      <c r="I3574" s="8">
        <v>3241</v>
      </c>
    </row>
    <row r="3575" spans="1:9" x14ac:dyDescent="0.2">
      <c r="A3575" t="s">
        <v>436</v>
      </c>
      <c r="B3575" t="s">
        <v>832</v>
      </c>
      <c r="C3575" t="str">
        <f t="shared" si="169"/>
        <v>19651360000000</v>
      </c>
      <c r="D3575" t="s">
        <v>5213</v>
      </c>
      <c r="E3575" t="str">
        <f>"19651361996321"</f>
        <v>19651361996321</v>
      </c>
      <c r="F3575" s="8">
        <v>0</v>
      </c>
      <c r="G3575" s="8">
        <v>5797</v>
      </c>
      <c r="H3575" s="8">
        <v>648</v>
      </c>
      <c r="I3575" s="8">
        <v>3241</v>
      </c>
    </row>
    <row r="3576" spans="1:9" x14ac:dyDescent="0.2">
      <c r="A3576" t="s">
        <v>436</v>
      </c>
      <c r="B3576" t="s">
        <v>833</v>
      </c>
      <c r="C3576" t="str">
        <f>"19651510000000"</f>
        <v>19651510000000</v>
      </c>
      <c r="D3576" t="s">
        <v>5214</v>
      </c>
      <c r="E3576" t="str">
        <f>"19651516120836"</f>
        <v>19651516120836</v>
      </c>
      <c r="F3576" s="8">
        <v>0</v>
      </c>
      <c r="G3576" s="8">
        <v>29818</v>
      </c>
      <c r="H3576" s="8">
        <v>3663</v>
      </c>
      <c r="I3576" s="8">
        <v>5879</v>
      </c>
    </row>
    <row r="3577" spans="1:9" x14ac:dyDescent="0.2">
      <c r="A3577" t="s">
        <v>436</v>
      </c>
      <c r="B3577" t="s">
        <v>833</v>
      </c>
      <c r="C3577" t="str">
        <f>"19651510000000"</f>
        <v>19651510000000</v>
      </c>
      <c r="D3577" t="s">
        <v>5215</v>
      </c>
      <c r="E3577" t="str">
        <f>"19651516106785"</f>
        <v>19651516106785</v>
      </c>
      <c r="F3577" s="8">
        <v>242</v>
      </c>
      <c r="G3577" s="8">
        <v>6514</v>
      </c>
      <c r="H3577" s="8">
        <v>3663</v>
      </c>
      <c r="I3577" s="8">
        <v>5879</v>
      </c>
    </row>
    <row r="3578" spans="1:9" x14ac:dyDescent="0.2">
      <c r="A3578" t="s">
        <v>436</v>
      </c>
      <c r="B3578" t="s">
        <v>833</v>
      </c>
      <c r="C3578" t="str">
        <f>"19651510000000"</f>
        <v>19651510000000</v>
      </c>
      <c r="D3578" t="s">
        <v>5216</v>
      </c>
      <c r="E3578" t="str">
        <f>"19651516106561"</f>
        <v>19651516106561</v>
      </c>
      <c r="F3578" s="8">
        <v>518</v>
      </c>
      <c r="G3578" s="8">
        <v>6146</v>
      </c>
      <c r="H3578" s="8">
        <v>3663</v>
      </c>
      <c r="I3578" s="8">
        <v>5879</v>
      </c>
    </row>
    <row r="3579" spans="1:9" x14ac:dyDescent="0.2">
      <c r="A3579" t="s">
        <v>436</v>
      </c>
      <c r="B3579" t="s">
        <v>834</v>
      </c>
      <c r="C3579" t="str">
        <f>"19768690000000"</f>
        <v>19768690000000</v>
      </c>
      <c r="D3579" t="s">
        <v>5217</v>
      </c>
      <c r="E3579" t="str">
        <f>"19768690138545"</f>
        <v>19768690138545</v>
      </c>
      <c r="F3579" s="8">
        <v>309</v>
      </c>
      <c r="G3579" s="8">
        <v>37574</v>
      </c>
      <c r="H3579" s="8">
        <v>80679</v>
      </c>
      <c r="I3579" s="8">
        <v>423479</v>
      </c>
    </row>
    <row r="3580" spans="1:9" x14ac:dyDescent="0.2">
      <c r="A3580" t="s">
        <v>436</v>
      </c>
      <c r="B3580" t="s">
        <v>834</v>
      </c>
      <c r="C3580" t="str">
        <f>"19768690000000"</f>
        <v>19768690000000</v>
      </c>
      <c r="D3580" t="s">
        <v>5218</v>
      </c>
      <c r="E3580" t="str">
        <f>"19768696023816"</f>
        <v>19768696023816</v>
      </c>
      <c r="F3580" s="8">
        <v>874</v>
      </c>
      <c r="G3580" s="8">
        <v>7075</v>
      </c>
      <c r="H3580" s="8">
        <v>4361</v>
      </c>
      <c r="I3580" s="8">
        <v>22891</v>
      </c>
    </row>
    <row r="3581" spans="1:9" x14ac:dyDescent="0.2">
      <c r="A3581" t="s">
        <v>436</v>
      </c>
      <c r="B3581" t="s">
        <v>834</v>
      </c>
      <c r="C3581" t="str">
        <f>"19768690000000"</f>
        <v>19768690000000</v>
      </c>
      <c r="D3581" t="s">
        <v>5219</v>
      </c>
      <c r="E3581" t="str">
        <f>"19768696023824"</f>
        <v>19768696023824</v>
      </c>
      <c r="F3581" s="8">
        <v>367</v>
      </c>
      <c r="G3581" s="8">
        <v>8556</v>
      </c>
      <c r="H3581" s="8">
        <v>4129</v>
      </c>
      <c r="I3581" s="8">
        <v>21671</v>
      </c>
    </row>
    <row r="3582" spans="1:9" x14ac:dyDescent="0.2">
      <c r="A3582" t="s">
        <v>436</v>
      </c>
      <c r="B3582" t="s">
        <v>834</v>
      </c>
      <c r="C3582" t="str">
        <f>"19768690000000"</f>
        <v>19768690000000</v>
      </c>
      <c r="D3582" t="s">
        <v>5220</v>
      </c>
      <c r="E3582" t="str">
        <f>"19768696023808"</f>
        <v>19768696023808</v>
      </c>
      <c r="F3582" s="8">
        <v>1033</v>
      </c>
      <c r="G3582" s="8">
        <v>7205</v>
      </c>
      <c r="H3582" s="8">
        <v>3321</v>
      </c>
      <c r="I3582" s="8">
        <v>17433</v>
      </c>
    </row>
    <row r="3583" spans="1:9" x14ac:dyDescent="0.2">
      <c r="A3583" t="s">
        <v>436</v>
      </c>
      <c r="B3583" t="s">
        <v>834</v>
      </c>
      <c r="C3583" t="str">
        <f>"19768690000000"</f>
        <v>19768690000000</v>
      </c>
      <c r="D3583" t="s">
        <v>3608</v>
      </c>
      <c r="E3583" t="str">
        <f>"19768696023832"</f>
        <v>19768696023832</v>
      </c>
      <c r="F3583" s="8">
        <v>338</v>
      </c>
      <c r="G3583" s="8">
        <v>5750</v>
      </c>
      <c r="H3583" s="8">
        <v>1980</v>
      </c>
      <c r="I3583" s="8">
        <v>10392</v>
      </c>
    </row>
    <row r="3584" spans="1:9" x14ac:dyDescent="0.2">
      <c r="A3584" t="s">
        <v>837</v>
      </c>
      <c r="B3584" t="s">
        <v>838</v>
      </c>
      <c r="C3584" t="str">
        <f>"20651770000000"</f>
        <v>20651770000000</v>
      </c>
      <c r="D3584" t="s">
        <v>5221</v>
      </c>
      <c r="E3584" t="str">
        <f>"20651776023923"</f>
        <v>20651776023923</v>
      </c>
      <c r="F3584" s="8">
        <v>1368</v>
      </c>
      <c r="G3584" s="8">
        <v>5310</v>
      </c>
      <c r="H3584" s="8">
        <v>533</v>
      </c>
      <c r="I3584" s="8">
        <v>6129</v>
      </c>
    </row>
    <row r="3585" spans="1:9" x14ac:dyDescent="0.2">
      <c r="A3585" t="s">
        <v>837</v>
      </c>
      <c r="B3585" t="s">
        <v>838</v>
      </c>
      <c r="C3585" t="str">
        <f>"20651770000000"</f>
        <v>20651770000000</v>
      </c>
      <c r="D3585" t="s">
        <v>5222</v>
      </c>
      <c r="E3585" t="str">
        <f>"20651776023865"</f>
        <v>20651776023865</v>
      </c>
      <c r="F3585" s="8">
        <v>1394</v>
      </c>
      <c r="G3585" s="8">
        <v>5482</v>
      </c>
      <c r="H3585" s="8">
        <v>542</v>
      </c>
      <c r="I3585" s="8">
        <v>5390</v>
      </c>
    </row>
    <row r="3586" spans="1:9" x14ac:dyDescent="0.2">
      <c r="A3586" t="s">
        <v>837</v>
      </c>
      <c r="B3586" t="s">
        <v>839</v>
      </c>
      <c r="C3586" t="str">
        <f>"20651850000000"</f>
        <v>20651850000000</v>
      </c>
      <c r="D3586" t="s">
        <v>5223</v>
      </c>
      <c r="E3586" t="str">
        <f>"20651856113922"</f>
        <v>20651856113922</v>
      </c>
      <c r="F3586" s="8">
        <v>1364</v>
      </c>
      <c r="G3586" s="8">
        <v>47928</v>
      </c>
      <c r="H3586" s="8">
        <v>1053</v>
      </c>
      <c r="I3586" s="8">
        <v>4553</v>
      </c>
    </row>
    <row r="3587" spans="1:9" x14ac:dyDescent="0.2">
      <c r="A3587" t="s">
        <v>837</v>
      </c>
      <c r="B3587" t="s">
        <v>839</v>
      </c>
      <c r="C3587" t="str">
        <f>"20651850000000"</f>
        <v>20651850000000</v>
      </c>
      <c r="D3587" t="s">
        <v>5224</v>
      </c>
      <c r="E3587" t="str">
        <f>"20651856101521"</f>
        <v>20651856101521</v>
      </c>
      <c r="F3587" s="8">
        <v>507</v>
      </c>
      <c r="G3587" s="8">
        <v>7597</v>
      </c>
      <c r="H3587" s="8">
        <v>1053</v>
      </c>
      <c r="I3587" s="8">
        <v>4553</v>
      </c>
    </row>
    <row r="3588" spans="1:9" x14ac:dyDescent="0.2">
      <c r="A3588" t="s">
        <v>837</v>
      </c>
      <c r="B3588" t="s">
        <v>839</v>
      </c>
      <c r="C3588" t="str">
        <f>"20651850000000"</f>
        <v>20651850000000</v>
      </c>
      <c r="D3588" t="s">
        <v>5225</v>
      </c>
      <c r="E3588" t="str">
        <f>"20651856024111"</f>
        <v>20651856024111</v>
      </c>
      <c r="F3588" s="8">
        <v>986</v>
      </c>
      <c r="G3588" s="8">
        <v>6505</v>
      </c>
      <c r="H3588" s="8">
        <v>1053</v>
      </c>
      <c r="I3588" s="8">
        <v>4553</v>
      </c>
    </row>
    <row r="3589" spans="1:9" x14ac:dyDescent="0.2">
      <c r="A3589" t="s">
        <v>837</v>
      </c>
      <c r="B3589" t="s">
        <v>839</v>
      </c>
      <c r="C3589" t="str">
        <f>"20651850000000"</f>
        <v>20651850000000</v>
      </c>
      <c r="D3589" t="s">
        <v>5226</v>
      </c>
      <c r="E3589" t="str">
        <f>"20651856024087"</f>
        <v>20651856024087</v>
      </c>
      <c r="F3589" s="8">
        <v>961</v>
      </c>
      <c r="G3589" s="8">
        <v>6491</v>
      </c>
      <c r="H3589" s="8">
        <v>1053</v>
      </c>
      <c r="I3589" s="8">
        <v>4553</v>
      </c>
    </row>
    <row r="3590" spans="1:9" x14ac:dyDescent="0.2">
      <c r="A3590" t="s">
        <v>837</v>
      </c>
      <c r="B3590" t="s">
        <v>840</v>
      </c>
      <c r="C3590" t="str">
        <f t="shared" ref="C3590:C3597" si="170">"20756060000000"</f>
        <v>20756060000000</v>
      </c>
      <c r="D3590" t="s">
        <v>5227</v>
      </c>
      <c r="E3590" t="str">
        <f>"20756066024079"</f>
        <v>20756066024079</v>
      </c>
      <c r="F3590" s="8">
        <v>186</v>
      </c>
      <c r="G3590" s="8">
        <v>3400</v>
      </c>
      <c r="H3590" s="8">
        <v>740</v>
      </c>
      <c r="I3590" s="8">
        <v>10246</v>
      </c>
    </row>
    <row r="3591" spans="1:9" x14ac:dyDescent="0.2">
      <c r="A3591" t="s">
        <v>837</v>
      </c>
      <c r="B3591" t="s">
        <v>840</v>
      </c>
      <c r="C3591" t="str">
        <f t="shared" si="170"/>
        <v>20756060000000</v>
      </c>
      <c r="D3591" t="s">
        <v>5228</v>
      </c>
      <c r="E3591" t="str">
        <f>"20756066024103"</f>
        <v>20756066024103</v>
      </c>
      <c r="F3591" s="8">
        <v>240</v>
      </c>
      <c r="G3591" s="8">
        <v>3600</v>
      </c>
      <c r="H3591" s="8">
        <v>816</v>
      </c>
      <c r="I3591" s="8">
        <v>9636</v>
      </c>
    </row>
    <row r="3592" spans="1:9" x14ac:dyDescent="0.2">
      <c r="A3592" t="s">
        <v>837</v>
      </c>
      <c r="B3592" t="s">
        <v>840</v>
      </c>
      <c r="C3592" t="str">
        <f t="shared" si="170"/>
        <v>20756060000000</v>
      </c>
      <c r="D3592" t="s">
        <v>5229</v>
      </c>
      <c r="E3592" t="str">
        <f>"20756060100180"</f>
        <v>20756060100180</v>
      </c>
      <c r="F3592" s="8">
        <v>260</v>
      </c>
      <c r="G3592" s="8">
        <v>600</v>
      </c>
      <c r="H3592" s="8">
        <v>2000</v>
      </c>
      <c r="I3592" s="8">
        <v>11400</v>
      </c>
    </row>
    <row r="3593" spans="1:9" x14ac:dyDescent="0.2">
      <c r="A3593" t="s">
        <v>837</v>
      </c>
      <c r="B3593" t="s">
        <v>840</v>
      </c>
      <c r="C3593" t="str">
        <f t="shared" si="170"/>
        <v>20756060000000</v>
      </c>
      <c r="D3593" t="s">
        <v>5230</v>
      </c>
      <c r="E3593" t="str">
        <f>"20756066113948"</f>
        <v>20756066113948</v>
      </c>
      <c r="F3593" s="8">
        <v>0</v>
      </c>
      <c r="G3593" s="8">
        <v>0</v>
      </c>
      <c r="H3593" s="8">
        <v>2000</v>
      </c>
      <c r="I3593" s="8">
        <v>12200</v>
      </c>
    </row>
    <row r="3594" spans="1:9" x14ac:dyDescent="0.2">
      <c r="A3594" t="s">
        <v>837</v>
      </c>
      <c r="B3594" t="s">
        <v>840</v>
      </c>
      <c r="C3594" t="str">
        <f t="shared" si="170"/>
        <v>20756060000000</v>
      </c>
      <c r="D3594" t="s">
        <v>2359</v>
      </c>
      <c r="E3594" t="str">
        <f>"20756060136846"</f>
        <v>20756060136846</v>
      </c>
      <c r="F3594" s="8">
        <v>136</v>
      </c>
      <c r="G3594" s="8">
        <v>3000</v>
      </c>
      <c r="H3594" s="8">
        <v>820</v>
      </c>
      <c r="I3594" s="8">
        <v>10236</v>
      </c>
    </row>
    <row r="3595" spans="1:9" x14ac:dyDescent="0.2">
      <c r="A3595" t="s">
        <v>837</v>
      </c>
      <c r="B3595" t="s">
        <v>840</v>
      </c>
      <c r="C3595" t="str">
        <f t="shared" si="170"/>
        <v>20756060000000</v>
      </c>
      <c r="D3595" t="s">
        <v>5231</v>
      </c>
      <c r="E3595" t="str">
        <f>"20756060117010"</f>
        <v>20756060117010</v>
      </c>
      <c r="F3595" s="8">
        <v>360</v>
      </c>
      <c r="G3595" s="8">
        <v>6600</v>
      </c>
      <c r="H3595" s="8">
        <v>596</v>
      </c>
      <c r="I3595" s="8">
        <v>6636</v>
      </c>
    </row>
    <row r="3596" spans="1:9" x14ac:dyDescent="0.2">
      <c r="A3596" t="s">
        <v>837</v>
      </c>
      <c r="B3596" t="s">
        <v>840</v>
      </c>
      <c r="C3596" t="str">
        <f t="shared" si="170"/>
        <v>20756060000000</v>
      </c>
      <c r="D3596" t="s">
        <v>5232</v>
      </c>
      <c r="E3596" t="str">
        <f>"20756060125021"</f>
        <v>20756060125021</v>
      </c>
      <c r="F3596" s="8">
        <v>76</v>
      </c>
      <c r="G3596" s="8">
        <v>2600</v>
      </c>
      <c r="H3596" s="8">
        <v>370</v>
      </c>
      <c r="I3596" s="8">
        <v>10103</v>
      </c>
    </row>
    <row r="3597" spans="1:9" x14ac:dyDescent="0.2">
      <c r="A3597" t="s">
        <v>837</v>
      </c>
      <c r="B3597" t="s">
        <v>840</v>
      </c>
      <c r="C3597" t="str">
        <f t="shared" si="170"/>
        <v>20756060000000</v>
      </c>
      <c r="D3597" t="s">
        <v>5233</v>
      </c>
      <c r="E3597" t="str">
        <f>"20756060132936"</f>
        <v>20756060132936</v>
      </c>
      <c r="F3597" s="8">
        <v>0</v>
      </c>
      <c r="G3597" s="8">
        <v>0</v>
      </c>
      <c r="H3597" s="8">
        <v>49</v>
      </c>
      <c r="I3597" s="8">
        <v>7029</v>
      </c>
    </row>
    <row r="3598" spans="1:9" x14ac:dyDescent="0.2">
      <c r="A3598" t="s">
        <v>837</v>
      </c>
      <c r="B3598" t="s">
        <v>841</v>
      </c>
      <c r="C3598" t="str">
        <f>"20651930000000"</f>
        <v>20651930000000</v>
      </c>
      <c r="D3598" t="s">
        <v>5234</v>
      </c>
      <c r="E3598" t="str">
        <f>"20651936023899"</f>
        <v>20651936023899</v>
      </c>
      <c r="F3598" s="8">
        <v>473</v>
      </c>
      <c r="G3598" s="8">
        <v>9558</v>
      </c>
      <c r="H3598" s="8">
        <v>1120</v>
      </c>
      <c r="I3598" s="8">
        <v>4473</v>
      </c>
    </row>
    <row r="3599" spans="1:9" x14ac:dyDescent="0.2">
      <c r="A3599" t="s">
        <v>837</v>
      </c>
      <c r="B3599" t="s">
        <v>841</v>
      </c>
      <c r="C3599" t="str">
        <f>"20651930000000"</f>
        <v>20651930000000</v>
      </c>
      <c r="D3599" t="s">
        <v>5235</v>
      </c>
      <c r="E3599" t="str">
        <f>"20651936023881"</f>
        <v>20651936023881</v>
      </c>
      <c r="F3599" s="8">
        <v>423</v>
      </c>
      <c r="G3599" s="8">
        <v>7697</v>
      </c>
      <c r="H3599" s="8">
        <v>1118</v>
      </c>
      <c r="I3599" s="8">
        <v>4461</v>
      </c>
    </row>
    <row r="3600" spans="1:9" x14ac:dyDescent="0.2">
      <c r="A3600" t="s">
        <v>837</v>
      </c>
      <c r="B3600" t="s">
        <v>841</v>
      </c>
      <c r="C3600" t="str">
        <f>"20651930000000"</f>
        <v>20651930000000</v>
      </c>
      <c r="D3600" t="s">
        <v>3378</v>
      </c>
      <c r="E3600" t="str">
        <f>"20651930113076"</f>
        <v>20651930113076</v>
      </c>
      <c r="F3600" s="8">
        <v>496</v>
      </c>
      <c r="G3600" s="8">
        <v>7252</v>
      </c>
      <c r="H3600" s="8">
        <v>1117</v>
      </c>
      <c r="I3600" s="8">
        <v>4458</v>
      </c>
    </row>
    <row r="3601" spans="1:9" x14ac:dyDescent="0.2">
      <c r="A3601" t="s">
        <v>837</v>
      </c>
      <c r="B3601" t="s">
        <v>841</v>
      </c>
      <c r="C3601" t="str">
        <f>"20651930000000"</f>
        <v>20651930000000</v>
      </c>
      <c r="D3601" t="s">
        <v>5236</v>
      </c>
      <c r="E3601" t="str">
        <f>"20651936023907"</f>
        <v>20651936023907</v>
      </c>
      <c r="F3601" s="8">
        <v>638</v>
      </c>
      <c r="G3601" s="8">
        <v>6134</v>
      </c>
      <c r="H3601" s="8">
        <v>1124</v>
      </c>
      <c r="I3601" s="8">
        <v>4472</v>
      </c>
    </row>
    <row r="3602" spans="1:9" x14ac:dyDescent="0.2">
      <c r="A3602" t="s">
        <v>837</v>
      </c>
      <c r="B3602" t="s">
        <v>841</v>
      </c>
      <c r="C3602" t="str">
        <f>"20651930000000"</f>
        <v>20651930000000</v>
      </c>
      <c r="D3602" t="s">
        <v>5237</v>
      </c>
      <c r="E3602" t="str">
        <f>"20651936023931"</f>
        <v>20651936023931</v>
      </c>
      <c r="F3602" s="8">
        <v>566</v>
      </c>
      <c r="G3602" s="8">
        <v>6152</v>
      </c>
      <c r="H3602" s="8">
        <v>1119</v>
      </c>
      <c r="I3602" s="8">
        <v>4465</v>
      </c>
    </row>
    <row r="3603" spans="1:9" x14ac:dyDescent="0.2">
      <c r="A3603" t="s">
        <v>837</v>
      </c>
      <c r="B3603" t="s">
        <v>842</v>
      </c>
      <c r="C3603" t="str">
        <f>"20652010000000"</f>
        <v>20652010000000</v>
      </c>
      <c r="D3603" t="s">
        <v>842</v>
      </c>
      <c r="E3603" t="str">
        <f>"20652012032357"</f>
        <v>20652012032357</v>
      </c>
      <c r="F3603" s="8">
        <v>1384</v>
      </c>
      <c r="G3603" s="8">
        <v>8474</v>
      </c>
      <c r="H3603" s="8">
        <v>359</v>
      </c>
      <c r="I3603" s="8">
        <v>2343</v>
      </c>
    </row>
    <row r="3604" spans="1:9" x14ac:dyDescent="0.2">
      <c r="A3604" t="s">
        <v>837</v>
      </c>
      <c r="B3604" t="s">
        <v>842</v>
      </c>
      <c r="C3604" t="str">
        <f>"20652010000000"</f>
        <v>20652010000000</v>
      </c>
      <c r="D3604" t="s">
        <v>2816</v>
      </c>
      <c r="E3604" t="str">
        <f>"20652012030047"</f>
        <v>20652012030047</v>
      </c>
      <c r="F3604" s="8">
        <v>1278</v>
      </c>
      <c r="G3604" s="8">
        <v>7000</v>
      </c>
      <c r="H3604" s="8">
        <v>359</v>
      </c>
      <c r="I3604" s="8">
        <v>2343</v>
      </c>
    </row>
    <row r="3605" spans="1:9" x14ac:dyDescent="0.2">
      <c r="A3605" t="s">
        <v>837</v>
      </c>
      <c r="B3605" t="s">
        <v>845</v>
      </c>
      <c r="C3605" t="str">
        <f t="shared" ref="C3605:C3613" si="171">"20755800000000"</f>
        <v>20755800000000</v>
      </c>
      <c r="D3605" t="s">
        <v>5238</v>
      </c>
      <c r="E3605" t="str">
        <f>"20755800110395"</f>
        <v>20755800110395</v>
      </c>
      <c r="F3605" s="8">
        <v>62</v>
      </c>
      <c r="G3605" s="8">
        <v>79930</v>
      </c>
      <c r="H3605" s="8">
        <v>826</v>
      </c>
      <c r="I3605" s="8">
        <v>11561</v>
      </c>
    </row>
    <row r="3606" spans="1:9" x14ac:dyDescent="0.2">
      <c r="A3606" t="s">
        <v>837</v>
      </c>
      <c r="B3606" t="s">
        <v>845</v>
      </c>
      <c r="C3606" t="str">
        <f t="shared" si="171"/>
        <v>20755800000000</v>
      </c>
      <c r="D3606" t="s">
        <v>5239</v>
      </c>
      <c r="E3606" t="str">
        <f>"20755800123315"</f>
        <v>20755800123315</v>
      </c>
      <c r="F3606" s="8">
        <v>190</v>
      </c>
      <c r="G3606" s="8">
        <v>44935</v>
      </c>
      <c r="H3606" s="8">
        <v>826</v>
      </c>
      <c r="I3606" s="8">
        <v>11561</v>
      </c>
    </row>
    <row r="3607" spans="1:9" x14ac:dyDescent="0.2">
      <c r="A3607" t="s">
        <v>837</v>
      </c>
      <c r="B3607" t="s">
        <v>845</v>
      </c>
      <c r="C3607" t="str">
        <f t="shared" si="171"/>
        <v>20755800000000</v>
      </c>
      <c r="D3607" t="s">
        <v>5240</v>
      </c>
      <c r="E3607" t="str">
        <f>"20755800111443"</f>
        <v>20755800111443</v>
      </c>
      <c r="F3607" s="8">
        <v>441</v>
      </c>
      <c r="G3607" s="8">
        <v>13105</v>
      </c>
      <c r="H3607" s="8">
        <v>826</v>
      </c>
      <c r="I3607" s="8">
        <v>11561</v>
      </c>
    </row>
    <row r="3608" spans="1:9" x14ac:dyDescent="0.2">
      <c r="A3608" t="s">
        <v>837</v>
      </c>
      <c r="B3608" t="s">
        <v>845</v>
      </c>
      <c r="C3608" t="str">
        <f t="shared" si="171"/>
        <v>20755800000000</v>
      </c>
      <c r="D3608" t="s">
        <v>5241</v>
      </c>
      <c r="E3608" t="str">
        <f>"20755802030161"</f>
        <v>20755802030161</v>
      </c>
      <c r="F3608" s="8">
        <v>138</v>
      </c>
      <c r="G3608" s="8">
        <v>7152</v>
      </c>
      <c r="H3608" s="8">
        <v>826</v>
      </c>
      <c r="I3608" s="8">
        <v>11561</v>
      </c>
    </row>
    <row r="3609" spans="1:9" x14ac:dyDescent="0.2">
      <c r="A3609" t="s">
        <v>837</v>
      </c>
      <c r="B3609" t="s">
        <v>845</v>
      </c>
      <c r="C3609" t="str">
        <f t="shared" si="171"/>
        <v>20755800000000</v>
      </c>
      <c r="D3609" t="s">
        <v>2546</v>
      </c>
      <c r="E3609" t="str">
        <f>"20755802030203"</f>
        <v>20755802030203</v>
      </c>
      <c r="F3609" s="8">
        <v>139</v>
      </c>
      <c r="G3609" s="8">
        <v>6882</v>
      </c>
      <c r="H3609" s="8">
        <v>826</v>
      </c>
      <c r="I3609" s="8">
        <v>11561</v>
      </c>
    </row>
    <row r="3610" spans="1:9" x14ac:dyDescent="0.2">
      <c r="A3610" t="s">
        <v>837</v>
      </c>
      <c r="B3610" t="s">
        <v>845</v>
      </c>
      <c r="C3610" t="str">
        <f t="shared" si="171"/>
        <v>20755800000000</v>
      </c>
      <c r="D3610" t="s">
        <v>2410</v>
      </c>
      <c r="E3610" t="str">
        <f>"20755806103824"</f>
        <v>20755806103824</v>
      </c>
      <c r="F3610" s="8">
        <v>521</v>
      </c>
      <c r="G3610" s="8">
        <v>5588</v>
      </c>
      <c r="H3610" s="8">
        <v>826</v>
      </c>
      <c r="I3610" s="8">
        <v>11561</v>
      </c>
    </row>
    <row r="3611" spans="1:9" x14ac:dyDescent="0.2">
      <c r="A3611" t="s">
        <v>837</v>
      </c>
      <c r="B3611" t="s">
        <v>845</v>
      </c>
      <c r="C3611" t="str">
        <f t="shared" si="171"/>
        <v>20755800000000</v>
      </c>
      <c r="D3611" t="s">
        <v>2898</v>
      </c>
      <c r="E3611" t="str">
        <f>"20755806100820"</f>
        <v>20755806100820</v>
      </c>
      <c r="F3611" s="8">
        <v>390</v>
      </c>
      <c r="G3611" s="8">
        <v>4982</v>
      </c>
      <c r="H3611" s="8">
        <v>826</v>
      </c>
      <c r="I3611" s="8">
        <v>11561</v>
      </c>
    </row>
    <row r="3612" spans="1:9" x14ac:dyDescent="0.2">
      <c r="A3612" t="s">
        <v>837</v>
      </c>
      <c r="B3612" t="s">
        <v>845</v>
      </c>
      <c r="C3612" t="str">
        <f t="shared" si="171"/>
        <v>20755800000000</v>
      </c>
      <c r="D3612" t="s">
        <v>5242</v>
      </c>
      <c r="E3612" t="str">
        <f>"20755802030211"</f>
        <v>20755802030211</v>
      </c>
      <c r="F3612" s="8">
        <v>209</v>
      </c>
      <c r="G3612" s="8">
        <v>5064</v>
      </c>
      <c r="H3612" s="8">
        <v>826</v>
      </c>
      <c r="I3612" s="8">
        <v>11561</v>
      </c>
    </row>
    <row r="3613" spans="1:9" x14ac:dyDescent="0.2">
      <c r="A3613" t="s">
        <v>837</v>
      </c>
      <c r="B3613" t="s">
        <v>845</v>
      </c>
      <c r="C3613" t="str">
        <f t="shared" si="171"/>
        <v>20755800000000</v>
      </c>
      <c r="D3613" t="s">
        <v>5243</v>
      </c>
      <c r="E3613" t="str">
        <f>"20755800134486"</f>
        <v>20755800134486</v>
      </c>
      <c r="F3613" s="8">
        <v>876</v>
      </c>
      <c r="G3613" s="8">
        <v>2020</v>
      </c>
      <c r="H3613" s="8">
        <v>826</v>
      </c>
      <c r="I3613" s="8">
        <v>11561</v>
      </c>
    </row>
    <row r="3614" spans="1:9" x14ac:dyDescent="0.2">
      <c r="A3614" t="s">
        <v>837</v>
      </c>
      <c r="B3614" t="s">
        <v>846</v>
      </c>
      <c r="C3614" t="str">
        <f>"20102070000000"</f>
        <v>20102070000000</v>
      </c>
      <c r="D3614" t="s">
        <v>5244</v>
      </c>
      <c r="E3614" t="str">
        <f>"20102072030153"</f>
        <v>20102072030153</v>
      </c>
      <c r="F3614" s="8">
        <v>27802</v>
      </c>
      <c r="G3614" s="8">
        <v>29178</v>
      </c>
      <c r="H3614" s="8">
        <v>680</v>
      </c>
      <c r="I3614" s="8">
        <v>0</v>
      </c>
    </row>
    <row r="3615" spans="1:9" x14ac:dyDescent="0.2">
      <c r="A3615" t="s">
        <v>837</v>
      </c>
      <c r="B3615" t="s">
        <v>846</v>
      </c>
      <c r="C3615" t="str">
        <f>"20102070000000"</f>
        <v>20102070000000</v>
      </c>
      <c r="D3615" t="s">
        <v>5245</v>
      </c>
      <c r="E3615" t="str">
        <f>"20102076077200"</f>
        <v>20102076077200</v>
      </c>
      <c r="F3615" s="8">
        <v>13457</v>
      </c>
      <c r="G3615" s="8">
        <v>24058</v>
      </c>
      <c r="H3615" s="8">
        <v>0</v>
      </c>
      <c r="I3615" s="8">
        <v>0</v>
      </c>
    </row>
    <row r="3616" spans="1:9" x14ac:dyDescent="0.2">
      <c r="A3616" t="s">
        <v>837</v>
      </c>
      <c r="B3616" t="s">
        <v>846</v>
      </c>
      <c r="C3616" t="str">
        <f>"20102070000000"</f>
        <v>20102070000000</v>
      </c>
      <c r="D3616" t="s">
        <v>5246</v>
      </c>
      <c r="E3616" t="str">
        <f>"20102070117184"</f>
        <v>20102070117184</v>
      </c>
      <c r="F3616" s="8">
        <v>5310</v>
      </c>
      <c r="G3616" s="8">
        <v>8024</v>
      </c>
      <c r="H3616" s="8">
        <v>516</v>
      </c>
      <c r="I3616" s="8">
        <v>0</v>
      </c>
    </row>
    <row r="3617" spans="1:9" x14ac:dyDescent="0.2">
      <c r="A3617" t="s">
        <v>837</v>
      </c>
      <c r="B3617" t="s">
        <v>846</v>
      </c>
      <c r="C3617" t="str">
        <f>"20102070000000"</f>
        <v>20102070000000</v>
      </c>
      <c r="D3617" t="s">
        <v>5247</v>
      </c>
      <c r="E3617" t="str">
        <f>"20102072030229"</f>
        <v>20102072030229</v>
      </c>
      <c r="F3617" s="8">
        <v>4146</v>
      </c>
      <c r="G3617" s="8">
        <v>7251</v>
      </c>
      <c r="H3617" s="8">
        <v>594</v>
      </c>
      <c r="I3617" s="8">
        <v>0</v>
      </c>
    </row>
    <row r="3618" spans="1:9" x14ac:dyDescent="0.2">
      <c r="A3618" t="s">
        <v>837</v>
      </c>
      <c r="B3618" t="s">
        <v>846</v>
      </c>
      <c r="C3618" t="str">
        <f>"20102070000000"</f>
        <v>20102070000000</v>
      </c>
      <c r="D3618" t="s">
        <v>5248</v>
      </c>
      <c r="E3618" t="str">
        <f>"20102072030054"</f>
        <v>20102072030054</v>
      </c>
      <c r="F3618" s="8" t="s">
        <v>30</v>
      </c>
      <c r="G3618" s="8" t="s">
        <v>30</v>
      </c>
      <c r="H3618" s="8" t="s">
        <v>30</v>
      </c>
      <c r="I3618" s="8" t="s">
        <v>30</v>
      </c>
    </row>
    <row r="3619" spans="1:9" x14ac:dyDescent="0.2">
      <c r="A3619" t="s">
        <v>837</v>
      </c>
      <c r="B3619" t="s">
        <v>847</v>
      </c>
      <c r="C3619" t="str">
        <f t="shared" ref="C3619:C3646" si="172">"20652430000000"</f>
        <v>20652430000000</v>
      </c>
      <c r="D3619" t="s">
        <v>5249</v>
      </c>
      <c r="E3619" t="str">
        <f>"20652430131086"</f>
        <v>20652430131086</v>
      </c>
      <c r="F3619" s="8">
        <v>9360</v>
      </c>
      <c r="G3619" s="8">
        <v>18598</v>
      </c>
      <c r="H3619" s="8">
        <v>2619</v>
      </c>
      <c r="I3619" s="8">
        <v>16139</v>
      </c>
    </row>
    <row r="3620" spans="1:9" x14ac:dyDescent="0.2">
      <c r="A3620" t="s">
        <v>837</v>
      </c>
      <c r="B3620" t="s">
        <v>847</v>
      </c>
      <c r="C3620" t="str">
        <f t="shared" si="172"/>
        <v>20652430000000</v>
      </c>
      <c r="D3620" t="s">
        <v>5250</v>
      </c>
      <c r="E3620" t="str">
        <f>"20652430123414"</f>
        <v>20652430123414</v>
      </c>
      <c r="F3620" s="8">
        <v>1220</v>
      </c>
      <c r="G3620" s="8">
        <v>12883</v>
      </c>
      <c r="H3620" s="8">
        <v>2619</v>
      </c>
      <c r="I3620" s="8">
        <v>16139</v>
      </c>
    </row>
    <row r="3621" spans="1:9" x14ac:dyDescent="0.2">
      <c r="A3621" t="s">
        <v>837</v>
      </c>
      <c r="B3621" t="s">
        <v>847</v>
      </c>
      <c r="C3621" t="str">
        <f t="shared" si="172"/>
        <v>20652430000000</v>
      </c>
      <c r="D3621" t="s">
        <v>5251</v>
      </c>
      <c r="E3621" t="str">
        <f>"20652430123620"</f>
        <v>20652430123620</v>
      </c>
      <c r="F3621" s="8">
        <v>1220</v>
      </c>
      <c r="G3621" s="8">
        <v>12883</v>
      </c>
      <c r="H3621" s="8">
        <v>2619</v>
      </c>
      <c r="I3621" s="8">
        <v>16139</v>
      </c>
    </row>
    <row r="3622" spans="1:9" x14ac:dyDescent="0.2">
      <c r="A3622" t="s">
        <v>837</v>
      </c>
      <c r="B3622" t="s">
        <v>847</v>
      </c>
      <c r="C3622" t="str">
        <f t="shared" si="172"/>
        <v>20652430000000</v>
      </c>
      <c r="D3622" t="s">
        <v>5252</v>
      </c>
      <c r="E3622" t="str">
        <f>"20652432035640"</f>
        <v>20652432035640</v>
      </c>
      <c r="F3622" s="8">
        <v>558</v>
      </c>
      <c r="G3622" s="8">
        <v>13941</v>
      </c>
      <c r="H3622" s="8">
        <v>2619</v>
      </c>
      <c r="I3622" s="8">
        <v>15638</v>
      </c>
    </row>
    <row r="3623" spans="1:9" x14ac:dyDescent="0.2">
      <c r="A3623" t="s">
        <v>837</v>
      </c>
      <c r="B3623" t="s">
        <v>847</v>
      </c>
      <c r="C3623" t="str">
        <f t="shared" si="172"/>
        <v>20652430000000</v>
      </c>
      <c r="D3623" t="s">
        <v>5253</v>
      </c>
      <c r="E3623" t="str">
        <f>"20652430139691"</f>
        <v>20652430139691</v>
      </c>
      <c r="F3623" s="8">
        <v>270</v>
      </c>
      <c r="G3623" s="8">
        <v>10730</v>
      </c>
      <c r="H3623" s="8">
        <v>2619</v>
      </c>
      <c r="I3623" s="8">
        <v>16139</v>
      </c>
    </row>
    <row r="3624" spans="1:9" x14ac:dyDescent="0.2">
      <c r="A3624" t="s">
        <v>837</v>
      </c>
      <c r="B3624" t="s">
        <v>847</v>
      </c>
      <c r="C3624" t="str">
        <f t="shared" si="172"/>
        <v>20652430000000</v>
      </c>
      <c r="D3624" t="s">
        <v>5254</v>
      </c>
      <c r="E3624" t="str">
        <f>"20652430129544"</f>
        <v>20652430129544</v>
      </c>
      <c r="F3624" s="8">
        <v>753</v>
      </c>
      <c r="G3624" s="8">
        <v>10129</v>
      </c>
      <c r="H3624" s="8">
        <v>2619</v>
      </c>
      <c r="I3624" s="8">
        <v>16139</v>
      </c>
    </row>
    <row r="3625" spans="1:9" x14ac:dyDescent="0.2">
      <c r="A3625" t="s">
        <v>837</v>
      </c>
      <c r="B3625" t="s">
        <v>847</v>
      </c>
      <c r="C3625" t="str">
        <f t="shared" si="172"/>
        <v>20652430000000</v>
      </c>
      <c r="D3625" t="s">
        <v>5255</v>
      </c>
      <c r="E3625" t="str">
        <f>"20652436024012"</f>
        <v>20652436024012</v>
      </c>
      <c r="F3625" s="8">
        <v>640</v>
      </c>
      <c r="G3625" s="8">
        <v>10051</v>
      </c>
      <c r="H3625" s="8">
        <v>2619</v>
      </c>
      <c r="I3625" s="8">
        <v>16139</v>
      </c>
    </row>
    <row r="3626" spans="1:9" x14ac:dyDescent="0.2">
      <c r="A3626" t="s">
        <v>837</v>
      </c>
      <c r="B3626" t="s">
        <v>847</v>
      </c>
      <c r="C3626" t="str">
        <f t="shared" si="172"/>
        <v>20652430000000</v>
      </c>
      <c r="D3626" t="s">
        <v>5256</v>
      </c>
      <c r="E3626" t="str">
        <f>"20652432035707"</f>
        <v>20652432035707</v>
      </c>
      <c r="F3626" s="8">
        <v>536</v>
      </c>
      <c r="G3626" s="8">
        <v>8377</v>
      </c>
      <c r="H3626" s="8">
        <v>2619</v>
      </c>
      <c r="I3626" s="8">
        <v>16139</v>
      </c>
    </row>
    <row r="3627" spans="1:9" x14ac:dyDescent="0.2">
      <c r="A3627" t="s">
        <v>837</v>
      </c>
      <c r="B3627" t="s">
        <v>847</v>
      </c>
      <c r="C3627" t="str">
        <f t="shared" si="172"/>
        <v>20652430000000</v>
      </c>
      <c r="D3627" t="s">
        <v>2824</v>
      </c>
      <c r="E3627" t="str">
        <f>"20652436024046"</f>
        <v>20652436024046</v>
      </c>
      <c r="F3627" s="8">
        <v>612</v>
      </c>
      <c r="G3627" s="8">
        <v>7914</v>
      </c>
      <c r="H3627" s="8">
        <v>2619</v>
      </c>
      <c r="I3627" s="8">
        <v>16139</v>
      </c>
    </row>
    <row r="3628" spans="1:9" x14ac:dyDescent="0.2">
      <c r="A3628" t="s">
        <v>837</v>
      </c>
      <c r="B3628" t="s">
        <v>847</v>
      </c>
      <c r="C3628" t="str">
        <f t="shared" si="172"/>
        <v>20652430000000</v>
      </c>
      <c r="D3628" t="s">
        <v>5257</v>
      </c>
      <c r="E3628" t="str">
        <f>"20652430113050"</f>
        <v>20652430113050</v>
      </c>
      <c r="F3628" s="8">
        <v>408</v>
      </c>
      <c r="G3628" s="8">
        <v>7908</v>
      </c>
      <c r="H3628" s="8">
        <v>2619</v>
      </c>
      <c r="I3628" s="8">
        <v>16139</v>
      </c>
    </row>
    <row r="3629" spans="1:9" x14ac:dyDescent="0.2">
      <c r="A3629" t="s">
        <v>837</v>
      </c>
      <c r="B3629" t="s">
        <v>847</v>
      </c>
      <c r="C3629" t="str">
        <f t="shared" si="172"/>
        <v>20652430000000</v>
      </c>
      <c r="D3629" t="s">
        <v>5258</v>
      </c>
      <c r="E3629" t="str">
        <f>"20652436023998"</f>
        <v>20652436023998</v>
      </c>
      <c r="F3629" s="8">
        <v>676</v>
      </c>
      <c r="G3629" s="8">
        <v>7585</v>
      </c>
      <c r="H3629" s="8">
        <v>2619</v>
      </c>
      <c r="I3629" s="8">
        <v>16139</v>
      </c>
    </row>
    <row r="3630" spans="1:9" x14ac:dyDescent="0.2">
      <c r="A3630" t="s">
        <v>837</v>
      </c>
      <c r="B3630" t="s">
        <v>847</v>
      </c>
      <c r="C3630" t="str">
        <f t="shared" si="172"/>
        <v>20652430000000</v>
      </c>
      <c r="D3630" t="s">
        <v>5259</v>
      </c>
      <c r="E3630" t="str">
        <f>"20652430109694"</f>
        <v>20652430109694</v>
      </c>
      <c r="F3630" s="8">
        <v>418</v>
      </c>
      <c r="G3630" s="8">
        <v>7719</v>
      </c>
      <c r="H3630" s="8">
        <v>2619</v>
      </c>
      <c r="I3630" s="8">
        <v>16139</v>
      </c>
    </row>
    <row r="3631" spans="1:9" x14ac:dyDescent="0.2">
      <c r="A3631" t="s">
        <v>837</v>
      </c>
      <c r="B3631" t="s">
        <v>847</v>
      </c>
      <c r="C3631" t="str">
        <f t="shared" si="172"/>
        <v>20652430000000</v>
      </c>
      <c r="D3631" t="s">
        <v>5260</v>
      </c>
      <c r="E3631" t="str">
        <f>"20652430109702"</f>
        <v>20652430109702</v>
      </c>
      <c r="F3631" s="8">
        <v>493</v>
      </c>
      <c r="G3631" s="8">
        <v>7549</v>
      </c>
      <c r="H3631" s="8">
        <v>2619</v>
      </c>
      <c r="I3631" s="8">
        <v>16139</v>
      </c>
    </row>
    <row r="3632" spans="1:9" x14ac:dyDescent="0.2">
      <c r="A3632" t="s">
        <v>837</v>
      </c>
      <c r="B3632" t="s">
        <v>847</v>
      </c>
      <c r="C3632" t="str">
        <f t="shared" si="172"/>
        <v>20652430000000</v>
      </c>
      <c r="D3632" t="s">
        <v>5261</v>
      </c>
      <c r="E3632" t="str">
        <f>"20652436112973"</f>
        <v>20652436112973</v>
      </c>
      <c r="F3632" s="8">
        <v>475</v>
      </c>
      <c r="G3632" s="8">
        <v>7529</v>
      </c>
      <c r="H3632" s="8">
        <v>2619</v>
      </c>
      <c r="I3632" s="8">
        <v>16139</v>
      </c>
    </row>
    <row r="3633" spans="1:9" x14ac:dyDescent="0.2">
      <c r="A3633" t="s">
        <v>837</v>
      </c>
      <c r="B3633" t="s">
        <v>847</v>
      </c>
      <c r="C3633" t="str">
        <f t="shared" si="172"/>
        <v>20652430000000</v>
      </c>
      <c r="D3633" t="s">
        <v>5262</v>
      </c>
      <c r="E3633" t="str">
        <f>"20652430110965"</f>
        <v>20652430110965</v>
      </c>
      <c r="F3633" s="8">
        <v>569</v>
      </c>
      <c r="G3633" s="8">
        <v>7412</v>
      </c>
      <c r="H3633" s="8">
        <v>2619</v>
      </c>
      <c r="I3633" s="8">
        <v>16139</v>
      </c>
    </row>
    <row r="3634" spans="1:9" x14ac:dyDescent="0.2">
      <c r="A3634" t="s">
        <v>837</v>
      </c>
      <c r="B3634" t="s">
        <v>847</v>
      </c>
      <c r="C3634" t="str">
        <f t="shared" si="172"/>
        <v>20652430000000</v>
      </c>
      <c r="D3634" t="s">
        <v>5263</v>
      </c>
      <c r="E3634" t="str">
        <f>"20652436023949"</f>
        <v>20652436023949</v>
      </c>
      <c r="F3634" s="8">
        <v>676</v>
      </c>
      <c r="G3634" s="8">
        <v>7795</v>
      </c>
      <c r="H3634" s="8">
        <v>2619</v>
      </c>
      <c r="I3634" s="8">
        <v>15638</v>
      </c>
    </row>
    <row r="3635" spans="1:9" x14ac:dyDescent="0.2">
      <c r="A3635" t="s">
        <v>837</v>
      </c>
      <c r="B3635" t="s">
        <v>847</v>
      </c>
      <c r="C3635" t="str">
        <f t="shared" si="172"/>
        <v>20652430000000</v>
      </c>
      <c r="D3635" t="s">
        <v>2243</v>
      </c>
      <c r="E3635" t="str">
        <f>"20652436112312"</f>
        <v>20652436112312</v>
      </c>
      <c r="F3635" s="8">
        <v>561</v>
      </c>
      <c r="G3635" s="8">
        <v>7227</v>
      </c>
      <c r="H3635" s="8">
        <v>2619</v>
      </c>
      <c r="I3635" s="8">
        <v>16139</v>
      </c>
    </row>
    <row r="3636" spans="1:9" x14ac:dyDescent="0.2">
      <c r="A3636" t="s">
        <v>837</v>
      </c>
      <c r="B3636" t="s">
        <v>847</v>
      </c>
      <c r="C3636" t="str">
        <f t="shared" si="172"/>
        <v>20652430000000</v>
      </c>
      <c r="D3636" t="s">
        <v>3426</v>
      </c>
      <c r="E3636" t="str">
        <f>"20652436024053"</f>
        <v>20652436024053</v>
      </c>
      <c r="F3636" s="8">
        <v>575</v>
      </c>
      <c r="G3636" s="8">
        <v>7207</v>
      </c>
      <c r="H3636" s="8">
        <v>2619</v>
      </c>
      <c r="I3636" s="8">
        <v>16139</v>
      </c>
    </row>
    <row r="3637" spans="1:9" x14ac:dyDescent="0.2">
      <c r="A3637" t="s">
        <v>837</v>
      </c>
      <c r="B3637" t="s">
        <v>847</v>
      </c>
      <c r="C3637" t="str">
        <f t="shared" si="172"/>
        <v>20652430000000</v>
      </c>
      <c r="D3637" t="s">
        <v>5264</v>
      </c>
      <c r="E3637" t="str">
        <f>"20652436023980"</f>
        <v>20652436023980</v>
      </c>
      <c r="F3637" s="8">
        <v>368</v>
      </c>
      <c r="G3637" s="8">
        <v>7399</v>
      </c>
      <c r="H3637" s="8">
        <v>2619</v>
      </c>
      <c r="I3637" s="8">
        <v>16139</v>
      </c>
    </row>
    <row r="3638" spans="1:9" x14ac:dyDescent="0.2">
      <c r="A3638" t="s">
        <v>837</v>
      </c>
      <c r="B3638" t="s">
        <v>847</v>
      </c>
      <c r="C3638" t="str">
        <f t="shared" si="172"/>
        <v>20652430000000</v>
      </c>
      <c r="D3638" t="s">
        <v>5265</v>
      </c>
      <c r="E3638" t="str">
        <f>"20652436024020"</f>
        <v>20652436024020</v>
      </c>
      <c r="F3638" s="8">
        <v>356</v>
      </c>
      <c r="G3638" s="8">
        <v>7352</v>
      </c>
      <c r="H3638" s="8">
        <v>2619</v>
      </c>
      <c r="I3638" s="8">
        <v>16139</v>
      </c>
    </row>
    <row r="3639" spans="1:9" x14ac:dyDescent="0.2">
      <c r="A3639" t="s">
        <v>837</v>
      </c>
      <c r="B3639" t="s">
        <v>847</v>
      </c>
      <c r="C3639" t="str">
        <f t="shared" si="172"/>
        <v>20652430000000</v>
      </c>
      <c r="D3639" t="s">
        <v>5266</v>
      </c>
      <c r="E3639" t="str">
        <f>"20652436107122"</f>
        <v>20652436107122</v>
      </c>
      <c r="F3639" s="8">
        <v>377</v>
      </c>
      <c r="G3639" s="8">
        <v>7563</v>
      </c>
      <c r="H3639" s="8">
        <v>2619</v>
      </c>
      <c r="I3639" s="8">
        <v>15638</v>
      </c>
    </row>
    <row r="3640" spans="1:9" x14ac:dyDescent="0.2">
      <c r="A3640" t="s">
        <v>837</v>
      </c>
      <c r="B3640" t="s">
        <v>847</v>
      </c>
      <c r="C3640" t="str">
        <f t="shared" si="172"/>
        <v>20652430000000</v>
      </c>
      <c r="D3640" t="s">
        <v>5267</v>
      </c>
      <c r="E3640" t="str">
        <f>"20652436023972"</f>
        <v>20652436023972</v>
      </c>
      <c r="F3640" s="8">
        <v>780</v>
      </c>
      <c r="G3640" s="8">
        <v>6552</v>
      </c>
      <c r="H3640" s="8">
        <v>2619</v>
      </c>
      <c r="I3640" s="8">
        <v>16139</v>
      </c>
    </row>
    <row r="3641" spans="1:9" x14ac:dyDescent="0.2">
      <c r="A3641" t="s">
        <v>837</v>
      </c>
      <c r="B3641" t="s">
        <v>847</v>
      </c>
      <c r="C3641" t="str">
        <f t="shared" si="172"/>
        <v>20652430000000</v>
      </c>
      <c r="D3641" t="s">
        <v>5268</v>
      </c>
      <c r="E3641" t="str">
        <f>"20652430116970"</f>
        <v>20652430116970</v>
      </c>
      <c r="F3641" s="8">
        <v>547</v>
      </c>
      <c r="G3641" s="8">
        <v>6690</v>
      </c>
      <c r="H3641" s="8">
        <v>2619</v>
      </c>
      <c r="I3641" s="8">
        <v>16139</v>
      </c>
    </row>
    <row r="3642" spans="1:9" x14ac:dyDescent="0.2">
      <c r="A3642" t="s">
        <v>837</v>
      </c>
      <c r="B3642" t="s">
        <v>847</v>
      </c>
      <c r="C3642" t="str">
        <f t="shared" si="172"/>
        <v>20652430000000</v>
      </c>
      <c r="D3642" t="s">
        <v>3158</v>
      </c>
      <c r="E3642" t="str">
        <f>"20652430110957"</f>
        <v>20652430110957</v>
      </c>
      <c r="F3642" s="8">
        <v>383</v>
      </c>
      <c r="G3642" s="8">
        <v>7248</v>
      </c>
      <c r="H3642" s="8">
        <v>2619</v>
      </c>
      <c r="I3642" s="8">
        <v>15638</v>
      </c>
    </row>
    <row r="3643" spans="1:9" x14ac:dyDescent="0.2">
      <c r="A3643" t="s">
        <v>837</v>
      </c>
      <c r="B3643" t="s">
        <v>847</v>
      </c>
      <c r="C3643" t="str">
        <f t="shared" si="172"/>
        <v>20652430000000</v>
      </c>
      <c r="D3643" t="s">
        <v>5269</v>
      </c>
      <c r="E3643" t="str">
        <f>"20652430135079"</f>
        <v>20652430135079</v>
      </c>
      <c r="F3643" s="8">
        <v>452</v>
      </c>
      <c r="G3643" s="8">
        <v>6526</v>
      </c>
      <c r="H3643" s="8">
        <v>2619</v>
      </c>
      <c r="I3643" s="8">
        <v>16139</v>
      </c>
    </row>
    <row r="3644" spans="1:9" x14ac:dyDescent="0.2">
      <c r="A3644" t="s">
        <v>837</v>
      </c>
      <c r="B3644" t="s">
        <v>847</v>
      </c>
      <c r="C3644" t="str">
        <f t="shared" si="172"/>
        <v>20652430000000</v>
      </c>
      <c r="D3644" t="s">
        <v>5140</v>
      </c>
      <c r="E3644" t="str">
        <f>"20652436024004"</f>
        <v>20652436024004</v>
      </c>
      <c r="F3644" s="8">
        <v>493</v>
      </c>
      <c r="G3644" s="8">
        <v>6352</v>
      </c>
      <c r="H3644" s="8">
        <v>2619</v>
      </c>
      <c r="I3644" s="8">
        <v>16139</v>
      </c>
    </row>
    <row r="3645" spans="1:9" x14ac:dyDescent="0.2">
      <c r="A3645" t="s">
        <v>837</v>
      </c>
      <c r="B3645" t="s">
        <v>847</v>
      </c>
      <c r="C3645" t="str">
        <f t="shared" si="172"/>
        <v>20652430000000</v>
      </c>
      <c r="D3645" t="s">
        <v>5270</v>
      </c>
      <c r="E3645" t="str">
        <f>"20652436105951"</f>
        <v>20652436105951</v>
      </c>
      <c r="F3645" s="8">
        <v>274</v>
      </c>
      <c r="G3645" s="8">
        <v>6987</v>
      </c>
      <c r="H3645" s="8">
        <v>2619</v>
      </c>
      <c r="I3645" s="8">
        <v>15638</v>
      </c>
    </row>
    <row r="3646" spans="1:9" x14ac:dyDescent="0.2">
      <c r="A3646" t="s">
        <v>837</v>
      </c>
      <c r="B3646" t="s">
        <v>847</v>
      </c>
      <c r="C3646" t="str">
        <f t="shared" si="172"/>
        <v>20652430000000</v>
      </c>
      <c r="D3646" t="s">
        <v>3041</v>
      </c>
      <c r="E3646" t="str">
        <f>"20652436023964"</f>
        <v>20652436023964</v>
      </c>
      <c r="F3646" s="8">
        <v>671</v>
      </c>
      <c r="G3646" s="8">
        <v>6067</v>
      </c>
      <c r="H3646" s="8">
        <v>2619</v>
      </c>
      <c r="I3646" s="8">
        <v>16139</v>
      </c>
    </row>
    <row r="3647" spans="1:9" x14ac:dyDescent="0.2">
      <c r="A3647" t="s">
        <v>837</v>
      </c>
      <c r="B3647" t="s">
        <v>849</v>
      </c>
      <c r="C3647" t="str">
        <f>"20652760000000"</f>
        <v>20652760000000</v>
      </c>
      <c r="D3647" t="s">
        <v>5271</v>
      </c>
      <c r="E3647" t="str">
        <f>"20652766024095"</f>
        <v>20652766024095</v>
      </c>
      <c r="F3647" s="8">
        <v>3142</v>
      </c>
      <c r="G3647" s="8">
        <v>13121</v>
      </c>
      <c r="H3647" s="8">
        <v>0</v>
      </c>
      <c r="I3647" s="8">
        <v>0</v>
      </c>
    </row>
    <row r="3648" spans="1:9" x14ac:dyDescent="0.2">
      <c r="A3648" t="s">
        <v>837</v>
      </c>
      <c r="B3648" t="s">
        <v>853</v>
      </c>
      <c r="C3648" t="str">
        <f t="shared" ref="C3648:C3656" si="173">"20764140000000"</f>
        <v>20764140000000</v>
      </c>
      <c r="D3648" t="s">
        <v>5272</v>
      </c>
      <c r="E3648" t="str">
        <f>"20764146023915"</f>
        <v>20764146023915</v>
      </c>
      <c r="F3648" s="8">
        <v>7106</v>
      </c>
      <c r="G3648" s="8">
        <v>978</v>
      </c>
      <c r="H3648" s="8">
        <v>5701</v>
      </c>
      <c r="I3648" s="8">
        <v>1244</v>
      </c>
    </row>
    <row r="3649" spans="1:9" x14ac:dyDescent="0.2">
      <c r="A3649" t="s">
        <v>837</v>
      </c>
      <c r="B3649" t="s">
        <v>853</v>
      </c>
      <c r="C3649" t="str">
        <f t="shared" si="173"/>
        <v>20764140000000</v>
      </c>
      <c r="D3649" t="s">
        <v>5273</v>
      </c>
      <c r="E3649" t="str">
        <f>"20764142030013"</f>
        <v>20764142030013</v>
      </c>
      <c r="F3649" s="8">
        <v>6892</v>
      </c>
      <c r="G3649" s="8">
        <v>566</v>
      </c>
      <c r="H3649" s="8">
        <v>5701</v>
      </c>
      <c r="I3649" s="8">
        <v>1244</v>
      </c>
    </row>
    <row r="3650" spans="1:9" x14ac:dyDescent="0.2">
      <c r="A3650" t="s">
        <v>837</v>
      </c>
      <c r="B3650" t="s">
        <v>853</v>
      </c>
      <c r="C3650" t="str">
        <f t="shared" si="173"/>
        <v>20764140000000</v>
      </c>
      <c r="D3650" t="s">
        <v>5274</v>
      </c>
      <c r="E3650" t="str">
        <f>"20764142030039"</f>
        <v>20764142030039</v>
      </c>
      <c r="F3650" s="8">
        <v>5203</v>
      </c>
      <c r="G3650" s="8">
        <v>700</v>
      </c>
      <c r="H3650" s="8">
        <v>5701</v>
      </c>
      <c r="I3650" s="8">
        <v>1244</v>
      </c>
    </row>
    <row r="3651" spans="1:9" x14ac:dyDescent="0.2">
      <c r="A3651" t="s">
        <v>837</v>
      </c>
      <c r="B3651" t="s">
        <v>853</v>
      </c>
      <c r="C3651" t="str">
        <f t="shared" si="173"/>
        <v>20764140000000</v>
      </c>
      <c r="D3651" t="s">
        <v>5275</v>
      </c>
      <c r="E3651" t="str">
        <f>"20764142030104"</f>
        <v>20764142030104</v>
      </c>
      <c r="F3651" s="8">
        <v>5203</v>
      </c>
      <c r="G3651" s="8">
        <v>700</v>
      </c>
      <c r="H3651" s="8">
        <v>5701</v>
      </c>
      <c r="I3651" s="8">
        <v>1244</v>
      </c>
    </row>
    <row r="3652" spans="1:9" x14ac:dyDescent="0.2">
      <c r="A3652" t="s">
        <v>837</v>
      </c>
      <c r="B3652" t="s">
        <v>853</v>
      </c>
      <c r="C3652" t="str">
        <f t="shared" si="173"/>
        <v>20764140000000</v>
      </c>
      <c r="D3652" t="s">
        <v>5276</v>
      </c>
      <c r="E3652" t="str">
        <f>"20764142030070"</f>
        <v>20764142030070</v>
      </c>
      <c r="F3652" s="8">
        <v>5203</v>
      </c>
      <c r="G3652" s="8">
        <v>700</v>
      </c>
      <c r="H3652" s="8">
        <v>5701</v>
      </c>
      <c r="I3652" s="8">
        <v>1244</v>
      </c>
    </row>
    <row r="3653" spans="1:9" x14ac:dyDescent="0.2">
      <c r="A3653" t="s">
        <v>837</v>
      </c>
      <c r="B3653" t="s">
        <v>853</v>
      </c>
      <c r="C3653" t="str">
        <f t="shared" si="173"/>
        <v>20764140000000</v>
      </c>
      <c r="D3653" t="s">
        <v>5277</v>
      </c>
      <c r="E3653" t="str">
        <f>"20764140115550"</f>
        <v>20764140115550</v>
      </c>
      <c r="F3653" s="8">
        <v>5203</v>
      </c>
      <c r="G3653" s="8">
        <v>700</v>
      </c>
      <c r="H3653" s="8">
        <v>5701</v>
      </c>
      <c r="I3653" s="8">
        <v>1244</v>
      </c>
    </row>
    <row r="3654" spans="1:9" x14ac:dyDescent="0.2">
      <c r="A3654" t="s">
        <v>837</v>
      </c>
      <c r="B3654" t="s">
        <v>853</v>
      </c>
      <c r="C3654" t="str">
        <f t="shared" si="173"/>
        <v>20764140000000</v>
      </c>
      <c r="D3654" t="s">
        <v>5278</v>
      </c>
      <c r="E3654" t="str">
        <f>"20764146110019"</f>
        <v>20764146110019</v>
      </c>
      <c r="F3654" s="8">
        <v>5529</v>
      </c>
      <c r="G3654" s="8">
        <v>327</v>
      </c>
      <c r="H3654" s="8">
        <v>5701</v>
      </c>
      <c r="I3654" s="8">
        <v>1244</v>
      </c>
    </row>
    <row r="3655" spans="1:9" x14ac:dyDescent="0.2">
      <c r="A3655" t="s">
        <v>837</v>
      </c>
      <c r="B3655" t="s">
        <v>853</v>
      </c>
      <c r="C3655" t="str">
        <f t="shared" si="173"/>
        <v>20764140000000</v>
      </c>
      <c r="D3655" t="s">
        <v>5279</v>
      </c>
      <c r="E3655" t="str">
        <f>"20764140115527"</f>
        <v>20764140115527</v>
      </c>
      <c r="F3655" s="8" t="s">
        <v>30</v>
      </c>
      <c r="G3655" s="8" t="s">
        <v>30</v>
      </c>
      <c r="H3655" s="8" t="s">
        <v>30</v>
      </c>
      <c r="I3655" s="8" t="s">
        <v>30</v>
      </c>
    </row>
    <row r="3656" spans="1:9" x14ac:dyDescent="0.2">
      <c r="A3656" t="s">
        <v>837</v>
      </c>
      <c r="B3656" t="s">
        <v>853</v>
      </c>
      <c r="C3656" t="str">
        <f t="shared" si="173"/>
        <v>20764140000000</v>
      </c>
      <c r="D3656" t="s">
        <v>5280</v>
      </c>
      <c r="E3656" t="str">
        <f>"20764146113914"</f>
        <v>20764146113914</v>
      </c>
      <c r="F3656" s="8" t="s">
        <v>30</v>
      </c>
      <c r="G3656" s="8" t="s">
        <v>30</v>
      </c>
      <c r="H3656" s="8" t="s">
        <v>30</v>
      </c>
      <c r="I3656" s="8" t="s">
        <v>30</v>
      </c>
    </row>
    <row r="3657" spans="1:9" x14ac:dyDescent="0.2">
      <c r="A3657" t="s">
        <v>855</v>
      </c>
      <c r="B3657" t="s">
        <v>856</v>
      </c>
      <c r="C3657" t="str">
        <f>"21653000000000"</f>
        <v>21653000000000</v>
      </c>
      <c r="D3657" t="s">
        <v>5281</v>
      </c>
      <c r="E3657" t="str">
        <f>"21653006024137"</f>
        <v>21653006024137</v>
      </c>
      <c r="F3657" s="8">
        <v>2507</v>
      </c>
      <c r="G3657" s="8">
        <v>56228</v>
      </c>
      <c r="H3657" s="8">
        <v>0</v>
      </c>
      <c r="I3657" s="8">
        <v>0</v>
      </c>
    </row>
    <row r="3658" spans="1:9" x14ac:dyDescent="0.2">
      <c r="A3658" t="s">
        <v>855</v>
      </c>
      <c r="B3658" t="s">
        <v>857</v>
      </c>
      <c r="C3658" t="str">
        <f>"21653340000000"</f>
        <v>21653340000000</v>
      </c>
      <c r="D3658" t="s">
        <v>5282</v>
      </c>
      <c r="E3658" t="str">
        <f>"21653346068308"</f>
        <v>21653346068308</v>
      </c>
      <c r="F3658" s="8">
        <v>202</v>
      </c>
      <c r="G3658" s="8">
        <v>13911</v>
      </c>
      <c r="H3658" s="8">
        <v>255</v>
      </c>
      <c r="I3658" s="8">
        <v>2089</v>
      </c>
    </row>
    <row r="3659" spans="1:9" x14ac:dyDescent="0.2">
      <c r="A3659" t="s">
        <v>855</v>
      </c>
      <c r="B3659" t="s">
        <v>857</v>
      </c>
      <c r="C3659" t="str">
        <f>"21653340000000"</f>
        <v>21653340000000</v>
      </c>
      <c r="D3659" t="s">
        <v>5283</v>
      </c>
      <c r="E3659" t="str">
        <f>"21653346024319"</f>
        <v>21653346024319</v>
      </c>
      <c r="F3659" s="8">
        <v>671</v>
      </c>
      <c r="G3659" s="8">
        <v>11953</v>
      </c>
      <c r="H3659" s="8">
        <v>255</v>
      </c>
      <c r="I3659" s="8">
        <v>2089</v>
      </c>
    </row>
    <row r="3660" spans="1:9" x14ac:dyDescent="0.2">
      <c r="A3660" t="s">
        <v>855</v>
      </c>
      <c r="B3660" t="s">
        <v>858</v>
      </c>
      <c r="C3660" t="str">
        <f>"21653420000000"</f>
        <v>21653420000000</v>
      </c>
      <c r="D3660" t="s">
        <v>5284</v>
      </c>
      <c r="E3660" t="str">
        <f>"21653426024392"</f>
        <v>21653426024392</v>
      </c>
      <c r="F3660" s="8">
        <v>2703</v>
      </c>
      <c r="G3660" s="8">
        <v>32616</v>
      </c>
      <c r="H3660" s="8">
        <v>0</v>
      </c>
      <c r="I3660" s="8">
        <v>2630</v>
      </c>
    </row>
    <row r="3661" spans="1:9" x14ac:dyDescent="0.2">
      <c r="A3661" t="s">
        <v>855</v>
      </c>
      <c r="B3661" t="s">
        <v>858</v>
      </c>
      <c r="C3661" t="str">
        <f>"21653420000000"</f>
        <v>21653420000000</v>
      </c>
      <c r="D3661" t="s">
        <v>5285</v>
      </c>
      <c r="E3661" t="str">
        <f>"21653426024327"</f>
        <v>21653426024327</v>
      </c>
      <c r="F3661" s="8">
        <v>4390</v>
      </c>
      <c r="G3661" s="8">
        <v>16883</v>
      </c>
      <c r="H3661" s="8">
        <v>0</v>
      </c>
      <c r="I3661" s="8">
        <v>0</v>
      </c>
    </row>
    <row r="3662" spans="1:9" x14ac:dyDescent="0.2">
      <c r="A3662" t="s">
        <v>855</v>
      </c>
      <c r="B3662" t="s">
        <v>859</v>
      </c>
      <c r="C3662" t="str">
        <f>"21653590000000"</f>
        <v>21653590000000</v>
      </c>
      <c r="D3662" t="s">
        <v>5286</v>
      </c>
      <c r="E3662" t="str">
        <f>"21653596024343"</f>
        <v>21653596024343</v>
      </c>
      <c r="F3662" s="8">
        <v>0</v>
      </c>
      <c r="G3662" s="8">
        <v>8158</v>
      </c>
      <c r="H3662" s="8">
        <v>907</v>
      </c>
      <c r="I3662" s="8">
        <v>10269</v>
      </c>
    </row>
    <row r="3663" spans="1:9" x14ac:dyDescent="0.2">
      <c r="A3663" t="s">
        <v>855</v>
      </c>
      <c r="B3663" t="s">
        <v>859</v>
      </c>
      <c r="C3663" t="str">
        <f>"21653590000000"</f>
        <v>21653590000000</v>
      </c>
      <c r="D3663" t="s">
        <v>859</v>
      </c>
      <c r="E3663" t="str">
        <f>"21653596024335"</f>
        <v>21653596024335</v>
      </c>
      <c r="F3663" s="8">
        <v>0</v>
      </c>
      <c r="G3663" s="8">
        <v>7012</v>
      </c>
      <c r="H3663" s="8">
        <v>907</v>
      </c>
      <c r="I3663" s="8">
        <v>10269</v>
      </c>
    </row>
    <row r="3664" spans="1:9" x14ac:dyDescent="0.2">
      <c r="A3664" t="s">
        <v>855</v>
      </c>
      <c r="B3664" t="s">
        <v>860</v>
      </c>
      <c r="C3664" t="str">
        <f>"21653670000000"</f>
        <v>21653670000000</v>
      </c>
      <c r="D3664" t="s">
        <v>5287</v>
      </c>
      <c r="E3664" t="str">
        <f>"21653676024350"</f>
        <v>21653676024350</v>
      </c>
      <c r="F3664" s="8">
        <v>245</v>
      </c>
      <c r="G3664" s="8">
        <v>7563</v>
      </c>
      <c r="H3664" s="8">
        <v>480</v>
      </c>
      <c r="I3664" s="8">
        <v>5152</v>
      </c>
    </row>
    <row r="3665" spans="1:9" x14ac:dyDescent="0.2">
      <c r="A3665" t="s">
        <v>855</v>
      </c>
      <c r="B3665" t="s">
        <v>860</v>
      </c>
      <c r="C3665" t="str">
        <f>"21653670000000"</f>
        <v>21653670000000</v>
      </c>
      <c r="D3665" t="s">
        <v>5288</v>
      </c>
      <c r="E3665" t="str">
        <f>"21653676024376"</f>
        <v>21653676024376</v>
      </c>
      <c r="F3665" s="8">
        <v>172</v>
      </c>
      <c r="G3665" s="8">
        <v>7556</v>
      </c>
      <c r="H3665" s="8">
        <v>480</v>
      </c>
      <c r="I3665" s="8">
        <v>5152</v>
      </c>
    </row>
    <row r="3666" spans="1:9" x14ac:dyDescent="0.2">
      <c r="A3666" t="s">
        <v>855</v>
      </c>
      <c r="B3666" t="s">
        <v>860</v>
      </c>
      <c r="C3666" t="str">
        <f>"21653670000000"</f>
        <v>21653670000000</v>
      </c>
      <c r="D3666" t="s">
        <v>5289</v>
      </c>
      <c r="E3666" t="str">
        <f>"21653670129148"</f>
        <v>21653670129148</v>
      </c>
      <c r="F3666" s="8">
        <v>73</v>
      </c>
      <c r="G3666" s="8">
        <v>7563</v>
      </c>
      <c r="H3666" s="8">
        <v>480</v>
      </c>
      <c r="I3666" s="8">
        <v>5152</v>
      </c>
    </row>
    <row r="3667" spans="1:9" x14ac:dyDescent="0.2">
      <c r="A3667" t="s">
        <v>855</v>
      </c>
      <c r="B3667" t="s">
        <v>861</v>
      </c>
      <c r="C3667" t="str">
        <f>"21102150000000"</f>
        <v>21102150000000</v>
      </c>
      <c r="D3667" t="s">
        <v>5290</v>
      </c>
      <c r="E3667" t="str">
        <f>"21102156069504"</f>
        <v>21102156069504</v>
      </c>
      <c r="F3667" s="8">
        <v>6580</v>
      </c>
      <c r="G3667" s="8">
        <v>54986</v>
      </c>
      <c r="H3667" s="8">
        <v>0</v>
      </c>
      <c r="I3667" s="8">
        <v>7711</v>
      </c>
    </row>
    <row r="3668" spans="1:9" x14ac:dyDescent="0.2">
      <c r="A3668" t="s">
        <v>855</v>
      </c>
      <c r="B3668" t="s">
        <v>861</v>
      </c>
      <c r="C3668" t="str">
        <f>"21102150000000"</f>
        <v>21102150000000</v>
      </c>
      <c r="D3668" t="s">
        <v>5291</v>
      </c>
      <c r="E3668" t="str">
        <f>"21102152130037"</f>
        <v>21102152130037</v>
      </c>
      <c r="F3668" s="8">
        <v>7614</v>
      </c>
      <c r="G3668" s="8">
        <v>19197</v>
      </c>
      <c r="H3668" s="8">
        <v>0</v>
      </c>
      <c r="I3668" s="8">
        <v>3358</v>
      </c>
    </row>
    <row r="3669" spans="1:9" x14ac:dyDescent="0.2">
      <c r="A3669" t="s">
        <v>855</v>
      </c>
      <c r="B3669" t="s">
        <v>861</v>
      </c>
      <c r="C3669" t="str">
        <f>"21102150000000"</f>
        <v>21102150000000</v>
      </c>
      <c r="D3669" t="s">
        <v>5292</v>
      </c>
      <c r="E3669" t="str">
        <f>"21102150113183"</f>
        <v>21102150113183</v>
      </c>
      <c r="F3669" s="8">
        <v>0</v>
      </c>
      <c r="G3669" s="8">
        <v>25322</v>
      </c>
      <c r="H3669" s="8">
        <v>0</v>
      </c>
      <c r="I3669" s="8">
        <v>3171</v>
      </c>
    </row>
    <row r="3670" spans="1:9" x14ac:dyDescent="0.2">
      <c r="A3670" t="s">
        <v>855</v>
      </c>
      <c r="B3670" t="s">
        <v>861</v>
      </c>
      <c r="C3670" t="str">
        <f>"21102150000000"</f>
        <v>21102150000000</v>
      </c>
      <c r="D3670" t="s">
        <v>5293</v>
      </c>
      <c r="E3670" t="str">
        <f>"21102152130102"</f>
        <v>21102152130102</v>
      </c>
      <c r="F3670" s="8">
        <v>0</v>
      </c>
      <c r="G3670" s="8">
        <v>10936</v>
      </c>
      <c r="H3670" s="8">
        <v>0</v>
      </c>
      <c r="I3670" s="8">
        <v>1370</v>
      </c>
    </row>
    <row r="3671" spans="1:9" x14ac:dyDescent="0.2">
      <c r="A3671" t="s">
        <v>855</v>
      </c>
      <c r="B3671" t="s">
        <v>862</v>
      </c>
      <c r="C3671" t="str">
        <f t="shared" ref="C3671:C3676" si="174">"21653910000000"</f>
        <v>21653910000000</v>
      </c>
      <c r="D3671" t="s">
        <v>2186</v>
      </c>
      <c r="E3671" t="str">
        <f>"21653916024459"</f>
        <v>21653916024459</v>
      </c>
      <c r="F3671" s="8">
        <v>712</v>
      </c>
      <c r="G3671" s="8">
        <v>14999</v>
      </c>
      <c r="H3671" s="8">
        <v>214</v>
      </c>
      <c r="I3671" s="8">
        <v>4159</v>
      </c>
    </row>
    <row r="3672" spans="1:9" x14ac:dyDescent="0.2">
      <c r="A3672" t="s">
        <v>855</v>
      </c>
      <c r="B3672" t="s">
        <v>862</v>
      </c>
      <c r="C3672" t="str">
        <f t="shared" si="174"/>
        <v>21653910000000</v>
      </c>
      <c r="D3672" t="s">
        <v>5294</v>
      </c>
      <c r="E3672" t="str">
        <f>"21653916024467"</f>
        <v>21653916024467</v>
      </c>
      <c r="F3672" s="8">
        <v>145</v>
      </c>
      <c r="G3672" s="8">
        <v>14578</v>
      </c>
      <c r="H3672" s="8">
        <v>214</v>
      </c>
      <c r="I3672" s="8">
        <v>4159</v>
      </c>
    </row>
    <row r="3673" spans="1:9" x14ac:dyDescent="0.2">
      <c r="A3673" t="s">
        <v>855</v>
      </c>
      <c r="B3673" t="s">
        <v>862</v>
      </c>
      <c r="C3673" t="str">
        <f t="shared" si="174"/>
        <v>21653910000000</v>
      </c>
      <c r="D3673" t="s">
        <v>5295</v>
      </c>
      <c r="E3673" t="str">
        <f>"21653916024475"</f>
        <v>21653916024475</v>
      </c>
      <c r="F3673" s="8">
        <v>315</v>
      </c>
      <c r="G3673" s="8">
        <v>13334</v>
      </c>
      <c r="H3673" s="8">
        <v>214</v>
      </c>
      <c r="I3673" s="8">
        <v>4159</v>
      </c>
    </row>
    <row r="3674" spans="1:9" x14ac:dyDescent="0.2">
      <c r="A3674" t="s">
        <v>855</v>
      </c>
      <c r="B3674" t="s">
        <v>862</v>
      </c>
      <c r="C3674" t="str">
        <f t="shared" si="174"/>
        <v>21653910000000</v>
      </c>
      <c r="D3674" t="s">
        <v>5296</v>
      </c>
      <c r="E3674" t="str">
        <f>"21653916024418"</f>
        <v>21653916024418</v>
      </c>
      <c r="F3674" s="8">
        <v>673</v>
      </c>
      <c r="G3674" s="8">
        <v>12648</v>
      </c>
      <c r="H3674" s="8">
        <v>214</v>
      </c>
      <c r="I3674" s="8">
        <v>4159</v>
      </c>
    </row>
    <row r="3675" spans="1:9" x14ac:dyDescent="0.2">
      <c r="A3675" t="s">
        <v>855</v>
      </c>
      <c r="B3675" t="s">
        <v>862</v>
      </c>
      <c r="C3675" t="str">
        <f t="shared" si="174"/>
        <v>21653910000000</v>
      </c>
      <c r="D3675" t="s">
        <v>5297</v>
      </c>
      <c r="E3675" t="str">
        <f>"21653916085187"</f>
        <v>21653916085187</v>
      </c>
      <c r="F3675" s="8">
        <v>420</v>
      </c>
      <c r="G3675" s="8">
        <v>11899</v>
      </c>
      <c r="H3675" s="8">
        <v>214</v>
      </c>
      <c r="I3675" s="8">
        <v>4159</v>
      </c>
    </row>
    <row r="3676" spans="1:9" x14ac:dyDescent="0.2">
      <c r="A3676" t="s">
        <v>855</v>
      </c>
      <c r="B3676" t="s">
        <v>862</v>
      </c>
      <c r="C3676" t="str">
        <f t="shared" si="174"/>
        <v>21653910000000</v>
      </c>
      <c r="D3676" t="s">
        <v>5298</v>
      </c>
      <c r="E3676" t="str">
        <f>"21653916024442"</f>
        <v>21653916024442</v>
      </c>
      <c r="F3676" s="8">
        <v>103</v>
      </c>
      <c r="G3676" s="8">
        <v>11636</v>
      </c>
      <c r="H3676" s="8">
        <v>214</v>
      </c>
      <c r="I3676" s="8">
        <v>4159</v>
      </c>
    </row>
    <row r="3677" spans="1:9" x14ac:dyDescent="0.2">
      <c r="A3677" t="s">
        <v>855</v>
      </c>
      <c r="B3677" t="s">
        <v>863</v>
      </c>
      <c r="C3677" t="str">
        <f>"21653180000000"</f>
        <v>21653180000000</v>
      </c>
      <c r="D3677" t="s">
        <v>5299</v>
      </c>
      <c r="E3677" t="str">
        <f>"21653186024160"</f>
        <v>21653186024160</v>
      </c>
      <c r="F3677" s="8">
        <v>504</v>
      </c>
      <c r="G3677" s="8">
        <v>9274</v>
      </c>
      <c r="H3677" s="8">
        <v>506</v>
      </c>
      <c r="I3677" s="8">
        <v>4145</v>
      </c>
    </row>
    <row r="3678" spans="1:9" x14ac:dyDescent="0.2">
      <c r="A3678" t="s">
        <v>855</v>
      </c>
      <c r="B3678" t="s">
        <v>863</v>
      </c>
      <c r="C3678" t="str">
        <f>"21653180000000"</f>
        <v>21653180000000</v>
      </c>
      <c r="D3678" t="s">
        <v>5300</v>
      </c>
      <c r="E3678" t="str">
        <f>"21653186024194"</f>
        <v>21653186024194</v>
      </c>
      <c r="F3678" s="8">
        <v>197</v>
      </c>
      <c r="G3678" s="8">
        <v>8237</v>
      </c>
      <c r="H3678" s="8">
        <v>506</v>
      </c>
      <c r="I3678" s="8">
        <v>4145</v>
      </c>
    </row>
    <row r="3679" spans="1:9" x14ac:dyDescent="0.2">
      <c r="A3679" t="s">
        <v>855</v>
      </c>
      <c r="B3679" t="s">
        <v>863</v>
      </c>
      <c r="C3679" t="str">
        <f>"21653180000000"</f>
        <v>21653180000000</v>
      </c>
      <c r="D3679" t="s">
        <v>5301</v>
      </c>
      <c r="E3679" t="str">
        <f>"21653186024202"</f>
        <v>21653186024202</v>
      </c>
      <c r="F3679" s="8">
        <v>144</v>
      </c>
      <c r="G3679" s="8">
        <v>8020</v>
      </c>
      <c r="H3679" s="8">
        <v>506</v>
      </c>
      <c r="I3679" s="8">
        <v>4145</v>
      </c>
    </row>
    <row r="3680" spans="1:9" x14ac:dyDescent="0.2">
      <c r="A3680" t="s">
        <v>855</v>
      </c>
      <c r="B3680" t="s">
        <v>863</v>
      </c>
      <c r="C3680" t="str">
        <f>"21653180000000"</f>
        <v>21653180000000</v>
      </c>
      <c r="D3680" t="s">
        <v>5302</v>
      </c>
      <c r="E3680" t="str">
        <f>"21653186024244"</f>
        <v>21653186024244</v>
      </c>
      <c r="F3680" s="8">
        <v>141</v>
      </c>
      <c r="G3680" s="8">
        <v>7985</v>
      </c>
      <c r="H3680" s="8">
        <v>506</v>
      </c>
      <c r="I3680" s="8">
        <v>4145</v>
      </c>
    </row>
    <row r="3681" spans="1:9" x14ac:dyDescent="0.2">
      <c r="A3681" t="s">
        <v>855</v>
      </c>
      <c r="B3681" t="s">
        <v>864</v>
      </c>
      <c r="C3681" t="str">
        <f>"21654090000000"</f>
        <v>21654090000000</v>
      </c>
      <c r="D3681" t="s">
        <v>864</v>
      </c>
      <c r="E3681" t="str">
        <f>"21654096024483"</f>
        <v>21654096024483</v>
      </c>
      <c r="F3681" s="8">
        <v>1487</v>
      </c>
      <c r="G3681" s="8">
        <v>23588</v>
      </c>
      <c r="H3681" s="8">
        <v>0</v>
      </c>
      <c r="I3681" s="8">
        <v>0</v>
      </c>
    </row>
    <row r="3682" spans="1:9" x14ac:dyDescent="0.2">
      <c r="A3682" t="s">
        <v>855</v>
      </c>
      <c r="B3682" t="s">
        <v>866</v>
      </c>
      <c r="C3682" t="str">
        <f t="shared" ref="C3682:C3695" si="175">"21654170000000"</f>
        <v>21654170000000</v>
      </c>
      <c r="D3682" t="s">
        <v>5303</v>
      </c>
      <c r="E3682" t="str">
        <f>"21654172130045"</f>
        <v>21654172130045</v>
      </c>
      <c r="F3682" s="8">
        <v>2575</v>
      </c>
      <c r="G3682" s="8">
        <v>13583</v>
      </c>
      <c r="H3682" s="8">
        <v>645</v>
      </c>
      <c r="I3682" s="8">
        <v>3216</v>
      </c>
    </row>
    <row r="3683" spans="1:9" x14ac:dyDescent="0.2">
      <c r="A3683" t="s">
        <v>855</v>
      </c>
      <c r="B3683" t="s">
        <v>866</v>
      </c>
      <c r="C3683" t="str">
        <f t="shared" si="175"/>
        <v>21654170000000</v>
      </c>
      <c r="D3683" t="s">
        <v>5304</v>
      </c>
      <c r="E3683" t="str">
        <f>"21654172132264"</f>
        <v>21654172132264</v>
      </c>
      <c r="F3683" s="8">
        <v>348</v>
      </c>
      <c r="G3683" s="8">
        <v>14616</v>
      </c>
      <c r="H3683" s="8">
        <v>645</v>
      </c>
      <c r="I3683" s="8">
        <v>3216</v>
      </c>
    </row>
    <row r="3684" spans="1:9" x14ac:dyDescent="0.2">
      <c r="A3684" t="s">
        <v>855</v>
      </c>
      <c r="B3684" t="s">
        <v>866</v>
      </c>
      <c r="C3684" t="str">
        <f t="shared" si="175"/>
        <v>21654170000000</v>
      </c>
      <c r="D3684" t="s">
        <v>5305</v>
      </c>
      <c r="E3684" t="str">
        <f>"21654176024525"</f>
        <v>21654176024525</v>
      </c>
      <c r="F3684" s="8">
        <v>1234</v>
      </c>
      <c r="G3684" s="8">
        <v>7475</v>
      </c>
      <c r="H3684" s="8">
        <v>645</v>
      </c>
      <c r="I3684" s="8">
        <v>3216</v>
      </c>
    </row>
    <row r="3685" spans="1:9" x14ac:dyDescent="0.2">
      <c r="A3685" t="s">
        <v>855</v>
      </c>
      <c r="B3685" t="s">
        <v>866</v>
      </c>
      <c r="C3685" t="str">
        <f t="shared" si="175"/>
        <v>21654170000000</v>
      </c>
      <c r="D3685" t="s">
        <v>5306</v>
      </c>
      <c r="E3685" t="str">
        <f>"21654176024558"</f>
        <v>21654176024558</v>
      </c>
      <c r="F3685" s="8">
        <v>1224</v>
      </c>
      <c r="G3685" s="8">
        <v>7338</v>
      </c>
      <c r="H3685" s="8">
        <v>645</v>
      </c>
      <c r="I3685" s="8">
        <v>3216</v>
      </c>
    </row>
    <row r="3686" spans="1:9" x14ac:dyDescent="0.2">
      <c r="A3686" t="s">
        <v>855</v>
      </c>
      <c r="B3686" t="s">
        <v>866</v>
      </c>
      <c r="C3686" t="str">
        <f t="shared" si="175"/>
        <v>21654170000000</v>
      </c>
      <c r="D3686" t="s">
        <v>5307</v>
      </c>
      <c r="E3686" t="str">
        <f>"21654176024491"</f>
        <v>21654176024491</v>
      </c>
      <c r="F3686" s="8">
        <v>830</v>
      </c>
      <c r="G3686" s="8">
        <v>7604</v>
      </c>
      <c r="H3686" s="8">
        <v>645</v>
      </c>
      <c r="I3686" s="8">
        <v>3216</v>
      </c>
    </row>
    <row r="3687" spans="1:9" x14ac:dyDescent="0.2">
      <c r="A3687" t="s">
        <v>855</v>
      </c>
      <c r="B3687" t="s">
        <v>866</v>
      </c>
      <c r="C3687" t="str">
        <f t="shared" si="175"/>
        <v>21654170000000</v>
      </c>
      <c r="D3687" t="s">
        <v>5308</v>
      </c>
      <c r="E3687" t="str">
        <f>"21654176024517"</f>
        <v>21654176024517</v>
      </c>
      <c r="F3687" s="8">
        <v>438</v>
      </c>
      <c r="G3687" s="8">
        <v>7737</v>
      </c>
      <c r="H3687" s="8">
        <v>645</v>
      </c>
      <c r="I3687" s="8">
        <v>3216</v>
      </c>
    </row>
    <row r="3688" spans="1:9" x14ac:dyDescent="0.2">
      <c r="A3688" t="s">
        <v>855</v>
      </c>
      <c r="B3688" t="s">
        <v>866</v>
      </c>
      <c r="C3688" t="str">
        <f t="shared" si="175"/>
        <v>21654170000000</v>
      </c>
      <c r="D3688" t="s">
        <v>5309</v>
      </c>
      <c r="E3688" t="str">
        <f>"21654176024590"</f>
        <v>21654176024590</v>
      </c>
      <c r="F3688" s="8">
        <v>939</v>
      </c>
      <c r="G3688" s="8">
        <v>7047</v>
      </c>
      <c r="H3688" s="8">
        <v>645</v>
      </c>
      <c r="I3688" s="8">
        <v>3216</v>
      </c>
    </row>
    <row r="3689" spans="1:9" x14ac:dyDescent="0.2">
      <c r="A3689" t="s">
        <v>855</v>
      </c>
      <c r="B3689" t="s">
        <v>866</v>
      </c>
      <c r="C3689" t="str">
        <f t="shared" si="175"/>
        <v>21654170000000</v>
      </c>
      <c r="D3689" t="s">
        <v>5310</v>
      </c>
      <c r="E3689" t="str">
        <f>"21654176024574"</f>
        <v>21654176024574</v>
      </c>
      <c r="F3689" s="8">
        <v>611</v>
      </c>
      <c r="G3689" s="8">
        <v>7348</v>
      </c>
      <c r="H3689" s="8">
        <v>645</v>
      </c>
      <c r="I3689" s="8">
        <v>3216</v>
      </c>
    </row>
    <row r="3690" spans="1:9" x14ac:dyDescent="0.2">
      <c r="A3690" t="s">
        <v>855</v>
      </c>
      <c r="B3690" t="s">
        <v>866</v>
      </c>
      <c r="C3690" t="str">
        <f t="shared" si="175"/>
        <v>21654170000000</v>
      </c>
      <c r="D3690" t="s">
        <v>5311</v>
      </c>
      <c r="E3690" t="str">
        <f>"21654170124081"</f>
        <v>21654170124081</v>
      </c>
      <c r="F3690" s="8">
        <v>928</v>
      </c>
      <c r="G3690" s="8">
        <v>6837</v>
      </c>
      <c r="H3690" s="8">
        <v>645</v>
      </c>
      <c r="I3690" s="8">
        <v>3216</v>
      </c>
    </row>
    <row r="3691" spans="1:9" x14ac:dyDescent="0.2">
      <c r="A3691" t="s">
        <v>855</v>
      </c>
      <c r="B3691" t="s">
        <v>866</v>
      </c>
      <c r="C3691" t="str">
        <f t="shared" si="175"/>
        <v>21654170000000</v>
      </c>
      <c r="D3691" t="s">
        <v>5312</v>
      </c>
      <c r="E3691" t="str">
        <f>"21654172133056"</f>
        <v>21654172133056</v>
      </c>
      <c r="F3691" s="8">
        <v>273</v>
      </c>
      <c r="G3691" s="8">
        <v>7292</v>
      </c>
      <c r="H3691" s="8">
        <v>645</v>
      </c>
      <c r="I3691" s="8">
        <v>3216</v>
      </c>
    </row>
    <row r="3692" spans="1:9" x14ac:dyDescent="0.2">
      <c r="A3692" t="s">
        <v>855</v>
      </c>
      <c r="B3692" t="s">
        <v>866</v>
      </c>
      <c r="C3692" t="str">
        <f t="shared" si="175"/>
        <v>21654170000000</v>
      </c>
      <c r="D3692" t="s">
        <v>5313</v>
      </c>
      <c r="E3692" t="str">
        <f>"21654176024509"</f>
        <v>21654176024509</v>
      </c>
      <c r="F3692" s="8">
        <v>628</v>
      </c>
      <c r="G3692" s="8">
        <v>6779</v>
      </c>
      <c r="H3692" s="8">
        <v>645</v>
      </c>
      <c r="I3692" s="8">
        <v>3216</v>
      </c>
    </row>
    <row r="3693" spans="1:9" x14ac:dyDescent="0.2">
      <c r="A3693" t="s">
        <v>855</v>
      </c>
      <c r="B3693" t="s">
        <v>866</v>
      </c>
      <c r="C3693" t="str">
        <f t="shared" si="175"/>
        <v>21654170000000</v>
      </c>
      <c r="D3693" t="s">
        <v>5314</v>
      </c>
      <c r="E3693" t="str">
        <f>"21654172132272"</f>
        <v>21654172132272</v>
      </c>
      <c r="F3693" s="8">
        <v>170</v>
      </c>
      <c r="G3693" s="8">
        <v>7082</v>
      </c>
      <c r="H3693" s="8">
        <v>645</v>
      </c>
      <c r="I3693" s="8">
        <v>3216</v>
      </c>
    </row>
    <row r="3694" spans="1:9" x14ac:dyDescent="0.2">
      <c r="A3694" t="s">
        <v>855</v>
      </c>
      <c r="B3694" t="s">
        <v>866</v>
      </c>
      <c r="C3694" t="str">
        <f t="shared" si="175"/>
        <v>21654170000000</v>
      </c>
      <c r="D3694" t="s">
        <v>5315</v>
      </c>
      <c r="E3694" t="str">
        <f>"21654176024582"</f>
        <v>21654176024582</v>
      </c>
      <c r="F3694" s="8">
        <v>555</v>
      </c>
      <c r="G3694" s="8">
        <v>6461</v>
      </c>
      <c r="H3694" s="8">
        <v>645</v>
      </c>
      <c r="I3694" s="8">
        <v>3216</v>
      </c>
    </row>
    <row r="3695" spans="1:9" x14ac:dyDescent="0.2">
      <c r="A3695" t="s">
        <v>855</v>
      </c>
      <c r="B3695" t="s">
        <v>866</v>
      </c>
      <c r="C3695" t="str">
        <f t="shared" si="175"/>
        <v>21654170000000</v>
      </c>
      <c r="D3695" t="s">
        <v>5316</v>
      </c>
      <c r="E3695" t="str">
        <f>"21654176058614"</f>
        <v>21654176058614</v>
      </c>
      <c r="F3695" s="8">
        <v>907</v>
      </c>
      <c r="G3695" s="8">
        <v>5955</v>
      </c>
      <c r="H3695" s="8">
        <v>645</v>
      </c>
      <c r="I3695" s="8">
        <v>3216</v>
      </c>
    </row>
    <row r="3696" spans="1:9" x14ac:dyDescent="0.2">
      <c r="A3696" t="s">
        <v>855</v>
      </c>
      <c r="B3696" t="s">
        <v>867</v>
      </c>
      <c r="C3696" t="str">
        <f>"21654250000000"</f>
        <v>21654250000000</v>
      </c>
      <c r="D3696" t="s">
        <v>5317</v>
      </c>
      <c r="E3696" t="str">
        <f>"21654256024616"</f>
        <v>21654256024616</v>
      </c>
      <c r="F3696" s="8">
        <v>450</v>
      </c>
      <c r="G3696" s="8">
        <v>13491</v>
      </c>
      <c r="H3696" s="8">
        <v>107</v>
      </c>
      <c r="I3696" s="8">
        <v>6346</v>
      </c>
    </row>
    <row r="3697" spans="1:9" x14ac:dyDescent="0.2">
      <c r="A3697" t="s">
        <v>855</v>
      </c>
      <c r="B3697" t="s">
        <v>867</v>
      </c>
      <c r="C3697" t="str">
        <f>"21654250000000"</f>
        <v>21654250000000</v>
      </c>
      <c r="D3697" t="s">
        <v>5318</v>
      </c>
      <c r="E3697" t="str">
        <f>"21654256024657"</f>
        <v>21654256024657</v>
      </c>
      <c r="F3697" s="8">
        <v>267</v>
      </c>
      <c r="G3697" s="8">
        <v>12501</v>
      </c>
      <c r="H3697" s="8">
        <v>107</v>
      </c>
      <c r="I3697" s="8">
        <v>6346</v>
      </c>
    </row>
    <row r="3698" spans="1:9" x14ac:dyDescent="0.2">
      <c r="A3698" t="s">
        <v>855</v>
      </c>
      <c r="B3698" t="s">
        <v>867</v>
      </c>
      <c r="C3698" t="str">
        <f>"21654250000000"</f>
        <v>21654250000000</v>
      </c>
      <c r="D3698" t="s">
        <v>5319</v>
      </c>
      <c r="E3698" t="str">
        <f>"21654256024632"</f>
        <v>21654256024632</v>
      </c>
      <c r="F3698" s="8">
        <v>0</v>
      </c>
      <c r="G3698" s="8">
        <v>11117</v>
      </c>
      <c r="H3698" s="8">
        <v>107</v>
      </c>
      <c r="I3698" s="8">
        <v>6346</v>
      </c>
    </row>
    <row r="3699" spans="1:9" x14ac:dyDescent="0.2">
      <c r="A3699" t="s">
        <v>855</v>
      </c>
      <c r="B3699" t="s">
        <v>868</v>
      </c>
      <c r="C3699" t="str">
        <f>"21654330000000"</f>
        <v>21654330000000</v>
      </c>
      <c r="D3699" t="s">
        <v>868</v>
      </c>
      <c r="E3699" t="str">
        <f>"21654336024673"</f>
        <v>21654336024673</v>
      </c>
      <c r="F3699" s="8">
        <v>248</v>
      </c>
      <c r="G3699" s="8">
        <v>21537</v>
      </c>
      <c r="H3699" s="8">
        <v>0</v>
      </c>
      <c r="I3699" s="8">
        <v>0</v>
      </c>
    </row>
    <row r="3700" spans="1:9" x14ac:dyDescent="0.2">
      <c r="A3700" t="s">
        <v>855</v>
      </c>
      <c r="B3700" t="s">
        <v>870</v>
      </c>
      <c r="C3700" t="str">
        <f>"21750020000000"</f>
        <v>21750020000000</v>
      </c>
      <c r="D3700" t="s">
        <v>5320</v>
      </c>
      <c r="E3700" t="str">
        <f>"21750026024277"</f>
        <v>21750026024277</v>
      </c>
      <c r="F3700" s="8">
        <v>216</v>
      </c>
      <c r="G3700" s="8">
        <v>14427</v>
      </c>
      <c r="H3700" s="8">
        <v>403</v>
      </c>
      <c r="I3700" s="8">
        <v>4044</v>
      </c>
    </row>
    <row r="3701" spans="1:9" x14ac:dyDescent="0.2">
      <c r="A3701" t="s">
        <v>855</v>
      </c>
      <c r="B3701" t="s">
        <v>870</v>
      </c>
      <c r="C3701" t="str">
        <f>"21750020000000"</f>
        <v>21750020000000</v>
      </c>
      <c r="D3701" t="s">
        <v>5321</v>
      </c>
      <c r="E3701" t="str">
        <f>"21750026024681"</f>
        <v>21750026024681</v>
      </c>
      <c r="F3701" s="8">
        <v>236</v>
      </c>
      <c r="G3701" s="8">
        <v>12249</v>
      </c>
      <c r="H3701" s="8">
        <v>403</v>
      </c>
      <c r="I3701" s="8">
        <v>4044</v>
      </c>
    </row>
    <row r="3702" spans="1:9" x14ac:dyDescent="0.2">
      <c r="A3702" t="s">
        <v>855</v>
      </c>
      <c r="B3702" t="s">
        <v>870</v>
      </c>
      <c r="C3702" t="str">
        <f>"21750020000000"</f>
        <v>21750020000000</v>
      </c>
      <c r="D3702" t="s">
        <v>2593</v>
      </c>
      <c r="E3702" t="str">
        <f>"21750020124578"</f>
        <v>21750020124578</v>
      </c>
      <c r="F3702" s="8">
        <v>2</v>
      </c>
      <c r="G3702" s="8">
        <v>11570</v>
      </c>
      <c r="H3702" s="8">
        <v>403</v>
      </c>
      <c r="I3702" s="8">
        <v>4044</v>
      </c>
    </row>
    <row r="3703" spans="1:9" x14ac:dyDescent="0.2">
      <c r="A3703" t="s">
        <v>855</v>
      </c>
      <c r="B3703" t="s">
        <v>870</v>
      </c>
      <c r="C3703" t="str">
        <f>"21750020000000"</f>
        <v>21750020000000</v>
      </c>
      <c r="D3703" t="s">
        <v>5322</v>
      </c>
      <c r="E3703" t="str">
        <f>"21750026024285"</f>
        <v>21750026024285</v>
      </c>
      <c r="F3703" s="8">
        <v>413</v>
      </c>
      <c r="G3703" s="8">
        <v>9722</v>
      </c>
      <c r="H3703" s="8">
        <v>403</v>
      </c>
      <c r="I3703" s="8">
        <v>4044</v>
      </c>
    </row>
    <row r="3704" spans="1:9" x14ac:dyDescent="0.2">
      <c r="A3704" t="s">
        <v>855</v>
      </c>
      <c r="B3704" t="s">
        <v>870</v>
      </c>
      <c r="C3704" t="str">
        <f>"21750020000000"</f>
        <v>21750020000000</v>
      </c>
      <c r="D3704" t="s">
        <v>5323</v>
      </c>
      <c r="E3704" t="str">
        <f>"21750026024731"</f>
        <v>21750026024731</v>
      </c>
      <c r="F3704" s="8">
        <v>28</v>
      </c>
      <c r="G3704" s="8">
        <v>9575</v>
      </c>
      <c r="H3704" s="8">
        <v>403</v>
      </c>
      <c r="I3704" s="8">
        <v>4044</v>
      </c>
    </row>
    <row r="3705" spans="1:9" x14ac:dyDescent="0.2">
      <c r="A3705" t="s">
        <v>855</v>
      </c>
      <c r="B3705" t="s">
        <v>871</v>
      </c>
      <c r="C3705" t="str">
        <f t="shared" ref="C3705:C3712" si="176">"21654580000000"</f>
        <v>21654580000000</v>
      </c>
      <c r="D3705" t="s">
        <v>5324</v>
      </c>
      <c r="E3705" t="str">
        <f>"21654586024830"</f>
        <v>21654586024830</v>
      </c>
      <c r="F3705" s="8">
        <v>1300</v>
      </c>
      <c r="G3705" s="8">
        <v>9258</v>
      </c>
      <c r="H3705" s="8">
        <v>738</v>
      </c>
      <c r="I3705" s="8">
        <v>5611</v>
      </c>
    </row>
    <row r="3706" spans="1:9" x14ac:dyDescent="0.2">
      <c r="A3706" t="s">
        <v>855</v>
      </c>
      <c r="B3706" t="s">
        <v>871</v>
      </c>
      <c r="C3706" t="str">
        <f t="shared" si="176"/>
        <v>21654580000000</v>
      </c>
      <c r="D3706" t="s">
        <v>5325</v>
      </c>
      <c r="E3706" t="str">
        <f>"21654586024814"</f>
        <v>21654586024814</v>
      </c>
      <c r="F3706" s="8">
        <v>775</v>
      </c>
      <c r="G3706" s="8">
        <v>8709</v>
      </c>
      <c r="H3706" s="8">
        <v>738</v>
      </c>
      <c r="I3706" s="8">
        <v>5611</v>
      </c>
    </row>
    <row r="3707" spans="1:9" x14ac:dyDescent="0.2">
      <c r="A3707" t="s">
        <v>855</v>
      </c>
      <c r="B3707" t="s">
        <v>871</v>
      </c>
      <c r="C3707" t="str">
        <f t="shared" si="176"/>
        <v>21654580000000</v>
      </c>
      <c r="D3707" t="s">
        <v>5326</v>
      </c>
      <c r="E3707" t="str">
        <f>"21654586024756"</f>
        <v>21654586024756</v>
      </c>
      <c r="F3707" s="8">
        <v>793</v>
      </c>
      <c r="G3707" s="8">
        <v>8370</v>
      </c>
      <c r="H3707" s="8">
        <v>738</v>
      </c>
      <c r="I3707" s="8">
        <v>5611</v>
      </c>
    </row>
    <row r="3708" spans="1:9" x14ac:dyDescent="0.2">
      <c r="A3708" t="s">
        <v>855</v>
      </c>
      <c r="B3708" t="s">
        <v>871</v>
      </c>
      <c r="C3708" t="str">
        <f t="shared" si="176"/>
        <v>21654580000000</v>
      </c>
      <c r="D3708" t="s">
        <v>5327</v>
      </c>
      <c r="E3708" t="str">
        <f>"21654586024772"</f>
        <v>21654586024772</v>
      </c>
      <c r="F3708" s="8">
        <v>565</v>
      </c>
      <c r="G3708" s="8">
        <v>8582</v>
      </c>
      <c r="H3708" s="8">
        <v>738</v>
      </c>
      <c r="I3708" s="8">
        <v>5611</v>
      </c>
    </row>
    <row r="3709" spans="1:9" x14ac:dyDescent="0.2">
      <c r="A3709" t="s">
        <v>855</v>
      </c>
      <c r="B3709" t="s">
        <v>871</v>
      </c>
      <c r="C3709" t="str">
        <f t="shared" si="176"/>
        <v>21654580000000</v>
      </c>
      <c r="D3709" t="s">
        <v>4144</v>
      </c>
      <c r="E3709" t="str">
        <f>"21654586024780"</f>
        <v>21654586024780</v>
      </c>
      <c r="F3709" s="8">
        <v>366</v>
      </c>
      <c r="G3709" s="8">
        <v>8656</v>
      </c>
      <c r="H3709" s="8">
        <v>738</v>
      </c>
      <c r="I3709" s="8">
        <v>5611</v>
      </c>
    </row>
    <row r="3710" spans="1:9" x14ac:dyDescent="0.2">
      <c r="A3710" t="s">
        <v>855</v>
      </c>
      <c r="B3710" t="s">
        <v>871</v>
      </c>
      <c r="C3710" t="str">
        <f t="shared" si="176"/>
        <v>21654580000000</v>
      </c>
      <c r="D3710" t="s">
        <v>5328</v>
      </c>
      <c r="E3710" t="str">
        <f>"21654586058622"</f>
        <v>21654586058622</v>
      </c>
      <c r="F3710" s="8">
        <v>226</v>
      </c>
      <c r="G3710" s="8">
        <v>8600</v>
      </c>
      <c r="H3710" s="8">
        <v>738</v>
      </c>
      <c r="I3710" s="8">
        <v>5611</v>
      </c>
    </row>
    <row r="3711" spans="1:9" x14ac:dyDescent="0.2">
      <c r="A3711" t="s">
        <v>855</v>
      </c>
      <c r="B3711" t="s">
        <v>871</v>
      </c>
      <c r="C3711" t="str">
        <f t="shared" si="176"/>
        <v>21654580000000</v>
      </c>
      <c r="D3711" t="s">
        <v>5329</v>
      </c>
      <c r="E3711" t="str">
        <f>"21654586024863"</f>
        <v>21654586024863</v>
      </c>
      <c r="F3711" s="8">
        <v>181</v>
      </c>
      <c r="G3711" s="8">
        <v>8133</v>
      </c>
      <c r="H3711" s="8">
        <v>738</v>
      </c>
      <c r="I3711" s="8">
        <v>5611</v>
      </c>
    </row>
    <row r="3712" spans="1:9" x14ac:dyDescent="0.2">
      <c r="A3712" t="s">
        <v>855</v>
      </c>
      <c r="B3712" t="s">
        <v>871</v>
      </c>
      <c r="C3712" t="str">
        <f t="shared" si="176"/>
        <v>21654580000000</v>
      </c>
      <c r="D3712" t="s">
        <v>5330</v>
      </c>
      <c r="E3712" t="str">
        <f>"21654586024764"</f>
        <v>21654586024764</v>
      </c>
      <c r="F3712" s="8">
        <v>298</v>
      </c>
      <c r="G3712" s="8">
        <v>4471</v>
      </c>
      <c r="H3712" s="8">
        <v>738</v>
      </c>
      <c r="I3712" s="8">
        <v>5611</v>
      </c>
    </row>
    <row r="3713" spans="1:9" x14ac:dyDescent="0.2">
      <c r="A3713" t="s">
        <v>855</v>
      </c>
      <c r="B3713" t="s">
        <v>872</v>
      </c>
      <c r="C3713" t="str">
        <f>"21654660000000"</f>
        <v>21654660000000</v>
      </c>
      <c r="D3713" t="s">
        <v>5331</v>
      </c>
      <c r="E3713" t="str">
        <f>"21654662133254"</f>
        <v>21654662133254</v>
      </c>
      <c r="F3713" s="8">
        <v>1398</v>
      </c>
      <c r="G3713" s="8">
        <v>11937</v>
      </c>
      <c r="H3713" s="8">
        <v>758</v>
      </c>
      <c r="I3713" s="8">
        <v>4203</v>
      </c>
    </row>
    <row r="3714" spans="1:9" x14ac:dyDescent="0.2">
      <c r="A3714" t="s">
        <v>855</v>
      </c>
      <c r="B3714" t="s">
        <v>872</v>
      </c>
      <c r="C3714" t="str">
        <f>"21654660000000"</f>
        <v>21654660000000</v>
      </c>
      <c r="D3714" t="s">
        <v>5332</v>
      </c>
      <c r="E3714" t="str">
        <f>"21654662134005"</f>
        <v>21654662134005</v>
      </c>
      <c r="F3714" s="8">
        <v>72</v>
      </c>
      <c r="G3714" s="8">
        <v>9807</v>
      </c>
      <c r="H3714" s="8">
        <v>758</v>
      </c>
      <c r="I3714" s="8">
        <v>4203</v>
      </c>
    </row>
    <row r="3715" spans="1:9" x14ac:dyDescent="0.2">
      <c r="A3715" t="s">
        <v>855</v>
      </c>
      <c r="B3715" t="s">
        <v>872</v>
      </c>
      <c r="C3715" t="str">
        <f>"21654660000000"</f>
        <v>21654660000000</v>
      </c>
      <c r="D3715" t="s">
        <v>5333</v>
      </c>
      <c r="E3715" t="str">
        <f>"21654662133262"</f>
        <v>21654662133262</v>
      </c>
      <c r="F3715" s="8">
        <v>277</v>
      </c>
      <c r="G3715" s="8">
        <v>9280</v>
      </c>
      <c r="H3715" s="8">
        <v>758</v>
      </c>
      <c r="I3715" s="8">
        <v>4203</v>
      </c>
    </row>
    <row r="3716" spans="1:9" x14ac:dyDescent="0.2">
      <c r="A3716" t="s">
        <v>855</v>
      </c>
      <c r="B3716" t="s">
        <v>873</v>
      </c>
      <c r="C3716" t="str">
        <f>"21654740000000"</f>
        <v>21654740000000</v>
      </c>
      <c r="D3716" t="s">
        <v>5334</v>
      </c>
      <c r="E3716" t="str">
        <f>"21654746024889"</f>
        <v>21654746024889</v>
      </c>
      <c r="F3716" s="8">
        <v>4042</v>
      </c>
      <c r="G3716" s="8">
        <v>38945</v>
      </c>
      <c r="H3716" s="8">
        <v>224</v>
      </c>
      <c r="I3716" s="8">
        <v>9690</v>
      </c>
    </row>
    <row r="3717" spans="1:9" x14ac:dyDescent="0.2">
      <c r="A3717" t="s">
        <v>855</v>
      </c>
      <c r="B3717" t="s">
        <v>874</v>
      </c>
      <c r="C3717" t="str">
        <f>"21733610000000"</f>
        <v>21733610000000</v>
      </c>
      <c r="D3717" t="s">
        <v>5335</v>
      </c>
      <c r="E3717" t="str">
        <f>"21733616051627"</f>
        <v>21733616051627</v>
      </c>
      <c r="F3717" s="8">
        <v>2999</v>
      </c>
      <c r="G3717" s="8">
        <v>32480</v>
      </c>
      <c r="H3717" s="8">
        <v>970</v>
      </c>
      <c r="I3717" s="8">
        <v>8037</v>
      </c>
    </row>
    <row r="3718" spans="1:9" x14ac:dyDescent="0.2">
      <c r="A3718" t="s">
        <v>855</v>
      </c>
      <c r="B3718" t="s">
        <v>874</v>
      </c>
      <c r="C3718" t="str">
        <f>"21733610000000"</f>
        <v>21733610000000</v>
      </c>
      <c r="D3718" t="s">
        <v>5336</v>
      </c>
      <c r="E3718" t="str">
        <f>"21733616024921"</f>
        <v>21733616024921</v>
      </c>
      <c r="F3718" s="8">
        <v>281</v>
      </c>
      <c r="G3718" s="8">
        <v>21212</v>
      </c>
      <c r="H3718" s="8">
        <v>970</v>
      </c>
      <c r="I3718" s="8">
        <v>8037</v>
      </c>
    </row>
    <row r="3719" spans="1:9" x14ac:dyDescent="0.2">
      <c r="A3719" t="s">
        <v>855</v>
      </c>
      <c r="B3719" t="s">
        <v>874</v>
      </c>
      <c r="C3719" t="str">
        <f>"21733610000000"</f>
        <v>21733610000000</v>
      </c>
      <c r="D3719" t="s">
        <v>5337</v>
      </c>
      <c r="E3719" t="str">
        <f>"21733616024947"</f>
        <v>21733616024947</v>
      </c>
      <c r="F3719" s="8">
        <v>0</v>
      </c>
      <c r="G3719" s="8">
        <v>21343</v>
      </c>
      <c r="H3719" s="8">
        <v>970</v>
      </c>
      <c r="I3719" s="8">
        <v>8037</v>
      </c>
    </row>
    <row r="3720" spans="1:9" x14ac:dyDescent="0.2">
      <c r="A3720" t="s">
        <v>855</v>
      </c>
      <c r="B3720" t="s">
        <v>874</v>
      </c>
      <c r="C3720" t="str">
        <f>"21733610000000"</f>
        <v>21733610000000</v>
      </c>
      <c r="D3720" t="s">
        <v>5338</v>
      </c>
      <c r="E3720" t="str">
        <f>"21733612134310"</f>
        <v>21733612134310</v>
      </c>
      <c r="F3720" s="8">
        <v>117</v>
      </c>
      <c r="G3720" s="8">
        <v>19189</v>
      </c>
      <c r="H3720" s="8">
        <v>970</v>
      </c>
      <c r="I3720" s="8">
        <v>8037</v>
      </c>
    </row>
    <row r="3721" spans="1:9" x14ac:dyDescent="0.2">
      <c r="A3721" t="s">
        <v>855</v>
      </c>
      <c r="B3721" t="s">
        <v>874</v>
      </c>
      <c r="C3721" t="str">
        <f>"21733610000000"</f>
        <v>21733610000000</v>
      </c>
      <c r="D3721" t="s">
        <v>5339</v>
      </c>
      <c r="E3721" t="str">
        <f>"21733616024954"</f>
        <v>21733616024954</v>
      </c>
      <c r="F3721" s="8">
        <v>789</v>
      </c>
      <c r="G3721" s="8">
        <v>18287</v>
      </c>
      <c r="H3721" s="8">
        <v>970</v>
      </c>
      <c r="I3721" s="8">
        <v>8037</v>
      </c>
    </row>
    <row r="3722" spans="1:9" x14ac:dyDescent="0.2">
      <c r="A3722" t="s">
        <v>855</v>
      </c>
      <c r="B3722" t="s">
        <v>875</v>
      </c>
      <c r="C3722" t="str">
        <f>"21654820000000"</f>
        <v>21654820000000</v>
      </c>
      <c r="D3722" t="s">
        <v>5340</v>
      </c>
      <c r="E3722" t="str">
        <f>"21654822134419"</f>
        <v>21654822134419</v>
      </c>
      <c r="F3722" s="8">
        <v>281</v>
      </c>
      <c r="G3722" s="8">
        <v>31018</v>
      </c>
      <c r="H3722" s="8">
        <v>427</v>
      </c>
      <c r="I3722" s="8">
        <v>3596</v>
      </c>
    </row>
    <row r="3723" spans="1:9" x14ac:dyDescent="0.2">
      <c r="A3723" t="s">
        <v>855</v>
      </c>
      <c r="B3723" t="s">
        <v>875</v>
      </c>
      <c r="C3723" t="str">
        <f>"21654820000000"</f>
        <v>21654820000000</v>
      </c>
      <c r="D3723" t="s">
        <v>5341</v>
      </c>
      <c r="E3723" t="str">
        <f>"21654822130078"</f>
        <v>21654822130078</v>
      </c>
      <c r="F3723" s="8">
        <v>139</v>
      </c>
      <c r="G3723" s="8">
        <v>21063</v>
      </c>
      <c r="H3723" s="8">
        <v>427</v>
      </c>
      <c r="I3723" s="8">
        <v>3596</v>
      </c>
    </row>
    <row r="3724" spans="1:9" x14ac:dyDescent="0.2">
      <c r="A3724" t="s">
        <v>855</v>
      </c>
      <c r="B3724" t="s">
        <v>875</v>
      </c>
      <c r="C3724" t="str">
        <f>"21654820000000"</f>
        <v>21654820000000</v>
      </c>
      <c r="D3724" t="s">
        <v>5342</v>
      </c>
      <c r="E3724" t="str">
        <f>"21654822131340"</f>
        <v>21654822131340</v>
      </c>
      <c r="F3724" s="8">
        <v>176</v>
      </c>
      <c r="G3724" s="8">
        <v>12888</v>
      </c>
      <c r="H3724" s="8">
        <v>427</v>
      </c>
      <c r="I3724" s="8">
        <v>3596</v>
      </c>
    </row>
    <row r="3725" spans="1:9" x14ac:dyDescent="0.2">
      <c r="A3725" t="s">
        <v>855</v>
      </c>
      <c r="B3725" t="s">
        <v>875</v>
      </c>
      <c r="C3725" t="str">
        <f>"21654820000000"</f>
        <v>21654820000000</v>
      </c>
      <c r="D3725" t="s">
        <v>5343</v>
      </c>
      <c r="E3725" t="str">
        <f>"21654822133692"</f>
        <v>21654822133692</v>
      </c>
      <c r="F3725" s="8">
        <v>226</v>
      </c>
      <c r="G3725" s="8">
        <v>12530</v>
      </c>
      <c r="H3725" s="8">
        <v>427</v>
      </c>
      <c r="I3725" s="8">
        <v>3596</v>
      </c>
    </row>
    <row r="3726" spans="1:9" x14ac:dyDescent="0.2">
      <c r="A3726" t="s">
        <v>855</v>
      </c>
      <c r="B3726" t="s">
        <v>875</v>
      </c>
      <c r="C3726" t="str">
        <f>"21654820000000"</f>
        <v>21654820000000</v>
      </c>
      <c r="D3726" t="s">
        <v>5344</v>
      </c>
      <c r="E3726" t="str">
        <f>"21654822132587"</f>
        <v>21654822132587</v>
      </c>
      <c r="F3726" s="8">
        <v>200</v>
      </c>
      <c r="G3726" s="8">
        <v>12261</v>
      </c>
      <c r="H3726" s="8">
        <v>427</v>
      </c>
      <c r="I3726" s="8">
        <v>3596</v>
      </c>
    </row>
    <row r="3727" spans="1:9" x14ac:dyDescent="0.2">
      <c r="A3727" t="s">
        <v>877</v>
      </c>
      <c r="B3727" t="s">
        <v>878</v>
      </c>
      <c r="C3727" t="str">
        <f>"22102230000000"</f>
        <v>22102230000000</v>
      </c>
      <c r="D3727" t="s">
        <v>2371</v>
      </c>
      <c r="E3727" t="str">
        <f>"22102232230100"</f>
        <v>22102232230100</v>
      </c>
      <c r="F3727" s="8">
        <v>13617</v>
      </c>
      <c r="G3727" s="8">
        <v>63956</v>
      </c>
      <c r="H3727" s="8">
        <v>3161</v>
      </c>
      <c r="I3727" s="8">
        <v>25987</v>
      </c>
    </row>
    <row r="3728" spans="1:9" x14ac:dyDescent="0.2">
      <c r="A3728" t="s">
        <v>877</v>
      </c>
      <c r="B3728" t="s">
        <v>878</v>
      </c>
      <c r="C3728" t="str">
        <f>"22102230000000"</f>
        <v>22102230000000</v>
      </c>
      <c r="D3728" t="s">
        <v>5345</v>
      </c>
      <c r="E3728" t="str">
        <f>"22102236105308"</f>
        <v>22102236105308</v>
      </c>
      <c r="F3728" s="8">
        <v>10655</v>
      </c>
      <c r="G3728" s="8">
        <v>34355</v>
      </c>
      <c r="H3728" s="8">
        <v>3161</v>
      </c>
      <c r="I3728" s="8">
        <v>25987</v>
      </c>
    </row>
    <row r="3729" spans="1:9" x14ac:dyDescent="0.2">
      <c r="A3729" t="s">
        <v>877</v>
      </c>
      <c r="B3729" t="s">
        <v>878</v>
      </c>
      <c r="C3729" t="str">
        <f>"22102230000000"</f>
        <v>22102230000000</v>
      </c>
      <c r="D3729" t="s">
        <v>5346</v>
      </c>
      <c r="E3729" t="str">
        <f>"22102232230050"</f>
        <v>22102232230050</v>
      </c>
      <c r="F3729" s="8">
        <v>0</v>
      </c>
      <c r="G3729" s="8">
        <v>526</v>
      </c>
      <c r="H3729" s="8">
        <v>3161</v>
      </c>
      <c r="I3729" s="8">
        <v>25987</v>
      </c>
    </row>
    <row r="3730" spans="1:9" x14ac:dyDescent="0.2">
      <c r="A3730" t="s">
        <v>877</v>
      </c>
      <c r="B3730" t="s">
        <v>879</v>
      </c>
      <c r="C3730" t="str">
        <f t="shared" ref="C3730:C3740" si="177">"22655320000000"</f>
        <v>22655320000000</v>
      </c>
      <c r="D3730" t="s">
        <v>5347</v>
      </c>
      <c r="E3730" t="str">
        <f>"22655322230084"</f>
        <v>22655322230084</v>
      </c>
      <c r="F3730" s="8">
        <v>4363</v>
      </c>
      <c r="G3730" s="8">
        <v>165601</v>
      </c>
      <c r="H3730" s="8">
        <v>649</v>
      </c>
      <c r="I3730" s="8">
        <v>4088</v>
      </c>
    </row>
    <row r="3731" spans="1:9" x14ac:dyDescent="0.2">
      <c r="A3731" t="s">
        <v>877</v>
      </c>
      <c r="B3731" t="s">
        <v>879</v>
      </c>
      <c r="C3731" t="str">
        <f t="shared" si="177"/>
        <v>22655320000000</v>
      </c>
      <c r="D3731" t="s">
        <v>5348</v>
      </c>
      <c r="E3731" t="str">
        <f>"22655322230076"</f>
        <v>22655322230076</v>
      </c>
      <c r="F3731" s="8">
        <v>597</v>
      </c>
      <c r="G3731" s="8">
        <v>27318</v>
      </c>
      <c r="H3731" s="8">
        <v>649</v>
      </c>
      <c r="I3731" s="8">
        <v>4088</v>
      </c>
    </row>
    <row r="3732" spans="1:9" x14ac:dyDescent="0.2">
      <c r="A3732" t="s">
        <v>877</v>
      </c>
      <c r="B3732" t="s">
        <v>879</v>
      </c>
      <c r="C3732" t="str">
        <f t="shared" si="177"/>
        <v>22655320000000</v>
      </c>
      <c r="D3732" t="s">
        <v>5349</v>
      </c>
      <c r="E3732" t="str">
        <f>"22655326025068"</f>
        <v>22655326025068</v>
      </c>
      <c r="F3732" s="8">
        <v>374</v>
      </c>
      <c r="G3732" s="8">
        <v>14323</v>
      </c>
      <c r="H3732" s="8">
        <v>649</v>
      </c>
      <c r="I3732" s="8">
        <v>4088</v>
      </c>
    </row>
    <row r="3733" spans="1:9" x14ac:dyDescent="0.2">
      <c r="A3733" t="s">
        <v>877</v>
      </c>
      <c r="B3733" t="s">
        <v>879</v>
      </c>
      <c r="C3733" t="str">
        <f t="shared" si="177"/>
        <v>22655320000000</v>
      </c>
      <c r="D3733" t="s">
        <v>5350</v>
      </c>
      <c r="E3733" t="str">
        <f>"22655320132258"</f>
        <v>22655320132258</v>
      </c>
      <c r="F3733" s="8">
        <v>995</v>
      </c>
      <c r="G3733" s="8">
        <v>11663</v>
      </c>
      <c r="H3733" s="8">
        <v>649</v>
      </c>
      <c r="I3733" s="8">
        <v>4088</v>
      </c>
    </row>
    <row r="3734" spans="1:9" x14ac:dyDescent="0.2">
      <c r="A3734" t="s">
        <v>877</v>
      </c>
      <c r="B3734" t="s">
        <v>879</v>
      </c>
      <c r="C3734" t="str">
        <f t="shared" si="177"/>
        <v>22655320000000</v>
      </c>
      <c r="D3734" t="s">
        <v>5351</v>
      </c>
      <c r="E3734" t="str">
        <f>"22655322235356"</f>
        <v>22655322235356</v>
      </c>
      <c r="F3734" s="8">
        <v>831</v>
      </c>
      <c r="G3734" s="8">
        <v>10414</v>
      </c>
      <c r="H3734" s="8">
        <v>649</v>
      </c>
      <c r="I3734" s="8">
        <v>4088</v>
      </c>
    </row>
    <row r="3735" spans="1:9" x14ac:dyDescent="0.2">
      <c r="A3735" t="s">
        <v>877</v>
      </c>
      <c r="B3735" t="s">
        <v>879</v>
      </c>
      <c r="C3735" t="str">
        <f t="shared" si="177"/>
        <v>22655320000000</v>
      </c>
      <c r="D3735" t="s">
        <v>5352</v>
      </c>
      <c r="E3735" t="str">
        <f>"22655326103477"</f>
        <v>22655326103477</v>
      </c>
      <c r="F3735" s="8">
        <v>744</v>
      </c>
      <c r="G3735" s="8">
        <v>9767</v>
      </c>
      <c r="H3735" s="8">
        <v>649</v>
      </c>
      <c r="I3735" s="8">
        <v>4088</v>
      </c>
    </row>
    <row r="3736" spans="1:9" x14ac:dyDescent="0.2">
      <c r="A3736" t="s">
        <v>877</v>
      </c>
      <c r="B3736" t="s">
        <v>879</v>
      </c>
      <c r="C3736" t="str">
        <f t="shared" si="177"/>
        <v>22655320000000</v>
      </c>
      <c r="D3736" t="s">
        <v>5353</v>
      </c>
      <c r="E3736" t="str">
        <f>"22655326025001"</f>
        <v>22655326025001</v>
      </c>
      <c r="F3736" s="8">
        <v>917</v>
      </c>
      <c r="G3736" s="8">
        <v>8206</v>
      </c>
      <c r="H3736" s="8">
        <v>649</v>
      </c>
      <c r="I3736" s="8">
        <v>4088</v>
      </c>
    </row>
    <row r="3737" spans="1:9" x14ac:dyDescent="0.2">
      <c r="A3737" t="s">
        <v>877</v>
      </c>
      <c r="B3737" t="s">
        <v>879</v>
      </c>
      <c r="C3737" t="str">
        <f t="shared" si="177"/>
        <v>22655320000000</v>
      </c>
      <c r="D3737" t="s">
        <v>5354</v>
      </c>
      <c r="E3737" t="str">
        <f>"22655326025050"</f>
        <v>22655326025050</v>
      </c>
      <c r="F3737" s="8">
        <v>624</v>
      </c>
      <c r="G3737" s="8">
        <v>7908</v>
      </c>
      <c r="H3737" s="8">
        <v>649</v>
      </c>
      <c r="I3737" s="8">
        <v>4088</v>
      </c>
    </row>
    <row r="3738" spans="1:9" x14ac:dyDescent="0.2">
      <c r="A3738" t="s">
        <v>877</v>
      </c>
      <c r="B3738" t="s">
        <v>879</v>
      </c>
      <c r="C3738" t="str">
        <f t="shared" si="177"/>
        <v>22655320000000</v>
      </c>
      <c r="D3738" t="s">
        <v>5355</v>
      </c>
      <c r="E3738" t="str">
        <f>"22655322230035"</f>
        <v>22655322230035</v>
      </c>
      <c r="F3738" s="8">
        <v>884</v>
      </c>
      <c r="G3738" s="8">
        <v>7334</v>
      </c>
      <c r="H3738" s="8">
        <v>649</v>
      </c>
      <c r="I3738" s="8">
        <v>4088</v>
      </c>
    </row>
    <row r="3739" spans="1:9" x14ac:dyDescent="0.2">
      <c r="A3739" t="s">
        <v>877</v>
      </c>
      <c r="B3739" t="s">
        <v>879</v>
      </c>
      <c r="C3739" t="str">
        <f t="shared" si="177"/>
        <v>22655320000000</v>
      </c>
      <c r="D3739" t="s">
        <v>3977</v>
      </c>
      <c r="E3739" t="str">
        <f>"22655326025035"</f>
        <v>22655326025035</v>
      </c>
      <c r="F3739" s="8">
        <v>642</v>
      </c>
      <c r="G3739" s="8">
        <v>6397</v>
      </c>
      <c r="H3739" s="8">
        <v>649</v>
      </c>
      <c r="I3739" s="8">
        <v>4088</v>
      </c>
    </row>
    <row r="3740" spans="1:9" x14ac:dyDescent="0.2">
      <c r="A3740" t="s">
        <v>877</v>
      </c>
      <c r="B3740" t="s">
        <v>879</v>
      </c>
      <c r="C3740" t="str">
        <f t="shared" si="177"/>
        <v>22655320000000</v>
      </c>
      <c r="D3740" t="s">
        <v>5356</v>
      </c>
      <c r="E3740" t="str">
        <f>"22655322230068"</f>
        <v>22655322230068</v>
      </c>
      <c r="F3740" s="8">
        <v>975</v>
      </c>
      <c r="G3740" s="8">
        <v>2063</v>
      </c>
      <c r="H3740" s="8">
        <v>649</v>
      </c>
      <c r="I3740" s="8">
        <v>4088</v>
      </c>
    </row>
    <row r="3741" spans="1:9" x14ac:dyDescent="0.2">
      <c r="A3741" t="s">
        <v>881</v>
      </c>
      <c r="B3741" t="s">
        <v>883</v>
      </c>
      <c r="C3741" t="str">
        <f>"23655400000000"</f>
        <v>23655400000000</v>
      </c>
      <c r="D3741" t="s">
        <v>5357</v>
      </c>
      <c r="E3741" t="str">
        <f>"23655406025084"</f>
        <v>23655406025084</v>
      </c>
      <c r="F3741" s="8">
        <v>2500</v>
      </c>
      <c r="G3741" s="8">
        <v>9874</v>
      </c>
      <c r="H3741" s="8">
        <v>800</v>
      </c>
      <c r="I3741" s="8">
        <v>3358</v>
      </c>
    </row>
    <row r="3742" spans="1:9" x14ac:dyDescent="0.2">
      <c r="A3742" t="s">
        <v>881</v>
      </c>
      <c r="B3742" t="s">
        <v>883</v>
      </c>
      <c r="C3742" t="str">
        <f>"23655400000000"</f>
        <v>23655400000000</v>
      </c>
      <c r="D3742" t="s">
        <v>5358</v>
      </c>
      <c r="E3742" t="str">
        <f>"23655402330900"</f>
        <v>23655402330900</v>
      </c>
      <c r="F3742" s="8">
        <v>910</v>
      </c>
      <c r="G3742" s="8">
        <v>9874</v>
      </c>
      <c r="H3742" s="8">
        <v>800</v>
      </c>
      <c r="I3742" s="8">
        <v>3358</v>
      </c>
    </row>
    <row r="3743" spans="1:9" x14ac:dyDescent="0.2">
      <c r="A3743" t="s">
        <v>881</v>
      </c>
      <c r="B3743" t="s">
        <v>883</v>
      </c>
      <c r="C3743" t="str">
        <f>"23655400000000"</f>
        <v>23655400000000</v>
      </c>
      <c r="D3743" t="s">
        <v>5359</v>
      </c>
      <c r="E3743" t="str">
        <f>"23655402330058"</f>
        <v>23655402330058</v>
      </c>
      <c r="F3743" s="8">
        <v>38</v>
      </c>
      <c r="G3743" s="8">
        <v>800</v>
      </c>
      <c r="H3743" s="8">
        <v>1322</v>
      </c>
      <c r="I3743" s="8">
        <v>3358</v>
      </c>
    </row>
    <row r="3744" spans="1:9" x14ac:dyDescent="0.2">
      <c r="A3744" t="s">
        <v>881</v>
      </c>
      <c r="B3744" t="s">
        <v>884</v>
      </c>
      <c r="C3744" t="str">
        <f>"23655570000000"</f>
        <v>23655570000000</v>
      </c>
      <c r="D3744" t="s">
        <v>5360</v>
      </c>
      <c r="E3744" t="str">
        <f>"23655576025092"</f>
        <v>23655576025092</v>
      </c>
      <c r="F3744" s="8">
        <v>4009</v>
      </c>
      <c r="G3744" s="8">
        <v>12108</v>
      </c>
      <c r="H3744" s="8">
        <v>0</v>
      </c>
      <c r="I3744" s="8">
        <v>2452</v>
      </c>
    </row>
    <row r="3745" spans="1:9" x14ac:dyDescent="0.2">
      <c r="A3745" t="s">
        <v>881</v>
      </c>
      <c r="B3745" t="s">
        <v>886</v>
      </c>
      <c r="C3745" t="str">
        <f t="shared" ref="C3745:C3751" si="178">"23655650000000"</f>
        <v>23655650000000</v>
      </c>
      <c r="D3745" t="s">
        <v>5361</v>
      </c>
      <c r="E3745" t="str">
        <f>"23655656119184"</f>
        <v>23655656119184</v>
      </c>
      <c r="F3745" s="8">
        <v>15163</v>
      </c>
      <c r="G3745" s="8">
        <v>46513</v>
      </c>
      <c r="H3745" s="8">
        <v>1104</v>
      </c>
      <c r="I3745" s="8">
        <v>1853</v>
      </c>
    </row>
    <row r="3746" spans="1:9" x14ac:dyDescent="0.2">
      <c r="A3746" t="s">
        <v>881</v>
      </c>
      <c r="B3746" t="s">
        <v>886</v>
      </c>
      <c r="C3746" t="str">
        <f t="shared" si="178"/>
        <v>23655650000000</v>
      </c>
      <c r="D3746" t="s">
        <v>5362</v>
      </c>
      <c r="E3746" t="str">
        <f>"23655652330355"</f>
        <v>23655652330355</v>
      </c>
      <c r="F3746" s="8">
        <v>1692</v>
      </c>
      <c r="G3746" s="8">
        <v>26807</v>
      </c>
      <c r="H3746" s="8">
        <v>1104</v>
      </c>
      <c r="I3746" s="8">
        <v>1853</v>
      </c>
    </row>
    <row r="3747" spans="1:9" x14ac:dyDescent="0.2">
      <c r="A3747" t="s">
        <v>881</v>
      </c>
      <c r="B3747" t="s">
        <v>886</v>
      </c>
      <c r="C3747" t="str">
        <f t="shared" si="178"/>
        <v>23655650000000</v>
      </c>
      <c r="D3747" t="s">
        <v>5363</v>
      </c>
      <c r="E3747" t="str">
        <f>"23655652330215"</f>
        <v>23655652330215</v>
      </c>
      <c r="F3747" s="8">
        <v>4122</v>
      </c>
      <c r="G3747" s="8">
        <v>7884</v>
      </c>
      <c r="H3747" s="8">
        <v>1104</v>
      </c>
      <c r="I3747" s="8">
        <v>1853</v>
      </c>
    </row>
    <row r="3748" spans="1:9" x14ac:dyDescent="0.2">
      <c r="A3748" t="s">
        <v>881</v>
      </c>
      <c r="B3748" t="s">
        <v>886</v>
      </c>
      <c r="C3748" t="str">
        <f t="shared" si="178"/>
        <v>23655650000000</v>
      </c>
      <c r="D3748" t="s">
        <v>2729</v>
      </c>
      <c r="E3748" t="str">
        <f>"23655656025126"</f>
        <v>23655656025126</v>
      </c>
      <c r="F3748" s="8">
        <v>1408</v>
      </c>
      <c r="G3748" s="8">
        <v>10433</v>
      </c>
      <c r="H3748" s="8">
        <v>1104</v>
      </c>
      <c r="I3748" s="8">
        <v>1853</v>
      </c>
    </row>
    <row r="3749" spans="1:9" x14ac:dyDescent="0.2">
      <c r="A3749" t="s">
        <v>881</v>
      </c>
      <c r="B3749" t="s">
        <v>886</v>
      </c>
      <c r="C3749" t="str">
        <f t="shared" si="178"/>
        <v>23655650000000</v>
      </c>
      <c r="D3749" t="s">
        <v>5364</v>
      </c>
      <c r="E3749" t="str">
        <f>"23655656061667"</f>
        <v>23655656061667</v>
      </c>
      <c r="F3749" s="8">
        <v>588</v>
      </c>
      <c r="G3749" s="8">
        <v>9160</v>
      </c>
      <c r="H3749" s="8">
        <v>1104</v>
      </c>
      <c r="I3749" s="8">
        <v>1853</v>
      </c>
    </row>
    <row r="3750" spans="1:9" x14ac:dyDescent="0.2">
      <c r="A3750" t="s">
        <v>881</v>
      </c>
      <c r="B3750" t="s">
        <v>886</v>
      </c>
      <c r="C3750" t="str">
        <f t="shared" si="178"/>
        <v>23655650000000</v>
      </c>
      <c r="D3750" t="s">
        <v>5365</v>
      </c>
      <c r="E3750" t="str">
        <f>"23655652331361"</f>
        <v>23655652331361</v>
      </c>
      <c r="F3750" s="8">
        <v>766</v>
      </c>
      <c r="G3750" s="8">
        <v>8253</v>
      </c>
      <c r="H3750" s="8">
        <v>1104</v>
      </c>
      <c r="I3750" s="8">
        <v>1853</v>
      </c>
    </row>
    <row r="3751" spans="1:9" x14ac:dyDescent="0.2">
      <c r="A3751" t="s">
        <v>881</v>
      </c>
      <c r="B3751" t="s">
        <v>886</v>
      </c>
      <c r="C3751" t="str">
        <f t="shared" si="178"/>
        <v>23655650000000</v>
      </c>
      <c r="D3751" t="s">
        <v>5366</v>
      </c>
      <c r="E3751" t="str">
        <f>"23655656025100"</f>
        <v>23655656025100</v>
      </c>
      <c r="F3751" s="8">
        <v>646</v>
      </c>
      <c r="G3751" s="8">
        <v>8340</v>
      </c>
      <c r="H3751" s="8">
        <v>1104</v>
      </c>
      <c r="I3751" s="8">
        <v>1853</v>
      </c>
    </row>
    <row r="3752" spans="1:9" x14ac:dyDescent="0.2">
      <c r="A3752" t="s">
        <v>881</v>
      </c>
      <c r="B3752" t="s">
        <v>888</v>
      </c>
      <c r="C3752" t="str">
        <f>"23739160000000"</f>
        <v>23739160000000</v>
      </c>
      <c r="D3752" t="s">
        <v>5367</v>
      </c>
      <c r="E3752" t="str">
        <f>"23739166107866"</f>
        <v>23739166107866</v>
      </c>
      <c r="F3752" s="8">
        <v>1149</v>
      </c>
      <c r="G3752" s="8">
        <v>24073</v>
      </c>
      <c r="H3752" s="8">
        <v>0</v>
      </c>
      <c r="I3752" s="8">
        <v>3904</v>
      </c>
    </row>
    <row r="3753" spans="1:9" x14ac:dyDescent="0.2">
      <c r="A3753" t="s">
        <v>881</v>
      </c>
      <c r="B3753" t="s">
        <v>888</v>
      </c>
      <c r="C3753" t="str">
        <f>"23739160000000"</f>
        <v>23739160000000</v>
      </c>
      <c r="D3753" t="s">
        <v>5368</v>
      </c>
      <c r="E3753" t="str">
        <f>"23739162332260"</f>
        <v>23739162332260</v>
      </c>
      <c r="F3753" s="8">
        <v>2413</v>
      </c>
      <c r="G3753" s="8">
        <v>10814</v>
      </c>
      <c r="H3753" s="8">
        <v>0</v>
      </c>
      <c r="I3753" s="8">
        <v>3904</v>
      </c>
    </row>
    <row r="3754" spans="1:9" x14ac:dyDescent="0.2">
      <c r="A3754" t="s">
        <v>881</v>
      </c>
      <c r="B3754" t="s">
        <v>888</v>
      </c>
      <c r="C3754" t="str">
        <f>"23739160000000"</f>
        <v>23739160000000</v>
      </c>
      <c r="D3754" t="s">
        <v>5369</v>
      </c>
      <c r="E3754" t="str">
        <f>"23739162330223"</f>
        <v>23739162330223</v>
      </c>
      <c r="F3754" s="8">
        <v>2413</v>
      </c>
      <c r="G3754" s="8">
        <v>10362</v>
      </c>
      <c r="H3754" s="8">
        <v>0</v>
      </c>
      <c r="I3754" s="8">
        <v>3904</v>
      </c>
    </row>
    <row r="3755" spans="1:9" x14ac:dyDescent="0.2">
      <c r="A3755" t="s">
        <v>881</v>
      </c>
      <c r="B3755" t="s">
        <v>888</v>
      </c>
      <c r="C3755" t="str">
        <f>"23739160000000"</f>
        <v>23739160000000</v>
      </c>
      <c r="D3755" t="s">
        <v>5370</v>
      </c>
      <c r="E3755" t="str">
        <f>"23739166025308"</f>
        <v>23739166025308</v>
      </c>
      <c r="F3755" s="8">
        <v>1998</v>
      </c>
      <c r="G3755" s="8">
        <v>7955</v>
      </c>
      <c r="H3755" s="8">
        <v>0</v>
      </c>
      <c r="I3755" s="8">
        <v>3904</v>
      </c>
    </row>
    <row r="3756" spans="1:9" x14ac:dyDescent="0.2">
      <c r="A3756" t="s">
        <v>881</v>
      </c>
      <c r="B3756" t="s">
        <v>889</v>
      </c>
      <c r="C3756" t="str">
        <f>"23752180000000"</f>
        <v>23752180000000</v>
      </c>
      <c r="D3756" t="s">
        <v>5371</v>
      </c>
      <c r="E3756" t="str">
        <f>"23752182332724"</f>
        <v>23752182332724</v>
      </c>
      <c r="F3756" s="8">
        <v>0</v>
      </c>
      <c r="G3756" s="8">
        <v>11092</v>
      </c>
      <c r="H3756" s="8">
        <v>958</v>
      </c>
      <c r="I3756" s="8">
        <v>8040</v>
      </c>
    </row>
    <row r="3757" spans="1:9" x14ac:dyDescent="0.2">
      <c r="A3757" t="s">
        <v>881</v>
      </c>
      <c r="B3757" t="s">
        <v>889</v>
      </c>
      <c r="C3757" t="str">
        <f>"23752180000000"</f>
        <v>23752180000000</v>
      </c>
      <c r="D3757" t="s">
        <v>5372</v>
      </c>
      <c r="E3757" t="str">
        <f>"23752186025118"</f>
        <v>23752186025118</v>
      </c>
      <c r="F3757" s="8">
        <v>1027</v>
      </c>
      <c r="G3757" s="8">
        <v>8734</v>
      </c>
      <c r="H3757" s="8">
        <v>958</v>
      </c>
      <c r="I3757" s="8">
        <v>8040</v>
      </c>
    </row>
    <row r="3758" spans="1:9" x14ac:dyDescent="0.2">
      <c r="A3758" t="s">
        <v>881</v>
      </c>
      <c r="B3758" t="s">
        <v>889</v>
      </c>
      <c r="C3758" t="str">
        <f>"23752180000000"</f>
        <v>23752180000000</v>
      </c>
      <c r="D3758" t="s">
        <v>5373</v>
      </c>
      <c r="E3758" t="str">
        <f>"23752186111074"</f>
        <v>23752186111074</v>
      </c>
      <c r="F3758" s="8">
        <v>788</v>
      </c>
      <c r="G3758" s="8">
        <v>9735</v>
      </c>
      <c r="H3758" s="8">
        <v>647</v>
      </c>
      <c r="I3758" s="8">
        <v>3448</v>
      </c>
    </row>
    <row r="3759" spans="1:9" x14ac:dyDescent="0.2">
      <c r="A3759" t="s">
        <v>881</v>
      </c>
      <c r="B3759" t="s">
        <v>889</v>
      </c>
      <c r="C3759" t="str">
        <f>"23752180000000"</f>
        <v>23752180000000</v>
      </c>
      <c r="D3759" t="s">
        <v>5374</v>
      </c>
      <c r="E3759" t="str">
        <f>"23752182330207"</f>
        <v>23752182330207</v>
      </c>
      <c r="F3759" s="8">
        <v>0</v>
      </c>
      <c r="G3759" s="8">
        <v>10036</v>
      </c>
      <c r="H3759" s="8">
        <v>794</v>
      </c>
      <c r="I3759" s="8">
        <v>3448</v>
      </c>
    </row>
    <row r="3760" spans="1:9" x14ac:dyDescent="0.2">
      <c r="A3760" t="s">
        <v>881</v>
      </c>
      <c r="B3760" t="s">
        <v>890</v>
      </c>
      <c r="C3760" t="str">
        <f>"23655730000000"</f>
        <v>23655730000000</v>
      </c>
      <c r="D3760" t="s">
        <v>5375</v>
      </c>
      <c r="E3760" t="str">
        <f>"23655736025134"</f>
        <v>23655736025134</v>
      </c>
      <c r="F3760" s="8">
        <v>1110</v>
      </c>
      <c r="G3760" s="8">
        <v>17604</v>
      </c>
      <c r="H3760" s="8">
        <v>0</v>
      </c>
      <c r="I3760" s="8">
        <v>0</v>
      </c>
    </row>
    <row r="3761" spans="1:9" x14ac:dyDescent="0.2">
      <c r="A3761" t="s">
        <v>881</v>
      </c>
      <c r="B3761" t="s">
        <v>891</v>
      </c>
      <c r="C3761" t="str">
        <f>"23102310000000"</f>
        <v>23102310000000</v>
      </c>
      <c r="D3761" t="s">
        <v>5376</v>
      </c>
      <c r="E3761" t="str">
        <f>"23102312330124"</f>
        <v>23102312330124</v>
      </c>
      <c r="F3761" s="8">
        <v>17742</v>
      </c>
      <c r="G3761" s="8">
        <v>39491</v>
      </c>
      <c r="H3761" s="8">
        <v>0</v>
      </c>
      <c r="I3761" s="8">
        <v>11231</v>
      </c>
    </row>
    <row r="3762" spans="1:9" x14ac:dyDescent="0.2">
      <c r="A3762" t="s">
        <v>881</v>
      </c>
      <c r="B3762" t="s">
        <v>891</v>
      </c>
      <c r="C3762" t="str">
        <f>"23102310000000"</f>
        <v>23102310000000</v>
      </c>
      <c r="D3762" t="s">
        <v>5377</v>
      </c>
      <c r="E3762" t="str">
        <f>"23102310110023"</f>
        <v>23102310110023</v>
      </c>
      <c r="F3762" s="8">
        <v>286</v>
      </c>
      <c r="G3762" s="8">
        <v>34658</v>
      </c>
      <c r="H3762" s="8">
        <v>0</v>
      </c>
      <c r="I3762" s="8">
        <v>2910</v>
      </c>
    </row>
    <row r="3763" spans="1:9" x14ac:dyDescent="0.2">
      <c r="A3763" t="s">
        <v>881</v>
      </c>
      <c r="B3763" t="s">
        <v>891</v>
      </c>
      <c r="C3763" t="str">
        <f>"23102310000000"</f>
        <v>23102310000000</v>
      </c>
      <c r="D3763" t="s">
        <v>5378</v>
      </c>
      <c r="E3763" t="str">
        <f>"23102312330447"</f>
        <v>23102312330447</v>
      </c>
      <c r="F3763" s="8">
        <v>8478</v>
      </c>
      <c r="G3763" s="8">
        <v>13080</v>
      </c>
      <c r="H3763" s="8">
        <v>1118</v>
      </c>
      <c r="I3763" s="8">
        <v>14279</v>
      </c>
    </row>
    <row r="3764" spans="1:9" x14ac:dyDescent="0.2">
      <c r="A3764" t="s">
        <v>881</v>
      </c>
      <c r="B3764" t="s">
        <v>892</v>
      </c>
      <c r="C3764" t="str">
        <f t="shared" ref="C3764:C3769" si="179">"23655810000000"</f>
        <v>23655810000000</v>
      </c>
      <c r="D3764" t="s">
        <v>5379</v>
      </c>
      <c r="E3764" t="str">
        <f>"23655812333185"</f>
        <v>23655812333185</v>
      </c>
      <c r="F3764" s="8">
        <v>1720</v>
      </c>
      <c r="G3764" s="8">
        <v>15050</v>
      </c>
      <c r="H3764" s="8">
        <v>597</v>
      </c>
      <c r="I3764" s="8">
        <v>6147</v>
      </c>
    </row>
    <row r="3765" spans="1:9" x14ac:dyDescent="0.2">
      <c r="A3765" t="s">
        <v>881</v>
      </c>
      <c r="B3765" t="s">
        <v>892</v>
      </c>
      <c r="C3765" t="str">
        <f t="shared" si="179"/>
        <v>23655810000000</v>
      </c>
      <c r="D3765" t="s">
        <v>5380</v>
      </c>
      <c r="E3765" t="str">
        <f>"23655816025142"</f>
        <v>23655816025142</v>
      </c>
      <c r="F3765" s="8">
        <v>184</v>
      </c>
      <c r="G3765" s="8">
        <v>13594</v>
      </c>
      <c r="H3765" s="8">
        <v>597</v>
      </c>
      <c r="I3765" s="8">
        <v>6147</v>
      </c>
    </row>
    <row r="3766" spans="1:9" x14ac:dyDescent="0.2">
      <c r="A3766" t="s">
        <v>881</v>
      </c>
      <c r="B3766" t="s">
        <v>892</v>
      </c>
      <c r="C3766" t="str">
        <f t="shared" si="179"/>
        <v>23655810000000</v>
      </c>
      <c r="D3766" t="s">
        <v>5381</v>
      </c>
      <c r="E3766" t="str">
        <f>"23655812330090"</f>
        <v>23655812330090</v>
      </c>
      <c r="F3766" s="8">
        <v>724</v>
      </c>
      <c r="G3766" s="8">
        <v>12641</v>
      </c>
      <c r="H3766" s="8">
        <v>597</v>
      </c>
      <c r="I3766" s="8">
        <v>6147</v>
      </c>
    </row>
    <row r="3767" spans="1:9" x14ac:dyDescent="0.2">
      <c r="A3767" t="s">
        <v>881</v>
      </c>
      <c r="B3767" t="s">
        <v>892</v>
      </c>
      <c r="C3767" t="str">
        <f t="shared" si="179"/>
        <v>23655810000000</v>
      </c>
      <c r="D3767" t="s">
        <v>5382</v>
      </c>
      <c r="E3767" t="str">
        <f>"23655816116149"</f>
        <v>23655816116149</v>
      </c>
      <c r="F3767" s="8">
        <v>4096</v>
      </c>
      <c r="G3767" s="8">
        <v>5593</v>
      </c>
      <c r="H3767" s="8">
        <v>597</v>
      </c>
      <c r="I3767" s="8">
        <v>6147</v>
      </c>
    </row>
    <row r="3768" spans="1:9" x14ac:dyDescent="0.2">
      <c r="A3768" t="s">
        <v>881</v>
      </c>
      <c r="B3768" t="s">
        <v>892</v>
      </c>
      <c r="C3768" t="str">
        <f t="shared" si="179"/>
        <v>23655810000000</v>
      </c>
      <c r="D3768" t="s">
        <v>5383</v>
      </c>
      <c r="E3768" t="str">
        <f>"23655816025167"</f>
        <v>23655816025167</v>
      </c>
      <c r="F3768" s="8">
        <v>399</v>
      </c>
      <c r="G3768" s="8">
        <v>8694</v>
      </c>
      <c r="H3768" s="8">
        <v>597</v>
      </c>
      <c r="I3768" s="8">
        <v>6147</v>
      </c>
    </row>
    <row r="3769" spans="1:9" x14ac:dyDescent="0.2">
      <c r="A3769" t="s">
        <v>881</v>
      </c>
      <c r="B3769" t="s">
        <v>892</v>
      </c>
      <c r="C3769" t="str">
        <f t="shared" si="179"/>
        <v>23655810000000</v>
      </c>
      <c r="D3769" t="s">
        <v>5384</v>
      </c>
      <c r="E3769" t="str">
        <f>"23655812330306"</f>
        <v>23655812330306</v>
      </c>
      <c r="F3769" s="8">
        <v>105</v>
      </c>
      <c r="G3769" s="8">
        <v>5194</v>
      </c>
      <c r="H3769" s="8">
        <v>597</v>
      </c>
      <c r="I3769" s="8">
        <v>6147</v>
      </c>
    </row>
    <row r="3770" spans="1:9" x14ac:dyDescent="0.2">
      <c r="A3770" t="s">
        <v>881</v>
      </c>
      <c r="B3770" t="s">
        <v>894</v>
      </c>
      <c r="C3770" t="str">
        <f>"23655990000000"</f>
        <v>23655990000000</v>
      </c>
      <c r="D3770" t="s">
        <v>5385</v>
      </c>
      <c r="E3770" t="str">
        <f>"23655992333649"</f>
        <v>23655992333649</v>
      </c>
      <c r="F3770" s="8">
        <v>5160</v>
      </c>
      <c r="G3770" s="8">
        <v>24065</v>
      </c>
      <c r="H3770" s="8">
        <v>0</v>
      </c>
      <c r="I3770" s="8">
        <v>3652</v>
      </c>
    </row>
    <row r="3771" spans="1:9" x14ac:dyDescent="0.2">
      <c r="A3771" t="s">
        <v>881</v>
      </c>
      <c r="B3771" t="s">
        <v>894</v>
      </c>
      <c r="C3771" t="str">
        <f>"23655990000000"</f>
        <v>23655990000000</v>
      </c>
      <c r="D3771" t="s">
        <v>5386</v>
      </c>
      <c r="E3771" t="str">
        <f>"23655992330108"</f>
        <v>23655992330108</v>
      </c>
      <c r="F3771" s="8">
        <v>0</v>
      </c>
      <c r="G3771" s="8">
        <v>14791</v>
      </c>
      <c r="H3771" s="8">
        <v>0</v>
      </c>
      <c r="I3771" s="8">
        <v>0</v>
      </c>
    </row>
    <row r="3772" spans="1:9" x14ac:dyDescent="0.2">
      <c r="A3772" t="s">
        <v>881</v>
      </c>
      <c r="B3772" t="s">
        <v>895</v>
      </c>
      <c r="C3772" t="str">
        <f>"23738660000000"</f>
        <v>23738660000000</v>
      </c>
      <c r="D3772" t="s">
        <v>5387</v>
      </c>
      <c r="E3772" t="str">
        <f>"23738662330041"</f>
        <v>23738662330041</v>
      </c>
      <c r="F3772" s="8">
        <v>237</v>
      </c>
      <c r="G3772" s="8">
        <v>11664</v>
      </c>
      <c r="H3772" s="8">
        <v>1109</v>
      </c>
      <c r="I3772" s="8">
        <v>6019</v>
      </c>
    </row>
    <row r="3773" spans="1:9" x14ac:dyDescent="0.2">
      <c r="A3773" t="s">
        <v>881</v>
      </c>
      <c r="B3773" t="s">
        <v>895</v>
      </c>
      <c r="C3773" t="str">
        <f>"23738660000000"</f>
        <v>23738660000000</v>
      </c>
      <c r="D3773" t="s">
        <v>5388</v>
      </c>
      <c r="E3773" t="str">
        <f>"23738666025241"</f>
        <v>23738666025241</v>
      </c>
      <c r="F3773" s="8">
        <v>439</v>
      </c>
      <c r="G3773" s="8">
        <v>6348</v>
      </c>
      <c r="H3773" s="8">
        <v>1109</v>
      </c>
      <c r="I3773" s="8">
        <v>6019</v>
      </c>
    </row>
    <row r="3774" spans="1:9" x14ac:dyDescent="0.2">
      <c r="A3774" t="s">
        <v>881</v>
      </c>
      <c r="B3774" t="s">
        <v>895</v>
      </c>
      <c r="C3774" t="str">
        <f>"23738660000000"</f>
        <v>23738660000000</v>
      </c>
      <c r="D3774" t="s">
        <v>5389</v>
      </c>
      <c r="E3774" t="str">
        <f>"23738660107250"</f>
        <v>23738660107250</v>
      </c>
      <c r="F3774" s="8">
        <v>0</v>
      </c>
      <c r="G3774" s="8">
        <v>3421</v>
      </c>
      <c r="H3774" s="8">
        <v>1109</v>
      </c>
      <c r="I3774" s="8">
        <v>6019</v>
      </c>
    </row>
    <row r="3775" spans="1:9" x14ac:dyDescent="0.2">
      <c r="A3775" t="s">
        <v>881</v>
      </c>
      <c r="B3775" t="s">
        <v>895</v>
      </c>
      <c r="C3775" t="str">
        <f>"23738660000000"</f>
        <v>23738660000000</v>
      </c>
      <c r="D3775" t="s">
        <v>5390</v>
      </c>
      <c r="E3775" t="str">
        <f>"23738662330116"</f>
        <v>23738662330116</v>
      </c>
      <c r="F3775" s="8">
        <v>0</v>
      </c>
      <c r="G3775" s="8">
        <v>0</v>
      </c>
      <c r="H3775" s="8">
        <v>1109</v>
      </c>
      <c r="I3775" s="8">
        <v>6019</v>
      </c>
    </row>
    <row r="3776" spans="1:9" x14ac:dyDescent="0.2">
      <c r="A3776" t="s">
        <v>881</v>
      </c>
      <c r="B3776" t="s">
        <v>898</v>
      </c>
      <c r="C3776" t="str">
        <f>"23656070000000"</f>
        <v>23656070000000</v>
      </c>
      <c r="D3776" t="s">
        <v>5391</v>
      </c>
      <c r="E3776" t="str">
        <f>"23656072334563"</f>
        <v>23656072334563</v>
      </c>
      <c r="F3776" s="8">
        <v>669</v>
      </c>
      <c r="G3776" s="8">
        <v>12916</v>
      </c>
      <c r="H3776" s="8">
        <v>2351</v>
      </c>
      <c r="I3776" s="8">
        <v>6170</v>
      </c>
    </row>
    <row r="3777" spans="1:9" x14ac:dyDescent="0.2">
      <c r="A3777" t="s">
        <v>881</v>
      </c>
      <c r="B3777" t="s">
        <v>898</v>
      </c>
      <c r="C3777" t="str">
        <f>"23656070000000"</f>
        <v>23656070000000</v>
      </c>
      <c r="D3777" t="s">
        <v>3223</v>
      </c>
      <c r="E3777" t="str">
        <f>"23656076025175"</f>
        <v>23656076025175</v>
      </c>
      <c r="F3777" s="8">
        <v>790</v>
      </c>
      <c r="G3777" s="8">
        <v>9137</v>
      </c>
      <c r="H3777" s="8">
        <v>3569</v>
      </c>
      <c r="I3777" s="8">
        <v>6225</v>
      </c>
    </row>
    <row r="3778" spans="1:9" x14ac:dyDescent="0.2">
      <c r="A3778" t="s">
        <v>881</v>
      </c>
      <c r="B3778" t="s">
        <v>898</v>
      </c>
      <c r="C3778" t="str">
        <f>"23656070000000"</f>
        <v>23656070000000</v>
      </c>
      <c r="D3778" t="s">
        <v>5392</v>
      </c>
      <c r="E3778" t="str">
        <f>"23656072330033"</f>
        <v>23656072330033</v>
      </c>
      <c r="F3778" s="8">
        <v>373</v>
      </c>
      <c r="G3778" s="8">
        <v>6079</v>
      </c>
      <c r="H3778" s="8">
        <v>2363</v>
      </c>
      <c r="I3778" s="8">
        <v>6204</v>
      </c>
    </row>
    <row r="3779" spans="1:9" x14ac:dyDescent="0.2">
      <c r="A3779" t="s">
        <v>881</v>
      </c>
      <c r="B3779" t="s">
        <v>901</v>
      </c>
      <c r="C3779" t="str">
        <f t="shared" ref="C3779:C3789" si="180">"23656150000000"</f>
        <v>23656150000000</v>
      </c>
      <c r="D3779" t="s">
        <v>5393</v>
      </c>
      <c r="E3779" t="str">
        <f>"23656152334704"</f>
        <v>23656152334704</v>
      </c>
      <c r="F3779" s="8">
        <v>158</v>
      </c>
      <c r="G3779" s="8">
        <v>11875</v>
      </c>
      <c r="H3779" s="8">
        <v>2400</v>
      </c>
      <c r="I3779" s="8">
        <v>6338</v>
      </c>
    </row>
    <row r="3780" spans="1:9" x14ac:dyDescent="0.2">
      <c r="A3780" t="s">
        <v>881</v>
      </c>
      <c r="B3780" t="s">
        <v>901</v>
      </c>
      <c r="C3780" t="str">
        <f t="shared" si="180"/>
        <v>23656150000000</v>
      </c>
      <c r="D3780" t="s">
        <v>5394</v>
      </c>
      <c r="E3780" t="str">
        <f>"23656156025217"</f>
        <v>23656156025217</v>
      </c>
      <c r="F3780" s="8">
        <v>561</v>
      </c>
      <c r="G3780" s="8">
        <v>8487</v>
      </c>
      <c r="H3780" s="8">
        <v>2400</v>
      </c>
      <c r="I3780" s="8">
        <v>6338</v>
      </c>
    </row>
    <row r="3781" spans="1:9" x14ac:dyDescent="0.2">
      <c r="A3781" t="s">
        <v>881</v>
      </c>
      <c r="B3781" t="s">
        <v>901</v>
      </c>
      <c r="C3781" t="str">
        <f t="shared" si="180"/>
        <v>23656150000000</v>
      </c>
      <c r="D3781" t="s">
        <v>5395</v>
      </c>
      <c r="E3781" t="str">
        <f>"23656156025183"</f>
        <v>23656156025183</v>
      </c>
      <c r="F3781" s="8">
        <v>235</v>
      </c>
      <c r="G3781" s="8">
        <v>7360</v>
      </c>
      <c r="H3781" s="8">
        <v>2400</v>
      </c>
      <c r="I3781" s="8">
        <v>6338</v>
      </c>
    </row>
    <row r="3782" spans="1:9" x14ac:dyDescent="0.2">
      <c r="A3782" t="s">
        <v>881</v>
      </c>
      <c r="B3782" t="s">
        <v>901</v>
      </c>
      <c r="C3782" t="str">
        <f t="shared" si="180"/>
        <v>23656150000000</v>
      </c>
      <c r="D3782" t="s">
        <v>5396</v>
      </c>
      <c r="E3782" t="str">
        <f>"23656152335024"</f>
        <v>23656152335024</v>
      </c>
      <c r="F3782" s="8">
        <v>137</v>
      </c>
      <c r="G3782" s="8">
        <v>7210</v>
      </c>
      <c r="H3782" s="8">
        <v>2400</v>
      </c>
      <c r="I3782" s="8">
        <v>6338</v>
      </c>
    </row>
    <row r="3783" spans="1:9" x14ac:dyDescent="0.2">
      <c r="A3783" t="s">
        <v>881</v>
      </c>
      <c r="B3783" t="s">
        <v>901</v>
      </c>
      <c r="C3783" t="str">
        <f t="shared" si="180"/>
        <v>23656150000000</v>
      </c>
      <c r="D3783" t="s">
        <v>5397</v>
      </c>
      <c r="E3783" t="str">
        <f>"23656156025225"</f>
        <v>23656156025225</v>
      </c>
      <c r="F3783" s="8">
        <v>260</v>
      </c>
      <c r="G3783" s="8">
        <v>6866</v>
      </c>
      <c r="H3783" s="8">
        <v>2400</v>
      </c>
      <c r="I3783" s="8">
        <v>6338</v>
      </c>
    </row>
    <row r="3784" spans="1:9" x14ac:dyDescent="0.2">
      <c r="A3784" t="s">
        <v>881</v>
      </c>
      <c r="B3784" t="s">
        <v>901</v>
      </c>
      <c r="C3784" t="str">
        <f t="shared" si="180"/>
        <v>23656150000000</v>
      </c>
      <c r="D3784" t="s">
        <v>5398</v>
      </c>
      <c r="E3784" t="str">
        <f>"23656156025191"</f>
        <v>23656156025191</v>
      </c>
      <c r="F3784" s="8">
        <v>238</v>
      </c>
      <c r="G3784" s="8">
        <v>6757</v>
      </c>
      <c r="H3784" s="8">
        <v>2400</v>
      </c>
      <c r="I3784" s="8">
        <v>6338</v>
      </c>
    </row>
    <row r="3785" spans="1:9" x14ac:dyDescent="0.2">
      <c r="A3785" t="s">
        <v>881</v>
      </c>
      <c r="B3785" t="s">
        <v>901</v>
      </c>
      <c r="C3785" t="str">
        <f t="shared" si="180"/>
        <v>23656150000000</v>
      </c>
      <c r="D3785" t="s">
        <v>5399</v>
      </c>
      <c r="E3785" t="str">
        <f>"23656156025274"</f>
        <v>23656156025274</v>
      </c>
      <c r="F3785" s="8">
        <v>304</v>
      </c>
      <c r="G3785" s="8">
        <v>6666</v>
      </c>
      <c r="H3785" s="8">
        <v>2400</v>
      </c>
      <c r="I3785" s="8">
        <v>6338</v>
      </c>
    </row>
    <row r="3786" spans="1:9" x14ac:dyDescent="0.2">
      <c r="A3786" t="s">
        <v>881</v>
      </c>
      <c r="B3786" t="s">
        <v>901</v>
      </c>
      <c r="C3786" t="str">
        <f t="shared" si="180"/>
        <v>23656150000000</v>
      </c>
      <c r="D3786" t="s">
        <v>5400</v>
      </c>
      <c r="E3786" t="str">
        <f>"23656156025233"</f>
        <v>23656156025233</v>
      </c>
      <c r="F3786" s="8">
        <v>179</v>
      </c>
      <c r="G3786" s="8">
        <v>6719</v>
      </c>
      <c r="H3786" s="8">
        <v>2400</v>
      </c>
      <c r="I3786" s="8">
        <v>6338</v>
      </c>
    </row>
    <row r="3787" spans="1:9" x14ac:dyDescent="0.2">
      <c r="A3787" t="s">
        <v>881</v>
      </c>
      <c r="B3787" t="s">
        <v>901</v>
      </c>
      <c r="C3787" t="str">
        <f t="shared" si="180"/>
        <v>23656150000000</v>
      </c>
      <c r="D3787" t="s">
        <v>5401</v>
      </c>
      <c r="E3787" t="str">
        <f>"23656150101147"</f>
        <v>23656150101147</v>
      </c>
      <c r="F3787" s="8">
        <v>295</v>
      </c>
      <c r="G3787" s="8">
        <v>6564</v>
      </c>
      <c r="H3787" s="8">
        <v>2400</v>
      </c>
      <c r="I3787" s="8">
        <v>6338</v>
      </c>
    </row>
    <row r="3788" spans="1:9" x14ac:dyDescent="0.2">
      <c r="A3788" t="s">
        <v>881</v>
      </c>
      <c r="B3788" t="s">
        <v>901</v>
      </c>
      <c r="C3788" t="str">
        <f t="shared" si="180"/>
        <v>23656150000000</v>
      </c>
      <c r="D3788" t="s">
        <v>5402</v>
      </c>
      <c r="E3788" t="str">
        <f>"23656156114581"</f>
        <v>23656156114581</v>
      </c>
      <c r="F3788" s="8">
        <v>141</v>
      </c>
      <c r="G3788" s="8">
        <v>6628</v>
      </c>
      <c r="H3788" s="8">
        <v>2400</v>
      </c>
      <c r="I3788" s="8">
        <v>6338</v>
      </c>
    </row>
    <row r="3789" spans="1:9" x14ac:dyDescent="0.2">
      <c r="A3789" t="s">
        <v>881</v>
      </c>
      <c r="B3789" t="s">
        <v>901</v>
      </c>
      <c r="C3789" t="str">
        <f t="shared" si="180"/>
        <v>23656150000000</v>
      </c>
      <c r="D3789" t="s">
        <v>5403</v>
      </c>
      <c r="E3789" t="str">
        <f>"23656150128280"</f>
        <v>23656150128280</v>
      </c>
      <c r="F3789" s="8">
        <v>127</v>
      </c>
      <c r="G3789" s="8">
        <v>5662</v>
      </c>
      <c r="H3789" s="8">
        <v>2400</v>
      </c>
      <c r="I3789" s="8">
        <v>6338</v>
      </c>
    </row>
    <row r="3790" spans="1:9" x14ac:dyDescent="0.2">
      <c r="A3790" t="s">
        <v>881</v>
      </c>
      <c r="B3790" t="s">
        <v>904</v>
      </c>
      <c r="C3790" t="str">
        <f t="shared" ref="C3790:C3795" si="181">"23656230000000"</f>
        <v>23656230000000</v>
      </c>
      <c r="D3790" t="s">
        <v>5404</v>
      </c>
      <c r="E3790" t="str">
        <f>"23656232335487"</f>
        <v>23656232335487</v>
      </c>
      <c r="F3790" s="8">
        <v>1192</v>
      </c>
      <c r="G3790" s="8">
        <v>10823</v>
      </c>
      <c r="H3790" s="8">
        <v>766</v>
      </c>
      <c r="I3790" s="8">
        <v>3634</v>
      </c>
    </row>
    <row r="3791" spans="1:9" x14ac:dyDescent="0.2">
      <c r="A3791" t="s">
        <v>881</v>
      </c>
      <c r="B3791" t="s">
        <v>904</v>
      </c>
      <c r="C3791" t="str">
        <f t="shared" si="181"/>
        <v>23656230000000</v>
      </c>
      <c r="D3791" t="s">
        <v>5405</v>
      </c>
      <c r="E3791" t="str">
        <f>"23656236025282"</f>
        <v>23656236025282</v>
      </c>
      <c r="F3791" s="8">
        <v>1253</v>
      </c>
      <c r="G3791" s="8">
        <v>9816</v>
      </c>
      <c r="H3791" s="8">
        <v>766</v>
      </c>
      <c r="I3791" s="8">
        <v>3634</v>
      </c>
    </row>
    <row r="3792" spans="1:9" x14ac:dyDescent="0.2">
      <c r="A3792" t="s">
        <v>881</v>
      </c>
      <c r="B3792" t="s">
        <v>904</v>
      </c>
      <c r="C3792" t="str">
        <f t="shared" si="181"/>
        <v>23656230000000</v>
      </c>
      <c r="D3792" t="s">
        <v>5406</v>
      </c>
      <c r="E3792" t="str">
        <f>"23656236108369"</f>
        <v>23656236108369</v>
      </c>
      <c r="F3792" s="8">
        <v>1257</v>
      </c>
      <c r="G3792" s="8">
        <v>8270</v>
      </c>
      <c r="H3792" s="8">
        <v>766</v>
      </c>
      <c r="I3792" s="8">
        <v>3634</v>
      </c>
    </row>
    <row r="3793" spans="1:9" x14ac:dyDescent="0.2">
      <c r="A3793" t="s">
        <v>881</v>
      </c>
      <c r="B3793" t="s">
        <v>904</v>
      </c>
      <c r="C3793" t="str">
        <f t="shared" si="181"/>
        <v>23656230000000</v>
      </c>
      <c r="D3793" t="s">
        <v>5321</v>
      </c>
      <c r="E3793" t="str">
        <f>"23656236025290"</f>
        <v>23656236025290</v>
      </c>
      <c r="F3793" s="8">
        <v>1051</v>
      </c>
      <c r="G3793" s="8">
        <v>8277</v>
      </c>
      <c r="H3793" s="8">
        <v>766</v>
      </c>
      <c r="I3793" s="8">
        <v>3634</v>
      </c>
    </row>
    <row r="3794" spans="1:9" x14ac:dyDescent="0.2">
      <c r="A3794" t="s">
        <v>881</v>
      </c>
      <c r="B3794" t="s">
        <v>904</v>
      </c>
      <c r="C3794" t="str">
        <f t="shared" si="181"/>
        <v>23656230000000</v>
      </c>
      <c r="D3794" t="s">
        <v>5407</v>
      </c>
      <c r="E3794" t="str">
        <f>"23656236104590"</f>
        <v>23656236104590</v>
      </c>
      <c r="F3794" s="8">
        <v>1362</v>
      </c>
      <c r="G3794" s="8">
        <v>5499</v>
      </c>
      <c r="H3794" s="8">
        <v>766</v>
      </c>
      <c r="I3794" s="8">
        <v>3634</v>
      </c>
    </row>
    <row r="3795" spans="1:9" x14ac:dyDescent="0.2">
      <c r="A3795" t="s">
        <v>881</v>
      </c>
      <c r="B3795" t="s">
        <v>904</v>
      </c>
      <c r="C3795" t="str">
        <f t="shared" si="181"/>
        <v>23656230000000</v>
      </c>
      <c r="D3795" t="s">
        <v>5408</v>
      </c>
      <c r="E3795" t="str">
        <f>"23656230136887"</f>
        <v>23656230136887</v>
      </c>
      <c r="F3795" s="8">
        <v>257</v>
      </c>
      <c r="G3795" s="8">
        <v>4972</v>
      </c>
      <c r="H3795" s="8">
        <v>766</v>
      </c>
      <c r="I3795" s="8">
        <v>3634</v>
      </c>
    </row>
    <row r="3796" spans="1:9" x14ac:dyDescent="0.2">
      <c r="A3796" t="s">
        <v>905</v>
      </c>
      <c r="B3796" t="s">
        <v>906</v>
      </c>
      <c r="C3796" t="str">
        <f t="shared" ref="C3796:C3805" si="182">"24656310000000"</f>
        <v>24656310000000</v>
      </c>
      <c r="D3796" t="s">
        <v>5409</v>
      </c>
      <c r="E3796" t="str">
        <f>"24656310101402"</f>
        <v>24656310101402</v>
      </c>
      <c r="F3796" s="8">
        <v>30416</v>
      </c>
      <c r="G3796" s="8">
        <v>138708</v>
      </c>
      <c r="H3796" s="8">
        <v>1687</v>
      </c>
      <c r="I3796" s="8">
        <v>3615</v>
      </c>
    </row>
    <row r="3797" spans="1:9" x14ac:dyDescent="0.2">
      <c r="A3797" t="s">
        <v>905</v>
      </c>
      <c r="B3797" t="s">
        <v>906</v>
      </c>
      <c r="C3797" t="str">
        <f t="shared" si="182"/>
        <v>24656310000000</v>
      </c>
      <c r="D3797" t="s">
        <v>5410</v>
      </c>
      <c r="E3797" t="str">
        <f>"24656316025316"</f>
        <v>24656316025316</v>
      </c>
      <c r="F3797" s="8">
        <v>1309</v>
      </c>
      <c r="G3797" s="8">
        <v>7228</v>
      </c>
      <c r="H3797" s="8">
        <v>1687</v>
      </c>
      <c r="I3797" s="8">
        <v>3615</v>
      </c>
    </row>
    <row r="3798" spans="1:9" x14ac:dyDescent="0.2">
      <c r="A3798" t="s">
        <v>905</v>
      </c>
      <c r="B3798" t="s">
        <v>906</v>
      </c>
      <c r="C3798" t="str">
        <f t="shared" si="182"/>
        <v>24656310000000</v>
      </c>
      <c r="D3798" t="s">
        <v>5411</v>
      </c>
      <c r="E3798" t="str">
        <f>"24656316025324"</f>
        <v>24656316025324</v>
      </c>
      <c r="F3798" s="8">
        <v>1072</v>
      </c>
      <c r="G3798" s="8">
        <v>7184</v>
      </c>
      <c r="H3798" s="8">
        <v>1687</v>
      </c>
      <c r="I3798" s="8">
        <v>3615</v>
      </c>
    </row>
    <row r="3799" spans="1:9" x14ac:dyDescent="0.2">
      <c r="A3799" t="s">
        <v>905</v>
      </c>
      <c r="B3799" t="s">
        <v>906</v>
      </c>
      <c r="C3799" t="str">
        <f t="shared" si="182"/>
        <v>24656310000000</v>
      </c>
      <c r="D3799" t="s">
        <v>5412</v>
      </c>
      <c r="E3799" t="str">
        <f>"24656316025340"</f>
        <v>24656316025340</v>
      </c>
      <c r="F3799" s="8">
        <v>679</v>
      </c>
      <c r="G3799" s="8">
        <v>7171</v>
      </c>
      <c r="H3799" s="8">
        <v>1687</v>
      </c>
      <c r="I3799" s="8">
        <v>3615</v>
      </c>
    </row>
    <row r="3800" spans="1:9" x14ac:dyDescent="0.2">
      <c r="A3800" t="s">
        <v>905</v>
      </c>
      <c r="B3800" t="s">
        <v>906</v>
      </c>
      <c r="C3800" t="str">
        <f t="shared" si="182"/>
        <v>24656310000000</v>
      </c>
      <c r="D3800" t="s">
        <v>5413</v>
      </c>
      <c r="E3800" t="str">
        <f>"24656316025373"</f>
        <v>24656316025373</v>
      </c>
      <c r="F3800" s="8">
        <v>509</v>
      </c>
      <c r="G3800" s="8">
        <v>6993</v>
      </c>
      <c r="H3800" s="8">
        <v>1687</v>
      </c>
      <c r="I3800" s="8">
        <v>3615</v>
      </c>
    </row>
    <row r="3801" spans="1:9" x14ac:dyDescent="0.2">
      <c r="A3801" t="s">
        <v>905</v>
      </c>
      <c r="B3801" t="s">
        <v>906</v>
      </c>
      <c r="C3801" t="str">
        <f t="shared" si="182"/>
        <v>24656310000000</v>
      </c>
      <c r="D3801" t="s">
        <v>3534</v>
      </c>
      <c r="E3801" t="str">
        <f>"24656316025365"</f>
        <v>24656316025365</v>
      </c>
      <c r="F3801" s="8">
        <v>732</v>
      </c>
      <c r="G3801" s="8">
        <v>6558</v>
      </c>
      <c r="H3801" s="8">
        <v>1687</v>
      </c>
      <c r="I3801" s="8">
        <v>3615</v>
      </c>
    </row>
    <row r="3802" spans="1:9" x14ac:dyDescent="0.2">
      <c r="A3802" t="s">
        <v>905</v>
      </c>
      <c r="B3802" t="s">
        <v>906</v>
      </c>
      <c r="C3802" t="str">
        <f t="shared" si="182"/>
        <v>24656310000000</v>
      </c>
      <c r="D3802" t="s">
        <v>5414</v>
      </c>
      <c r="E3802" t="str">
        <f>"24656316025332"</f>
        <v>24656316025332</v>
      </c>
      <c r="F3802" s="8">
        <v>810</v>
      </c>
      <c r="G3802" s="8">
        <v>6221</v>
      </c>
      <c r="H3802" s="8">
        <v>1687</v>
      </c>
      <c r="I3802" s="8">
        <v>3615</v>
      </c>
    </row>
    <row r="3803" spans="1:9" x14ac:dyDescent="0.2">
      <c r="A3803" t="s">
        <v>905</v>
      </c>
      <c r="B3803" t="s">
        <v>906</v>
      </c>
      <c r="C3803" t="str">
        <f t="shared" si="182"/>
        <v>24656310000000</v>
      </c>
      <c r="D3803" t="s">
        <v>5415</v>
      </c>
      <c r="E3803" t="str">
        <f>"24656316113161"</f>
        <v>24656316113161</v>
      </c>
      <c r="F3803" s="8">
        <v>645</v>
      </c>
      <c r="G3803" s="8">
        <v>6162</v>
      </c>
      <c r="H3803" s="8">
        <v>1687</v>
      </c>
      <c r="I3803" s="8">
        <v>3615</v>
      </c>
    </row>
    <row r="3804" spans="1:9" x14ac:dyDescent="0.2">
      <c r="A3804" t="s">
        <v>905</v>
      </c>
      <c r="B3804" t="s">
        <v>906</v>
      </c>
      <c r="C3804" t="str">
        <f t="shared" si="182"/>
        <v>24656310000000</v>
      </c>
      <c r="D3804" t="s">
        <v>5416</v>
      </c>
      <c r="E3804" t="str">
        <f>"24656316025357"</f>
        <v>24656316025357</v>
      </c>
      <c r="F3804" s="8">
        <v>659</v>
      </c>
      <c r="G3804" s="8">
        <v>6110</v>
      </c>
      <c r="H3804" s="8">
        <v>1687</v>
      </c>
      <c r="I3804" s="8">
        <v>3615</v>
      </c>
    </row>
    <row r="3805" spans="1:9" x14ac:dyDescent="0.2">
      <c r="A3805" t="s">
        <v>905</v>
      </c>
      <c r="B3805" t="s">
        <v>906</v>
      </c>
      <c r="C3805" t="str">
        <f t="shared" si="182"/>
        <v>24656310000000</v>
      </c>
      <c r="D3805" t="s">
        <v>5417</v>
      </c>
      <c r="E3805" t="str">
        <f>"24656310126771"</f>
        <v>24656310126771</v>
      </c>
      <c r="F3805" s="8">
        <v>240</v>
      </c>
      <c r="G3805" s="8">
        <v>4629</v>
      </c>
      <c r="H3805" s="8">
        <v>1687</v>
      </c>
      <c r="I3805" s="8">
        <v>3615</v>
      </c>
    </row>
    <row r="3806" spans="1:9" x14ac:dyDescent="0.2">
      <c r="A3806" t="s">
        <v>905</v>
      </c>
      <c r="B3806" t="s">
        <v>907</v>
      </c>
      <c r="C3806" t="str">
        <f>"24656490000000"</f>
        <v>24656490000000</v>
      </c>
      <c r="D3806" t="s">
        <v>5418</v>
      </c>
      <c r="E3806" t="str">
        <f>"24656496025399"</f>
        <v>24656496025399</v>
      </c>
      <c r="F3806" s="8">
        <v>10435</v>
      </c>
      <c r="G3806" s="8">
        <v>20200</v>
      </c>
      <c r="H3806" s="8">
        <v>0</v>
      </c>
      <c r="I3806" s="8">
        <v>6689</v>
      </c>
    </row>
    <row r="3807" spans="1:9" x14ac:dyDescent="0.2">
      <c r="A3807" t="s">
        <v>905</v>
      </c>
      <c r="B3807" t="s">
        <v>907</v>
      </c>
      <c r="C3807" t="str">
        <f>"24656490000000"</f>
        <v>24656490000000</v>
      </c>
      <c r="D3807" t="s">
        <v>5419</v>
      </c>
      <c r="E3807" t="str">
        <f>"24656496025381"</f>
        <v>24656496025381</v>
      </c>
      <c r="F3807" s="8">
        <v>1383</v>
      </c>
      <c r="G3807" s="8">
        <v>8708</v>
      </c>
      <c r="H3807" s="8">
        <v>0</v>
      </c>
      <c r="I3807" s="8">
        <v>0</v>
      </c>
    </row>
    <row r="3808" spans="1:9" x14ac:dyDescent="0.2">
      <c r="A3808" t="s">
        <v>905</v>
      </c>
      <c r="B3808" t="s">
        <v>908</v>
      </c>
      <c r="C3808" t="str">
        <f>"24753660000000"</f>
        <v>24753660000000</v>
      </c>
      <c r="D3808" t="s">
        <v>5420</v>
      </c>
      <c r="E3808" t="str">
        <f>"24753666025415"</f>
        <v>24753666025415</v>
      </c>
      <c r="F3808" s="8">
        <v>1118</v>
      </c>
      <c r="G3808" s="8">
        <v>11220</v>
      </c>
      <c r="H3808" s="8">
        <v>1288</v>
      </c>
      <c r="I3808" s="8">
        <v>3660</v>
      </c>
    </row>
    <row r="3809" spans="1:9" x14ac:dyDescent="0.2">
      <c r="A3809" t="s">
        <v>905</v>
      </c>
      <c r="B3809" t="s">
        <v>908</v>
      </c>
      <c r="C3809" t="str">
        <f>"24753660000000"</f>
        <v>24753660000000</v>
      </c>
      <c r="D3809" t="s">
        <v>5421</v>
      </c>
      <c r="E3809" t="str">
        <f>"24753666025407"</f>
        <v>24753666025407</v>
      </c>
      <c r="F3809" s="8">
        <v>953</v>
      </c>
      <c r="G3809" s="8">
        <v>9686</v>
      </c>
      <c r="H3809" s="8">
        <v>1288</v>
      </c>
      <c r="I3809" s="8">
        <v>3660</v>
      </c>
    </row>
    <row r="3810" spans="1:9" x14ac:dyDescent="0.2">
      <c r="A3810" t="s">
        <v>905</v>
      </c>
      <c r="B3810" t="s">
        <v>908</v>
      </c>
      <c r="C3810" t="str">
        <f>"24753660000000"</f>
        <v>24753660000000</v>
      </c>
      <c r="D3810" t="s">
        <v>5422</v>
      </c>
      <c r="E3810" t="str">
        <f>"24753662430114"</f>
        <v>24753662430114</v>
      </c>
      <c r="F3810" s="8">
        <v>1167</v>
      </c>
      <c r="G3810" s="8">
        <v>8652</v>
      </c>
      <c r="H3810" s="8">
        <v>1288</v>
      </c>
      <c r="I3810" s="8">
        <v>3660</v>
      </c>
    </row>
    <row r="3811" spans="1:9" x14ac:dyDescent="0.2">
      <c r="A3811" t="s">
        <v>905</v>
      </c>
      <c r="B3811" t="s">
        <v>908</v>
      </c>
      <c r="C3811" t="str">
        <f>"24753660000000"</f>
        <v>24753660000000</v>
      </c>
      <c r="D3811" t="s">
        <v>4442</v>
      </c>
      <c r="E3811" t="str">
        <f>"24753660105817"</f>
        <v>24753660105817</v>
      </c>
      <c r="F3811" s="8">
        <v>1242</v>
      </c>
      <c r="G3811" s="8">
        <v>8078</v>
      </c>
      <c r="H3811" s="8">
        <v>1288</v>
      </c>
      <c r="I3811" s="8">
        <v>3660</v>
      </c>
    </row>
    <row r="3812" spans="1:9" x14ac:dyDescent="0.2">
      <c r="A3812" t="s">
        <v>905</v>
      </c>
      <c r="B3812" t="s">
        <v>908</v>
      </c>
      <c r="C3812" t="str">
        <f>"24753660000000"</f>
        <v>24753660000000</v>
      </c>
      <c r="D3812" t="s">
        <v>5423</v>
      </c>
      <c r="E3812" t="str">
        <f>"24753660131862"</f>
        <v>24753660131862</v>
      </c>
      <c r="F3812" s="8">
        <v>1366</v>
      </c>
      <c r="G3812" s="8">
        <v>4710</v>
      </c>
      <c r="H3812" s="8">
        <v>1288</v>
      </c>
      <c r="I3812" s="8">
        <v>3660</v>
      </c>
    </row>
    <row r="3813" spans="1:9" x14ac:dyDescent="0.2">
      <c r="A3813" t="s">
        <v>905</v>
      </c>
      <c r="B3813" t="s">
        <v>909</v>
      </c>
      <c r="C3813" t="str">
        <f t="shared" ref="C3813:C3818" si="183">"24753170000000"</f>
        <v>24753170000000</v>
      </c>
      <c r="D3813" t="s">
        <v>5424</v>
      </c>
      <c r="E3813" t="str">
        <f>"24753170123091"</f>
        <v>24753170123091</v>
      </c>
      <c r="F3813" s="8">
        <v>11942</v>
      </c>
      <c r="G3813" s="8">
        <v>31408</v>
      </c>
      <c r="H3813" s="8">
        <v>9096</v>
      </c>
      <c r="I3813" s="8">
        <v>4943</v>
      </c>
    </row>
    <row r="3814" spans="1:9" x14ac:dyDescent="0.2">
      <c r="A3814" t="s">
        <v>905</v>
      </c>
      <c r="B3814" t="s">
        <v>909</v>
      </c>
      <c r="C3814" t="str">
        <f t="shared" si="183"/>
        <v>24753170000000</v>
      </c>
      <c r="D3814" t="s">
        <v>5425</v>
      </c>
      <c r="E3814" t="str">
        <f>"24753172430015"</f>
        <v>24753172430015</v>
      </c>
      <c r="F3814" s="8">
        <v>1274</v>
      </c>
      <c r="G3814" s="8">
        <v>13309</v>
      </c>
      <c r="H3814" s="8">
        <v>1722</v>
      </c>
      <c r="I3814" s="8">
        <v>4992</v>
      </c>
    </row>
    <row r="3815" spans="1:9" x14ac:dyDescent="0.2">
      <c r="A3815" t="s">
        <v>905</v>
      </c>
      <c r="B3815" t="s">
        <v>909</v>
      </c>
      <c r="C3815" t="str">
        <f t="shared" si="183"/>
        <v>24753170000000</v>
      </c>
      <c r="D3815" t="s">
        <v>5426</v>
      </c>
      <c r="E3815" t="str">
        <f>"24753176025431"</f>
        <v>24753176025431</v>
      </c>
      <c r="F3815" s="8">
        <v>1523</v>
      </c>
      <c r="G3815" s="8">
        <v>8234</v>
      </c>
      <c r="H3815" s="8">
        <v>2010</v>
      </c>
      <c r="I3815" s="8">
        <v>4972</v>
      </c>
    </row>
    <row r="3816" spans="1:9" x14ac:dyDescent="0.2">
      <c r="A3816" t="s">
        <v>905</v>
      </c>
      <c r="B3816" t="s">
        <v>909</v>
      </c>
      <c r="C3816" t="str">
        <f t="shared" si="183"/>
        <v>24753170000000</v>
      </c>
      <c r="D3816" t="s">
        <v>5427</v>
      </c>
      <c r="E3816" t="str">
        <f>"24753172431203"</f>
        <v>24753172431203</v>
      </c>
      <c r="F3816" s="8">
        <v>702</v>
      </c>
      <c r="G3816" s="8">
        <v>7900</v>
      </c>
      <c r="H3816" s="8">
        <v>1714</v>
      </c>
      <c r="I3816" s="8">
        <v>4953</v>
      </c>
    </row>
    <row r="3817" spans="1:9" x14ac:dyDescent="0.2">
      <c r="A3817" t="s">
        <v>905</v>
      </c>
      <c r="B3817" t="s">
        <v>909</v>
      </c>
      <c r="C3817" t="str">
        <f t="shared" si="183"/>
        <v>24753170000000</v>
      </c>
      <c r="D3817" t="s">
        <v>5428</v>
      </c>
      <c r="E3817" t="str">
        <f>"24753176112940"</f>
        <v>24753176112940</v>
      </c>
      <c r="F3817" s="8">
        <v>1046</v>
      </c>
      <c r="G3817" s="8">
        <v>7322</v>
      </c>
      <c r="H3817" s="8">
        <v>1859</v>
      </c>
      <c r="I3817" s="8">
        <v>4976</v>
      </c>
    </row>
    <row r="3818" spans="1:9" x14ac:dyDescent="0.2">
      <c r="A3818" t="s">
        <v>905</v>
      </c>
      <c r="B3818" t="s">
        <v>909</v>
      </c>
      <c r="C3818" t="str">
        <f t="shared" si="183"/>
        <v>24753170000000</v>
      </c>
      <c r="D3818" t="s">
        <v>5429</v>
      </c>
      <c r="E3818" t="str">
        <f>"24753176025423"</f>
        <v>24753176025423</v>
      </c>
      <c r="F3818" s="8">
        <v>838</v>
      </c>
      <c r="G3818" s="8">
        <v>6662</v>
      </c>
      <c r="H3818" s="8">
        <v>1724</v>
      </c>
      <c r="I3818" s="8">
        <v>5002</v>
      </c>
    </row>
    <row r="3819" spans="1:9" x14ac:dyDescent="0.2">
      <c r="A3819" t="s">
        <v>905</v>
      </c>
      <c r="B3819" t="s">
        <v>910</v>
      </c>
      <c r="C3819" t="str">
        <f>"24656800000000"</f>
        <v>24656800000000</v>
      </c>
      <c r="D3819" t="s">
        <v>910</v>
      </c>
      <c r="E3819" t="str">
        <f>"24656806025456"</f>
        <v>24656806025456</v>
      </c>
      <c r="F3819" s="8">
        <v>2638</v>
      </c>
      <c r="G3819" s="8">
        <v>14817</v>
      </c>
      <c r="H3819" s="8">
        <v>0</v>
      </c>
      <c r="I3819" s="8">
        <v>0</v>
      </c>
    </row>
    <row r="3820" spans="1:9" x14ac:dyDescent="0.2">
      <c r="A3820" t="s">
        <v>905</v>
      </c>
      <c r="B3820" t="s">
        <v>911</v>
      </c>
      <c r="C3820" t="str">
        <f>"24736190000000"</f>
        <v>24736190000000</v>
      </c>
      <c r="D3820" t="s">
        <v>5430</v>
      </c>
      <c r="E3820" t="str">
        <f>"24736196025746"</f>
        <v>24736196025746</v>
      </c>
      <c r="F3820" s="8">
        <v>660</v>
      </c>
      <c r="G3820" s="8">
        <v>12332</v>
      </c>
      <c r="H3820" s="8">
        <v>0</v>
      </c>
      <c r="I3820" s="8">
        <v>1106</v>
      </c>
    </row>
    <row r="3821" spans="1:9" x14ac:dyDescent="0.2">
      <c r="A3821" t="s">
        <v>905</v>
      </c>
      <c r="B3821" t="s">
        <v>911</v>
      </c>
      <c r="C3821" t="str">
        <f>"24736190000000"</f>
        <v>24736190000000</v>
      </c>
      <c r="D3821" t="s">
        <v>5431</v>
      </c>
      <c r="E3821" t="str">
        <f>"24736192431807"</f>
        <v>24736192431807</v>
      </c>
      <c r="F3821" s="8">
        <v>675</v>
      </c>
      <c r="G3821" s="8">
        <v>12317</v>
      </c>
      <c r="H3821" s="8">
        <v>0</v>
      </c>
      <c r="I3821" s="8">
        <v>1074</v>
      </c>
    </row>
    <row r="3822" spans="1:9" x14ac:dyDescent="0.2">
      <c r="A3822" t="s">
        <v>905</v>
      </c>
      <c r="B3822" t="s">
        <v>911</v>
      </c>
      <c r="C3822" t="str">
        <f>"24736190000000"</f>
        <v>24736190000000</v>
      </c>
      <c r="D3822" t="s">
        <v>5432</v>
      </c>
      <c r="E3822" t="str">
        <f>"24736196103766"</f>
        <v>24736196103766</v>
      </c>
      <c r="F3822" s="8">
        <v>673</v>
      </c>
      <c r="G3822" s="8">
        <v>12319</v>
      </c>
      <c r="H3822" s="8">
        <v>0</v>
      </c>
      <c r="I3822" s="8">
        <v>878</v>
      </c>
    </row>
    <row r="3823" spans="1:9" x14ac:dyDescent="0.2">
      <c r="A3823" t="s">
        <v>905</v>
      </c>
      <c r="B3823" t="s">
        <v>911</v>
      </c>
      <c r="C3823" t="str">
        <f>"24736190000000"</f>
        <v>24736190000000</v>
      </c>
      <c r="D3823" t="s">
        <v>5433</v>
      </c>
      <c r="E3823" t="str">
        <f>"24736196025720"</f>
        <v>24736196025720</v>
      </c>
      <c r="F3823" s="8">
        <v>702</v>
      </c>
      <c r="G3823" s="8">
        <v>12290</v>
      </c>
      <c r="H3823" s="8">
        <v>0</v>
      </c>
      <c r="I3823" s="8">
        <v>857</v>
      </c>
    </row>
    <row r="3824" spans="1:9" x14ac:dyDescent="0.2">
      <c r="A3824" t="s">
        <v>905</v>
      </c>
      <c r="B3824" t="s">
        <v>911</v>
      </c>
      <c r="C3824" t="str">
        <f>"24736190000000"</f>
        <v>24736190000000</v>
      </c>
      <c r="D3824" t="s">
        <v>5434</v>
      </c>
      <c r="E3824" t="str">
        <f>"24736192430031"</f>
        <v>24736192430031</v>
      </c>
      <c r="F3824" s="8">
        <v>436</v>
      </c>
      <c r="G3824" s="8">
        <v>3407</v>
      </c>
      <c r="H3824" s="8">
        <v>0</v>
      </c>
      <c r="I3824" s="8">
        <v>566</v>
      </c>
    </row>
    <row r="3825" spans="1:9" x14ac:dyDescent="0.2">
      <c r="A3825" t="s">
        <v>905</v>
      </c>
      <c r="B3825" t="s">
        <v>912</v>
      </c>
      <c r="C3825" t="str">
        <f t="shared" ref="C3825:C3830" si="184">"24656980000000"</f>
        <v>24656980000000</v>
      </c>
      <c r="D3825" t="s">
        <v>5435</v>
      </c>
      <c r="E3825" t="str">
        <f>"24656982430106"</f>
        <v>24656982430106</v>
      </c>
      <c r="F3825" s="8">
        <v>0</v>
      </c>
      <c r="G3825" s="8">
        <v>37060</v>
      </c>
      <c r="H3825" s="8">
        <v>1312</v>
      </c>
      <c r="I3825" s="8">
        <v>3147</v>
      </c>
    </row>
    <row r="3826" spans="1:9" x14ac:dyDescent="0.2">
      <c r="A3826" t="s">
        <v>905</v>
      </c>
      <c r="B3826" t="s">
        <v>912</v>
      </c>
      <c r="C3826" t="str">
        <f t="shared" si="184"/>
        <v>24656980000000</v>
      </c>
      <c r="D3826" t="s">
        <v>5436</v>
      </c>
      <c r="E3826" t="str">
        <f>"24656986025472"</f>
        <v>24656986025472</v>
      </c>
      <c r="F3826" s="8">
        <v>424</v>
      </c>
      <c r="G3826" s="8">
        <v>11642</v>
      </c>
      <c r="H3826" s="8">
        <v>1312</v>
      </c>
      <c r="I3826" s="8">
        <v>3188</v>
      </c>
    </row>
    <row r="3827" spans="1:9" x14ac:dyDescent="0.2">
      <c r="A3827" t="s">
        <v>905</v>
      </c>
      <c r="B3827" t="s">
        <v>912</v>
      </c>
      <c r="C3827" t="str">
        <f t="shared" si="184"/>
        <v>24656980000000</v>
      </c>
      <c r="D3827" t="s">
        <v>5437</v>
      </c>
      <c r="E3827" t="str">
        <f>"24656982430080"</f>
        <v>24656982430080</v>
      </c>
      <c r="F3827" s="8">
        <v>367</v>
      </c>
      <c r="G3827" s="8">
        <v>9885</v>
      </c>
      <c r="H3827" s="8">
        <v>1312</v>
      </c>
      <c r="I3827" s="8">
        <v>3147</v>
      </c>
    </row>
    <row r="3828" spans="1:9" x14ac:dyDescent="0.2">
      <c r="A3828" t="s">
        <v>905</v>
      </c>
      <c r="B3828" t="s">
        <v>912</v>
      </c>
      <c r="C3828" t="str">
        <f t="shared" si="184"/>
        <v>24656980000000</v>
      </c>
      <c r="D3828" t="s">
        <v>5438</v>
      </c>
      <c r="E3828" t="str">
        <f>"24656982432409"</f>
        <v>24656982432409</v>
      </c>
      <c r="F3828" s="8">
        <v>110</v>
      </c>
      <c r="G3828" s="8">
        <v>7860</v>
      </c>
      <c r="H3828" s="8">
        <v>1312</v>
      </c>
      <c r="I3828" s="8">
        <v>3147</v>
      </c>
    </row>
    <row r="3829" spans="1:9" x14ac:dyDescent="0.2">
      <c r="A3829" t="s">
        <v>905</v>
      </c>
      <c r="B3829" t="s">
        <v>912</v>
      </c>
      <c r="C3829" t="str">
        <f t="shared" si="184"/>
        <v>24656980000000</v>
      </c>
      <c r="D3829" t="s">
        <v>5439</v>
      </c>
      <c r="E3829" t="str">
        <f>"24656986025464"</f>
        <v>24656986025464</v>
      </c>
      <c r="F3829" s="8">
        <v>298</v>
      </c>
      <c r="G3829" s="8">
        <v>7092</v>
      </c>
      <c r="H3829" s="8">
        <v>1312</v>
      </c>
      <c r="I3829" s="8">
        <v>3188</v>
      </c>
    </row>
    <row r="3830" spans="1:9" x14ac:dyDescent="0.2">
      <c r="A3830" t="s">
        <v>905</v>
      </c>
      <c r="B3830" t="s">
        <v>912</v>
      </c>
      <c r="C3830" t="str">
        <f t="shared" si="184"/>
        <v>24656980000000</v>
      </c>
      <c r="D3830" t="s">
        <v>5440</v>
      </c>
      <c r="E3830" t="str">
        <f>"24656986109458"</f>
        <v>24656986109458</v>
      </c>
      <c r="F3830" s="8">
        <v>408</v>
      </c>
      <c r="G3830" s="8">
        <v>6754</v>
      </c>
      <c r="H3830" s="8">
        <v>1312</v>
      </c>
      <c r="I3830" s="8">
        <v>3147</v>
      </c>
    </row>
    <row r="3831" spans="1:9" x14ac:dyDescent="0.2">
      <c r="A3831" t="s">
        <v>905</v>
      </c>
      <c r="B3831" t="s">
        <v>913</v>
      </c>
      <c r="C3831" t="str">
        <f>"24657220000000"</f>
        <v>24657220000000</v>
      </c>
      <c r="D3831" t="s">
        <v>5441</v>
      </c>
      <c r="E3831" t="str">
        <f>"24657226025498"</f>
        <v>24657226025498</v>
      </c>
      <c r="F3831" s="8">
        <v>2362</v>
      </c>
      <c r="G3831" s="8">
        <v>11563</v>
      </c>
      <c r="H3831" s="8">
        <v>0</v>
      </c>
      <c r="I3831" s="8">
        <v>1646</v>
      </c>
    </row>
    <row r="3832" spans="1:9" x14ac:dyDescent="0.2">
      <c r="A3832" t="s">
        <v>905</v>
      </c>
      <c r="B3832" t="s">
        <v>914</v>
      </c>
      <c r="C3832" t="str">
        <f>"24657300000000"</f>
        <v>24657300000000</v>
      </c>
      <c r="D3832" t="s">
        <v>2218</v>
      </c>
      <c r="E3832" t="str">
        <f>"24657302430064"</f>
        <v>24657302430064</v>
      </c>
      <c r="F3832" s="8">
        <v>1654</v>
      </c>
      <c r="G3832" s="8">
        <v>16090</v>
      </c>
      <c r="H3832" s="8">
        <v>0</v>
      </c>
      <c r="I3832" s="8">
        <v>387</v>
      </c>
    </row>
    <row r="3833" spans="1:9" x14ac:dyDescent="0.2">
      <c r="A3833" t="s">
        <v>905</v>
      </c>
      <c r="B3833" t="s">
        <v>914</v>
      </c>
      <c r="C3833" t="str">
        <f>"24657300000000"</f>
        <v>24657300000000</v>
      </c>
      <c r="D3833" t="s">
        <v>5442</v>
      </c>
      <c r="E3833" t="str">
        <f>"24657302433001"</f>
        <v>24657302433001</v>
      </c>
      <c r="F3833" s="8">
        <v>3502</v>
      </c>
      <c r="G3833" s="8">
        <v>12073</v>
      </c>
      <c r="H3833" s="8">
        <v>0</v>
      </c>
      <c r="I3833" s="8">
        <v>1668</v>
      </c>
    </row>
    <row r="3834" spans="1:9" x14ac:dyDescent="0.2">
      <c r="A3834" t="s">
        <v>905</v>
      </c>
      <c r="B3834" t="s">
        <v>915</v>
      </c>
      <c r="C3834" t="str">
        <f>"24657480000000"</f>
        <v>24657480000000</v>
      </c>
      <c r="D3834" t="s">
        <v>5443</v>
      </c>
      <c r="E3834" t="str">
        <f>"24657486025506"</f>
        <v>24657486025506</v>
      </c>
      <c r="F3834" s="8">
        <v>1624</v>
      </c>
      <c r="G3834" s="8">
        <v>8014</v>
      </c>
      <c r="H3834" s="8">
        <v>609</v>
      </c>
      <c r="I3834" s="8">
        <v>4221</v>
      </c>
    </row>
    <row r="3835" spans="1:9" x14ac:dyDescent="0.2">
      <c r="A3835" t="s">
        <v>905</v>
      </c>
      <c r="B3835" t="s">
        <v>915</v>
      </c>
      <c r="C3835" t="str">
        <f>"24657480000000"</f>
        <v>24657480000000</v>
      </c>
      <c r="D3835" t="s">
        <v>5444</v>
      </c>
      <c r="E3835" t="str">
        <f>"24657486025522"</f>
        <v>24657486025522</v>
      </c>
      <c r="F3835" s="8">
        <v>1255</v>
      </c>
      <c r="G3835" s="8">
        <v>8298</v>
      </c>
      <c r="H3835" s="8">
        <v>609</v>
      </c>
      <c r="I3835" s="8">
        <v>4221</v>
      </c>
    </row>
    <row r="3836" spans="1:9" x14ac:dyDescent="0.2">
      <c r="A3836" t="s">
        <v>905</v>
      </c>
      <c r="B3836" t="s">
        <v>915</v>
      </c>
      <c r="C3836" t="str">
        <f>"24657480000000"</f>
        <v>24657480000000</v>
      </c>
      <c r="D3836" t="s">
        <v>5445</v>
      </c>
      <c r="E3836" t="str">
        <f>"24657486025514"</f>
        <v>24657486025514</v>
      </c>
      <c r="F3836" s="8">
        <v>1012</v>
      </c>
      <c r="G3836" s="8">
        <v>7404</v>
      </c>
      <c r="H3836" s="8">
        <v>609</v>
      </c>
      <c r="I3836" s="8">
        <v>4221</v>
      </c>
    </row>
    <row r="3837" spans="1:9" x14ac:dyDescent="0.2">
      <c r="A3837" t="s">
        <v>905</v>
      </c>
      <c r="B3837" t="s">
        <v>915</v>
      </c>
      <c r="C3837" t="str">
        <f>"24657480000000"</f>
        <v>24657480000000</v>
      </c>
      <c r="D3837" t="s">
        <v>5446</v>
      </c>
      <c r="E3837" t="str">
        <f>"24657486109649"</f>
        <v>24657486109649</v>
      </c>
      <c r="F3837" s="8">
        <v>1056</v>
      </c>
      <c r="G3837" s="8">
        <v>6826</v>
      </c>
      <c r="H3837" s="8">
        <v>609</v>
      </c>
      <c r="I3837" s="8">
        <v>4221</v>
      </c>
    </row>
    <row r="3838" spans="1:9" x14ac:dyDescent="0.2">
      <c r="A3838" t="s">
        <v>905</v>
      </c>
      <c r="B3838" t="s">
        <v>916</v>
      </c>
      <c r="C3838" t="str">
        <f t="shared" ref="C3838:C3853" si="185">"24657550000000"</f>
        <v>24657550000000</v>
      </c>
      <c r="D3838" t="s">
        <v>5447</v>
      </c>
      <c r="E3838" t="str">
        <f>"24657552431492"</f>
        <v>24657552431492</v>
      </c>
      <c r="F3838" s="8">
        <v>2498</v>
      </c>
      <c r="G3838" s="8">
        <v>18757</v>
      </c>
      <c r="H3838" s="8">
        <v>1500</v>
      </c>
      <c r="I3838" s="8">
        <v>2553</v>
      </c>
    </row>
    <row r="3839" spans="1:9" x14ac:dyDescent="0.2">
      <c r="A3839" t="s">
        <v>905</v>
      </c>
      <c r="B3839" t="s">
        <v>916</v>
      </c>
      <c r="C3839" t="str">
        <f t="shared" si="185"/>
        <v>24657550000000</v>
      </c>
      <c r="D3839" t="s">
        <v>5448</v>
      </c>
      <c r="E3839" t="str">
        <f>"24657550119073"</f>
        <v>24657550119073</v>
      </c>
      <c r="F3839" s="8">
        <v>730</v>
      </c>
      <c r="G3839" s="8">
        <v>14995</v>
      </c>
      <c r="H3839" s="8">
        <v>1500</v>
      </c>
      <c r="I3839" s="8">
        <v>2553</v>
      </c>
    </row>
    <row r="3840" spans="1:9" x14ac:dyDescent="0.2">
      <c r="A3840" t="s">
        <v>905</v>
      </c>
      <c r="B3840" t="s">
        <v>916</v>
      </c>
      <c r="C3840" t="str">
        <f t="shared" si="185"/>
        <v>24657550000000</v>
      </c>
      <c r="D3840" t="s">
        <v>5449</v>
      </c>
      <c r="E3840" t="str">
        <f>"24657556025555"</f>
        <v>24657556025555</v>
      </c>
      <c r="F3840" s="8">
        <v>1739</v>
      </c>
      <c r="G3840" s="8">
        <v>11963</v>
      </c>
      <c r="H3840" s="8">
        <v>1500</v>
      </c>
      <c r="I3840" s="8">
        <v>2553</v>
      </c>
    </row>
    <row r="3841" spans="1:9" x14ac:dyDescent="0.2">
      <c r="A3841" t="s">
        <v>905</v>
      </c>
      <c r="B3841" t="s">
        <v>916</v>
      </c>
      <c r="C3841" t="str">
        <f t="shared" si="185"/>
        <v>24657550000000</v>
      </c>
      <c r="D3841" t="s">
        <v>5450</v>
      </c>
      <c r="E3841" t="str">
        <f>"24657550136895"</f>
        <v>24657550136895</v>
      </c>
      <c r="F3841" s="8">
        <v>641</v>
      </c>
      <c r="G3841" s="8">
        <v>10653</v>
      </c>
      <c r="H3841" s="8">
        <v>1500</v>
      </c>
      <c r="I3841" s="8">
        <v>2553</v>
      </c>
    </row>
    <row r="3842" spans="1:9" x14ac:dyDescent="0.2">
      <c r="A3842" t="s">
        <v>905</v>
      </c>
      <c r="B3842" t="s">
        <v>916</v>
      </c>
      <c r="C3842" t="str">
        <f t="shared" si="185"/>
        <v>24657550000000</v>
      </c>
      <c r="D3842" t="s">
        <v>5451</v>
      </c>
      <c r="E3842" t="str">
        <f>"24657552434207"</f>
        <v>24657552434207</v>
      </c>
      <c r="F3842" s="8">
        <v>1036</v>
      </c>
      <c r="G3842" s="8">
        <v>9738</v>
      </c>
      <c r="H3842" s="8">
        <v>1500</v>
      </c>
      <c r="I3842" s="8">
        <v>2553</v>
      </c>
    </row>
    <row r="3843" spans="1:9" x14ac:dyDescent="0.2">
      <c r="A3843" t="s">
        <v>905</v>
      </c>
      <c r="B3843" t="s">
        <v>916</v>
      </c>
      <c r="C3843" t="str">
        <f t="shared" si="185"/>
        <v>24657550000000</v>
      </c>
      <c r="D3843" t="s">
        <v>827</v>
      </c>
      <c r="E3843" t="str">
        <f>"24657556116156"</f>
        <v>24657556116156</v>
      </c>
      <c r="F3843" s="8">
        <v>1102</v>
      </c>
      <c r="G3843" s="8">
        <v>9406</v>
      </c>
      <c r="H3843" s="8">
        <v>1500</v>
      </c>
      <c r="I3843" s="8">
        <v>2553</v>
      </c>
    </row>
    <row r="3844" spans="1:9" x14ac:dyDescent="0.2">
      <c r="A3844" t="s">
        <v>905</v>
      </c>
      <c r="B3844" t="s">
        <v>916</v>
      </c>
      <c r="C3844" t="str">
        <f t="shared" si="185"/>
        <v>24657550000000</v>
      </c>
      <c r="D3844" t="s">
        <v>5452</v>
      </c>
      <c r="E3844" t="str">
        <f>"24657556058689"</f>
        <v>24657556058689</v>
      </c>
      <c r="F3844" s="8">
        <v>622</v>
      </c>
      <c r="G3844" s="8">
        <v>9713</v>
      </c>
      <c r="H3844" s="8">
        <v>1500</v>
      </c>
      <c r="I3844" s="8">
        <v>2553</v>
      </c>
    </row>
    <row r="3845" spans="1:9" x14ac:dyDescent="0.2">
      <c r="A3845" t="s">
        <v>905</v>
      </c>
      <c r="B3845" t="s">
        <v>916</v>
      </c>
      <c r="C3845" t="str">
        <f t="shared" si="185"/>
        <v>24657550000000</v>
      </c>
      <c r="D3845" t="s">
        <v>5453</v>
      </c>
      <c r="E3845" t="str">
        <f>"24657550133413"</f>
        <v>24657550133413</v>
      </c>
      <c r="F3845" s="8">
        <v>490</v>
      </c>
      <c r="G3845" s="8">
        <v>9816</v>
      </c>
      <c r="H3845" s="8">
        <v>1500</v>
      </c>
      <c r="I3845" s="8">
        <v>2553</v>
      </c>
    </row>
    <row r="3846" spans="1:9" x14ac:dyDescent="0.2">
      <c r="A3846" t="s">
        <v>905</v>
      </c>
      <c r="B3846" t="s">
        <v>916</v>
      </c>
      <c r="C3846" t="str">
        <f t="shared" si="185"/>
        <v>24657550000000</v>
      </c>
      <c r="D3846" t="s">
        <v>5454</v>
      </c>
      <c r="E3846" t="str">
        <f>"24657556025563"</f>
        <v>24657556025563</v>
      </c>
      <c r="F3846" s="8">
        <v>1291</v>
      </c>
      <c r="G3846" s="8">
        <v>8710</v>
      </c>
      <c r="H3846" s="8">
        <v>1500</v>
      </c>
      <c r="I3846" s="8">
        <v>2553</v>
      </c>
    </row>
    <row r="3847" spans="1:9" x14ac:dyDescent="0.2">
      <c r="A3847" t="s">
        <v>905</v>
      </c>
      <c r="B3847" t="s">
        <v>916</v>
      </c>
      <c r="C3847" t="str">
        <f t="shared" si="185"/>
        <v>24657550000000</v>
      </c>
      <c r="D3847" t="s">
        <v>5455</v>
      </c>
      <c r="E3847" t="str">
        <f>"24657556025530"</f>
        <v>24657556025530</v>
      </c>
      <c r="F3847" s="8">
        <v>789</v>
      </c>
      <c r="G3847" s="8">
        <v>8723</v>
      </c>
      <c r="H3847" s="8">
        <v>1500</v>
      </c>
      <c r="I3847" s="8">
        <v>2553</v>
      </c>
    </row>
    <row r="3848" spans="1:9" x14ac:dyDescent="0.2">
      <c r="A3848" t="s">
        <v>905</v>
      </c>
      <c r="B3848" t="s">
        <v>916</v>
      </c>
      <c r="C3848" t="str">
        <f t="shared" si="185"/>
        <v>24657550000000</v>
      </c>
      <c r="D3848" t="s">
        <v>5456</v>
      </c>
      <c r="E3848" t="str">
        <f>"24657556025548"</f>
        <v>24657556025548</v>
      </c>
      <c r="F3848" s="8">
        <v>1023</v>
      </c>
      <c r="G3848" s="8">
        <v>8423</v>
      </c>
      <c r="H3848" s="8">
        <v>1500</v>
      </c>
      <c r="I3848" s="8">
        <v>2553</v>
      </c>
    </row>
    <row r="3849" spans="1:9" x14ac:dyDescent="0.2">
      <c r="A3849" t="s">
        <v>905</v>
      </c>
      <c r="B3849" t="s">
        <v>916</v>
      </c>
      <c r="C3849" t="str">
        <f t="shared" si="185"/>
        <v>24657550000000</v>
      </c>
      <c r="D3849" t="s">
        <v>5457</v>
      </c>
      <c r="E3849" t="str">
        <f>"24657556025571"</f>
        <v>24657556025571</v>
      </c>
      <c r="F3849" s="8">
        <v>776</v>
      </c>
      <c r="G3849" s="8">
        <v>8625</v>
      </c>
      <c r="H3849" s="8">
        <v>1500</v>
      </c>
      <c r="I3849" s="8">
        <v>2553</v>
      </c>
    </row>
    <row r="3850" spans="1:9" x14ac:dyDescent="0.2">
      <c r="A3850" t="s">
        <v>905</v>
      </c>
      <c r="B3850" t="s">
        <v>916</v>
      </c>
      <c r="C3850" t="str">
        <f t="shared" si="185"/>
        <v>24657550000000</v>
      </c>
      <c r="D3850" t="s">
        <v>5458</v>
      </c>
      <c r="E3850" t="str">
        <f>"24657550127597"</f>
        <v>24657550127597</v>
      </c>
      <c r="F3850" s="8">
        <v>846</v>
      </c>
      <c r="G3850" s="8">
        <v>8261</v>
      </c>
      <c r="H3850" s="8">
        <v>1500</v>
      </c>
      <c r="I3850" s="8">
        <v>2553</v>
      </c>
    </row>
    <row r="3851" spans="1:9" x14ac:dyDescent="0.2">
      <c r="A3851" t="s">
        <v>905</v>
      </c>
      <c r="B3851" t="s">
        <v>916</v>
      </c>
      <c r="C3851" t="str">
        <f t="shared" si="185"/>
        <v>24657550000000</v>
      </c>
      <c r="D3851" t="s">
        <v>5459</v>
      </c>
      <c r="E3851" t="str">
        <f>"24657550120923"</f>
        <v>24657550120923</v>
      </c>
      <c r="F3851" s="8">
        <v>454</v>
      </c>
      <c r="G3851" s="8">
        <v>8625</v>
      </c>
      <c r="H3851" s="8">
        <v>1500</v>
      </c>
      <c r="I3851" s="8">
        <v>2553</v>
      </c>
    </row>
    <row r="3852" spans="1:9" x14ac:dyDescent="0.2">
      <c r="A3852" t="s">
        <v>905</v>
      </c>
      <c r="B3852" t="s">
        <v>916</v>
      </c>
      <c r="C3852" t="str">
        <f t="shared" si="185"/>
        <v>24657550000000</v>
      </c>
      <c r="D3852" t="s">
        <v>5460</v>
      </c>
      <c r="E3852" t="str">
        <f>"24657550102624"</f>
        <v>24657550102624</v>
      </c>
      <c r="F3852" s="8">
        <v>779</v>
      </c>
      <c r="G3852" s="8">
        <v>7091</v>
      </c>
      <c r="H3852" s="8">
        <v>1500</v>
      </c>
      <c r="I3852" s="8">
        <v>2553</v>
      </c>
    </row>
    <row r="3853" spans="1:9" x14ac:dyDescent="0.2">
      <c r="A3853" t="s">
        <v>905</v>
      </c>
      <c r="B3853" t="s">
        <v>916</v>
      </c>
      <c r="C3853" t="str">
        <f t="shared" si="185"/>
        <v>24657550000000</v>
      </c>
      <c r="D3853" t="s">
        <v>5461</v>
      </c>
      <c r="E3853" t="str">
        <f>"24657550139675"</f>
        <v>24657550139675</v>
      </c>
      <c r="F3853" s="8">
        <v>769</v>
      </c>
      <c r="G3853" s="8">
        <v>6662</v>
      </c>
      <c r="H3853" s="8">
        <v>1500</v>
      </c>
      <c r="I3853" s="8">
        <v>2553</v>
      </c>
    </row>
    <row r="3854" spans="1:9" x14ac:dyDescent="0.2">
      <c r="A3854" t="s">
        <v>905</v>
      </c>
      <c r="B3854" t="s">
        <v>917</v>
      </c>
      <c r="C3854" t="str">
        <f>"24657630000000"</f>
        <v>24657630000000</v>
      </c>
      <c r="D3854" t="s">
        <v>5462</v>
      </c>
      <c r="E3854" t="str">
        <f>"24657636025589"</f>
        <v>24657636025589</v>
      </c>
      <c r="F3854" s="8">
        <v>1221</v>
      </c>
      <c r="G3854" s="8">
        <v>10446</v>
      </c>
      <c r="H3854" s="8">
        <v>0</v>
      </c>
      <c r="I3854" s="8">
        <v>0</v>
      </c>
    </row>
    <row r="3855" spans="1:9" x14ac:dyDescent="0.2">
      <c r="A3855" t="s">
        <v>905</v>
      </c>
      <c r="B3855" t="s">
        <v>918</v>
      </c>
      <c r="C3855" t="str">
        <f t="shared" ref="C3855:C3873" si="186">"24657710000000"</f>
        <v>24657710000000</v>
      </c>
      <c r="D3855" t="s">
        <v>5463</v>
      </c>
      <c r="E3855" t="str">
        <f>"24657716118889"</f>
        <v>24657716118889</v>
      </c>
      <c r="F3855" s="8">
        <v>109</v>
      </c>
      <c r="G3855" s="8">
        <v>31964</v>
      </c>
      <c r="H3855" s="8">
        <v>0</v>
      </c>
      <c r="I3855" s="8">
        <v>0</v>
      </c>
    </row>
    <row r="3856" spans="1:9" x14ac:dyDescent="0.2">
      <c r="A3856" t="s">
        <v>905</v>
      </c>
      <c r="B3856" t="s">
        <v>918</v>
      </c>
      <c r="C3856" t="str">
        <f t="shared" si="186"/>
        <v>24657710000000</v>
      </c>
      <c r="D3856" t="s">
        <v>2907</v>
      </c>
      <c r="E3856" t="str">
        <f>"24657716025704"</f>
        <v>24657716025704</v>
      </c>
      <c r="F3856" s="8">
        <v>488</v>
      </c>
      <c r="G3856" s="8">
        <v>8584</v>
      </c>
      <c r="H3856" s="8">
        <v>332</v>
      </c>
      <c r="I3856" s="8">
        <v>2379</v>
      </c>
    </row>
    <row r="3857" spans="1:9" x14ac:dyDescent="0.2">
      <c r="A3857" t="s">
        <v>905</v>
      </c>
      <c r="B3857" t="s">
        <v>918</v>
      </c>
      <c r="C3857" t="str">
        <f t="shared" si="186"/>
        <v>24657710000000</v>
      </c>
      <c r="D3857" t="s">
        <v>5464</v>
      </c>
      <c r="E3857" t="str">
        <f>"24657716105647"</f>
        <v>24657716105647</v>
      </c>
      <c r="F3857" s="8">
        <v>434</v>
      </c>
      <c r="G3857" s="8">
        <v>8421</v>
      </c>
      <c r="H3857" s="8">
        <v>332</v>
      </c>
      <c r="I3857" s="8">
        <v>2379</v>
      </c>
    </row>
    <row r="3858" spans="1:9" x14ac:dyDescent="0.2">
      <c r="A3858" t="s">
        <v>905</v>
      </c>
      <c r="B3858" t="s">
        <v>918</v>
      </c>
      <c r="C3858" t="str">
        <f t="shared" si="186"/>
        <v>24657710000000</v>
      </c>
      <c r="D3858" t="s">
        <v>1894</v>
      </c>
      <c r="E3858" t="str">
        <f>"24657716025621"</f>
        <v>24657716025621</v>
      </c>
      <c r="F3858" s="8">
        <v>365</v>
      </c>
      <c r="G3858" s="8">
        <v>8464</v>
      </c>
      <c r="H3858" s="8">
        <v>332</v>
      </c>
      <c r="I3858" s="8">
        <v>2379</v>
      </c>
    </row>
    <row r="3859" spans="1:9" x14ac:dyDescent="0.2">
      <c r="A3859" t="s">
        <v>905</v>
      </c>
      <c r="B3859" t="s">
        <v>918</v>
      </c>
      <c r="C3859" t="str">
        <f t="shared" si="186"/>
        <v>24657710000000</v>
      </c>
      <c r="D3859" t="s">
        <v>5465</v>
      </c>
      <c r="E3859" t="str">
        <f>"24657716025688"</f>
        <v>24657716025688</v>
      </c>
      <c r="F3859" s="8">
        <v>381</v>
      </c>
      <c r="G3859" s="8">
        <v>8422</v>
      </c>
      <c r="H3859" s="8">
        <v>332</v>
      </c>
      <c r="I3859" s="8">
        <v>2379</v>
      </c>
    </row>
    <row r="3860" spans="1:9" x14ac:dyDescent="0.2">
      <c r="A3860" t="s">
        <v>905</v>
      </c>
      <c r="B3860" t="s">
        <v>918</v>
      </c>
      <c r="C3860" t="str">
        <f t="shared" si="186"/>
        <v>24657710000000</v>
      </c>
      <c r="D3860" t="s">
        <v>5466</v>
      </c>
      <c r="E3860" t="str">
        <f>"24657716025605"</f>
        <v>24657716025605</v>
      </c>
      <c r="F3860" s="8">
        <v>372</v>
      </c>
      <c r="G3860" s="8">
        <v>8356</v>
      </c>
      <c r="H3860" s="8">
        <v>332</v>
      </c>
      <c r="I3860" s="8">
        <v>2379</v>
      </c>
    </row>
    <row r="3861" spans="1:9" x14ac:dyDescent="0.2">
      <c r="A3861" t="s">
        <v>905</v>
      </c>
      <c r="B3861" t="s">
        <v>918</v>
      </c>
      <c r="C3861" t="str">
        <f t="shared" si="186"/>
        <v>24657710000000</v>
      </c>
      <c r="D3861" t="s">
        <v>5467</v>
      </c>
      <c r="E3861" t="str">
        <f>"24657716025696"</f>
        <v>24657716025696</v>
      </c>
      <c r="F3861" s="8">
        <v>515</v>
      </c>
      <c r="G3861" s="8">
        <v>8152</v>
      </c>
      <c r="H3861" s="8">
        <v>332</v>
      </c>
      <c r="I3861" s="8">
        <v>2379</v>
      </c>
    </row>
    <row r="3862" spans="1:9" x14ac:dyDescent="0.2">
      <c r="A3862" t="s">
        <v>905</v>
      </c>
      <c r="B3862" t="s">
        <v>918</v>
      </c>
      <c r="C3862" t="str">
        <f t="shared" si="186"/>
        <v>24657710000000</v>
      </c>
      <c r="D3862" t="s">
        <v>5468</v>
      </c>
      <c r="E3862" t="str">
        <f>"24657716105852"</f>
        <v>24657716105852</v>
      </c>
      <c r="F3862" s="8">
        <v>376</v>
      </c>
      <c r="G3862" s="8">
        <v>8231</v>
      </c>
      <c r="H3862" s="8">
        <v>332</v>
      </c>
      <c r="I3862" s="8">
        <v>2379</v>
      </c>
    </row>
    <row r="3863" spans="1:9" x14ac:dyDescent="0.2">
      <c r="A3863" t="s">
        <v>905</v>
      </c>
      <c r="B3863" t="s">
        <v>918</v>
      </c>
      <c r="C3863" t="str">
        <f t="shared" si="186"/>
        <v>24657710000000</v>
      </c>
      <c r="D3863" t="s">
        <v>5469</v>
      </c>
      <c r="E3863" t="str">
        <f>"24657716107908"</f>
        <v>24657716107908</v>
      </c>
      <c r="F3863" s="8">
        <v>500</v>
      </c>
      <c r="G3863" s="8">
        <v>7911</v>
      </c>
      <c r="H3863" s="8">
        <v>332</v>
      </c>
      <c r="I3863" s="8">
        <v>2379</v>
      </c>
    </row>
    <row r="3864" spans="1:9" x14ac:dyDescent="0.2">
      <c r="A3864" t="s">
        <v>905</v>
      </c>
      <c r="B3864" t="s">
        <v>918</v>
      </c>
      <c r="C3864" t="str">
        <f t="shared" si="186"/>
        <v>24657710000000</v>
      </c>
      <c r="D3864" t="s">
        <v>5470</v>
      </c>
      <c r="E3864" t="str">
        <f>"24657716115729"</f>
        <v>24657716115729</v>
      </c>
      <c r="F3864" s="8">
        <v>371</v>
      </c>
      <c r="G3864" s="8">
        <v>8013</v>
      </c>
      <c r="H3864" s="8">
        <v>332</v>
      </c>
      <c r="I3864" s="8">
        <v>2379</v>
      </c>
    </row>
    <row r="3865" spans="1:9" x14ac:dyDescent="0.2">
      <c r="A3865" t="s">
        <v>905</v>
      </c>
      <c r="B3865" t="s">
        <v>918</v>
      </c>
      <c r="C3865" t="str">
        <f t="shared" si="186"/>
        <v>24657710000000</v>
      </c>
      <c r="D3865" t="s">
        <v>3443</v>
      </c>
      <c r="E3865" t="str">
        <f>"24657716025654"</f>
        <v>24657716025654</v>
      </c>
      <c r="F3865" s="8">
        <v>422</v>
      </c>
      <c r="G3865" s="8">
        <v>7934</v>
      </c>
      <c r="H3865" s="8">
        <v>332</v>
      </c>
      <c r="I3865" s="8">
        <v>2379</v>
      </c>
    </row>
    <row r="3866" spans="1:9" x14ac:dyDescent="0.2">
      <c r="A3866" t="s">
        <v>905</v>
      </c>
      <c r="B3866" t="s">
        <v>918</v>
      </c>
      <c r="C3866" t="str">
        <f t="shared" si="186"/>
        <v>24657710000000</v>
      </c>
      <c r="D3866" t="s">
        <v>5471</v>
      </c>
      <c r="E3866" t="str">
        <f>"24657716025647"</f>
        <v>24657716025647</v>
      </c>
      <c r="F3866" s="8">
        <v>347</v>
      </c>
      <c r="G3866" s="8">
        <v>7999</v>
      </c>
      <c r="H3866" s="8">
        <v>332</v>
      </c>
      <c r="I3866" s="8">
        <v>2379</v>
      </c>
    </row>
    <row r="3867" spans="1:9" x14ac:dyDescent="0.2">
      <c r="A3867" t="s">
        <v>905</v>
      </c>
      <c r="B3867" t="s">
        <v>918</v>
      </c>
      <c r="C3867" t="str">
        <f t="shared" si="186"/>
        <v>24657710000000</v>
      </c>
      <c r="D3867" t="s">
        <v>5472</v>
      </c>
      <c r="E3867" t="str">
        <f>"24657716025613"</f>
        <v>24657716025613</v>
      </c>
      <c r="F3867" s="8">
        <v>417</v>
      </c>
      <c r="G3867" s="8">
        <v>7774</v>
      </c>
      <c r="H3867" s="8">
        <v>332</v>
      </c>
      <c r="I3867" s="8">
        <v>2379</v>
      </c>
    </row>
    <row r="3868" spans="1:9" x14ac:dyDescent="0.2">
      <c r="A3868" t="s">
        <v>905</v>
      </c>
      <c r="B3868" t="s">
        <v>918</v>
      </c>
      <c r="C3868" t="str">
        <f t="shared" si="186"/>
        <v>24657710000000</v>
      </c>
      <c r="D3868" t="s">
        <v>5473</v>
      </c>
      <c r="E3868" t="str">
        <f>"24657716025597"</f>
        <v>24657716025597</v>
      </c>
      <c r="F3868" s="8">
        <v>359</v>
      </c>
      <c r="G3868" s="8">
        <v>7792</v>
      </c>
      <c r="H3868" s="8">
        <v>332</v>
      </c>
      <c r="I3868" s="8">
        <v>2379</v>
      </c>
    </row>
    <row r="3869" spans="1:9" x14ac:dyDescent="0.2">
      <c r="A3869" t="s">
        <v>905</v>
      </c>
      <c r="B3869" t="s">
        <v>918</v>
      </c>
      <c r="C3869" t="str">
        <f t="shared" si="186"/>
        <v>24657710000000</v>
      </c>
      <c r="D3869" t="s">
        <v>5474</v>
      </c>
      <c r="E3869" t="str">
        <f>"24657716025670"</f>
        <v>24657716025670</v>
      </c>
      <c r="F3869" s="8">
        <v>181</v>
      </c>
      <c r="G3869" s="8">
        <v>7936</v>
      </c>
      <c r="H3869" s="8">
        <v>332</v>
      </c>
      <c r="I3869" s="8">
        <v>2379</v>
      </c>
    </row>
    <row r="3870" spans="1:9" x14ac:dyDescent="0.2">
      <c r="A3870" t="s">
        <v>905</v>
      </c>
      <c r="B3870" t="s">
        <v>918</v>
      </c>
      <c r="C3870" t="str">
        <f t="shared" si="186"/>
        <v>24657710000000</v>
      </c>
      <c r="D3870" t="s">
        <v>2093</v>
      </c>
      <c r="E3870" t="str">
        <f>"24657716025662"</f>
        <v>24657716025662</v>
      </c>
      <c r="F3870" s="8">
        <v>501</v>
      </c>
      <c r="G3870" s="8">
        <v>7575</v>
      </c>
      <c r="H3870" s="8">
        <v>332</v>
      </c>
      <c r="I3870" s="8">
        <v>2379</v>
      </c>
    </row>
    <row r="3871" spans="1:9" x14ac:dyDescent="0.2">
      <c r="A3871" t="s">
        <v>905</v>
      </c>
      <c r="B3871" t="s">
        <v>918</v>
      </c>
      <c r="C3871" t="str">
        <f t="shared" si="186"/>
        <v>24657710000000</v>
      </c>
      <c r="D3871" t="s">
        <v>5475</v>
      </c>
      <c r="E3871" t="str">
        <f>"24657716112288"</f>
        <v>24657716112288</v>
      </c>
      <c r="F3871" s="8">
        <v>224</v>
      </c>
      <c r="G3871" s="8">
        <v>7721</v>
      </c>
      <c r="H3871" s="8">
        <v>332</v>
      </c>
      <c r="I3871" s="8">
        <v>2379</v>
      </c>
    </row>
    <row r="3872" spans="1:9" x14ac:dyDescent="0.2">
      <c r="A3872" t="s">
        <v>905</v>
      </c>
      <c r="B3872" t="s">
        <v>918</v>
      </c>
      <c r="C3872" t="str">
        <f t="shared" si="186"/>
        <v>24657710000000</v>
      </c>
      <c r="D3872" t="s">
        <v>5476</v>
      </c>
      <c r="E3872" t="str">
        <f>"24657710112615"</f>
        <v>24657710112615</v>
      </c>
      <c r="F3872" s="8">
        <v>125</v>
      </c>
      <c r="G3872" s="8">
        <v>7409</v>
      </c>
      <c r="H3872" s="8">
        <v>332</v>
      </c>
      <c r="I3872" s="8">
        <v>2379</v>
      </c>
    </row>
    <row r="3873" spans="1:9" x14ac:dyDescent="0.2">
      <c r="A3873" t="s">
        <v>905</v>
      </c>
      <c r="B3873" t="s">
        <v>918</v>
      </c>
      <c r="C3873" t="str">
        <f t="shared" si="186"/>
        <v>24657710000000</v>
      </c>
      <c r="D3873" t="s">
        <v>5477</v>
      </c>
      <c r="E3873" t="str">
        <f>"24657710131664"</f>
        <v>24657710131664</v>
      </c>
      <c r="F3873" s="8">
        <v>180</v>
      </c>
      <c r="G3873" s="8">
        <v>7183</v>
      </c>
      <c r="H3873" s="8">
        <v>332</v>
      </c>
      <c r="I3873" s="8">
        <v>2379</v>
      </c>
    </row>
    <row r="3874" spans="1:9" x14ac:dyDescent="0.2">
      <c r="A3874" t="s">
        <v>905</v>
      </c>
      <c r="B3874" t="s">
        <v>919</v>
      </c>
      <c r="C3874" t="str">
        <f t="shared" ref="C3874:C3881" si="187">"24102490000000"</f>
        <v>24102490000000</v>
      </c>
      <c r="D3874" t="s">
        <v>5478</v>
      </c>
      <c r="E3874" t="str">
        <f>"24102492430056"</f>
        <v>24102492430056</v>
      </c>
      <c r="F3874" s="8">
        <v>3842</v>
      </c>
      <c r="G3874" s="8">
        <v>37237</v>
      </c>
      <c r="H3874" s="8">
        <v>592</v>
      </c>
      <c r="I3874" s="8">
        <v>4325</v>
      </c>
    </row>
    <row r="3875" spans="1:9" x14ac:dyDescent="0.2">
      <c r="A3875" t="s">
        <v>905</v>
      </c>
      <c r="B3875" t="s">
        <v>919</v>
      </c>
      <c r="C3875" t="str">
        <f t="shared" si="187"/>
        <v>24102490000000</v>
      </c>
      <c r="D3875" t="s">
        <v>5479</v>
      </c>
      <c r="E3875" t="str">
        <f>"24102496069199"</f>
        <v>24102496069199</v>
      </c>
      <c r="F3875" s="8">
        <v>5350</v>
      </c>
      <c r="G3875" s="8">
        <v>36490</v>
      </c>
      <c r="H3875" s="8">
        <v>0</v>
      </c>
      <c r="I3875" s="8">
        <v>0</v>
      </c>
    </row>
    <row r="3876" spans="1:9" x14ac:dyDescent="0.2">
      <c r="A3876" t="s">
        <v>905</v>
      </c>
      <c r="B3876" t="s">
        <v>919</v>
      </c>
      <c r="C3876" t="str">
        <f t="shared" si="187"/>
        <v>24102490000000</v>
      </c>
      <c r="D3876" t="s">
        <v>5480</v>
      </c>
      <c r="E3876" t="str">
        <f>"24102492430171"</f>
        <v>24102492430171</v>
      </c>
      <c r="F3876" s="8">
        <v>3810</v>
      </c>
      <c r="G3876" s="8">
        <v>31595</v>
      </c>
      <c r="H3876" s="8">
        <v>592</v>
      </c>
      <c r="I3876" s="8">
        <v>4325</v>
      </c>
    </row>
    <row r="3877" spans="1:9" x14ac:dyDescent="0.2">
      <c r="A3877" t="s">
        <v>905</v>
      </c>
      <c r="B3877" t="s">
        <v>919</v>
      </c>
      <c r="C3877" t="str">
        <f t="shared" si="187"/>
        <v>24102490000000</v>
      </c>
      <c r="D3877" t="s">
        <v>5481</v>
      </c>
      <c r="E3877" t="str">
        <f>"24102492430163"</f>
        <v>24102492430163</v>
      </c>
      <c r="F3877" s="8">
        <v>3643</v>
      </c>
      <c r="G3877" s="8">
        <v>22923</v>
      </c>
      <c r="H3877" s="8">
        <v>592</v>
      </c>
      <c r="I3877" s="8">
        <v>4325</v>
      </c>
    </row>
    <row r="3878" spans="1:9" x14ac:dyDescent="0.2">
      <c r="A3878" t="s">
        <v>905</v>
      </c>
      <c r="B3878" t="s">
        <v>919</v>
      </c>
      <c r="C3878" t="str">
        <f t="shared" si="187"/>
        <v>24102490000000</v>
      </c>
      <c r="D3878" t="s">
        <v>5482</v>
      </c>
      <c r="E3878" t="str">
        <f>"24102496068498"</f>
        <v>24102496068498</v>
      </c>
      <c r="F3878" s="8">
        <v>7639</v>
      </c>
      <c r="G3878" s="8">
        <v>22154</v>
      </c>
      <c r="H3878" s="8">
        <v>0</v>
      </c>
      <c r="I3878" s="8">
        <v>0</v>
      </c>
    </row>
    <row r="3879" spans="1:9" x14ac:dyDescent="0.2">
      <c r="A3879" t="s">
        <v>905</v>
      </c>
      <c r="B3879" t="s">
        <v>919</v>
      </c>
      <c r="C3879" t="str">
        <f t="shared" si="187"/>
        <v>24102490000000</v>
      </c>
      <c r="D3879" t="s">
        <v>5483</v>
      </c>
      <c r="E3879" t="str">
        <f>"24102490106518"</f>
        <v>24102490106518</v>
      </c>
      <c r="F3879" s="8">
        <v>880</v>
      </c>
      <c r="G3879" s="8">
        <v>11898</v>
      </c>
      <c r="H3879" s="8">
        <v>0</v>
      </c>
      <c r="I3879" s="8">
        <v>0</v>
      </c>
    </row>
    <row r="3880" spans="1:9" x14ac:dyDescent="0.2">
      <c r="A3880" t="s">
        <v>905</v>
      </c>
      <c r="B3880" t="s">
        <v>919</v>
      </c>
      <c r="C3880" t="str">
        <f t="shared" si="187"/>
        <v>24102490000000</v>
      </c>
      <c r="D3880" t="s">
        <v>5484</v>
      </c>
      <c r="E3880" t="str">
        <f>"24102490138032"</f>
        <v>24102490138032</v>
      </c>
      <c r="F3880" s="8">
        <v>96</v>
      </c>
      <c r="G3880" s="8">
        <v>10998</v>
      </c>
      <c r="H3880" s="8">
        <v>0</v>
      </c>
      <c r="I3880" s="8">
        <v>0</v>
      </c>
    </row>
    <row r="3881" spans="1:9" x14ac:dyDescent="0.2">
      <c r="A3881" t="s">
        <v>905</v>
      </c>
      <c r="B3881" t="s">
        <v>919</v>
      </c>
      <c r="C3881" t="str">
        <f t="shared" si="187"/>
        <v>24102490000000</v>
      </c>
      <c r="D3881" t="s">
        <v>5485</v>
      </c>
      <c r="E3881" t="str">
        <f>"24102492430148"</f>
        <v>24102492430148</v>
      </c>
      <c r="F3881" s="8">
        <v>987</v>
      </c>
      <c r="G3881" s="8">
        <v>3041</v>
      </c>
      <c r="H3881" s="8">
        <v>592</v>
      </c>
      <c r="I3881" s="8">
        <v>4325</v>
      </c>
    </row>
    <row r="3882" spans="1:9" x14ac:dyDescent="0.2">
      <c r="A3882" t="s">
        <v>905</v>
      </c>
      <c r="B3882" t="s">
        <v>920</v>
      </c>
      <c r="C3882" t="str">
        <f>"24737260000000"</f>
        <v>24737260000000</v>
      </c>
      <c r="D3882" t="s">
        <v>2094</v>
      </c>
      <c r="E3882" t="str">
        <f>"24737266025803"</f>
        <v>24737266025803</v>
      </c>
      <c r="F3882" s="8">
        <v>1444</v>
      </c>
      <c r="G3882" s="8">
        <v>9054</v>
      </c>
      <c r="H3882" s="8">
        <v>0</v>
      </c>
      <c r="I3882" s="8">
        <v>0</v>
      </c>
    </row>
    <row r="3883" spans="1:9" x14ac:dyDescent="0.2">
      <c r="A3883" t="s">
        <v>905</v>
      </c>
      <c r="B3883" t="s">
        <v>921</v>
      </c>
      <c r="C3883" t="str">
        <f t="shared" ref="C3883:C3891" si="188">"24657890000000"</f>
        <v>24657890000000</v>
      </c>
      <c r="D3883" t="s">
        <v>5486</v>
      </c>
      <c r="E3883" t="str">
        <f>"24657890107672"</f>
        <v>24657890107672</v>
      </c>
      <c r="F3883" s="8">
        <v>2015</v>
      </c>
      <c r="G3883" s="8">
        <v>21391</v>
      </c>
      <c r="H3883" s="8">
        <v>47</v>
      </c>
      <c r="I3883" s="8">
        <v>696</v>
      </c>
    </row>
    <row r="3884" spans="1:9" x14ac:dyDescent="0.2">
      <c r="A3884" t="s">
        <v>905</v>
      </c>
      <c r="B3884" t="s">
        <v>921</v>
      </c>
      <c r="C3884" t="str">
        <f t="shared" si="188"/>
        <v>24657890000000</v>
      </c>
      <c r="D3884" t="s">
        <v>3585</v>
      </c>
      <c r="E3884" t="str">
        <f>"24657892430049"</f>
        <v>24657892430049</v>
      </c>
      <c r="F3884" s="8">
        <v>744</v>
      </c>
      <c r="G3884" s="8">
        <v>15288</v>
      </c>
      <c r="H3884" s="8">
        <v>1</v>
      </c>
      <c r="I3884" s="8">
        <v>496</v>
      </c>
    </row>
    <row r="3885" spans="1:9" x14ac:dyDescent="0.2">
      <c r="A3885" t="s">
        <v>905</v>
      </c>
      <c r="B3885" t="s">
        <v>921</v>
      </c>
      <c r="C3885" t="str">
        <f t="shared" si="188"/>
        <v>24657890000000</v>
      </c>
      <c r="D3885" t="s">
        <v>5487</v>
      </c>
      <c r="E3885" t="str">
        <f>"24657892439602"</f>
        <v>24657892439602</v>
      </c>
      <c r="F3885" s="8">
        <v>2013</v>
      </c>
      <c r="G3885" s="8">
        <v>13105</v>
      </c>
      <c r="H3885" s="8">
        <v>26</v>
      </c>
      <c r="I3885" s="8">
        <v>39</v>
      </c>
    </row>
    <row r="3886" spans="1:9" x14ac:dyDescent="0.2">
      <c r="A3886" t="s">
        <v>905</v>
      </c>
      <c r="B3886" t="s">
        <v>921</v>
      </c>
      <c r="C3886" t="str">
        <f t="shared" si="188"/>
        <v>24657890000000</v>
      </c>
      <c r="D3886" t="s">
        <v>5488</v>
      </c>
      <c r="E3886" t="str">
        <f>"24657892433605"</f>
        <v>24657892433605</v>
      </c>
      <c r="F3886" s="8">
        <v>1074</v>
      </c>
      <c r="G3886" s="8">
        <v>8163</v>
      </c>
      <c r="H3886" s="8">
        <v>4</v>
      </c>
      <c r="I3886" s="8">
        <v>32</v>
      </c>
    </row>
    <row r="3887" spans="1:9" x14ac:dyDescent="0.2">
      <c r="A3887" t="s">
        <v>905</v>
      </c>
      <c r="B3887" t="s">
        <v>921</v>
      </c>
      <c r="C3887" t="str">
        <f t="shared" si="188"/>
        <v>24657890000000</v>
      </c>
      <c r="D3887" t="s">
        <v>5489</v>
      </c>
      <c r="E3887" t="str">
        <f>"24657892430601"</f>
        <v>24657892430601</v>
      </c>
      <c r="F3887" s="8">
        <v>1404</v>
      </c>
      <c r="G3887" s="8">
        <v>6962</v>
      </c>
      <c r="H3887" s="8">
        <v>8</v>
      </c>
      <c r="I3887" s="8">
        <v>33</v>
      </c>
    </row>
    <row r="3888" spans="1:9" x14ac:dyDescent="0.2">
      <c r="A3888" t="s">
        <v>905</v>
      </c>
      <c r="B3888" t="s">
        <v>921</v>
      </c>
      <c r="C3888" t="str">
        <f t="shared" si="188"/>
        <v>24657890000000</v>
      </c>
      <c r="D3888" t="s">
        <v>3322</v>
      </c>
      <c r="E3888" t="str">
        <f>"24657892430098"</f>
        <v>24657892430098</v>
      </c>
      <c r="F3888" s="8">
        <v>1143</v>
      </c>
      <c r="G3888" s="8">
        <v>6991</v>
      </c>
      <c r="H3888" s="8">
        <v>8</v>
      </c>
      <c r="I3888" s="8">
        <v>32</v>
      </c>
    </row>
    <row r="3889" spans="1:9" x14ac:dyDescent="0.2">
      <c r="A3889" t="s">
        <v>905</v>
      </c>
      <c r="B3889" t="s">
        <v>921</v>
      </c>
      <c r="C3889" t="str">
        <f t="shared" si="188"/>
        <v>24657890000000</v>
      </c>
      <c r="D3889" t="s">
        <v>5490</v>
      </c>
      <c r="E3889" t="str">
        <f>"24657892430205"</f>
        <v>24657892430205</v>
      </c>
      <c r="F3889" s="8">
        <v>1200</v>
      </c>
      <c r="G3889" s="8">
        <v>6853</v>
      </c>
      <c r="H3889" s="8">
        <v>8</v>
      </c>
      <c r="I3889" s="8">
        <v>33</v>
      </c>
    </row>
    <row r="3890" spans="1:9" x14ac:dyDescent="0.2">
      <c r="A3890" t="s">
        <v>905</v>
      </c>
      <c r="B3890" t="s">
        <v>921</v>
      </c>
      <c r="C3890" t="str">
        <f t="shared" si="188"/>
        <v>24657890000000</v>
      </c>
      <c r="D3890" t="s">
        <v>5491</v>
      </c>
      <c r="E3890" t="str">
        <f>"24657892435204"</f>
        <v>24657892435204</v>
      </c>
      <c r="F3890" s="8">
        <v>1145</v>
      </c>
      <c r="G3890" s="8">
        <v>6736</v>
      </c>
      <c r="H3890" s="8">
        <v>13</v>
      </c>
      <c r="I3890" s="8">
        <v>30</v>
      </c>
    </row>
    <row r="3891" spans="1:9" x14ac:dyDescent="0.2">
      <c r="A3891" t="s">
        <v>905</v>
      </c>
      <c r="B3891" t="s">
        <v>921</v>
      </c>
      <c r="C3891" t="str">
        <f t="shared" si="188"/>
        <v>24657890000000</v>
      </c>
      <c r="D3891" t="s">
        <v>5492</v>
      </c>
      <c r="E3891" t="str">
        <f>"24657890127373"</f>
        <v>24657890127373</v>
      </c>
      <c r="F3891" s="8">
        <v>1114</v>
      </c>
      <c r="G3891" s="8">
        <v>6751</v>
      </c>
      <c r="H3891" s="8">
        <v>7</v>
      </c>
      <c r="I3891" s="8">
        <v>31</v>
      </c>
    </row>
    <row r="3892" spans="1:9" x14ac:dyDescent="0.2">
      <c r="A3892" t="s">
        <v>905</v>
      </c>
      <c r="B3892" t="s">
        <v>922</v>
      </c>
      <c r="C3892" t="str">
        <f>"24658130000000"</f>
        <v>24658130000000</v>
      </c>
      <c r="D3892" t="s">
        <v>922</v>
      </c>
      <c r="E3892" t="str">
        <f>"24658136025779"</f>
        <v>24658136025779</v>
      </c>
      <c r="F3892" s="8">
        <v>1431</v>
      </c>
      <c r="G3892" s="8">
        <v>10538</v>
      </c>
      <c r="H3892" s="8">
        <v>0</v>
      </c>
      <c r="I3892" s="8">
        <v>0</v>
      </c>
    </row>
    <row r="3893" spans="1:9" x14ac:dyDescent="0.2">
      <c r="A3893" t="s">
        <v>905</v>
      </c>
      <c r="B3893" t="s">
        <v>923</v>
      </c>
      <c r="C3893" t="str">
        <f>"24658210000000"</f>
        <v>24658210000000</v>
      </c>
      <c r="D3893" t="s">
        <v>5493</v>
      </c>
      <c r="E3893" t="str">
        <f>"24658216120448"</f>
        <v>24658216120448</v>
      </c>
      <c r="F3893" s="8">
        <v>609</v>
      </c>
      <c r="G3893" s="8">
        <v>13032</v>
      </c>
      <c r="H3893" s="8">
        <v>68</v>
      </c>
      <c r="I3893" s="8">
        <v>3619</v>
      </c>
    </row>
    <row r="3894" spans="1:9" x14ac:dyDescent="0.2">
      <c r="A3894" t="s">
        <v>905</v>
      </c>
      <c r="B3894" t="s">
        <v>923</v>
      </c>
      <c r="C3894" t="str">
        <f>"24658210000000"</f>
        <v>24658210000000</v>
      </c>
      <c r="D3894" t="s">
        <v>923</v>
      </c>
      <c r="E3894" t="str">
        <f>"24658216025787"</f>
        <v>24658216025787</v>
      </c>
      <c r="F3894" s="8">
        <v>654</v>
      </c>
      <c r="G3894" s="8">
        <v>8098</v>
      </c>
      <c r="H3894" s="8">
        <v>68</v>
      </c>
      <c r="I3894" s="8">
        <v>3619</v>
      </c>
    </row>
    <row r="3895" spans="1:9" x14ac:dyDescent="0.2">
      <c r="A3895" t="s">
        <v>905</v>
      </c>
      <c r="B3895" t="s">
        <v>924</v>
      </c>
      <c r="C3895" t="str">
        <f>"24658390000000"</f>
        <v>24658390000000</v>
      </c>
      <c r="D3895" t="s">
        <v>5494</v>
      </c>
      <c r="E3895" t="str">
        <f>"24658396025795"</f>
        <v>24658396025795</v>
      </c>
      <c r="F3895" s="8">
        <v>1212</v>
      </c>
      <c r="G3895" s="8">
        <v>11747</v>
      </c>
      <c r="H3895" s="8">
        <v>0</v>
      </c>
      <c r="I3895" s="8">
        <v>0</v>
      </c>
    </row>
    <row r="3896" spans="1:9" x14ac:dyDescent="0.2">
      <c r="A3896" t="s">
        <v>905</v>
      </c>
      <c r="B3896" t="s">
        <v>925</v>
      </c>
      <c r="C3896" t="str">
        <f>"24658620000000"</f>
        <v>24658620000000</v>
      </c>
      <c r="D3896" t="s">
        <v>4237</v>
      </c>
      <c r="E3896" t="str">
        <f>"24658620114074"</f>
        <v>24658620114074</v>
      </c>
      <c r="F3896" s="8">
        <v>1417</v>
      </c>
      <c r="G3896" s="8">
        <v>7882</v>
      </c>
      <c r="H3896" s="8">
        <v>1088</v>
      </c>
      <c r="I3896" s="8">
        <v>3320</v>
      </c>
    </row>
    <row r="3897" spans="1:9" x14ac:dyDescent="0.2">
      <c r="A3897" t="s">
        <v>905</v>
      </c>
      <c r="B3897" t="s">
        <v>925</v>
      </c>
      <c r="C3897" t="str">
        <f>"24658620000000"</f>
        <v>24658620000000</v>
      </c>
      <c r="D3897" t="s">
        <v>2229</v>
      </c>
      <c r="E3897" t="str">
        <f>"24658626111991"</f>
        <v>24658626111991</v>
      </c>
      <c r="F3897" s="8">
        <v>1388</v>
      </c>
      <c r="G3897" s="8">
        <v>7719</v>
      </c>
      <c r="H3897" s="8">
        <v>1088</v>
      </c>
      <c r="I3897" s="8">
        <v>3320</v>
      </c>
    </row>
    <row r="3898" spans="1:9" x14ac:dyDescent="0.2">
      <c r="A3898" t="s">
        <v>905</v>
      </c>
      <c r="B3898" t="s">
        <v>925</v>
      </c>
      <c r="C3898" t="str">
        <f>"24658620000000"</f>
        <v>24658620000000</v>
      </c>
      <c r="D3898" t="s">
        <v>5495</v>
      </c>
      <c r="E3898" t="str">
        <f>"24658626025811"</f>
        <v>24658626025811</v>
      </c>
      <c r="F3898" s="8">
        <v>1196</v>
      </c>
      <c r="G3898" s="8">
        <v>6654</v>
      </c>
      <c r="H3898" s="8">
        <v>1088</v>
      </c>
      <c r="I3898" s="8">
        <v>3320</v>
      </c>
    </row>
    <row r="3899" spans="1:9" x14ac:dyDescent="0.2">
      <c r="A3899" t="s">
        <v>905</v>
      </c>
      <c r="B3899" t="s">
        <v>926</v>
      </c>
      <c r="C3899" t="str">
        <f>"24658700000000"</f>
        <v>24658700000000</v>
      </c>
      <c r="D3899" t="s">
        <v>5496</v>
      </c>
      <c r="E3899" t="str">
        <f>"24658706025837"</f>
        <v>24658706025837</v>
      </c>
      <c r="F3899" s="8">
        <v>1528</v>
      </c>
      <c r="G3899" s="8">
        <v>9344</v>
      </c>
      <c r="H3899" s="8">
        <v>378</v>
      </c>
      <c r="I3899" s="8">
        <v>3693</v>
      </c>
    </row>
    <row r="3900" spans="1:9" x14ac:dyDescent="0.2">
      <c r="A3900" t="s">
        <v>905</v>
      </c>
      <c r="B3900" t="s">
        <v>926</v>
      </c>
      <c r="C3900" t="str">
        <f>"24658700000000"</f>
        <v>24658700000000</v>
      </c>
      <c r="D3900" t="s">
        <v>5497</v>
      </c>
      <c r="E3900" t="str">
        <f>"24658700111294"</f>
        <v>24658700111294</v>
      </c>
      <c r="F3900" s="8">
        <v>1793</v>
      </c>
      <c r="G3900" s="8">
        <v>8433</v>
      </c>
      <c r="H3900" s="8">
        <v>393</v>
      </c>
      <c r="I3900" s="8">
        <v>3841</v>
      </c>
    </row>
    <row r="3901" spans="1:9" x14ac:dyDescent="0.2">
      <c r="A3901" t="s">
        <v>905</v>
      </c>
      <c r="B3901" t="s">
        <v>926</v>
      </c>
      <c r="C3901" t="str">
        <f>"24658700000000"</f>
        <v>24658700000000</v>
      </c>
      <c r="D3901" t="s">
        <v>5498</v>
      </c>
      <c r="E3901" t="str">
        <f>"24658706025829"</f>
        <v>24658706025829</v>
      </c>
      <c r="F3901" s="8">
        <v>1261</v>
      </c>
      <c r="G3901" s="8">
        <v>8029</v>
      </c>
      <c r="H3901" s="8">
        <v>386</v>
      </c>
      <c r="I3901" s="8">
        <v>3775</v>
      </c>
    </row>
    <row r="3902" spans="1:9" x14ac:dyDescent="0.2">
      <c r="A3902" t="s">
        <v>905</v>
      </c>
      <c r="B3902" t="s">
        <v>926</v>
      </c>
      <c r="C3902" t="str">
        <f>"24658700000000"</f>
        <v>24658700000000</v>
      </c>
      <c r="D3902" t="s">
        <v>2192</v>
      </c>
      <c r="E3902" t="str">
        <f>"24658706109425"</f>
        <v>24658706109425</v>
      </c>
      <c r="F3902" s="8">
        <v>1444</v>
      </c>
      <c r="G3902" s="8">
        <v>7488</v>
      </c>
      <c r="H3902" s="8">
        <v>385</v>
      </c>
      <c r="I3902" s="8">
        <v>3765</v>
      </c>
    </row>
    <row r="3903" spans="1:9" x14ac:dyDescent="0.2">
      <c r="A3903" t="s">
        <v>927</v>
      </c>
      <c r="B3903" t="s">
        <v>928</v>
      </c>
      <c r="C3903" t="str">
        <f>"25102560000000"</f>
        <v>25102560000000</v>
      </c>
      <c r="D3903" t="s">
        <v>5499</v>
      </c>
      <c r="E3903" t="str">
        <f>"25102566069314"</f>
        <v>25102566069314</v>
      </c>
      <c r="F3903" s="8">
        <v>2354</v>
      </c>
      <c r="G3903" s="8">
        <v>22391</v>
      </c>
      <c r="H3903" s="8">
        <v>0</v>
      </c>
      <c r="I3903" s="8">
        <v>0</v>
      </c>
    </row>
    <row r="3904" spans="1:9" x14ac:dyDescent="0.2">
      <c r="A3904" t="s">
        <v>927</v>
      </c>
      <c r="B3904" t="s">
        <v>929</v>
      </c>
      <c r="C3904" t="str">
        <f t="shared" ref="C3904:C3909" si="189">"25735850000000"</f>
        <v>25735850000000</v>
      </c>
      <c r="D3904" t="s">
        <v>5500</v>
      </c>
      <c r="E3904" t="str">
        <f>"25735856025886"</f>
        <v>25735856025886</v>
      </c>
      <c r="F3904" s="8">
        <v>36</v>
      </c>
      <c r="G3904" s="8">
        <v>26331</v>
      </c>
      <c r="H3904" s="8">
        <v>1043</v>
      </c>
      <c r="I3904" s="8">
        <v>3862</v>
      </c>
    </row>
    <row r="3905" spans="1:9" x14ac:dyDescent="0.2">
      <c r="A3905" t="s">
        <v>927</v>
      </c>
      <c r="B3905" t="s">
        <v>929</v>
      </c>
      <c r="C3905" t="str">
        <f t="shared" si="189"/>
        <v>25735850000000</v>
      </c>
      <c r="D3905" t="s">
        <v>5501</v>
      </c>
      <c r="E3905" t="str">
        <f>"25735852530111"</f>
        <v>25735852530111</v>
      </c>
      <c r="F3905" s="8">
        <v>843</v>
      </c>
      <c r="G3905" s="8">
        <v>10079</v>
      </c>
      <c r="H3905" s="8">
        <v>1043</v>
      </c>
      <c r="I3905" s="8">
        <v>3862</v>
      </c>
    </row>
    <row r="3906" spans="1:9" x14ac:dyDescent="0.2">
      <c r="A3906" t="s">
        <v>927</v>
      </c>
      <c r="B3906" t="s">
        <v>929</v>
      </c>
      <c r="C3906" t="str">
        <f t="shared" si="189"/>
        <v>25735850000000</v>
      </c>
      <c r="D3906" t="s">
        <v>5502</v>
      </c>
      <c r="E3906" t="str">
        <f>"25735852535409"</f>
        <v>25735852535409</v>
      </c>
      <c r="F3906" s="8">
        <v>153</v>
      </c>
      <c r="G3906" s="8">
        <v>8171</v>
      </c>
      <c r="H3906" s="8">
        <v>1043</v>
      </c>
      <c r="I3906" s="8">
        <v>3862</v>
      </c>
    </row>
    <row r="3907" spans="1:9" x14ac:dyDescent="0.2">
      <c r="A3907" t="s">
        <v>927</v>
      </c>
      <c r="B3907" t="s">
        <v>929</v>
      </c>
      <c r="C3907" t="str">
        <f t="shared" si="189"/>
        <v>25735850000000</v>
      </c>
      <c r="D3907" t="s">
        <v>5503</v>
      </c>
      <c r="E3907" t="str">
        <f>"25735856058697"</f>
        <v>25735856058697</v>
      </c>
      <c r="F3907" s="8">
        <v>854</v>
      </c>
      <c r="G3907" s="8">
        <v>7038</v>
      </c>
      <c r="H3907" s="8">
        <v>1043</v>
      </c>
      <c r="I3907" s="8">
        <v>3862</v>
      </c>
    </row>
    <row r="3908" spans="1:9" x14ac:dyDescent="0.2">
      <c r="A3908" t="s">
        <v>927</v>
      </c>
      <c r="B3908" t="s">
        <v>929</v>
      </c>
      <c r="C3908" t="str">
        <f t="shared" si="189"/>
        <v>25735850000000</v>
      </c>
      <c r="D3908" t="s">
        <v>5504</v>
      </c>
      <c r="E3908" t="str">
        <f>"25735856025845"</f>
        <v>25735856025845</v>
      </c>
      <c r="F3908" s="8">
        <v>455</v>
      </c>
      <c r="G3908" s="8">
        <v>5844</v>
      </c>
      <c r="H3908" s="8">
        <v>1043</v>
      </c>
      <c r="I3908" s="8">
        <v>3862</v>
      </c>
    </row>
    <row r="3909" spans="1:9" x14ac:dyDescent="0.2">
      <c r="A3909" t="s">
        <v>927</v>
      </c>
      <c r="B3909" t="s">
        <v>929</v>
      </c>
      <c r="C3909" t="str">
        <f t="shared" si="189"/>
        <v>25735850000000</v>
      </c>
      <c r="D3909" t="s">
        <v>5505</v>
      </c>
      <c r="E3909" t="str">
        <f>"25735852530020"</f>
        <v>25735852530020</v>
      </c>
      <c r="F3909" s="8">
        <v>220</v>
      </c>
      <c r="G3909" s="8">
        <v>4922</v>
      </c>
      <c r="H3909" s="8">
        <v>1043</v>
      </c>
      <c r="I3909" s="8">
        <v>3862</v>
      </c>
    </row>
    <row r="3910" spans="1:9" x14ac:dyDescent="0.2">
      <c r="A3910" t="s">
        <v>927</v>
      </c>
      <c r="B3910" t="s">
        <v>930</v>
      </c>
      <c r="C3910" t="str">
        <f>"25658960000000"</f>
        <v>25658960000000</v>
      </c>
      <c r="D3910" t="s">
        <v>5506</v>
      </c>
      <c r="E3910" t="str">
        <f>"25658962537702"</f>
        <v>25658962537702</v>
      </c>
      <c r="F3910" s="8">
        <v>144</v>
      </c>
      <c r="G3910" s="8">
        <v>9194</v>
      </c>
      <c r="H3910" s="8">
        <v>0</v>
      </c>
      <c r="I3910" s="8">
        <v>0</v>
      </c>
    </row>
    <row r="3911" spans="1:9" x14ac:dyDescent="0.2">
      <c r="A3911" t="s">
        <v>927</v>
      </c>
      <c r="B3911" t="s">
        <v>930</v>
      </c>
      <c r="C3911" t="str">
        <f>"25658960000000"</f>
        <v>25658960000000</v>
      </c>
      <c r="D3911" t="s">
        <v>5507</v>
      </c>
      <c r="E3911" t="str">
        <f>"25658966025902"</f>
        <v>25658966025902</v>
      </c>
      <c r="F3911" s="8">
        <v>782</v>
      </c>
      <c r="G3911" s="8">
        <v>4638</v>
      </c>
      <c r="H3911" s="8">
        <v>0</v>
      </c>
      <c r="I3911" s="8">
        <v>4</v>
      </c>
    </row>
    <row r="3912" spans="1:9" x14ac:dyDescent="0.2">
      <c r="A3912" t="s">
        <v>927</v>
      </c>
      <c r="B3912" t="s">
        <v>931</v>
      </c>
      <c r="C3912" t="str">
        <f>"25735930000000"</f>
        <v>25735930000000</v>
      </c>
      <c r="D3912" t="s">
        <v>5508</v>
      </c>
      <c r="E3912" t="str">
        <f>"25735934737250"</f>
        <v>25735934737250</v>
      </c>
      <c r="F3912" s="8">
        <v>276</v>
      </c>
      <c r="G3912" s="8">
        <v>9690</v>
      </c>
      <c r="H3912" s="8">
        <v>1802</v>
      </c>
      <c r="I3912" s="8">
        <v>3793</v>
      </c>
    </row>
    <row r="3913" spans="1:9" x14ac:dyDescent="0.2">
      <c r="A3913" t="s">
        <v>927</v>
      </c>
      <c r="B3913" t="s">
        <v>931</v>
      </c>
      <c r="C3913" t="str">
        <f>"25735930000000"</f>
        <v>25735930000000</v>
      </c>
      <c r="D3913" t="s">
        <v>5509</v>
      </c>
      <c r="E3913" t="str">
        <f>"25735936025894"</f>
        <v>25735936025894</v>
      </c>
      <c r="F3913" s="8">
        <v>559</v>
      </c>
      <c r="G3913" s="8">
        <v>7882</v>
      </c>
      <c r="H3913" s="8">
        <v>1802</v>
      </c>
      <c r="I3913" s="8">
        <v>3793</v>
      </c>
    </row>
    <row r="3914" spans="1:9" x14ac:dyDescent="0.2">
      <c r="A3914" t="s">
        <v>927</v>
      </c>
      <c r="B3914" t="s">
        <v>931</v>
      </c>
      <c r="C3914" t="str">
        <f>"25735930000000"</f>
        <v>25735930000000</v>
      </c>
      <c r="D3914" t="s">
        <v>5510</v>
      </c>
      <c r="E3914" t="str">
        <f>"25735932530087"</f>
        <v>25735932530087</v>
      </c>
      <c r="F3914" s="8" t="s">
        <v>30</v>
      </c>
      <c r="G3914" s="8" t="s">
        <v>30</v>
      </c>
      <c r="H3914" s="8" t="s">
        <v>30</v>
      </c>
      <c r="I3914" s="8" t="s">
        <v>30</v>
      </c>
    </row>
    <row r="3915" spans="1:9" x14ac:dyDescent="0.2">
      <c r="A3915" t="s">
        <v>932</v>
      </c>
      <c r="B3915" t="s">
        <v>933</v>
      </c>
      <c r="C3915" t="str">
        <f t="shared" ref="C3915:C3920" si="190">"26736680000000"</f>
        <v>26736680000000</v>
      </c>
      <c r="D3915" t="s">
        <v>5511</v>
      </c>
      <c r="E3915" t="str">
        <f>"26736686025928"</f>
        <v>26736686025928</v>
      </c>
      <c r="F3915" s="8">
        <v>3004</v>
      </c>
      <c r="G3915" s="8">
        <v>28450</v>
      </c>
      <c r="H3915" s="8">
        <v>1733</v>
      </c>
      <c r="I3915" s="8">
        <v>7437</v>
      </c>
    </row>
    <row r="3916" spans="1:9" x14ac:dyDescent="0.2">
      <c r="A3916" t="s">
        <v>932</v>
      </c>
      <c r="B3916" t="s">
        <v>933</v>
      </c>
      <c r="C3916" t="str">
        <f t="shared" si="190"/>
        <v>26736680000000</v>
      </c>
      <c r="D3916" t="s">
        <v>5092</v>
      </c>
      <c r="E3916" t="str">
        <f>"26736686025936"</f>
        <v>26736686025936</v>
      </c>
      <c r="F3916" s="8">
        <v>2209</v>
      </c>
      <c r="G3916" s="8">
        <v>21924</v>
      </c>
      <c r="H3916" s="8">
        <v>1733</v>
      </c>
      <c r="I3916" s="8">
        <v>7437</v>
      </c>
    </row>
    <row r="3917" spans="1:9" x14ac:dyDescent="0.2">
      <c r="A3917" t="s">
        <v>932</v>
      </c>
      <c r="B3917" t="s">
        <v>933</v>
      </c>
      <c r="C3917" t="str">
        <f t="shared" si="190"/>
        <v>26736680000000</v>
      </c>
      <c r="D3917" t="s">
        <v>5512</v>
      </c>
      <c r="E3917" t="str">
        <f>"26736682635001"</f>
        <v>26736682635001</v>
      </c>
      <c r="F3917" s="8">
        <v>1082</v>
      </c>
      <c r="G3917" s="8">
        <v>22158</v>
      </c>
      <c r="H3917" s="8">
        <v>1733</v>
      </c>
      <c r="I3917" s="8">
        <v>7437</v>
      </c>
    </row>
    <row r="3918" spans="1:9" x14ac:dyDescent="0.2">
      <c r="A3918" t="s">
        <v>932</v>
      </c>
      <c r="B3918" t="s">
        <v>933</v>
      </c>
      <c r="C3918" t="str">
        <f t="shared" si="190"/>
        <v>26736680000000</v>
      </c>
      <c r="D3918" t="s">
        <v>5513</v>
      </c>
      <c r="E3918" t="str">
        <f>"26736682633006"</f>
        <v>26736682633006</v>
      </c>
      <c r="F3918" s="8">
        <v>1042</v>
      </c>
      <c r="G3918" s="8">
        <v>19168</v>
      </c>
      <c r="H3918" s="8">
        <v>1733</v>
      </c>
      <c r="I3918" s="8">
        <v>7437</v>
      </c>
    </row>
    <row r="3919" spans="1:9" x14ac:dyDescent="0.2">
      <c r="A3919" t="s">
        <v>932</v>
      </c>
      <c r="B3919" t="s">
        <v>933</v>
      </c>
      <c r="C3919" t="str">
        <f t="shared" si="190"/>
        <v>26736680000000</v>
      </c>
      <c r="D3919" t="s">
        <v>5514</v>
      </c>
      <c r="E3919" t="str">
        <f>"26736686025951"</f>
        <v>26736686025951</v>
      </c>
      <c r="F3919" s="8">
        <v>1000</v>
      </c>
      <c r="G3919" s="8">
        <v>13674</v>
      </c>
      <c r="H3919" s="8">
        <v>1733</v>
      </c>
      <c r="I3919" s="8">
        <v>7437</v>
      </c>
    </row>
    <row r="3920" spans="1:9" x14ac:dyDescent="0.2">
      <c r="A3920" t="s">
        <v>932</v>
      </c>
      <c r="B3920" t="s">
        <v>933</v>
      </c>
      <c r="C3920" t="str">
        <f t="shared" si="190"/>
        <v>26736680000000</v>
      </c>
      <c r="D3920" t="s">
        <v>1910</v>
      </c>
      <c r="E3920" t="str">
        <f>"26736686025910"</f>
        <v>26736686025910</v>
      </c>
      <c r="F3920" s="8">
        <v>1577</v>
      </c>
      <c r="G3920" s="8">
        <v>10384</v>
      </c>
      <c r="H3920" s="8">
        <v>1733</v>
      </c>
      <c r="I3920" s="8">
        <v>7437</v>
      </c>
    </row>
    <row r="3921" spans="1:9" x14ac:dyDescent="0.2">
      <c r="A3921" t="s">
        <v>932</v>
      </c>
      <c r="B3921" t="s">
        <v>934</v>
      </c>
      <c r="C3921" t="str">
        <f>"26736920000000"</f>
        <v>26736920000000</v>
      </c>
      <c r="D3921" t="s">
        <v>5515</v>
      </c>
      <c r="E3921" t="str">
        <f>"26736926025969"</f>
        <v>26736926025969</v>
      </c>
      <c r="F3921" s="8">
        <v>243</v>
      </c>
      <c r="G3921" s="8">
        <v>0</v>
      </c>
      <c r="H3921" s="8">
        <v>1206</v>
      </c>
      <c r="I3921" s="8">
        <v>11876</v>
      </c>
    </row>
    <row r="3922" spans="1:9" x14ac:dyDescent="0.2">
      <c r="A3922" t="s">
        <v>932</v>
      </c>
      <c r="B3922" t="s">
        <v>934</v>
      </c>
      <c r="C3922" t="str">
        <f>"26736920000000"</f>
        <v>26736920000000</v>
      </c>
      <c r="D3922" t="s">
        <v>5516</v>
      </c>
      <c r="E3922" t="str">
        <f>"26736922630010"</f>
        <v>26736922630010</v>
      </c>
      <c r="F3922" s="8">
        <v>0</v>
      </c>
      <c r="G3922" s="8">
        <v>0</v>
      </c>
      <c r="H3922" s="8">
        <v>1206</v>
      </c>
      <c r="I3922" s="8">
        <v>11876</v>
      </c>
    </row>
    <row r="3923" spans="1:9" x14ac:dyDescent="0.2">
      <c r="A3923" t="s">
        <v>932</v>
      </c>
      <c r="B3923" t="s">
        <v>934</v>
      </c>
      <c r="C3923" t="str">
        <f>"26736920000000"</f>
        <v>26736920000000</v>
      </c>
      <c r="D3923" t="s">
        <v>5517</v>
      </c>
      <c r="E3923" t="str">
        <f>"26736926112502"</f>
        <v>26736926112502</v>
      </c>
      <c r="F3923" s="8">
        <v>0</v>
      </c>
      <c r="G3923" s="8">
        <v>0</v>
      </c>
      <c r="H3923" s="8">
        <v>1206</v>
      </c>
      <c r="I3923" s="8">
        <v>11876</v>
      </c>
    </row>
    <row r="3924" spans="1:9" x14ac:dyDescent="0.2">
      <c r="A3924" t="s">
        <v>932</v>
      </c>
      <c r="B3924" t="s">
        <v>934</v>
      </c>
      <c r="C3924" t="str">
        <f>"26736920000000"</f>
        <v>26736920000000</v>
      </c>
      <c r="D3924" t="s">
        <v>5518</v>
      </c>
      <c r="E3924" t="str">
        <f>"26736922630036"</f>
        <v>26736922630036</v>
      </c>
      <c r="F3924" s="8">
        <v>0</v>
      </c>
      <c r="G3924" s="8">
        <v>0</v>
      </c>
      <c r="H3924" s="8">
        <v>1206</v>
      </c>
      <c r="I3924" s="8">
        <v>11876</v>
      </c>
    </row>
    <row r="3925" spans="1:9" x14ac:dyDescent="0.2">
      <c r="A3925" t="s">
        <v>932</v>
      </c>
      <c r="B3925" t="s">
        <v>935</v>
      </c>
      <c r="C3925" t="str">
        <f>"26102640000000"</f>
        <v>26102640000000</v>
      </c>
      <c r="D3925" t="s">
        <v>5519</v>
      </c>
      <c r="E3925" t="str">
        <f>"26102642630028"</f>
        <v>26102642630028</v>
      </c>
      <c r="F3925" s="8">
        <v>1009</v>
      </c>
      <c r="G3925" s="8">
        <v>55522</v>
      </c>
      <c r="H3925" s="8">
        <v>0</v>
      </c>
      <c r="I3925" s="8">
        <v>0</v>
      </c>
    </row>
    <row r="3926" spans="1:9" x14ac:dyDescent="0.2">
      <c r="A3926" t="s">
        <v>932</v>
      </c>
      <c r="B3926" t="s">
        <v>935</v>
      </c>
      <c r="C3926" t="str">
        <f>"26102640000000"</f>
        <v>26102640000000</v>
      </c>
      <c r="D3926" t="s">
        <v>5520</v>
      </c>
      <c r="E3926" t="str">
        <f>"26102640128645"</f>
        <v>26102640128645</v>
      </c>
      <c r="F3926" s="8">
        <v>1528</v>
      </c>
      <c r="G3926" s="8">
        <v>29267</v>
      </c>
      <c r="H3926" s="8">
        <v>0</v>
      </c>
      <c r="I3926" s="8">
        <v>0</v>
      </c>
    </row>
    <row r="3927" spans="1:9" x14ac:dyDescent="0.2">
      <c r="A3927" t="s">
        <v>932</v>
      </c>
      <c r="B3927" t="s">
        <v>935</v>
      </c>
      <c r="C3927" t="str">
        <f>"26102640000000"</f>
        <v>26102640000000</v>
      </c>
      <c r="D3927" t="s">
        <v>5521</v>
      </c>
      <c r="E3927" t="str">
        <f>"26102640124990"</f>
        <v>26102640124990</v>
      </c>
      <c r="F3927" s="8">
        <v>2994</v>
      </c>
      <c r="G3927" s="8">
        <v>16563</v>
      </c>
      <c r="H3927" s="8">
        <v>0</v>
      </c>
      <c r="I3927" s="8">
        <v>0</v>
      </c>
    </row>
    <row r="3928" spans="1:9" x14ac:dyDescent="0.2">
      <c r="A3928" t="s">
        <v>932</v>
      </c>
      <c r="B3928" t="s">
        <v>935</v>
      </c>
      <c r="C3928" t="str">
        <f>"26102640000000"</f>
        <v>26102640000000</v>
      </c>
      <c r="D3928" t="s">
        <v>5522</v>
      </c>
      <c r="E3928" t="str">
        <f>"26102640128637"</f>
        <v>26102640128637</v>
      </c>
      <c r="F3928" s="8" t="s">
        <v>30</v>
      </c>
      <c r="G3928" s="8" t="s">
        <v>30</v>
      </c>
      <c r="H3928" s="8" t="s">
        <v>30</v>
      </c>
      <c r="I3928" s="8" t="s">
        <v>30</v>
      </c>
    </row>
    <row r="3929" spans="1:9" x14ac:dyDescent="0.2">
      <c r="A3929" t="s">
        <v>936</v>
      </c>
      <c r="B3929" t="s">
        <v>937</v>
      </c>
      <c r="C3929" t="str">
        <f t="shared" ref="C3929:C3940" si="191">"27659610000000"</f>
        <v>27659610000000</v>
      </c>
      <c r="D3929" t="s">
        <v>5523</v>
      </c>
      <c r="E3929" t="str">
        <f>"27659616106959"</f>
        <v>27659616106959</v>
      </c>
      <c r="F3929" s="8">
        <v>327</v>
      </c>
      <c r="G3929" s="8">
        <v>6263</v>
      </c>
      <c r="H3929" s="8">
        <v>1890</v>
      </c>
      <c r="I3929" s="8">
        <v>5415</v>
      </c>
    </row>
    <row r="3930" spans="1:9" x14ac:dyDescent="0.2">
      <c r="A3930" t="s">
        <v>936</v>
      </c>
      <c r="B3930" t="s">
        <v>937</v>
      </c>
      <c r="C3930" t="str">
        <f t="shared" si="191"/>
        <v>27659610000000</v>
      </c>
      <c r="D3930" t="s">
        <v>5524</v>
      </c>
      <c r="E3930" t="str">
        <f>"27659616120273"</f>
        <v>27659616120273</v>
      </c>
      <c r="F3930" s="8">
        <v>361</v>
      </c>
      <c r="G3930" s="8">
        <v>6021</v>
      </c>
      <c r="H3930" s="8">
        <v>1890</v>
      </c>
      <c r="I3930" s="8">
        <v>5415</v>
      </c>
    </row>
    <row r="3931" spans="1:9" x14ac:dyDescent="0.2">
      <c r="A3931" t="s">
        <v>936</v>
      </c>
      <c r="B3931" t="s">
        <v>937</v>
      </c>
      <c r="C3931" t="str">
        <f t="shared" si="191"/>
        <v>27659610000000</v>
      </c>
      <c r="D3931" t="s">
        <v>5525</v>
      </c>
      <c r="E3931" t="str">
        <f>"27659616025977"</f>
        <v>27659616025977</v>
      </c>
      <c r="F3931" s="8">
        <v>279</v>
      </c>
      <c r="G3931" s="8">
        <v>5996</v>
      </c>
      <c r="H3931" s="8">
        <v>1890</v>
      </c>
      <c r="I3931" s="8">
        <v>5415</v>
      </c>
    </row>
    <row r="3932" spans="1:9" x14ac:dyDescent="0.2">
      <c r="A3932" t="s">
        <v>936</v>
      </c>
      <c r="B3932" t="s">
        <v>937</v>
      </c>
      <c r="C3932" t="str">
        <f t="shared" si="191"/>
        <v>27659610000000</v>
      </c>
      <c r="D3932" t="s">
        <v>5526</v>
      </c>
      <c r="E3932" t="str">
        <f>"27659616101802"</f>
        <v>27659616101802</v>
      </c>
      <c r="F3932" s="8">
        <v>273</v>
      </c>
      <c r="G3932" s="8">
        <v>5935</v>
      </c>
      <c r="H3932" s="8">
        <v>1890</v>
      </c>
      <c r="I3932" s="8">
        <v>5415</v>
      </c>
    </row>
    <row r="3933" spans="1:9" x14ac:dyDescent="0.2">
      <c r="A3933" t="s">
        <v>936</v>
      </c>
      <c r="B3933" t="s">
        <v>937</v>
      </c>
      <c r="C3933" t="str">
        <f t="shared" si="191"/>
        <v>27659610000000</v>
      </c>
      <c r="D3933" t="s">
        <v>5527</v>
      </c>
      <c r="E3933" t="str">
        <f>"27659616026009"</f>
        <v>27659616026009</v>
      </c>
      <c r="F3933" s="8">
        <v>350</v>
      </c>
      <c r="G3933" s="8">
        <v>5835</v>
      </c>
      <c r="H3933" s="8">
        <v>1890</v>
      </c>
      <c r="I3933" s="8">
        <v>5415</v>
      </c>
    </row>
    <row r="3934" spans="1:9" x14ac:dyDescent="0.2">
      <c r="A3934" t="s">
        <v>936</v>
      </c>
      <c r="B3934" t="s">
        <v>937</v>
      </c>
      <c r="C3934" t="str">
        <f t="shared" si="191"/>
        <v>27659610000000</v>
      </c>
      <c r="D3934" t="s">
        <v>2698</v>
      </c>
      <c r="E3934" t="str">
        <f>"27659616113542"</f>
        <v>27659616113542</v>
      </c>
      <c r="F3934" s="8">
        <v>323</v>
      </c>
      <c r="G3934" s="8">
        <v>5728</v>
      </c>
      <c r="H3934" s="8">
        <v>1890</v>
      </c>
      <c r="I3934" s="8">
        <v>5415</v>
      </c>
    </row>
    <row r="3935" spans="1:9" x14ac:dyDescent="0.2">
      <c r="A3935" t="s">
        <v>936</v>
      </c>
      <c r="B3935" t="s">
        <v>937</v>
      </c>
      <c r="C3935" t="str">
        <f t="shared" si="191"/>
        <v>27659610000000</v>
      </c>
      <c r="D3935" t="s">
        <v>5528</v>
      </c>
      <c r="E3935" t="str">
        <f>"27659616109466"</f>
        <v>27659616109466</v>
      </c>
      <c r="F3935" s="8">
        <v>205</v>
      </c>
      <c r="G3935" s="8">
        <v>5586</v>
      </c>
      <c r="H3935" s="8">
        <v>1890</v>
      </c>
      <c r="I3935" s="8">
        <v>5415</v>
      </c>
    </row>
    <row r="3936" spans="1:9" x14ac:dyDescent="0.2">
      <c r="A3936" t="s">
        <v>936</v>
      </c>
      <c r="B3936" t="s">
        <v>937</v>
      </c>
      <c r="C3936" t="str">
        <f t="shared" si="191"/>
        <v>27659610000000</v>
      </c>
      <c r="D3936" t="s">
        <v>2637</v>
      </c>
      <c r="E3936" t="str">
        <f>"27659616115232"</f>
        <v>27659616115232</v>
      </c>
      <c r="F3936" s="8">
        <v>253</v>
      </c>
      <c r="G3936" s="8">
        <v>5530</v>
      </c>
      <c r="H3936" s="8">
        <v>1890</v>
      </c>
      <c r="I3936" s="8">
        <v>5415</v>
      </c>
    </row>
    <row r="3937" spans="1:9" x14ac:dyDescent="0.2">
      <c r="A3937" t="s">
        <v>936</v>
      </c>
      <c r="B3937" t="s">
        <v>937</v>
      </c>
      <c r="C3937" t="str">
        <f t="shared" si="191"/>
        <v>27659610000000</v>
      </c>
      <c r="D3937" t="s">
        <v>5529</v>
      </c>
      <c r="E3937" t="str">
        <f>"27659616117691"</f>
        <v>27659616117691</v>
      </c>
      <c r="F3937" s="8">
        <v>265</v>
      </c>
      <c r="G3937" s="8">
        <v>5404</v>
      </c>
      <c r="H3937" s="8">
        <v>1890</v>
      </c>
      <c r="I3937" s="8">
        <v>5415</v>
      </c>
    </row>
    <row r="3938" spans="1:9" x14ac:dyDescent="0.2">
      <c r="A3938" t="s">
        <v>936</v>
      </c>
      <c r="B3938" t="s">
        <v>937</v>
      </c>
      <c r="C3938" t="str">
        <f t="shared" si="191"/>
        <v>27659610000000</v>
      </c>
      <c r="D3938" t="s">
        <v>5530</v>
      </c>
      <c r="E3938" t="str">
        <f>"27659616025985"</f>
        <v>27659616025985</v>
      </c>
      <c r="F3938" s="8">
        <v>243</v>
      </c>
      <c r="G3938" s="8">
        <v>5319</v>
      </c>
      <c r="H3938" s="8">
        <v>1890</v>
      </c>
      <c r="I3938" s="8">
        <v>5415</v>
      </c>
    </row>
    <row r="3939" spans="1:9" x14ac:dyDescent="0.2">
      <c r="A3939" t="s">
        <v>936</v>
      </c>
      <c r="B3939" t="s">
        <v>937</v>
      </c>
      <c r="C3939" t="str">
        <f t="shared" si="191"/>
        <v>27659610000000</v>
      </c>
      <c r="D3939" t="s">
        <v>5531</v>
      </c>
      <c r="E3939" t="str">
        <f>"27659610127456"</f>
        <v>27659610127456</v>
      </c>
      <c r="F3939" s="8">
        <v>208</v>
      </c>
      <c r="G3939" s="8">
        <v>5265</v>
      </c>
      <c r="H3939" s="8">
        <v>1890</v>
      </c>
      <c r="I3939" s="8">
        <v>5415</v>
      </c>
    </row>
    <row r="3940" spans="1:9" x14ac:dyDescent="0.2">
      <c r="A3940" t="s">
        <v>936</v>
      </c>
      <c r="B3940" t="s">
        <v>937</v>
      </c>
      <c r="C3940" t="str">
        <f t="shared" si="191"/>
        <v>27659610000000</v>
      </c>
      <c r="D3940" t="s">
        <v>2500</v>
      </c>
      <c r="E3940" t="str">
        <f>"27659616025993"</f>
        <v>27659616025993</v>
      </c>
      <c r="F3940" s="8">
        <v>281</v>
      </c>
      <c r="G3940" s="8">
        <v>4970</v>
      </c>
      <c r="H3940" s="8">
        <v>1890</v>
      </c>
      <c r="I3940" s="8">
        <v>5415</v>
      </c>
    </row>
    <row r="3941" spans="1:9" x14ac:dyDescent="0.2">
      <c r="A3941" t="s">
        <v>936</v>
      </c>
      <c r="B3941" t="s">
        <v>940</v>
      </c>
      <c r="C3941" t="str">
        <f>"27751500000000"</f>
        <v>27751500000000</v>
      </c>
      <c r="D3941" t="s">
        <v>5532</v>
      </c>
      <c r="E3941" t="str">
        <f>"27751502730133"</f>
        <v>27751502730133</v>
      </c>
      <c r="F3941" s="8">
        <v>5201</v>
      </c>
      <c r="G3941" s="8">
        <v>94895</v>
      </c>
      <c r="H3941" s="8">
        <v>0</v>
      </c>
      <c r="I3941" s="8">
        <v>0</v>
      </c>
    </row>
    <row r="3942" spans="1:9" x14ac:dyDescent="0.2">
      <c r="A3942" t="s">
        <v>936</v>
      </c>
      <c r="B3942" t="s">
        <v>941</v>
      </c>
      <c r="C3942" t="str">
        <f>"27659790000000"</f>
        <v>27659790000000</v>
      </c>
      <c r="D3942" t="s">
        <v>5533</v>
      </c>
      <c r="E3942" t="str">
        <f>"27659796026017"</f>
        <v>27659796026017</v>
      </c>
      <c r="F3942" s="8">
        <v>939</v>
      </c>
      <c r="G3942" s="8">
        <v>14402</v>
      </c>
      <c r="H3942" s="8">
        <v>0</v>
      </c>
      <c r="I3942" s="8">
        <v>0</v>
      </c>
    </row>
    <row r="3943" spans="1:9" x14ac:dyDescent="0.2">
      <c r="A3943" t="s">
        <v>936</v>
      </c>
      <c r="B3943" t="s">
        <v>942</v>
      </c>
      <c r="C3943" t="str">
        <f t="shared" ref="C3943:C3949" si="192">"27659870000000"</f>
        <v>27659870000000</v>
      </c>
      <c r="D3943" t="s">
        <v>5534</v>
      </c>
      <c r="E3943" t="str">
        <f>"27659872730018"</f>
        <v>27659872730018</v>
      </c>
      <c r="F3943" s="8">
        <v>0</v>
      </c>
      <c r="G3943" s="8">
        <v>39902</v>
      </c>
      <c r="H3943" s="8">
        <v>767</v>
      </c>
      <c r="I3943" s="8">
        <v>8842</v>
      </c>
    </row>
    <row r="3944" spans="1:9" x14ac:dyDescent="0.2">
      <c r="A3944" t="s">
        <v>936</v>
      </c>
      <c r="B3944" t="s">
        <v>942</v>
      </c>
      <c r="C3944" t="str">
        <f t="shared" si="192"/>
        <v>27659870000000</v>
      </c>
      <c r="D3944" t="s">
        <v>5535</v>
      </c>
      <c r="E3944" t="str">
        <f>"27659876026025"</f>
        <v>27659876026025</v>
      </c>
      <c r="F3944" s="8">
        <v>6505</v>
      </c>
      <c r="G3944" s="8">
        <v>27955</v>
      </c>
      <c r="H3944" s="8">
        <v>767</v>
      </c>
      <c r="I3944" s="8">
        <v>8842</v>
      </c>
    </row>
    <row r="3945" spans="1:9" x14ac:dyDescent="0.2">
      <c r="A3945" t="s">
        <v>936</v>
      </c>
      <c r="B3945" t="s">
        <v>942</v>
      </c>
      <c r="C3945" t="str">
        <f t="shared" si="192"/>
        <v>27659870000000</v>
      </c>
      <c r="D3945" t="s">
        <v>5536</v>
      </c>
      <c r="E3945" t="str">
        <f>"27659876026074"</f>
        <v>27659876026074</v>
      </c>
      <c r="F3945" s="8">
        <v>221</v>
      </c>
      <c r="G3945" s="8">
        <v>17380</v>
      </c>
      <c r="H3945" s="8">
        <v>767</v>
      </c>
      <c r="I3945" s="8">
        <v>8842</v>
      </c>
    </row>
    <row r="3946" spans="1:9" x14ac:dyDescent="0.2">
      <c r="A3946" t="s">
        <v>936</v>
      </c>
      <c r="B3946" t="s">
        <v>942</v>
      </c>
      <c r="C3946" t="str">
        <f t="shared" si="192"/>
        <v>27659870000000</v>
      </c>
      <c r="D3946" t="s">
        <v>5537</v>
      </c>
      <c r="E3946" t="str">
        <f>"27659872730414"</f>
        <v>27659872730414</v>
      </c>
      <c r="F3946" s="8">
        <v>1721</v>
      </c>
      <c r="G3946" s="8">
        <v>15054</v>
      </c>
      <c r="H3946" s="8">
        <v>767</v>
      </c>
      <c r="I3946" s="8">
        <v>8842</v>
      </c>
    </row>
    <row r="3947" spans="1:9" x14ac:dyDescent="0.2">
      <c r="A3947" t="s">
        <v>936</v>
      </c>
      <c r="B3947" t="s">
        <v>942</v>
      </c>
      <c r="C3947" t="str">
        <f t="shared" si="192"/>
        <v>27659870000000</v>
      </c>
      <c r="D3947" t="s">
        <v>5538</v>
      </c>
      <c r="E3947" t="str">
        <f>"27659876026041"</f>
        <v>27659876026041</v>
      </c>
      <c r="F3947" s="8">
        <v>135</v>
      </c>
      <c r="G3947" s="8">
        <v>16019</v>
      </c>
      <c r="H3947" s="8">
        <v>767</v>
      </c>
      <c r="I3947" s="8">
        <v>8842</v>
      </c>
    </row>
    <row r="3948" spans="1:9" x14ac:dyDescent="0.2">
      <c r="A3948" t="s">
        <v>936</v>
      </c>
      <c r="B3948" t="s">
        <v>942</v>
      </c>
      <c r="C3948" t="str">
        <f t="shared" si="192"/>
        <v>27659870000000</v>
      </c>
      <c r="D3948" t="s">
        <v>5539</v>
      </c>
      <c r="E3948" t="str">
        <f>"27659876026033"</f>
        <v>27659876026033</v>
      </c>
      <c r="F3948" s="8">
        <v>491</v>
      </c>
      <c r="G3948" s="8">
        <v>15089</v>
      </c>
      <c r="H3948" s="8">
        <v>767</v>
      </c>
      <c r="I3948" s="8">
        <v>8842</v>
      </c>
    </row>
    <row r="3949" spans="1:9" x14ac:dyDescent="0.2">
      <c r="A3949" t="s">
        <v>936</v>
      </c>
      <c r="B3949" t="s">
        <v>942</v>
      </c>
      <c r="C3949" t="str">
        <f t="shared" si="192"/>
        <v>27659870000000</v>
      </c>
      <c r="D3949" t="s">
        <v>5540</v>
      </c>
      <c r="E3949" t="str">
        <f>"27659870118687"</f>
        <v>27659870118687</v>
      </c>
      <c r="F3949" s="8">
        <v>37</v>
      </c>
      <c r="G3949" s="8">
        <v>9854</v>
      </c>
      <c r="H3949" s="8">
        <v>767</v>
      </c>
      <c r="I3949" s="8">
        <v>8842</v>
      </c>
    </row>
    <row r="3950" spans="1:9" x14ac:dyDescent="0.2">
      <c r="A3950" t="s">
        <v>936</v>
      </c>
      <c r="B3950" t="s">
        <v>943</v>
      </c>
      <c r="C3950" t="str">
        <f>"27659950000000"</f>
        <v>27659950000000</v>
      </c>
      <c r="D3950" t="s">
        <v>5541</v>
      </c>
      <c r="E3950" t="str">
        <f>"27659956026082"</f>
        <v>27659956026082</v>
      </c>
      <c r="F3950" s="8">
        <v>2374</v>
      </c>
      <c r="G3950" s="8">
        <v>13191</v>
      </c>
      <c r="H3950" s="8">
        <v>0</v>
      </c>
      <c r="I3950" s="8">
        <v>0</v>
      </c>
    </row>
    <row r="3951" spans="1:9" x14ac:dyDescent="0.2">
      <c r="A3951" t="s">
        <v>936</v>
      </c>
      <c r="B3951" t="s">
        <v>944</v>
      </c>
      <c r="C3951" t="str">
        <f>"27754730000000"</f>
        <v>27754730000000</v>
      </c>
      <c r="D3951" t="s">
        <v>5542</v>
      </c>
      <c r="E3951" t="str">
        <f>"27754736066955"</f>
        <v>27754736066955</v>
      </c>
      <c r="F3951" s="8">
        <v>422</v>
      </c>
      <c r="G3951" s="8">
        <v>7399</v>
      </c>
      <c r="H3951" s="8">
        <v>1376</v>
      </c>
      <c r="I3951" s="8">
        <v>3399</v>
      </c>
    </row>
    <row r="3952" spans="1:9" x14ac:dyDescent="0.2">
      <c r="A3952" t="s">
        <v>936</v>
      </c>
      <c r="B3952" t="s">
        <v>944</v>
      </c>
      <c r="C3952" t="str">
        <f>"27754730000000"</f>
        <v>27754730000000</v>
      </c>
      <c r="D3952" t="s">
        <v>5543</v>
      </c>
      <c r="E3952" t="str">
        <f>"27754736026090"</f>
        <v>27754736026090</v>
      </c>
      <c r="F3952" s="8">
        <v>232</v>
      </c>
      <c r="G3952" s="8">
        <v>7391</v>
      </c>
      <c r="H3952" s="8">
        <v>1376</v>
      </c>
      <c r="I3952" s="8">
        <v>3399</v>
      </c>
    </row>
    <row r="3953" spans="1:9" x14ac:dyDescent="0.2">
      <c r="A3953" t="s">
        <v>936</v>
      </c>
      <c r="B3953" t="s">
        <v>944</v>
      </c>
      <c r="C3953" t="str">
        <f>"27754730000000"</f>
        <v>27754730000000</v>
      </c>
      <c r="D3953" t="s">
        <v>5544</v>
      </c>
      <c r="E3953" t="str">
        <f>"27754732730885"</f>
        <v>27754732730885</v>
      </c>
      <c r="F3953" s="8">
        <v>461</v>
      </c>
      <c r="G3953" s="8">
        <v>5864</v>
      </c>
      <c r="H3953" s="8">
        <v>1376</v>
      </c>
      <c r="I3953" s="8">
        <v>3399</v>
      </c>
    </row>
    <row r="3954" spans="1:9" x14ac:dyDescent="0.2">
      <c r="A3954" t="s">
        <v>936</v>
      </c>
      <c r="B3954" t="s">
        <v>945</v>
      </c>
      <c r="C3954" t="str">
        <f>"27660270000000"</f>
        <v>27660270000000</v>
      </c>
      <c r="D3954" t="s">
        <v>945</v>
      </c>
      <c r="E3954" t="str">
        <f>"27660276026108"</f>
        <v>27660276026108</v>
      </c>
      <c r="F3954" s="8">
        <v>753</v>
      </c>
      <c r="G3954" s="8">
        <v>10621</v>
      </c>
      <c r="H3954" s="8">
        <v>0</v>
      </c>
      <c r="I3954" s="8">
        <v>0</v>
      </c>
    </row>
    <row r="3955" spans="1:9" x14ac:dyDescent="0.2">
      <c r="A3955" t="s">
        <v>936</v>
      </c>
      <c r="B3955" t="s">
        <v>946</v>
      </c>
      <c r="C3955" t="str">
        <f>"27660350000000"</f>
        <v>27660350000000</v>
      </c>
      <c r="D3955" t="s">
        <v>5545</v>
      </c>
      <c r="E3955" t="str">
        <f>"27660356026116"</f>
        <v>27660356026116</v>
      </c>
      <c r="F3955" s="8">
        <v>228</v>
      </c>
      <c r="G3955" s="8">
        <v>6110</v>
      </c>
      <c r="H3955" s="8">
        <v>2347</v>
      </c>
      <c r="I3955" s="8">
        <v>5577</v>
      </c>
    </row>
    <row r="3956" spans="1:9" x14ac:dyDescent="0.2">
      <c r="A3956" t="s">
        <v>936</v>
      </c>
      <c r="B3956" t="s">
        <v>946</v>
      </c>
      <c r="C3956" t="str">
        <f>"27660350000000"</f>
        <v>27660350000000</v>
      </c>
      <c r="D3956" t="s">
        <v>5546</v>
      </c>
      <c r="E3956" t="str">
        <f>"27660356111645"</f>
        <v>27660356111645</v>
      </c>
      <c r="F3956" s="8">
        <v>180</v>
      </c>
      <c r="G3956" s="8">
        <v>5753</v>
      </c>
      <c r="H3956" s="8">
        <v>2347</v>
      </c>
      <c r="I3956" s="8">
        <v>5577</v>
      </c>
    </row>
    <row r="3957" spans="1:9" x14ac:dyDescent="0.2">
      <c r="A3957" t="s">
        <v>936</v>
      </c>
      <c r="B3957" t="s">
        <v>946</v>
      </c>
      <c r="C3957" t="str">
        <f>"27660350000000"</f>
        <v>27660350000000</v>
      </c>
      <c r="D3957" t="s">
        <v>3158</v>
      </c>
      <c r="E3957" t="str">
        <f>"27660356111637"</f>
        <v>27660356111637</v>
      </c>
      <c r="F3957" s="8">
        <v>273</v>
      </c>
      <c r="G3957" s="8">
        <v>5505</v>
      </c>
      <c r="H3957" s="8">
        <v>2347</v>
      </c>
      <c r="I3957" s="8">
        <v>5577</v>
      </c>
    </row>
    <row r="3958" spans="1:9" x14ac:dyDescent="0.2">
      <c r="A3958" t="s">
        <v>936</v>
      </c>
      <c r="B3958" t="s">
        <v>946</v>
      </c>
      <c r="C3958" t="str">
        <f>"27660350000000"</f>
        <v>27660350000000</v>
      </c>
      <c r="D3958" t="s">
        <v>5547</v>
      </c>
      <c r="E3958" t="str">
        <f>"27660350136796"</f>
        <v>27660350136796</v>
      </c>
      <c r="F3958" s="8">
        <v>261</v>
      </c>
      <c r="G3958" s="8">
        <v>5406</v>
      </c>
      <c r="H3958" s="8">
        <v>2348</v>
      </c>
      <c r="I3958" s="8">
        <v>5577</v>
      </c>
    </row>
    <row r="3959" spans="1:9" x14ac:dyDescent="0.2">
      <c r="A3959" t="s">
        <v>936</v>
      </c>
      <c r="B3959" t="s">
        <v>946</v>
      </c>
      <c r="C3959" t="str">
        <f>"27660350000000"</f>
        <v>27660350000000</v>
      </c>
      <c r="D3959" t="s">
        <v>5548</v>
      </c>
      <c r="E3959" t="str">
        <f>"27660356089387"</f>
        <v>27660356089387</v>
      </c>
      <c r="F3959" s="8">
        <v>188</v>
      </c>
      <c r="G3959" s="8">
        <v>5403</v>
      </c>
      <c r="H3959" s="8">
        <v>2347</v>
      </c>
      <c r="I3959" s="8">
        <v>5577</v>
      </c>
    </row>
    <row r="3960" spans="1:9" x14ac:dyDescent="0.2">
      <c r="A3960" t="s">
        <v>936</v>
      </c>
      <c r="B3960" t="s">
        <v>948</v>
      </c>
      <c r="C3960" t="str">
        <f>"27660500000000"</f>
        <v>27660500000000</v>
      </c>
      <c r="D3960" t="s">
        <v>5549</v>
      </c>
      <c r="E3960" t="str">
        <f>"27660506026124"</f>
        <v>27660506026124</v>
      </c>
      <c r="F3960" s="8">
        <v>1569</v>
      </c>
      <c r="G3960" s="8">
        <v>5322</v>
      </c>
      <c r="H3960" s="8">
        <v>1595</v>
      </c>
      <c r="I3960" s="8">
        <v>6785</v>
      </c>
    </row>
    <row r="3961" spans="1:9" x14ac:dyDescent="0.2">
      <c r="A3961" t="s">
        <v>936</v>
      </c>
      <c r="B3961" t="s">
        <v>948</v>
      </c>
      <c r="C3961" t="str">
        <f>"27660500000000"</f>
        <v>27660500000000</v>
      </c>
      <c r="D3961" t="s">
        <v>5550</v>
      </c>
      <c r="E3961" t="str">
        <f>"27660500107292"</f>
        <v>27660500107292</v>
      </c>
      <c r="F3961" s="8">
        <v>589</v>
      </c>
      <c r="G3961" s="8">
        <v>4609</v>
      </c>
      <c r="H3961" s="8">
        <v>1580</v>
      </c>
      <c r="I3961" s="8">
        <v>6785</v>
      </c>
    </row>
    <row r="3962" spans="1:9" x14ac:dyDescent="0.2">
      <c r="A3962" t="s">
        <v>936</v>
      </c>
      <c r="B3962" t="s">
        <v>948</v>
      </c>
      <c r="C3962" t="str">
        <f>"27660500000000"</f>
        <v>27660500000000</v>
      </c>
      <c r="D3962" t="s">
        <v>2361</v>
      </c>
      <c r="E3962" t="str">
        <f>"27660506106777"</f>
        <v>27660506106777</v>
      </c>
      <c r="F3962" s="8">
        <v>717</v>
      </c>
      <c r="G3962" s="8">
        <v>4214</v>
      </c>
      <c r="H3962" s="8">
        <v>1580</v>
      </c>
      <c r="I3962" s="8">
        <v>6785</v>
      </c>
    </row>
    <row r="3963" spans="1:9" x14ac:dyDescent="0.2">
      <c r="A3963" t="s">
        <v>936</v>
      </c>
      <c r="B3963" t="s">
        <v>948</v>
      </c>
      <c r="C3963" t="str">
        <f>"27660500000000"</f>
        <v>27660500000000</v>
      </c>
      <c r="D3963" t="s">
        <v>5551</v>
      </c>
      <c r="E3963" t="str">
        <f>"27660506026132"</f>
        <v>27660506026132</v>
      </c>
      <c r="F3963" s="8">
        <v>514</v>
      </c>
      <c r="G3963" s="8">
        <v>4353</v>
      </c>
      <c r="H3963" s="8">
        <v>1580</v>
      </c>
      <c r="I3963" s="8">
        <v>6785</v>
      </c>
    </row>
    <row r="3964" spans="1:9" x14ac:dyDescent="0.2">
      <c r="A3964" t="s">
        <v>936</v>
      </c>
      <c r="B3964" t="s">
        <v>948</v>
      </c>
      <c r="C3964" t="str">
        <f>"27660500000000"</f>
        <v>27660500000000</v>
      </c>
      <c r="D3964" t="s">
        <v>5552</v>
      </c>
      <c r="E3964" t="str">
        <f>"27660500131326"</f>
        <v>27660500131326</v>
      </c>
      <c r="F3964" s="8" t="s">
        <v>30</v>
      </c>
      <c r="G3964" s="8" t="s">
        <v>30</v>
      </c>
      <c r="H3964" s="8" t="s">
        <v>30</v>
      </c>
      <c r="I3964" s="8" t="s">
        <v>30</v>
      </c>
    </row>
    <row r="3965" spans="1:9" x14ac:dyDescent="0.2">
      <c r="A3965" t="s">
        <v>936</v>
      </c>
      <c r="B3965" t="s">
        <v>949</v>
      </c>
      <c r="C3965" t="str">
        <f>"27660760000000"</f>
        <v>27660760000000</v>
      </c>
      <c r="D3965" t="s">
        <v>949</v>
      </c>
      <c r="E3965" t="str">
        <f>"27660766026140"</f>
        <v>27660766026140</v>
      </c>
      <c r="F3965" s="8">
        <v>637</v>
      </c>
      <c r="G3965" s="8">
        <v>11289</v>
      </c>
      <c r="H3965" s="8">
        <v>0</v>
      </c>
      <c r="I3965" s="8">
        <v>0</v>
      </c>
    </row>
    <row r="3966" spans="1:9" x14ac:dyDescent="0.2">
      <c r="A3966" t="s">
        <v>936</v>
      </c>
      <c r="B3966" t="s">
        <v>951</v>
      </c>
      <c r="C3966" t="str">
        <f>"27660840000000"</f>
        <v>27660840000000</v>
      </c>
      <c r="D3966" t="s">
        <v>2511</v>
      </c>
      <c r="E3966" t="str">
        <f>"27660846026157"</f>
        <v>27660846026157</v>
      </c>
      <c r="F3966" s="8">
        <v>400</v>
      </c>
      <c r="G3966" s="8">
        <v>11926</v>
      </c>
      <c r="H3966" s="8">
        <v>0</v>
      </c>
      <c r="I3966" s="8">
        <v>0</v>
      </c>
    </row>
    <row r="3967" spans="1:9" x14ac:dyDescent="0.2">
      <c r="A3967" t="s">
        <v>936</v>
      </c>
      <c r="B3967" t="s">
        <v>953</v>
      </c>
      <c r="C3967" t="str">
        <f>"27102720000000"</f>
        <v>27102720000000</v>
      </c>
      <c r="D3967" t="s">
        <v>5553</v>
      </c>
      <c r="E3967" t="str">
        <f>"27102722730117"</f>
        <v>27102722730117</v>
      </c>
      <c r="F3967" s="8">
        <v>11000</v>
      </c>
      <c r="G3967" s="8">
        <v>53916</v>
      </c>
      <c r="H3967" s="8">
        <v>0</v>
      </c>
      <c r="I3967" s="8">
        <v>0</v>
      </c>
    </row>
    <row r="3968" spans="1:9" x14ac:dyDescent="0.2">
      <c r="A3968" t="s">
        <v>936</v>
      </c>
      <c r="B3968" t="s">
        <v>953</v>
      </c>
      <c r="C3968" t="str">
        <f>"27102720000000"</f>
        <v>27102720000000</v>
      </c>
      <c r="D3968" t="s">
        <v>5554</v>
      </c>
      <c r="E3968" t="str">
        <f>"27102726069512"</f>
        <v>27102726069512</v>
      </c>
      <c r="F3968" s="8">
        <v>2933</v>
      </c>
      <c r="G3968" s="8">
        <v>36208</v>
      </c>
      <c r="H3968" s="8">
        <v>0</v>
      </c>
      <c r="I3968" s="8">
        <v>0</v>
      </c>
    </row>
    <row r="3969" spans="1:9" x14ac:dyDescent="0.2">
      <c r="A3969" t="s">
        <v>936</v>
      </c>
      <c r="B3969" t="s">
        <v>953</v>
      </c>
      <c r="C3969" t="str">
        <f>"27102720000000"</f>
        <v>27102720000000</v>
      </c>
      <c r="D3969" t="s">
        <v>5555</v>
      </c>
      <c r="E3969" t="str">
        <f>"27102722730265"</f>
        <v>27102722730265</v>
      </c>
      <c r="F3969" s="8">
        <v>12244</v>
      </c>
      <c r="G3969" s="8">
        <v>23142</v>
      </c>
      <c r="H3969" s="8">
        <v>0</v>
      </c>
      <c r="I3969" s="8">
        <v>0</v>
      </c>
    </row>
    <row r="3970" spans="1:9" x14ac:dyDescent="0.2">
      <c r="A3970" t="s">
        <v>936</v>
      </c>
      <c r="B3970" t="s">
        <v>953</v>
      </c>
      <c r="C3970" t="str">
        <f>"27102720000000"</f>
        <v>27102720000000</v>
      </c>
      <c r="D3970" t="s">
        <v>5556</v>
      </c>
      <c r="E3970" t="str">
        <f>"27102722730232"</f>
        <v>27102722730232</v>
      </c>
      <c r="F3970" s="8">
        <v>907</v>
      </c>
      <c r="G3970" s="8">
        <v>10472</v>
      </c>
      <c r="H3970" s="8">
        <v>0</v>
      </c>
      <c r="I3970" s="8">
        <v>0</v>
      </c>
    </row>
    <row r="3971" spans="1:9" x14ac:dyDescent="0.2">
      <c r="A3971" t="s">
        <v>936</v>
      </c>
      <c r="B3971" t="s">
        <v>954</v>
      </c>
      <c r="C3971" t="str">
        <f t="shared" ref="C3971:C3991" si="193">"27660920000000"</f>
        <v>27660920000000</v>
      </c>
      <c r="D3971" t="s">
        <v>5557</v>
      </c>
      <c r="E3971" t="str">
        <f>"27660920112896"</f>
        <v>27660920112896</v>
      </c>
      <c r="F3971" s="8">
        <v>917</v>
      </c>
      <c r="G3971" s="8">
        <v>52651</v>
      </c>
      <c r="H3971" s="8">
        <v>2622</v>
      </c>
      <c r="I3971" s="8">
        <v>9754</v>
      </c>
    </row>
    <row r="3972" spans="1:9" x14ac:dyDescent="0.2">
      <c r="A3972" t="s">
        <v>936</v>
      </c>
      <c r="B3972" t="s">
        <v>954</v>
      </c>
      <c r="C3972" t="str">
        <f t="shared" si="193"/>
        <v>27660920000000</v>
      </c>
      <c r="D3972" t="s">
        <v>5558</v>
      </c>
      <c r="E3972" t="str">
        <f>"27660920115642"</f>
        <v>27660920115642</v>
      </c>
      <c r="F3972" s="8">
        <v>917</v>
      </c>
      <c r="G3972" s="8">
        <v>52651</v>
      </c>
      <c r="H3972" s="8">
        <v>1487</v>
      </c>
      <c r="I3972" s="8">
        <v>4845</v>
      </c>
    </row>
    <row r="3973" spans="1:9" x14ac:dyDescent="0.2">
      <c r="A3973" t="s">
        <v>936</v>
      </c>
      <c r="B3973" t="s">
        <v>954</v>
      </c>
      <c r="C3973" t="str">
        <f t="shared" si="193"/>
        <v>27660920000000</v>
      </c>
      <c r="D3973" t="s">
        <v>2621</v>
      </c>
      <c r="E3973" t="str">
        <f>"27660926026199"</f>
        <v>27660926026199</v>
      </c>
      <c r="F3973" s="8">
        <v>807</v>
      </c>
      <c r="G3973" s="8">
        <v>7803</v>
      </c>
      <c r="H3973" s="8">
        <v>1704</v>
      </c>
      <c r="I3973" s="8">
        <v>5415</v>
      </c>
    </row>
    <row r="3974" spans="1:9" x14ac:dyDescent="0.2">
      <c r="A3974" t="s">
        <v>936</v>
      </c>
      <c r="B3974" t="s">
        <v>954</v>
      </c>
      <c r="C3974" t="str">
        <f t="shared" si="193"/>
        <v>27660920000000</v>
      </c>
      <c r="D3974" t="s">
        <v>2699</v>
      </c>
      <c r="E3974" t="str">
        <f>"27660926026223"</f>
        <v>27660926026223</v>
      </c>
      <c r="F3974" s="8">
        <v>1868</v>
      </c>
      <c r="G3974" s="8">
        <v>6906</v>
      </c>
      <c r="H3974" s="8">
        <v>1637</v>
      </c>
      <c r="I3974" s="8">
        <v>5283</v>
      </c>
    </row>
    <row r="3975" spans="1:9" x14ac:dyDescent="0.2">
      <c r="A3975" t="s">
        <v>936</v>
      </c>
      <c r="B3975" t="s">
        <v>954</v>
      </c>
      <c r="C3975" t="str">
        <f t="shared" si="193"/>
        <v>27660920000000</v>
      </c>
      <c r="D3975" t="s">
        <v>5559</v>
      </c>
      <c r="E3975" t="str">
        <f>"27660926026207"</f>
        <v>27660926026207</v>
      </c>
      <c r="F3975" s="8">
        <v>688</v>
      </c>
      <c r="G3975" s="8">
        <v>7062</v>
      </c>
      <c r="H3975" s="8">
        <v>1860</v>
      </c>
      <c r="I3975" s="8">
        <v>5911</v>
      </c>
    </row>
    <row r="3976" spans="1:9" x14ac:dyDescent="0.2">
      <c r="A3976" t="s">
        <v>936</v>
      </c>
      <c r="B3976" t="s">
        <v>954</v>
      </c>
      <c r="C3976" t="str">
        <f t="shared" si="193"/>
        <v>27660920000000</v>
      </c>
      <c r="D3976" t="s">
        <v>5560</v>
      </c>
      <c r="E3976" t="str">
        <f>"27660926026280"</f>
        <v>27660926026280</v>
      </c>
      <c r="F3976" s="8">
        <v>668</v>
      </c>
      <c r="G3976" s="8">
        <v>6552</v>
      </c>
      <c r="H3976" s="8">
        <v>1985</v>
      </c>
      <c r="I3976" s="8">
        <v>6307</v>
      </c>
    </row>
    <row r="3977" spans="1:9" x14ac:dyDescent="0.2">
      <c r="A3977" t="s">
        <v>936</v>
      </c>
      <c r="B3977" t="s">
        <v>954</v>
      </c>
      <c r="C3977" t="str">
        <f t="shared" si="193"/>
        <v>27660920000000</v>
      </c>
      <c r="D3977" t="s">
        <v>5561</v>
      </c>
      <c r="E3977" t="str">
        <f>"27660920129239"</f>
        <v>27660920129239</v>
      </c>
      <c r="F3977" s="8">
        <v>813</v>
      </c>
      <c r="G3977" s="8">
        <v>7245</v>
      </c>
      <c r="H3977" s="8">
        <v>1750</v>
      </c>
      <c r="I3977" s="8">
        <v>5561</v>
      </c>
    </row>
    <row r="3978" spans="1:9" x14ac:dyDescent="0.2">
      <c r="A3978" t="s">
        <v>936</v>
      </c>
      <c r="B3978" t="s">
        <v>954</v>
      </c>
      <c r="C3978" t="str">
        <f t="shared" si="193"/>
        <v>27660920000000</v>
      </c>
      <c r="D3978" t="s">
        <v>5562</v>
      </c>
      <c r="E3978" t="str">
        <f>"27660926026355"</f>
        <v>27660926026355</v>
      </c>
      <c r="F3978" s="8">
        <v>1596</v>
      </c>
      <c r="G3978" s="8">
        <v>6313</v>
      </c>
      <c r="H3978" s="8">
        <v>1694</v>
      </c>
      <c r="I3978" s="8">
        <v>5467</v>
      </c>
    </row>
    <row r="3979" spans="1:9" x14ac:dyDescent="0.2">
      <c r="A3979" t="s">
        <v>936</v>
      </c>
      <c r="B3979" t="s">
        <v>954</v>
      </c>
      <c r="C3979" t="str">
        <f t="shared" si="193"/>
        <v>27660920000000</v>
      </c>
      <c r="D3979" t="s">
        <v>5563</v>
      </c>
      <c r="E3979" t="str">
        <f>"27660926058721"</f>
        <v>27660926058721</v>
      </c>
      <c r="F3979" s="8">
        <v>1484</v>
      </c>
      <c r="G3979" s="8">
        <v>6407</v>
      </c>
      <c r="H3979" s="8">
        <v>1618</v>
      </c>
      <c r="I3979" s="8">
        <v>5221</v>
      </c>
    </row>
    <row r="3980" spans="1:9" x14ac:dyDescent="0.2">
      <c r="A3980" t="s">
        <v>936</v>
      </c>
      <c r="B3980" t="s">
        <v>954</v>
      </c>
      <c r="C3980" t="str">
        <f t="shared" si="193"/>
        <v>27660920000000</v>
      </c>
      <c r="D3980" t="s">
        <v>5564</v>
      </c>
      <c r="E3980" t="str">
        <f>"27660922732253"</f>
        <v>27660922732253</v>
      </c>
      <c r="F3980" s="8">
        <v>902</v>
      </c>
      <c r="G3980" s="8">
        <v>7893</v>
      </c>
      <c r="H3980" s="8">
        <v>1201</v>
      </c>
      <c r="I3980" s="8">
        <v>4468</v>
      </c>
    </row>
    <row r="3981" spans="1:9" x14ac:dyDescent="0.2">
      <c r="A3981" t="s">
        <v>936</v>
      </c>
      <c r="B3981" t="s">
        <v>954</v>
      </c>
      <c r="C3981" t="str">
        <f t="shared" si="193"/>
        <v>27660920000000</v>
      </c>
      <c r="D3981" t="s">
        <v>5565</v>
      </c>
      <c r="E3981" t="str">
        <f>"27660922735348"</f>
        <v>27660922735348</v>
      </c>
      <c r="F3981" s="8">
        <v>990</v>
      </c>
      <c r="G3981" s="8">
        <v>5929</v>
      </c>
      <c r="H3981" s="8">
        <v>1583</v>
      </c>
      <c r="I3981" s="8">
        <v>5889</v>
      </c>
    </row>
    <row r="3982" spans="1:9" x14ac:dyDescent="0.2">
      <c r="A3982" t="s">
        <v>936</v>
      </c>
      <c r="B3982" t="s">
        <v>954</v>
      </c>
      <c r="C3982" t="str">
        <f t="shared" si="193"/>
        <v>27660920000000</v>
      </c>
      <c r="D3982" t="s">
        <v>5566</v>
      </c>
      <c r="E3982" t="str">
        <f>"27660922732808"</f>
        <v>27660922732808</v>
      </c>
      <c r="F3982" s="8">
        <v>680</v>
      </c>
      <c r="G3982" s="8">
        <v>6084</v>
      </c>
      <c r="H3982" s="8">
        <v>1595</v>
      </c>
      <c r="I3982" s="8">
        <v>5932</v>
      </c>
    </row>
    <row r="3983" spans="1:9" x14ac:dyDescent="0.2">
      <c r="A3983" t="s">
        <v>936</v>
      </c>
      <c r="B3983" t="s">
        <v>954</v>
      </c>
      <c r="C3983" t="str">
        <f t="shared" si="193"/>
        <v>27660920000000</v>
      </c>
      <c r="D3983" t="s">
        <v>5567</v>
      </c>
      <c r="E3983" t="str">
        <f>"27660926026249"</f>
        <v>27660926026249</v>
      </c>
      <c r="F3983" s="8">
        <v>1298</v>
      </c>
      <c r="G3983" s="8">
        <v>5974</v>
      </c>
      <c r="H3983" s="8">
        <v>1662</v>
      </c>
      <c r="I3983" s="8">
        <v>5284</v>
      </c>
    </row>
    <row r="3984" spans="1:9" x14ac:dyDescent="0.2">
      <c r="A3984" t="s">
        <v>936</v>
      </c>
      <c r="B3984" t="s">
        <v>954</v>
      </c>
      <c r="C3984" t="str">
        <f t="shared" si="193"/>
        <v>27660920000000</v>
      </c>
      <c r="D3984" t="s">
        <v>5568</v>
      </c>
      <c r="E3984" t="str">
        <f>"27660926058739"</f>
        <v>27660926058739</v>
      </c>
      <c r="F3984" s="8">
        <v>880</v>
      </c>
      <c r="G3984" s="8">
        <v>5680</v>
      </c>
      <c r="H3984" s="8">
        <v>1689</v>
      </c>
      <c r="I3984" s="8">
        <v>5586</v>
      </c>
    </row>
    <row r="3985" spans="1:9" x14ac:dyDescent="0.2">
      <c r="A3985" t="s">
        <v>936</v>
      </c>
      <c r="B3985" t="s">
        <v>954</v>
      </c>
      <c r="C3985" t="str">
        <f t="shared" si="193"/>
        <v>27660920000000</v>
      </c>
      <c r="D3985" t="s">
        <v>5569</v>
      </c>
      <c r="E3985" t="str">
        <f>"27660926026181"</f>
        <v>27660926026181</v>
      </c>
      <c r="F3985" s="8">
        <v>1207</v>
      </c>
      <c r="G3985" s="8">
        <v>5885</v>
      </c>
      <c r="H3985" s="8">
        <v>1566</v>
      </c>
      <c r="I3985" s="8">
        <v>5055</v>
      </c>
    </row>
    <row r="3986" spans="1:9" x14ac:dyDescent="0.2">
      <c r="A3986" t="s">
        <v>936</v>
      </c>
      <c r="B3986" t="s">
        <v>954</v>
      </c>
      <c r="C3986" t="str">
        <f t="shared" si="193"/>
        <v>27660920000000</v>
      </c>
      <c r="D3986" t="s">
        <v>5107</v>
      </c>
      <c r="E3986" t="str">
        <f>"27660920124602"</f>
        <v>27660920124602</v>
      </c>
      <c r="F3986" s="8">
        <v>829</v>
      </c>
      <c r="G3986" s="8">
        <v>6241</v>
      </c>
      <c r="H3986" s="8">
        <v>1582</v>
      </c>
      <c r="I3986" s="8">
        <v>5027</v>
      </c>
    </row>
    <row r="3987" spans="1:9" x14ac:dyDescent="0.2">
      <c r="A3987" t="s">
        <v>936</v>
      </c>
      <c r="B3987" t="s">
        <v>954</v>
      </c>
      <c r="C3987" t="str">
        <f t="shared" si="193"/>
        <v>27660920000000</v>
      </c>
      <c r="D3987" t="s">
        <v>5570</v>
      </c>
      <c r="E3987" t="str">
        <f>"27660926058747"</f>
        <v>27660926058747</v>
      </c>
      <c r="F3987" s="8">
        <v>481</v>
      </c>
      <c r="G3987" s="8">
        <v>6038</v>
      </c>
      <c r="H3987" s="8">
        <v>1631</v>
      </c>
      <c r="I3987" s="8">
        <v>5311</v>
      </c>
    </row>
    <row r="3988" spans="1:9" x14ac:dyDescent="0.2">
      <c r="A3988" t="s">
        <v>936</v>
      </c>
      <c r="B3988" t="s">
        <v>954</v>
      </c>
      <c r="C3988" t="str">
        <f t="shared" si="193"/>
        <v>27660920000000</v>
      </c>
      <c r="D3988" t="s">
        <v>2628</v>
      </c>
      <c r="E3988" t="str">
        <f>"27660926026314"</f>
        <v>27660926026314</v>
      </c>
      <c r="F3988" s="8">
        <v>1083</v>
      </c>
      <c r="G3988" s="8">
        <v>5526</v>
      </c>
      <c r="H3988" s="8">
        <v>1604</v>
      </c>
      <c r="I3988" s="8">
        <v>5179</v>
      </c>
    </row>
    <row r="3989" spans="1:9" x14ac:dyDescent="0.2">
      <c r="A3989" t="s">
        <v>936</v>
      </c>
      <c r="B3989" t="s">
        <v>954</v>
      </c>
      <c r="C3989" t="str">
        <f t="shared" si="193"/>
        <v>27660920000000</v>
      </c>
      <c r="D3989" t="s">
        <v>5571</v>
      </c>
      <c r="E3989" t="str">
        <f>"27660926058713"</f>
        <v>27660926058713</v>
      </c>
      <c r="F3989" s="8">
        <v>971</v>
      </c>
      <c r="G3989" s="8">
        <v>5762</v>
      </c>
      <c r="H3989" s="8">
        <v>1525</v>
      </c>
      <c r="I3989" s="8">
        <v>5044</v>
      </c>
    </row>
    <row r="3990" spans="1:9" x14ac:dyDescent="0.2">
      <c r="A3990" t="s">
        <v>936</v>
      </c>
      <c r="B3990" t="s">
        <v>954</v>
      </c>
      <c r="C3990" t="str">
        <f t="shared" si="193"/>
        <v>27660920000000</v>
      </c>
      <c r="D3990" t="s">
        <v>5572</v>
      </c>
      <c r="E3990" t="str">
        <f>"27660920111435"</f>
        <v>27660920111435</v>
      </c>
      <c r="F3990" s="8">
        <v>491</v>
      </c>
      <c r="G3990" s="8">
        <v>6042</v>
      </c>
      <c r="H3990" s="8">
        <v>1414</v>
      </c>
      <c r="I3990" s="8">
        <v>5259</v>
      </c>
    </row>
    <row r="3991" spans="1:9" x14ac:dyDescent="0.2">
      <c r="A3991" t="s">
        <v>936</v>
      </c>
      <c r="B3991" t="s">
        <v>954</v>
      </c>
      <c r="C3991" t="str">
        <f t="shared" si="193"/>
        <v>27660920000000</v>
      </c>
      <c r="D3991" t="s">
        <v>5573</v>
      </c>
      <c r="E3991" t="str">
        <f>"27660926026256"</f>
        <v>27660926026256</v>
      </c>
      <c r="F3991" s="8">
        <v>698</v>
      </c>
      <c r="G3991" s="8">
        <v>5365</v>
      </c>
      <c r="H3991" s="8">
        <v>1601</v>
      </c>
      <c r="I3991" s="8">
        <v>5166</v>
      </c>
    </row>
    <row r="3992" spans="1:9" x14ac:dyDescent="0.2">
      <c r="A3992" t="s">
        <v>936</v>
      </c>
      <c r="B3992" t="s">
        <v>955</v>
      </c>
      <c r="C3992" t="str">
        <f t="shared" ref="C3992:C3999" si="194">"27738250000000"</f>
        <v>27738250000000</v>
      </c>
      <c r="D3992" t="s">
        <v>5574</v>
      </c>
      <c r="E3992" t="str">
        <f>"27738252730141"</f>
        <v>27738252730141</v>
      </c>
      <c r="F3992" s="8">
        <v>1082</v>
      </c>
      <c r="G3992" s="8">
        <v>18836</v>
      </c>
      <c r="H3992" s="8">
        <v>714</v>
      </c>
      <c r="I3992" s="8">
        <v>18836</v>
      </c>
    </row>
    <row r="3993" spans="1:9" x14ac:dyDescent="0.2">
      <c r="A3993" t="s">
        <v>936</v>
      </c>
      <c r="B3993" t="s">
        <v>955</v>
      </c>
      <c r="C3993" t="str">
        <f t="shared" si="194"/>
        <v>27738250000000</v>
      </c>
      <c r="D3993" t="s">
        <v>5575</v>
      </c>
      <c r="E3993" t="str">
        <f>"27738256026413"</f>
        <v>27738256026413</v>
      </c>
      <c r="F3993" s="8">
        <v>2632</v>
      </c>
      <c r="G3993" s="8">
        <v>7645</v>
      </c>
      <c r="H3993" s="8">
        <v>1042</v>
      </c>
      <c r="I3993" s="8">
        <v>3439</v>
      </c>
    </row>
    <row r="3994" spans="1:9" x14ac:dyDescent="0.2">
      <c r="A3994" t="s">
        <v>936</v>
      </c>
      <c r="B3994" t="s">
        <v>955</v>
      </c>
      <c r="C3994" t="str">
        <f t="shared" si="194"/>
        <v>27738250000000</v>
      </c>
      <c r="D3994" t="s">
        <v>5576</v>
      </c>
      <c r="E3994" t="str">
        <f>"27738252730034"</f>
        <v>27738252730034</v>
      </c>
      <c r="F3994" s="8">
        <v>1290</v>
      </c>
      <c r="G3994" s="8">
        <v>7599</v>
      </c>
      <c r="H3994" s="8">
        <v>910</v>
      </c>
      <c r="I3994" s="8">
        <v>3193</v>
      </c>
    </row>
    <row r="3995" spans="1:9" x14ac:dyDescent="0.2">
      <c r="A3995" t="s">
        <v>936</v>
      </c>
      <c r="B3995" t="s">
        <v>955</v>
      </c>
      <c r="C3995" t="str">
        <f t="shared" si="194"/>
        <v>27738250000000</v>
      </c>
      <c r="D3995" t="s">
        <v>5577</v>
      </c>
      <c r="E3995" t="str">
        <f>"27738256026421"</f>
        <v>27738256026421</v>
      </c>
      <c r="F3995" s="8">
        <v>1345</v>
      </c>
      <c r="G3995" s="8">
        <v>6953</v>
      </c>
      <c r="H3995" s="8">
        <v>920</v>
      </c>
      <c r="I3995" s="8">
        <v>2793</v>
      </c>
    </row>
    <row r="3996" spans="1:9" x14ac:dyDescent="0.2">
      <c r="A3996" t="s">
        <v>936</v>
      </c>
      <c r="B3996" t="s">
        <v>955</v>
      </c>
      <c r="C3996" t="str">
        <f t="shared" si="194"/>
        <v>27738250000000</v>
      </c>
      <c r="D3996" t="s">
        <v>5578</v>
      </c>
      <c r="E3996" t="str">
        <f>"27738256026405"</f>
        <v>27738256026405</v>
      </c>
      <c r="F3996" s="8">
        <v>596</v>
      </c>
      <c r="G3996" s="8">
        <v>6858</v>
      </c>
      <c r="H3996" s="8">
        <v>904</v>
      </c>
      <c r="I3996" s="8">
        <v>3021</v>
      </c>
    </row>
    <row r="3997" spans="1:9" x14ac:dyDescent="0.2">
      <c r="A3997" t="s">
        <v>936</v>
      </c>
      <c r="B3997" t="s">
        <v>955</v>
      </c>
      <c r="C3997" t="str">
        <f t="shared" si="194"/>
        <v>27738250000000</v>
      </c>
      <c r="D3997" t="s">
        <v>5579</v>
      </c>
      <c r="E3997" t="str">
        <f>"27738256026397"</f>
        <v>27738256026397</v>
      </c>
      <c r="F3997" s="8">
        <v>409</v>
      </c>
      <c r="G3997" s="8">
        <v>6738</v>
      </c>
      <c r="H3997" s="8">
        <v>921</v>
      </c>
      <c r="I3997" s="8">
        <v>3042</v>
      </c>
    </row>
    <row r="3998" spans="1:9" x14ac:dyDescent="0.2">
      <c r="A3998" t="s">
        <v>936</v>
      </c>
      <c r="B3998" t="s">
        <v>955</v>
      </c>
      <c r="C3998" t="str">
        <f t="shared" si="194"/>
        <v>27738250000000</v>
      </c>
      <c r="D3998" t="s">
        <v>5580</v>
      </c>
      <c r="E3998" t="str">
        <f>"27738256026447"</f>
        <v>27738256026447</v>
      </c>
      <c r="F3998" s="8">
        <v>408</v>
      </c>
      <c r="G3998" s="8">
        <v>6788</v>
      </c>
      <c r="H3998" s="8">
        <v>813</v>
      </c>
      <c r="I3998" s="8">
        <v>2791</v>
      </c>
    </row>
    <row r="3999" spans="1:9" x14ac:dyDescent="0.2">
      <c r="A3999" t="s">
        <v>936</v>
      </c>
      <c r="B3999" t="s">
        <v>955</v>
      </c>
      <c r="C3999" t="str">
        <f t="shared" si="194"/>
        <v>27738250000000</v>
      </c>
      <c r="D3999" t="s">
        <v>5581</v>
      </c>
      <c r="E3999" t="str">
        <f>"27738252730125"</f>
        <v>27738252730125</v>
      </c>
      <c r="F3999" s="8">
        <v>483</v>
      </c>
      <c r="G3999" s="8">
        <v>5502</v>
      </c>
      <c r="H3999" s="8">
        <v>641</v>
      </c>
      <c r="I3999" s="8">
        <v>1800</v>
      </c>
    </row>
    <row r="4000" spans="1:9" x14ac:dyDescent="0.2">
      <c r="A4000" t="s">
        <v>936</v>
      </c>
      <c r="B4000" t="s">
        <v>958</v>
      </c>
      <c r="C4000" t="str">
        <f>"27661340000000"</f>
        <v>27661340000000</v>
      </c>
      <c r="D4000" t="s">
        <v>5582</v>
      </c>
      <c r="E4000" t="str">
        <f>"27661342731115"</f>
        <v>27661342731115</v>
      </c>
      <c r="F4000" s="8">
        <v>404</v>
      </c>
      <c r="G4000" s="8">
        <v>26945</v>
      </c>
      <c r="H4000" s="8">
        <v>30040</v>
      </c>
      <c r="I4000" s="8">
        <v>0</v>
      </c>
    </row>
    <row r="4001" spans="1:9" x14ac:dyDescent="0.2">
      <c r="A4001" t="s">
        <v>936</v>
      </c>
      <c r="B4001" t="s">
        <v>958</v>
      </c>
      <c r="C4001" t="str">
        <f>"27661340000000"</f>
        <v>27661340000000</v>
      </c>
      <c r="D4001" t="s">
        <v>5583</v>
      </c>
      <c r="E4001" t="str">
        <f>"27661346026470"</f>
        <v>27661346026470</v>
      </c>
      <c r="F4001" s="8">
        <v>1147</v>
      </c>
      <c r="G4001" s="8">
        <v>13217</v>
      </c>
      <c r="H4001" s="8">
        <v>1382</v>
      </c>
      <c r="I4001" s="8">
        <v>657</v>
      </c>
    </row>
    <row r="4002" spans="1:9" x14ac:dyDescent="0.2">
      <c r="A4002" t="s">
        <v>936</v>
      </c>
      <c r="B4002" t="s">
        <v>958</v>
      </c>
      <c r="C4002" t="str">
        <f>"27661340000000"</f>
        <v>27661340000000</v>
      </c>
      <c r="D4002" t="s">
        <v>5584</v>
      </c>
      <c r="E4002" t="str">
        <f>"27661342733657"</f>
        <v>27661342733657</v>
      </c>
      <c r="F4002" s="8">
        <v>621</v>
      </c>
      <c r="G4002" s="8">
        <v>13160</v>
      </c>
      <c r="H4002" s="8">
        <v>979</v>
      </c>
      <c r="I4002" s="8">
        <v>466</v>
      </c>
    </row>
    <row r="4003" spans="1:9" x14ac:dyDescent="0.2">
      <c r="A4003" t="s">
        <v>936</v>
      </c>
      <c r="B4003" t="s">
        <v>958</v>
      </c>
      <c r="C4003" t="str">
        <f>"27661340000000"</f>
        <v>27661340000000</v>
      </c>
      <c r="D4003" t="s">
        <v>5585</v>
      </c>
      <c r="E4003" t="str">
        <f>"27661346026496"</f>
        <v>27661346026496</v>
      </c>
      <c r="F4003" s="8">
        <v>887</v>
      </c>
      <c r="G4003" s="8">
        <v>12423</v>
      </c>
      <c r="H4003" s="8">
        <v>1291</v>
      </c>
      <c r="I4003" s="8">
        <v>614</v>
      </c>
    </row>
    <row r="4004" spans="1:9" x14ac:dyDescent="0.2">
      <c r="A4004" t="s">
        <v>936</v>
      </c>
      <c r="B4004" t="s">
        <v>958</v>
      </c>
      <c r="C4004" t="str">
        <f>"27661340000000"</f>
        <v>27661340000000</v>
      </c>
      <c r="D4004" t="s">
        <v>5586</v>
      </c>
      <c r="E4004" t="str">
        <f>"27661346058754"</f>
        <v>27661346058754</v>
      </c>
      <c r="F4004" s="8">
        <v>539</v>
      </c>
      <c r="G4004" s="8">
        <v>12695</v>
      </c>
      <c r="H4004" s="8">
        <v>1227</v>
      </c>
      <c r="I4004" s="8">
        <v>584</v>
      </c>
    </row>
    <row r="4005" spans="1:9" x14ac:dyDescent="0.2">
      <c r="A4005" t="s">
        <v>936</v>
      </c>
      <c r="B4005" t="s">
        <v>959</v>
      </c>
      <c r="C4005" t="str">
        <f t="shared" ref="C4005:C4018" si="195">"27661420000000"</f>
        <v>27661420000000</v>
      </c>
      <c r="D4005" t="s">
        <v>5587</v>
      </c>
      <c r="E4005" t="str">
        <f>"27661420132407"</f>
        <v>27661420132407</v>
      </c>
      <c r="F4005" s="8">
        <v>567</v>
      </c>
      <c r="G4005" s="8">
        <v>8613</v>
      </c>
      <c r="H4005" s="8">
        <v>1737</v>
      </c>
      <c r="I4005" s="8">
        <v>5200</v>
      </c>
    </row>
    <row r="4006" spans="1:9" x14ac:dyDescent="0.2">
      <c r="A4006" t="s">
        <v>936</v>
      </c>
      <c r="B4006" t="s">
        <v>959</v>
      </c>
      <c r="C4006" t="str">
        <f t="shared" si="195"/>
        <v>27661420000000</v>
      </c>
      <c r="D4006" t="s">
        <v>5588</v>
      </c>
      <c r="E4006" t="str">
        <f>"27661426066963"</f>
        <v>27661426066963</v>
      </c>
      <c r="F4006" s="8">
        <v>446</v>
      </c>
      <c r="G4006" s="8">
        <v>8623</v>
      </c>
      <c r="H4006" s="8">
        <v>1737</v>
      </c>
      <c r="I4006" s="8">
        <v>5200</v>
      </c>
    </row>
    <row r="4007" spans="1:9" x14ac:dyDescent="0.2">
      <c r="A4007" t="s">
        <v>936</v>
      </c>
      <c r="B4007" t="s">
        <v>959</v>
      </c>
      <c r="C4007" t="str">
        <f t="shared" si="195"/>
        <v>27661420000000</v>
      </c>
      <c r="D4007" t="s">
        <v>2243</v>
      </c>
      <c r="E4007" t="str">
        <f>"27661426026546"</f>
        <v>27661426026546</v>
      </c>
      <c r="F4007" s="8">
        <v>712</v>
      </c>
      <c r="G4007" s="8">
        <v>7327</v>
      </c>
      <c r="H4007" s="8">
        <v>1737</v>
      </c>
      <c r="I4007" s="8">
        <v>5200</v>
      </c>
    </row>
    <row r="4008" spans="1:9" x14ac:dyDescent="0.2">
      <c r="A4008" t="s">
        <v>936</v>
      </c>
      <c r="B4008" t="s">
        <v>959</v>
      </c>
      <c r="C4008" t="str">
        <f t="shared" si="195"/>
        <v>27661420000000</v>
      </c>
      <c r="D4008" t="s">
        <v>2517</v>
      </c>
      <c r="E4008" t="str">
        <f>"27661426026553"</f>
        <v>27661426026553</v>
      </c>
      <c r="F4008" s="8">
        <v>363</v>
      </c>
      <c r="G4008" s="8">
        <v>7434</v>
      </c>
      <c r="H4008" s="8">
        <v>1737</v>
      </c>
      <c r="I4008" s="8">
        <v>5200</v>
      </c>
    </row>
    <row r="4009" spans="1:9" x14ac:dyDescent="0.2">
      <c r="A4009" t="s">
        <v>936</v>
      </c>
      <c r="B4009" t="s">
        <v>959</v>
      </c>
      <c r="C4009" t="str">
        <f t="shared" si="195"/>
        <v>27661420000000</v>
      </c>
      <c r="D4009" t="s">
        <v>5589</v>
      </c>
      <c r="E4009" t="str">
        <f>"27661426026587"</f>
        <v>27661426026587</v>
      </c>
      <c r="F4009" s="8">
        <v>191</v>
      </c>
      <c r="G4009" s="8">
        <v>7583</v>
      </c>
      <c r="H4009" s="8">
        <v>1737</v>
      </c>
      <c r="I4009" s="8">
        <v>5200</v>
      </c>
    </row>
    <row r="4010" spans="1:9" x14ac:dyDescent="0.2">
      <c r="A4010" t="s">
        <v>936</v>
      </c>
      <c r="B4010" t="s">
        <v>959</v>
      </c>
      <c r="C4010" t="str">
        <f t="shared" si="195"/>
        <v>27661420000000</v>
      </c>
      <c r="D4010" t="s">
        <v>5590</v>
      </c>
      <c r="E4010" t="str">
        <f>"27661426026595"</f>
        <v>27661426026595</v>
      </c>
      <c r="F4010" s="8">
        <v>328</v>
      </c>
      <c r="G4010" s="8">
        <v>7424</v>
      </c>
      <c r="H4010" s="8">
        <v>1737</v>
      </c>
      <c r="I4010" s="8">
        <v>5200</v>
      </c>
    </row>
    <row r="4011" spans="1:9" x14ac:dyDescent="0.2">
      <c r="A4011" t="s">
        <v>936</v>
      </c>
      <c r="B4011" t="s">
        <v>959</v>
      </c>
      <c r="C4011" t="str">
        <f t="shared" si="195"/>
        <v>27661420000000</v>
      </c>
      <c r="D4011" t="s">
        <v>5591</v>
      </c>
      <c r="E4011" t="str">
        <f>"27661426026561"</f>
        <v>27661426026561</v>
      </c>
      <c r="F4011" s="8">
        <v>217</v>
      </c>
      <c r="G4011" s="8">
        <v>7470</v>
      </c>
      <c r="H4011" s="8">
        <v>1737</v>
      </c>
      <c r="I4011" s="8">
        <v>5200</v>
      </c>
    </row>
    <row r="4012" spans="1:9" x14ac:dyDescent="0.2">
      <c r="A4012" t="s">
        <v>936</v>
      </c>
      <c r="B4012" t="s">
        <v>959</v>
      </c>
      <c r="C4012" t="str">
        <f t="shared" si="195"/>
        <v>27661420000000</v>
      </c>
      <c r="D4012" t="s">
        <v>5592</v>
      </c>
      <c r="E4012" t="str">
        <f>"27661426026520"</f>
        <v>27661426026520</v>
      </c>
      <c r="F4012" s="8">
        <v>215</v>
      </c>
      <c r="G4012" s="8">
        <v>7404</v>
      </c>
      <c r="H4012" s="8">
        <v>1737</v>
      </c>
      <c r="I4012" s="8">
        <v>5200</v>
      </c>
    </row>
    <row r="4013" spans="1:9" x14ac:dyDescent="0.2">
      <c r="A4013" t="s">
        <v>936</v>
      </c>
      <c r="B4013" t="s">
        <v>959</v>
      </c>
      <c r="C4013" t="str">
        <f t="shared" si="195"/>
        <v>27661420000000</v>
      </c>
      <c r="D4013" t="s">
        <v>5593</v>
      </c>
      <c r="E4013" t="str">
        <f>"27661426109177"</f>
        <v>27661426109177</v>
      </c>
      <c r="F4013" s="8">
        <v>364</v>
      </c>
      <c r="G4013" s="8">
        <v>7238</v>
      </c>
      <c r="H4013" s="8">
        <v>1737</v>
      </c>
      <c r="I4013" s="8">
        <v>5200</v>
      </c>
    </row>
    <row r="4014" spans="1:9" x14ac:dyDescent="0.2">
      <c r="A4014" t="s">
        <v>936</v>
      </c>
      <c r="B4014" t="s">
        <v>959</v>
      </c>
      <c r="C4014" t="str">
        <f t="shared" si="195"/>
        <v>27661420000000</v>
      </c>
      <c r="D4014" t="s">
        <v>5594</v>
      </c>
      <c r="E4014" t="str">
        <f>"27661426026611"</f>
        <v>27661426026611</v>
      </c>
      <c r="F4014" s="8">
        <v>480</v>
      </c>
      <c r="G4014" s="8">
        <v>7027</v>
      </c>
      <c r="H4014" s="8">
        <v>1737</v>
      </c>
      <c r="I4014" s="8">
        <v>5200</v>
      </c>
    </row>
    <row r="4015" spans="1:9" x14ac:dyDescent="0.2">
      <c r="A4015" t="s">
        <v>936</v>
      </c>
      <c r="B4015" t="s">
        <v>959</v>
      </c>
      <c r="C4015" t="str">
        <f t="shared" si="195"/>
        <v>27661420000000</v>
      </c>
      <c r="D4015" t="s">
        <v>2347</v>
      </c>
      <c r="E4015" t="str">
        <f>"27661426026603"</f>
        <v>27661426026603</v>
      </c>
      <c r="F4015" s="8">
        <v>299</v>
      </c>
      <c r="G4015" s="8">
        <v>7173</v>
      </c>
      <c r="H4015" s="8">
        <v>1737</v>
      </c>
      <c r="I4015" s="8">
        <v>5200</v>
      </c>
    </row>
    <row r="4016" spans="1:9" x14ac:dyDescent="0.2">
      <c r="A4016" t="s">
        <v>936</v>
      </c>
      <c r="B4016" t="s">
        <v>959</v>
      </c>
      <c r="C4016" t="str">
        <f t="shared" si="195"/>
        <v>27661420000000</v>
      </c>
      <c r="D4016" t="s">
        <v>5595</v>
      </c>
      <c r="E4016" t="str">
        <f>"27661420108068"</f>
        <v>27661420108068</v>
      </c>
      <c r="F4016" s="8">
        <v>331</v>
      </c>
      <c r="G4016" s="8">
        <v>7093</v>
      </c>
      <c r="H4016" s="8">
        <v>1737</v>
      </c>
      <c r="I4016" s="8">
        <v>5200</v>
      </c>
    </row>
    <row r="4017" spans="1:9" x14ac:dyDescent="0.2">
      <c r="A4017" t="s">
        <v>936</v>
      </c>
      <c r="B4017" t="s">
        <v>959</v>
      </c>
      <c r="C4017" t="str">
        <f t="shared" si="195"/>
        <v>27661420000000</v>
      </c>
      <c r="D4017" t="s">
        <v>5596</v>
      </c>
      <c r="E4017" t="str">
        <f>"27661426026579"</f>
        <v>27661426026579</v>
      </c>
      <c r="F4017" s="8">
        <v>186</v>
      </c>
      <c r="G4017" s="8">
        <v>7234</v>
      </c>
      <c r="H4017" s="8">
        <v>1737</v>
      </c>
      <c r="I4017" s="8">
        <v>5200</v>
      </c>
    </row>
    <row r="4018" spans="1:9" x14ac:dyDescent="0.2">
      <c r="A4018" t="s">
        <v>936</v>
      </c>
      <c r="B4018" t="s">
        <v>959</v>
      </c>
      <c r="C4018" t="str">
        <f t="shared" si="195"/>
        <v>27661420000000</v>
      </c>
      <c r="D4018" t="s">
        <v>5597</v>
      </c>
      <c r="E4018" t="str">
        <f>"27661426026538"</f>
        <v>27661426026538</v>
      </c>
      <c r="F4018" s="8">
        <v>243</v>
      </c>
      <c r="G4018" s="8">
        <v>6723</v>
      </c>
      <c r="H4018" s="8">
        <v>1737</v>
      </c>
      <c r="I4018" s="8">
        <v>5200</v>
      </c>
    </row>
    <row r="4019" spans="1:9" x14ac:dyDescent="0.2">
      <c r="A4019" t="s">
        <v>936</v>
      </c>
      <c r="B4019" t="s">
        <v>960</v>
      </c>
      <c r="C4019" t="str">
        <f t="shared" ref="C4019:C4030" si="196">"27661590000000"</f>
        <v>27661590000000</v>
      </c>
      <c r="D4019" t="s">
        <v>5598</v>
      </c>
      <c r="E4019" t="str">
        <f>"27661592730273"</f>
        <v>27661592730273</v>
      </c>
      <c r="F4019" s="8">
        <v>3328</v>
      </c>
      <c r="G4019" s="8">
        <v>30957</v>
      </c>
      <c r="H4019" s="8">
        <v>92</v>
      </c>
      <c r="I4019" s="8">
        <v>1425</v>
      </c>
    </row>
    <row r="4020" spans="1:9" x14ac:dyDescent="0.2">
      <c r="A4020" t="s">
        <v>936</v>
      </c>
      <c r="B4020" t="s">
        <v>960</v>
      </c>
      <c r="C4020" t="str">
        <f t="shared" si="196"/>
        <v>27661590000000</v>
      </c>
      <c r="D4020" t="s">
        <v>5599</v>
      </c>
      <c r="E4020" t="str">
        <f>"27661592734481"</f>
        <v>27661592734481</v>
      </c>
      <c r="F4020" s="8">
        <v>6149</v>
      </c>
      <c r="G4020" s="8">
        <v>21765</v>
      </c>
      <c r="H4020" s="8">
        <v>92</v>
      </c>
      <c r="I4020" s="8">
        <v>1425</v>
      </c>
    </row>
    <row r="4021" spans="1:9" x14ac:dyDescent="0.2">
      <c r="A4021" t="s">
        <v>936</v>
      </c>
      <c r="B4021" t="s">
        <v>960</v>
      </c>
      <c r="C4021" t="str">
        <f t="shared" si="196"/>
        <v>27661590000000</v>
      </c>
      <c r="D4021" t="s">
        <v>5600</v>
      </c>
      <c r="E4021" t="str">
        <f>"27661590124610"</f>
        <v>27661590124610</v>
      </c>
      <c r="F4021" s="8">
        <v>2128</v>
      </c>
      <c r="G4021" s="8">
        <v>13407</v>
      </c>
      <c r="H4021" s="8">
        <v>92</v>
      </c>
      <c r="I4021" s="8">
        <v>1425</v>
      </c>
    </row>
    <row r="4022" spans="1:9" x14ac:dyDescent="0.2">
      <c r="A4022" t="s">
        <v>936</v>
      </c>
      <c r="B4022" t="s">
        <v>960</v>
      </c>
      <c r="C4022" t="str">
        <f t="shared" si="196"/>
        <v>27661590000000</v>
      </c>
      <c r="D4022" t="s">
        <v>5601</v>
      </c>
      <c r="E4022" t="str">
        <f>"27661590136697"</f>
        <v>27661590136697</v>
      </c>
      <c r="F4022" s="8">
        <v>1479</v>
      </c>
      <c r="G4022" s="8">
        <v>9979</v>
      </c>
      <c r="H4022" s="8">
        <v>92</v>
      </c>
      <c r="I4022" s="8">
        <v>1425</v>
      </c>
    </row>
    <row r="4023" spans="1:9" x14ac:dyDescent="0.2">
      <c r="A4023" t="s">
        <v>936</v>
      </c>
      <c r="B4023" t="s">
        <v>960</v>
      </c>
      <c r="C4023" t="str">
        <f t="shared" si="196"/>
        <v>27661590000000</v>
      </c>
      <c r="D4023" t="s">
        <v>5602</v>
      </c>
      <c r="E4023" t="str">
        <f>"27661596110753"</f>
        <v>27661596110753</v>
      </c>
      <c r="F4023" s="8">
        <v>1239</v>
      </c>
      <c r="G4023" s="8">
        <v>9422</v>
      </c>
      <c r="H4023" s="8">
        <v>92</v>
      </c>
      <c r="I4023" s="8">
        <v>1425</v>
      </c>
    </row>
    <row r="4024" spans="1:9" x14ac:dyDescent="0.2">
      <c r="A4024" t="s">
        <v>936</v>
      </c>
      <c r="B4024" t="s">
        <v>960</v>
      </c>
      <c r="C4024" t="str">
        <f t="shared" si="196"/>
        <v>27661590000000</v>
      </c>
      <c r="D4024" t="s">
        <v>3250</v>
      </c>
      <c r="E4024" t="str">
        <f>"27661596058770"</f>
        <v>27661596058770</v>
      </c>
      <c r="F4024" s="8">
        <v>1199</v>
      </c>
      <c r="G4024" s="8">
        <v>9222</v>
      </c>
      <c r="H4024" s="8">
        <v>92</v>
      </c>
      <c r="I4024" s="8">
        <v>1425</v>
      </c>
    </row>
    <row r="4025" spans="1:9" x14ac:dyDescent="0.2">
      <c r="A4025" t="s">
        <v>936</v>
      </c>
      <c r="B4025" t="s">
        <v>960</v>
      </c>
      <c r="C4025" t="str">
        <f t="shared" si="196"/>
        <v>27661590000000</v>
      </c>
      <c r="D4025" t="s">
        <v>5603</v>
      </c>
      <c r="E4025" t="str">
        <f>"27661596058762"</f>
        <v>27661596058762</v>
      </c>
      <c r="F4025" s="8">
        <v>1333</v>
      </c>
      <c r="G4025" s="8">
        <v>9008</v>
      </c>
      <c r="H4025" s="8">
        <v>92</v>
      </c>
      <c r="I4025" s="8">
        <v>1425</v>
      </c>
    </row>
    <row r="4026" spans="1:9" x14ac:dyDescent="0.2">
      <c r="A4026" t="s">
        <v>936</v>
      </c>
      <c r="B4026" t="s">
        <v>960</v>
      </c>
      <c r="C4026" t="str">
        <f t="shared" si="196"/>
        <v>27661590000000</v>
      </c>
      <c r="D4026" t="s">
        <v>5604</v>
      </c>
      <c r="E4026" t="str">
        <f>"27661592733178"</f>
        <v>27661592733178</v>
      </c>
      <c r="F4026" s="8">
        <v>1217</v>
      </c>
      <c r="G4026" s="8">
        <v>8839</v>
      </c>
      <c r="H4026" s="8">
        <v>92</v>
      </c>
      <c r="I4026" s="8">
        <v>1425</v>
      </c>
    </row>
    <row r="4027" spans="1:9" x14ac:dyDescent="0.2">
      <c r="A4027" t="s">
        <v>936</v>
      </c>
      <c r="B4027" t="s">
        <v>960</v>
      </c>
      <c r="C4027" t="str">
        <f t="shared" si="196"/>
        <v>27661590000000</v>
      </c>
      <c r="D4027" t="s">
        <v>5605</v>
      </c>
      <c r="E4027" t="str">
        <f>"27661596118129"</f>
        <v>27661596118129</v>
      </c>
      <c r="F4027" s="8">
        <v>1341</v>
      </c>
      <c r="G4027" s="8">
        <v>8597</v>
      </c>
      <c r="H4027" s="8">
        <v>92</v>
      </c>
      <c r="I4027" s="8">
        <v>1425</v>
      </c>
    </row>
    <row r="4028" spans="1:9" x14ac:dyDescent="0.2">
      <c r="A4028" t="s">
        <v>936</v>
      </c>
      <c r="B4028" t="s">
        <v>960</v>
      </c>
      <c r="C4028" t="str">
        <f t="shared" si="196"/>
        <v>27661590000000</v>
      </c>
      <c r="D4028" t="s">
        <v>5606</v>
      </c>
      <c r="E4028" t="str">
        <f>"27661592730166"</f>
        <v>27661592730166</v>
      </c>
      <c r="F4028" s="8">
        <v>1049</v>
      </c>
      <c r="G4028" s="8">
        <v>8550</v>
      </c>
      <c r="H4028" s="8">
        <v>92</v>
      </c>
      <c r="I4028" s="8">
        <v>1425</v>
      </c>
    </row>
    <row r="4029" spans="1:9" x14ac:dyDescent="0.2">
      <c r="A4029" t="s">
        <v>936</v>
      </c>
      <c r="B4029" t="s">
        <v>960</v>
      </c>
      <c r="C4029" t="str">
        <f t="shared" si="196"/>
        <v>27661590000000</v>
      </c>
      <c r="D4029" t="s">
        <v>5607</v>
      </c>
      <c r="E4029" t="str">
        <f>"27661592734556"</f>
        <v>27661592734556</v>
      </c>
      <c r="F4029" s="8">
        <v>970</v>
      </c>
      <c r="G4029" s="8">
        <v>8319</v>
      </c>
      <c r="H4029" s="8">
        <v>92</v>
      </c>
      <c r="I4029" s="8">
        <v>1425</v>
      </c>
    </row>
    <row r="4030" spans="1:9" x14ac:dyDescent="0.2">
      <c r="A4030" t="s">
        <v>936</v>
      </c>
      <c r="B4030" t="s">
        <v>960</v>
      </c>
      <c r="C4030" t="str">
        <f t="shared" si="196"/>
        <v>27661590000000</v>
      </c>
      <c r="D4030" t="s">
        <v>5608</v>
      </c>
      <c r="E4030" t="str">
        <f>"27661592730109"</f>
        <v>27661592730109</v>
      </c>
      <c r="F4030" s="8">
        <v>1004</v>
      </c>
      <c r="G4030" s="8">
        <v>8155</v>
      </c>
      <c r="H4030" s="8">
        <v>92</v>
      </c>
      <c r="I4030" s="8">
        <v>1425</v>
      </c>
    </row>
    <row r="4031" spans="1:9" x14ac:dyDescent="0.2">
      <c r="A4031" t="s">
        <v>936</v>
      </c>
      <c r="B4031" t="s">
        <v>961</v>
      </c>
      <c r="C4031" t="str">
        <f>"27661670000000"</f>
        <v>27661670000000</v>
      </c>
      <c r="D4031" t="s">
        <v>4389</v>
      </c>
      <c r="E4031" t="str">
        <f>"27661676026629"</f>
        <v>27661676026629</v>
      </c>
      <c r="F4031" s="8">
        <v>2027</v>
      </c>
      <c r="G4031" s="8">
        <v>14956</v>
      </c>
      <c r="H4031" s="8">
        <v>0</v>
      </c>
      <c r="I4031" s="8">
        <v>0</v>
      </c>
    </row>
    <row r="4032" spans="1:9" x14ac:dyDescent="0.2">
      <c r="A4032" t="s">
        <v>936</v>
      </c>
      <c r="B4032" t="s">
        <v>962</v>
      </c>
      <c r="C4032" t="str">
        <f>"27661750000000"</f>
        <v>27661750000000</v>
      </c>
      <c r="D4032" t="s">
        <v>5609</v>
      </c>
      <c r="E4032" t="str">
        <f>"27661756026637"</f>
        <v>27661756026637</v>
      </c>
      <c r="F4032" s="8">
        <v>4162</v>
      </c>
      <c r="G4032" s="8">
        <v>12710</v>
      </c>
      <c r="H4032" s="8">
        <v>0</v>
      </c>
      <c r="I4032" s="8">
        <v>0</v>
      </c>
    </row>
    <row r="4033" spans="1:9" x14ac:dyDescent="0.2">
      <c r="A4033" t="s">
        <v>936</v>
      </c>
      <c r="B4033" t="s">
        <v>963</v>
      </c>
      <c r="C4033" t="str">
        <f>"27661830000000"</f>
        <v>27661830000000</v>
      </c>
      <c r="D4033" t="s">
        <v>5610</v>
      </c>
      <c r="E4033" t="str">
        <f>"27661836026645"</f>
        <v>27661836026645</v>
      </c>
      <c r="F4033" s="8">
        <v>4859</v>
      </c>
      <c r="G4033" s="8">
        <v>14504</v>
      </c>
      <c r="H4033" s="8">
        <v>0</v>
      </c>
      <c r="I4033" s="8">
        <v>0</v>
      </c>
    </row>
    <row r="4034" spans="1:9" x14ac:dyDescent="0.2">
      <c r="A4034" t="s">
        <v>936</v>
      </c>
      <c r="B4034" t="s">
        <v>964</v>
      </c>
      <c r="C4034" t="str">
        <f t="shared" ref="C4034:C4039" si="197">"27661910000000"</f>
        <v>27661910000000</v>
      </c>
      <c r="D4034" t="s">
        <v>5611</v>
      </c>
      <c r="E4034" t="str">
        <f>"27661916026660"</f>
        <v>27661916026660</v>
      </c>
      <c r="F4034" s="8">
        <v>71</v>
      </c>
      <c r="G4034" s="8">
        <v>478</v>
      </c>
      <c r="H4034" s="8">
        <v>1889</v>
      </c>
      <c r="I4034" s="8">
        <v>12650</v>
      </c>
    </row>
    <row r="4035" spans="1:9" x14ac:dyDescent="0.2">
      <c r="A4035" t="s">
        <v>936</v>
      </c>
      <c r="B4035" t="s">
        <v>964</v>
      </c>
      <c r="C4035" t="str">
        <f t="shared" si="197"/>
        <v>27661910000000</v>
      </c>
      <c r="D4035" t="s">
        <v>5612</v>
      </c>
      <c r="E4035" t="str">
        <f>"27661916026652"</f>
        <v>27661916026652</v>
      </c>
      <c r="F4035" s="8">
        <v>63</v>
      </c>
      <c r="G4035" s="8">
        <v>182</v>
      </c>
      <c r="H4035" s="8">
        <v>1889</v>
      </c>
      <c r="I4035" s="8">
        <v>12513</v>
      </c>
    </row>
    <row r="4036" spans="1:9" x14ac:dyDescent="0.2">
      <c r="A4036" t="s">
        <v>936</v>
      </c>
      <c r="B4036" t="s">
        <v>964</v>
      </c>
      <c r="C4036" t="str">
        <f t="shared" si="197"/>
        <v>27661910000000</v>
      </c>
      <c r="D4036" t="s">
        <v>5613</v>
      </c>
      <c r="E4036" t="str">
        <f>"27661910107391"</f>
        <v>27661910107391</v>
      </c>
      <c r="F4036" s="8">
        <v>84</v>
      </c>
      <c r="G4036" s="8">
        <v>174</v>
      </c>
      <c r="H4036" s="8">
        <v>1889</v>
      </c>
      <c r="I4036" s="8">
        <v>12500</v>
      </c>
    </row>
    <row r="4037" spans="1:9" x14ac:dyDescent="0.2">
      <c r="A4037" t="s">
        <v>936</v>
      </c>
      <c r="B4037" t="s">
        <v>964</v>
      </c>
      <c r="C4037" t="str">
        <f t="shared" si="197"/>
        <v>27661910000000</v>
      </c>
      <c r="D4037" t="s">
        <v>5614</v>
      </c>
      <c r="E4037" t="str">
        <f>"27661916120224"</f>
        <v>27661916120224</v>
      </c>
      <c r="F4037" s="8">
        <v>83</v>
      </c>
      <c r="G4037" s="8">
        <v>190</v>
      </c>
      <c r="H4037" s="8">
        <v>1889</v>
      </c>
      <c r="I4037" s="8">
        <v>12369</v>
      </c>
    </row>
    <row r="4038" spans="1:9" x14ac:dyDescent="0.2">
      <c r="A4038" t="s">
        <v>936</v>
      </c>
      <c r="B4038" t="s">
        <v>964</v>
      </c>
      <c r="C4038" t="str">
        <f t="shared" si="197"/>
        <v>27661910000000</v>
      </c>
      <c r="D4038" t="s">
        <v>5615</v>
      </c>
      <c r="E4038" t="str">
        <f>"27661916102925"</f>
        <v>27661916102925</v>
      </c>
      <c r="F4038" s="8">
        <v>118</v>
      </c>
      <c r="G4038" s="8">
        <v>185</v>
      </c>
      <c r="H4038" s="8">
        <v>1889</v>
      </c>
      <c r="I4038" s="8">
        <v>12333</v>
      </c>
    </row>
    <row r="4039" spans="1:9" x14ac:dyDescent="0.2">
      <c r="A4039" t="s">
        <v>936</v>
      </c>
      <c r="B4039" t="s">
        <v>964</v>
      </c>
      <c r="C4039" t="str">
        <f t="shared" si="197"/>
        <v>27661910000000</v>
      </c>
      <c r="D4039" t="s">
        <v>5616</v>
      </c>
      <c r="E4039" t="str">
        <f>"27661910122911"</f>
        <v>27661910122911</v>
      </c>
      <c r="F4039" s="8">
        <v>26</v>
      </c>
      <c r="G4039" s="8">
        <v>80</v>
      </c>
      <c r="H4039" s="8">
        <v>1889</v>
      </c>
      <c r="I4039" s="8">
        <v>12427</v>
      </c>
    </row>
    <row r="4040" spans="1:9" x14ac:dyDescent="0.2">
      <c r="A4040" t="s">
        <v>936</v>
      </c>
      <c r="B4040" t="s">
        <v>965</v>
      </c>
      <c r="C4040" t="str">
        <f t="shared" ref="C4040:C4048" si="198">"27754400000000"</f>
        <v>27754400000000</v>
      </c>
      <c r="D4040" t="s">
        <v>5617</v>
      </c>
      <c r="E4040" t="str">
        <f>"27754400106112"</f>
        <v>27754400106112</v>
      </c>
      <c r="F4040" s="8">
        <v>6782</v>
      </c>
      <c r="G4040" s="8">
        <v>42020</v>
      </c>
      <c r="H4040" s="8">
        <v>4634</v>
      </c>
      <c r="I4040" s="8">
        <v>5587</v>
      </c>
    </row>
    <row r="4041" spans="1:9" x14ac:dyDescent="0.2">
      <c r="A4041" t="s">
        <v>936</v>
      </c>
      <c r="B4041" t="s">
        <v>965</v>
      </c>
      <c r="C4041" t="str">
        <f t="shared" si="198"/>
        <v>27754400000000</v>
      </c>
      <c r="D4041" t="s">
        <v>5618</v>
      </c>
      <c r="E4041" t="str">
        <f>"27754400111088"</f>
        <v>27754400111088</v>
      </c>
      <c r="F4041" s="8">
        <v>2843</v>
      </c>
      <c r="G4041" s="8">
        <v>8645</v>
      </c>
      <c r="H4041" s="8">
        <v>4634</v>
      </c>
      <c r="I4041" s="8">
        <v>5587</v>
      </c>
    </row>
    <row r="4042" spans="1:9" x14ac:dyDescent="0.2">
      <c r="A4042" t="s">
        <v>936</v>
      </c>
      <c r="B4042" t="s">
        <v>965</v>
      </c>
      <c r="C4042" t="str">
        <f t="shared" si="198"/>
        <v>27754400000000</v>
      </c>
      <c r="D4042" t="s">
        <v>5619</v>
      </c>
      <c r="E4042" t="str">
        <f>"27754406026686"</f>
        <v>27754406026686</v>
      </c>
      <c r="F4042" s="8">
        <v>2656</v>
      </c>
      <c r="G4042" s="8">
        <v>8733</v>
      </c>
      <c r="H4042" s="8">
        <v>4634</v>
      </c>
      <c r="I4042" s="8">
        <v>5587</v>
      </c>
    </row>
    <row r="4043" spans="1:9" x14ac:dyDescent="0.2">
      <c r="A4043" t="s">
        <v>936</v>
      </c>
      <c r="B4043" t="s">
        <v>965</v>
      </c>
      <c r="C4043" t="str">
        <f t="shared" si="198"/>
        <v>27754400000000</v>
      </c>
      <c r="D4043" t="s">
        <v>5620</v>
      </c>
      <c r="E4043" t="str">
        <f>"27754406026678"</f>
        <v>27754406026678</v>
      </c>
      <c r="F4043" s="8">
        <v>2032</v>
      </c>
      <c r="G4043" s="8">
        <v>8103</v>
      </c>
      <c r="H4043" s="8">
        <v>4634</v>
      </c>
      <c r="I4043" s="8">
        <v>5587</v>
      </c>
    </row>
    <row r="4044" spans="1:9" x14ac:dyDescent="0.2">
      <c r="A4044" t="s">
        <v>936</v>
      </c>
      <c r="B4044" t="s">
        <v>965</v>
      </c>
      <c r="C4044" t="str">
        <f t="shared" si="198"/>
        <v>27754400000000</v>
      </c>
      <c r="D4044" t="s">
        <v>5621</v>
      </c>
      <c r="E4044" t="str">
        <f>"27754406105472"</f>
        <v>27754406105472</v>
      </c>
      <c r="F4044" s="8">
        <v>2028</v>
      </c>
      <c r="G4044" s="8">
        <v>7581</v>
      </c>
      <c r="H4044" s="8">
        <v>4634</v>
      </c>
      <c r="I4044" s="8">
        <v>5587</v>
      </c>
    </row>
    <row r="4045" spans="1:9" x14ac:dyDescent="0.2">
      <c r="A4045" t="s">
        <v>936</v>
      </c>
      <c r="B4045" t="s">
        <v>965</v>
      </c>
      <c r="C4045" t="str">
        <f t="shared" si="198"/>
        <v>27754400000000</v>
      </c>
      <c r="D4045" t="s">
        <v>5622</v>
      </c>
      <c r="E4045" t="str">
        <f>"27754406118756"</f>
        <v>27754406118756</v>
      </c>
      <c r="F4045" s="8">
        <v>1747</v>
      </c>
      <c r="G4045" s="8">
        <v>7546</v>
      </c>
      <c r="H4045" s="8">
        <v>4634</v>
      </c>
      <c r="I4045" s="8">
        <v>5587</v>
      </c>
    </row>
    <row r="4046" spans="1:9" x14ac:dyDescent="0.2">
      <c r="A4046" t="s">
        <v>936</v>
      </c>
      <c r="B4046" t="s">
        <v>965</v>
      </c>
      <c r="C4046" t="str">
        <f t="shared" si="198"/>
        <v>27754400000000</v>
      </c>
      <c r="D4046" t="s">
        <v>5623</v>
      </c>
      <c r="E4046" t="str">
        <f>"27754402730190"</f>
        <v>27754402730190</v>
      </c>
      <c r="F4046" s="8">
        <v>1721</v>
      </c>
      <c r="G4046" s="8">
        <v>6355</v>
      </c>
      <c r="H4046" s="8">
        <v>4634</v>
      </c>
      <c r="I4046" s="8">
        <v>5587</v>
      </c>
    </row>
    <row r="4047" spans="1:9" x14ac:dyDescent="0.2">
      <c r="A4047" t="s">
        <v>936</v>
      </c>
      <c r="B4047" t="s">
        <v>965</v>
      </c>
      <c r="C4047" t="str">
        <f t="shared" si="198"/>
        <v>27754400000000</v>
      </c>
      <c r="D4047" t="s">
        <v>5624</v>
      </c>
      <c r="E4047" t="str">
        <f>"27754400106336"</f>
        <v>27754400106336</v>
      </c>
      <c r="F4047" s="8">
        <v>1170</v>
      </c>
      <c r="G4047" s="8">
        <v>6882</v>
      </c>
      <c r="H4047" s="8">
        <v>4634</v>
      </c>
      <c r="I4047" s="8">
        <v>5587</v>
      </c>
    </row>
    <row r="4048" spans="1:9" x14ac:dyDescent="0.2">
      <c r="A4048" t="s">
        <v>936</v>
      </c>
      <c r="B4048" t="s">
        <v>965</v>
      </c>
      <c r="C4048" t="str">
        <f t="shared" si="198"/>
        <v>27754400000000</v>
      </c>
      <c r="D4048" t="s">
        <v>5625</v>
      </c>
      <c r="E4048" t="str">
        <f>"27754400123406"</f>
        <v>27754400123406</v>
      </c>
      <c r="F4048" s="8" t="s">
        <v>30</v>
      </c>
      <c r="G4048" s="8" t="s">
        <v>30</v>
      </c>
      <c r="H4048" s="8" t="s">
        <v>30</v>
      </c>
      <c r="I4048" s="8" t="s">
        <v>30</v>
      </c>
    </row>
    <row r="4049" spans="1:9" x14ac:dyDescent="0.2">
      <c r="A4049" t="s">
        <v>936</v>
      </c>
      <c r="B4049" t="s">
        <v>966</v>
      </c>
      <c r="C4049" t="str">
        <f>"27660680000000"</f>
        <v>27660680000000</v>
      </c>
      <c r="D4049" t="s">
        <v>5626</v>
      </c>
      <c r="E4049" t="str">
        <f>"27660682730083"</f>
        <v>27660682730083</v>
      </c>
      <c r="F4049" s="8">
        <v>5601</v>
      </c>
      <c r="G4049" s="8">
        <v>27070</v>
      </c>
      <c r="H4049" s="8">
        <v>11</v>
      </c>
      <c r="I4049" s="8">
        <v>28</v>
      </c>
    </row>
    <row r="4050" spans="1:9" x14ac:dyDescent="0.2">
      <c r="A4050" t="s">
        <v>936</v>
      </c>
      <c r="B4050" t="s">
        <v>966</v>
      </c>
      <c r="C4050" t="str">
        <f>"27660680000000"</f>
        <v>27660680000000</v>
      </c>
      <c r="D4050" t="s">
        <v>5627</v>
      </c>
      <c r="E4050" t="str">
        <f>"27660682732170"</f>
        <v>27660682732170</v>
      </c>
      <c r="F4050" s="8">
        <v>2266</v>
      </c>
      <c r="G4050" s="8">
        <v>8267</v>
      </c>
      <c r="H4050" s="8">
        <v>429</v>
      </c>
      <c r="I4050" s="8">
        <v>1060</v>
      </c>
    </row>
    <row r="4051" spans="1:9" x14ac:dyDescent="0.2">
      <c r="A4051" t="s">
        <v>936</v>
      </c>
      <c r="B4051" t="s">
        <v>966</v>
      </c>
      <c r="C4051" t="str">
        <f>"27660680000000"</f>
        <v>27660680000000</v>
      </c>
      <c r="D4051" t="s">
        <v>5628</v>
      </c>
      <c r="E4051" t="str">
        <f>"27660682730174"</f>
        <v>27660682730174</v>
      </c>
      <c r="F4051" s="8">
        <v>1760</v>
      </c>
      <c r="G4051" s="8">
        <v>7352</v>
      </c>
      <c r="H4051" s="8">
        <v>479</v>
      </c>
      <c r="I4051" s="8">
        <v>1184</v>
      </c>
    </row>
    <row r="4052" spans="1:9" x14ac:dyDescent="0.2">
      <c r="A4052" t="s">
        <v>936</v>
      </c>
      <c r="B4052" t="s">
        <v>966</v>
      </c>
      <c r="C4052" t="str">
        <f>"27660680000000"</f>
        <v>27660680000000</v>
      </c>
      <c r="D4052" t="s">
        <v>5629</v>
      </c>
      <c r="E4052" t="str">
        <f>"27660680134254"</f>
        <v>27660680134254</v>
      </c>
      <c r="F4052" s="8">
        <v>62</v>
      </c>
      <c r="G4052" s="8">
        <v>7828</v>
      </c>
      <c r="H4052" s="8">
        <v>0</v>
      </c>
      <c r="I4052" s="8">
        <v>80</v>
      </c>
    </row>
    <row r="4053" spans="1:9" x14ac:dyDescent="0.2">
      <c r="A4053" t="s">
        <v>936</v>
      </c>
      <c r="B4053" t="s">
        <v>967</v>
      </c>
      <c r="C4053" t="str">
        <f>"27662250000000"</f>
        <v>27662250000000</v>
      </c>
      <c r="D4053" t="s">
        <v>5630</v>
      </c>
      <c r="E4053" t="str">
        <f>"27662256115182"</f>
        <v>27662256115182</v>
      </c>
      <c r="F4053" s="8">
        <v>501</v>
      </c>
      <c r="G4053" s="8">
        <v>9438</v>
      </c>
      <c r="H4053" s="8">
        <v>0</v>
      </c>
      <c r="I4053" s="8">
        <v>0</v>
      </c>
    </row>
    <row r="4054" spans="1:9" x14ac:dyDescent="0.2">
      <c r="A4054" t="s">
        <v>936</v>
      </c>
      <c r="B4054" t="s">
        <v>967</v>
      </c>
      <c r="C4054" t="str">
        <f>"27662250000000"</f>
        <v>27662250000000</v>
      </c>
      <c r="D4054" t="s">
        <v>5631</v>
      </c>
      <c r="E4054" t="str">
        <f>"27662256026694"</f>
        <v>27662256026694</v>
      </c>
      <c r="F4054" s="8">
        <v>552</v>
      </c>
      <c r="G4054" s="8">
        <v>8621</v>
      </c>
      <c r="H4054" s="8">
        <v>0</v>
      </c>
      <c r="I4054" s="8">
        <v>0</v>
      </c>
    </row>
    <row r="4055" spans="1:9" x14ac:dyDescent="0.2">
      <c r="A4055" t="s">
        <v>936</v>
      </c>
      <c r="B4055" t="s">
        <v>969</v>
      </c>
      <c r="C4055" t="str">
        <f>"27662330000000"</f>
        <v>27662330000000</v>
      </c>
      <c r="D4055" t="s">
        <v>2094</v>
      </c>
      <c r="E4055" t="str">
        <f>"27662336026710"</f>
        <v>27662336026710</v>
      </c>
      <c r="F4055" s="8">
        <v>558</v>
      </c>
      <c r="G4055" s="8">
        <v>8117</v>
      </c>
      <c r="H4055" s="8">
        <v>280</v>
      </c>
      <c r="I4055" s="8">
        <v>2365</v>
      </c>
    </row>
    <row r="4056" spans="1:9" x14ac:dyDescent="0.2">
      <c r="A4056" t="s">
        <v>936</v>
      </c>
      <c r="B4056" t="s">
        <v>969</v>
      </c>
      <c r="C4056" t="str">
        <f>"27662330000000"</f>
        <v>27662330000000</v>
      </c>
      <c r="D4056" t="s">
        <v>5632</v>
      </c>
      <c r="E4056" t="str">
        <f>"27662336092688"</f>
        <v>27662336092688</v>
      </c>
      <c r="F4056" s="8">
        <v>243</v>
      </c>
      <c r="G4056" s="8">
        <v>7269</v>
      </c>
      <c r="H4056" s="8">
        <v>280</v>
      </c>
      <c r="I4056" s="8">
        <v>2323</v>
      </c>
    </row>
    <row r="4057" spans="1:9" x14ac:dyDescent="0.2">
      <c r="A4057" t="s">
        <v>936</v>
      </c>
      <c r="B4057" t="s">
        <v>969</v>
      </c>
      <c r="C4057" t="str">
        <f>"27662330000000"</f>
        <v>27662330000000</v>
      </c>
      <c r="D4057" t="s">
        <v>5633</v>
      </c>
      <c r="E4057" t="str">
        <f>"27662336026702"</f>
        <v>27662336026702</v>
      </c>
      <c r="F4057" s="8">
        <v>138</v>
      </c>
      <c r="G4057" s="8">
        <v>6873</v>
      </c>
      <c r="H4057" s="8">
        <v>280</v>
      </c>
      <c r="I4057" s="8">
        <v>2388</v>
      </c>
    </row>
    <row r="4058" spans="1:9" x14ac:dyDescent="0.2">
      <c r="A4058" t="s">
        <v>970</v>
      </c>
      <c r="B4058" t="s">
        <v>971</v>
      </c>
      <c r="C4058" t="str">
        <f>"28662410000000"</f>
        <v>28662410000000</v>
      </c>
      <c r="D4058" t="s">
        <v>5634</v>
      </c>
      <c r="E4058" t="str">
        <f>"28662412831758"</f>
        <v>28662412831758</v>
      </c>
      <c r="F4058" s="8">
        <v>358</v>
      </c>
      <c r="G4058" s="8">
        <v>14100</v>
      </c>
      <c r="H4058" s="8">
        <v>1361</v>
      </c>
      <c r="I4058" s="8">
        <v>6325</v>
      </c>
    </row>
    <row r="4059" spans="1:9" x14ac:dyDescent="0.2">
      <c r="A4059" t="s">
        <v>970</v>
      </c>
      <c r="B4059" t="s">
        <v>971</v>
      </c>
      <c r="C4059" t="str">
        <f>"28662410000000"</f>
        <v>28662410000000</v>
      </c>
      <c r="D4059" t="s">
        <v>5635</v>
      </c>
      <c r="E4059" t="str">
        <f>"28662416026744"</f>
        <v>28662416026744</v>
      </c>
      <c r="F4059" s="8">
        <v>889</v>
      </c>
      <c r="G4059" s="8">
        <v>13184</v>
      </c>
      <c r="H4059" s="8">
        <v>1361</v>
      </c>
      <c r="I4059" s="8">
        <v>6325</v>
      </c>
    </row>
    <row r="4060" spans="1:9" x14ac:dyDescent="0.2">
      <c r="A4060" t="s">
        <v>970</v>
      </c>
      <c r="B4060" t="s">
        <v>971</v>
      </c>
      <c r="C4060" t="str">
        <f>"28662410000000"</f>
        <v>28662410000000</v>
      </c>
      <c r="D4060" t="s">
        <v>5636</v>
      </c>
      <c r="E4060" t="str">
        <f>"28662412830065"</f>
        <v>28662412830065</v>
      </c>
      <c r="F4060" s="8">
        <v>0</v>
      </c>
      <c r="G4060" s="8">
        <v>11095</v>
      </c>
      <c r="H4060" s="8">
        <v>1361</v>
      </c>
      <c r="I4060" s="8">
        <v>6325</v>
      </c>
    </row>
    <row r="4061" spans="1:9" x14ac:dyDescent="0.2">
      <c r="A4061" t="s">
        <v>970</v>
      </c>
      <c r="B4061" t="s">
        <v>972</v>
      </c>
      <c r="C4061" t="str">
        <f>"28662580000000"</f>
        <v>28662580000000</v>
      </c>
      <c r="D4061" t="s">
        <v>972</v>
      </c>
      <c r="E4061" t="str">
        <f>"28662586026751"</f>
        <v>28662586026751</v>
      </c>
      <c r="F4061" s="8">
        <v>2727</v>
      </c>
      <c r="G4061" s="8">
        <v>18558</v>
      </c>
      <c r="H4061" s="8">
        <v>0</v>
      </c>
      <c r="I4061" s="8">
        <v>0</v>
      </c>
    </row>
    <row r="4062" spans="1:9" x14ac:dyDescent="0.2">
      <c r="A4062" t="s">
        <v>970</v>
      </c>
      <c r="B4062" t="s">
        <v>973</v>
      </c>
      <c r="C4062" t="str">
        <f>"28102800000000"</f>
        <v>28102800000000</v>
      </c>
      <c r="D4062" t="s">
        <v>5637</v>
      </c>
      <c r="E4062" t="str">
        <f>"28102802830073"</f>
        <v>28102802830073</v>
      </c>
      <c r="F4062" s="8">
        <v>11390</v>
      </c>
      <c r="G4062" s="8">
        <v>51389</v>
      </c>
      <c r="H4062" s="8">
        <v>1278</v>
      </c>
      <c r="I4062" s="8">
        <v>2971</v>
      </c>
    </row>
    <row r="4063" spans="1:9" x14ac:dyDescent="0.2">
      <c r="A4063" t="s">
        <v>970</v>
      </c>
      <c r="B4063" t="s">
        <v>973</v>
      </c>
      <c r="C4063" t="str">
        <f>"28102800000000"</f>
        <v>28102800000000</v>
      </c>
      <c r="D4063" t="s">
        <v>5638</v>
      </c>
      <c r="E4063" t="str">
        <f>"28102802830099"</f>
        <v>28102802830099</v>
      </c>
      <c r="F4063" s="8">
        <v>5173</v>
      </c>
      <c r="G4063" s="8">
        <v>17616</v>
      </c>
      <c r="H4063" s="8">
        <v>75</v>
      </c>
      <c r="I4063" s="8">
        <v>1793</v>
      </c>
    </row>
    <row r="4064" spans="1:9" x14ac:dyDescent="0.2">
      <c r="A4064" t="s">
        <v>970</v>
      </c>
      <c r="B4064" t="s">
        <v>974</v>
      </c>
      <c r="C4064" t="str">
        <f t="shared" ref="C4064:C4090" si="199">"28662660000000"</f>
        <v>28662660000000</v>
      </c>
      <c r="D4064" t="s">
        <v>5639</v>
      </c>
      <c r="E4064" t="str">
        <f>"28662662830149"</f>
        <v>28662662830149</v>
      </c>
      <c r="F4064" s="8">
        <v>561</v>
      </c>
      <c r="G4064" s="8">
        <v>95</v>
      </c>
      <c r="H4064" s="8">
        <v>571</v>
      </c>
      <c r="I4064" s="8">
        <v>15770</v>
      </c>
    </row>
    <row r="4065" spans="1:9" x14ac:dyDescent="0.2">
      <c r="A4065" t="s">
        <v>970</v>
      </c>
      <c r="B4065" t="s">
        <v>974</v>
      </c>
      <c r="C4065" t="str">
        <f t="shared" si="199"/>
        <v>28662660000000</v>
      </c>
      <c r="D4065" t="s">
        <v>5640</v>
      </c>
      <c r="E4065" t="str">
        <f>"28662666026900"</f>
        <v>28662666026900</v>
      </c>
      <c r="F4065" s="8">
        <v>1066</v>
      </c>
      <c r="G4065" s="8">
        <v>59</v>
      </c>
      <c r="H4065" s="8">
        <v>888</v>
      </c>
      <c r="I4065" s="8">
        <v>10750</v>
      </c>
    </row>
    <row r="4066" spans="1:9" x14ac:dyDescent="0.2">
      <c r="A4066" t="s">
        <v>970</v>
      </c>
      <c r="B4066" t="s">
        <v>974</v>
      </c>
      <c r="C4066" t="str">
        <f t="shared" si="199"/>
        <v>28662660000000</v>
      </c>
      <c r="D4066" t="s">
        <v>5641</v>
      </c>
      <c r="E4066" t="str">
        <f>"28662666026777"</f>
        <v>28662666026777</v>
      </c>
      <c r="F4066" s="8">
        <v>894</v>
      </c>
      <c r="G4066" s="8">
        <v>54</v>
      </c>
      <c r="H4066" s="8">
        <v>554</v>
      </c>
      <c r="I4066" s="8">
        <v>11063</v>
      </c>
    </row>
    <row r="4067" spans="1:9" x14ac:dyDescent="0.2">
      <c r="A4067" t="s">
        <v>970</v>
      </c>
      <c r="B4067" t="s">
        <v>974</v>
      </c>
      <c r="C4067" t="str">
        <f t="shared" si="199"/>
        <v>28662660000000</v>
      </c>
      <c r="D4067" t="s">
        <v>5642</v>
      </c>
      <c r="E4067" t="str">
        <f>"28662666026769"</f>
        <v>28662666026769</v>
      </c>
      <c r="F4067" s="8">
        <v>107</v>
      </c>
      <c r="G4067" s="8">
        <v>59</v>
      </c>
      <c r="H4067" s="8">
        <v>554</v>
      </c>
      <c r="I4067" s="8">
        <v>11283</v>
      </c>
    </row>
    <row r="4068" spans="1:9" x14ac:dyDescent="0.2">
      <c r="A4068" t="s">
        <v>970</v>
      </c>
      <c r="B4068" t="s">
        <v>974</v>
      </c>
      <c r="C4068" t="str">
        <f t="shared" si="199"/>
        <v>28662660000000</v>
      </c>
      <c r="D4068" t="s">
        <v>3560</v>
      </c>
      <c r="E4068" t="str">
        <f>"28662660137992"</f>
        <v>28662660137992</v>
      </c>
      <c r="F4068" s="8">
        <v>915</v>
      </c>
      <c r="G4068" s="8">
        <v>159</v>
      </c>
      <c r="H4068" s="8">
        <v>555</v>
      </c>
      <c r="I4068" s="8">
        <v>10328</v>
      </c>
    </row>
    <row r="4069" spans="1:9" x14ac:dyDescent="0.2">
      <c r="A4069" t="s">
        <v>970</v>
      </c>
      <c r="B4069" t="s">
        <v>974</v>
      </c>
      <c r="C4069" t="str">
        <f t="shared" si="199"/>
        <v>28662660000000</v>
      </c>
      <c r="D4069" t="s">
        <v>5643</v>
      </c>
      <c r="E4069" t="str">
        <f>"28662660101964"</f>
        <v>28662660101964</v>
      </c>
      <c r="F4069" s="8">
        <v>173</v>
      </c>
      <c r="G4069" s="8">
        <v>86</v>
      </c>
      <c r="H4069" s="8">
        <v>554</v>
      </c>
      <c r="I4069" s="8">
        <v>11018</v>
      </c>
    </row>
    <row r="4070" spans="1:9" x14ac:dyDescent="0.2">
      <c r="A4070" t="s">
        <v>970</v>
      </c>
      <c r="B4070" t="s">
        <v>974</v>
      </c>
      <c r="C4070" t="str">
        <f t="shared" si="199"/>
        <v>28662660000000</v>
      </c>
      <c r="D4070" t="s">
        <v>5644</v>
      </c>
      <c r="E4070" t="str">
        <f>"28662666026942"</f>
        <v>28662666026942</v>
      </c>
      <c r="F4070" s="8">
        <v>444</v>
      </c>
      <c r="G4070" s="8">
        <v>41</v>
      </c>
      <c r="H4070" s="8">
        <v>957</v>
      </c>
      <c r="I4070" s="8">
        <v>10344</v>
      </c>
    </row>
    <row r="4071" spans="1:9" x14ac:dyDescent="0.2">
      <c r="A4071" t="s">
        <v>970</v>
      </c>
      <c r="B4071" t="s">
        <v>974</v>
      </c>
      <c r="C4071" t="str">
        <f t="shared" si="199"/>
        <v>28662660000000</v>
      </c>
      <c r="D4071" t="s">
        <v>5645</v>
      </c>
      <c r="E4071" t="str">
        <f>"28662666026850"</f>
        <v>28662666026850</v>
      </c>
      <c r="F4071" s="8">
        <v>277</v>
      </c>
      <c r="G4071" s="8">
        <v>75</v>
      </c>
      <c r="H4071" s="8">
        <v>910</v>
      </c>
      <c r="I4071" s="8">
        <v>10501</v>
      </c>
    </row>
    <row r="4072" spans="1:9" x14ac:dyDescent="0.2">
      <c r="A4072" t="s">
        <v>970</v>
      </c>
      <c r="B4072" t="s">
        <v>974</v>
      </c>
      <c r="C4072" t="str">
        <f t="shared" si="199"/>
        <v>28662660000000</v>
      </c>
      <c r="D4072" t="s">
        <v>5646</v>
      </c>
      <c r="E4072" t="str">
        <f>"28662666026934"</f>
        <v>28662666026934</v>
      </c>
      <c r="F4072" s="8">
        <v>232</v>
      </c>
      <c r="G4072" s="8">
        <v>35</v>
      </c>
      <c r="H4072" s="8">
        <v>852</v>
      </c>
      <c r="I4072" s="8">
        <v>10638</v>
      </c>
    </row>
    <row r="4073" spans="1:9" x14ac:dyDescent="0.2">
      <c r="A4073" t="s">
        <v>970</v>
      </c>
      <c r="B4073" t="s">
        <v>974</v>
      </c>
      <c r="C4073" t="str">
        <f t="shared" si="199"/>
        <v>28662660000000</v>
      </c>
      <c r="D4073" t="s">
        <v>5647</v>
      </c>
      <c r="E4073" t="str">
        <f>"28662662830115"</f>
        <v>28662662830115</v>
      </c>
      <c r="F4073" s="8">
        <v>0</v>
      </c>
      <c r="G4073" s="8">
        <v>230</v>
      </c>
      <c r="H4073" s="8">
        <v>558</v>
      </c>
      <c r="I4073" s="8">
        <v>10934</v>
      </c>
    </row>
    <row r="4074" spans="1:9" x14ac:dyDescent="0.2">
      <c r="A4074" t="s">
        <v>970</v>
      </c>
      <c r="B4074" t="s">
        <v>974</v>
      </c>
      <c r="C4074" t="str">
        <f t="shared" si="199"/>
        <v>28662660000000</v>
      </c>
      <c r="D4074" t="s">
        <v>248</v>
      </c>
      <c r="E4074" t="str">
        <f>"28662666026975"</f>
        <v>28662666026975</v>
      </c>
      <c r="F4074" s="8">
        <v>128</v>
      </c>
      <c r="G4074" s="8">
        <v>72</v>
      </c>
      <c r="H4074" s="8">
        <v>559</v>
      </c>
      <c r="I4074" s="8">
        <v>10884</v>
      </c>
    </row>
    <row r="4075" spans="1:9" x14ac:dyDescent="0.2">
      <c r="A4075" t="s">
        <v>970</v>
      </c>
      <c r="B4075" t="s">
        <v>974</v>
      </c>
      <c r="C4075" t="str">
        <f t="shared" si="199"/>
        <v>28662660000000</v>
      </c>
      <c r="D4075" t="s">
        <v>5648</v>
      </c>
      <c r="E4075" t="str">
        <f>"28662666026785"</f>
        <v>28662666026785</v>
      </c>
      <c r="F4075" s="8">
        <v>0</v>
      </c>
      <c r="G4075" s="8">
        <v>66</v>
      </c>
      <c r="H4075" s="8">
        <v>554</v>
      </c>
      <c r="I4075" s="8">
        <v>11000</v>
      </c>
    </row>
    <row r="4076" spans="1:9" x14ac:dyDescent="0.2">
      <c r="A4076" t="s">
        <v>970</v>
      </c>
      <c r="B4076" t="s">
        <v>974</v>
      </c>
      <c r="C4076" t="str">
        <f t="shared" si="199"/>
        <v>28662660000000</v>
      </c>
      <c r="D4076" t="s">
        <v>5649</v>
      </c>
      <c r="E4076" t="str">
        <f>"28662666113302"</f>
        <v>28662666113302</v>
      </c>
      <c r="F4076" s="8">
        <v>0</v>
      </c>
      <c r="G4076" s="8">
        <v>35</v>
      </c>
      <c r="H4076" s="8">
        <v>554</v>
      </c>
      <c r="I4076" s="8">
        <v>10990</v>
      </c>
    </row>
    <row r="4077" spans="1:9" x14ac:dyDescent="0.2">
      <c r="A4077" t="s">
        <v>970</v>
      </c>
      <c r="B4077" t="s">
        <v>974</v>
      </c>
      <c r="C4077" t="str">
        <f t="shared" si="199"/>
        <v>28662660000000</v>
      </c>
      <c r="D4077" t="s">
        <v>5650</v>
      </c>
      <c r="E4077" t="str">
        <f>"28662666026892"</f>
        <v>28662666026892</v>
      </c>
      <c r="F4077" s="8">
        <v>113</v>
      </c>
      <c r="G4077" s="8">
        <v>117</v>
      </c>
      <c r="H4077" s="8">
        <v>569</v>
      </c>
      <c r="I4077" s="8">
        <v>10746</v>
      </c>
    </row>
    <row r="4078" spans="1:9" x14ac:dyDescent="0.2">
      <c r="A4078" t="s">
        <v>970</v>
      </c>
      <c r="B4078" t="s">
        <v>974</v>
      </c>
      <c r="C4078" t="str">
        <f t="shared" si="199"/>
        <v>28662660000000</v>
      </c>
      <c r="D4078" t="s">
        <v>5651</v>
      </c>
      <c r="E4078" t="str">
        <f>"28662666026967"</f>
        <v>28662666026967</v>
      </c>
      <c r="F4078" s="8">
        <v>0</v>
      </c>
      <c r="G4078" s="8">
        <v>42</v>
      </c>
      <c r="H4078" s="8">
        <v>554</v>
      </c>
      <c r="I4078" s="8">
        <v>10730</v>
      </c>
    </row>
    <row r="4079" spans="1:9" x14ac:dyDescent="0.2">
      <c r="A4079" t="s">
        <v>970</v>
      </c>
      <c r="B4079" t="s">
        <v>974</v>
      </c>
      <c r="C4079" t="str">
        <f t="shared" si="199"/>
        <v>28662660000000</v>
      </c>
      <c r="D4079" t="s">
        <v>5652</v>
      </c>
      <c r="E4079" t="str">
        <f>"28662666058788"</f>
        <v>28662666058788</v>
      </c>
      <c r="F4079" s="8">
        <v>0</v>
      </c>
      <c r="G4079" s="8">
        <v>30</v>
      </c>
      <c r="H4079" s="8">
        <v>554</v>
      </c>
      <c r="I4079" s="8">
        <v>10723</v>
      </c>
    </row>
    <row r="4080" spans="1:9" x14ac:dyDescent="0.2">
      <c r="A4080" t="s">
        <v>970</v>
      </c>
      <c r="B4080" t="s">
        <v>974</v>
      </c>
      <c r="C4080" t="str">
        <f t="shared" si="199"/>
        <v>28662660000000</v>
      </c>
      <c r="D4080" t="s">
        <v>5653</v>
      </c>
      <c r="E4080" t="str">
        <f>"28662660101568"</f>
        <v>28662660101568</v>
      </c>
      <c r="F4080" s="8">
        <v>0</v>
      </c>
      <c r="G4080" s="8">
        <v>35</v>
      </c>
      <c r="H4080" s="8">
        <v>759</v>
      </c>
      <c r="I4080" s="8">
        <v>10509</v>
      </c>
    </row>
    <row r="4081" spans="1:9" x14ac:dyDescent="0.2">
      <c r="A4081" t="s">
        <v>970</v>
      </c>
      <c r="B4081" t="s">
        <v>974</v>
      </c>
      <c r="C4081" t="str">
        <f t="shared" si="199"/>
        <v>28662660000000</v>
      </c>
      <c r="D4081" t="s">
        <v>5654</v>
      </c>
      <c r="E4081" t="str">
        <f>"28662660121087"</f>
        <v>28662660121087</v>
      </c>
      <c r="F4081" s="8">
        <v>0</v>
      </c>
      <c r="G4081" s="8">
        <v>147</v>
      </c>
      <c r="H4081" s="8">
        <v>554</v>
      </c>
      <c r="I4081" s="8">
        <v>10536</v>
      </c>
    </row>
    <row r="4082" spans="1:9" x14ac:dyDescent="0.2">
      <c r="A4082" t="s">
        <v>970</v>
      </c>
      <c r="B4082" t="s">
        <v>974</v>
      </c>
      <c r="C4082" t="str">
        <f t="shared" si="199"/>
        <v>28662660000000</v>
      </c>
      <c r="D4082" t="s">
        <v>5655</v>
      </c>
      <c r="E4082" t="str">
        <f>"28662666026876"</f>
        <v>28662666026876</v>
      </c>
      <c r="F4082" s="8">
        <v>89</v>
      </c>
      <c r="G4082" s="8">
        <v>22</v>
      </c>
      <c r="H4082" s="8">
        <v>560</v>
      </c>
      <c r="I4082" s="8">
        <v>10501</v>
      </c>
    </row>
    <row r="4083" spans="1:9" x14ac:dyDescent="0.2">
      <c r="A4083" t="s">
        <v>970</v>
      </c>
      <c r="B4083" t="s">
        <v>974</v>
      </c>
      <c r="C4083" t="str">
        <f t="shared" si="199"/>
        <v>28662660000000</v>
      </c>
      <c r="D4083" t="s">
        <v>5656</v>
      </c>
      <c r="E4083" t="str">
        <f>"28662662835601"</f>
        <v>28662662835601</v>
      </c>
      <c r="F4083" s="8">
        <v>0</v>
      </c>
      <c r="G4083" s="8">
        <v>127</v>
      </c>
      <c r="H4083" s="8">
        <v>557</v>
      </c>
      <c r="I4083" s="8">
        <v>10421</v>
      </c>
    </row>
    <row r="4084" spans="1:9" x14ac:dyDescent="0.2">
      <c r="A4084" t="s">
        <v>970</v>
      </c>
      <c r="B4084" t="s">
        <v>974</v>
      </c>
      <c r="C4084" t="str">
        <f t="shared" si="199"/>
        <v>28662660000000</v>
      </c>
      <c r="D4084" t="s">
        <v>5657</v>
      </c>
      <c r="E4084" t="str">
        <f>"28662666026983"</f>
        <v>28662666026983</v>
      </c>
      <c r="F4084" s="8">
        <v>180</v>
      </c>
      <c r="G4084" s="8">
        <v>59</v>
      </c>
      <c r="H4084" s="8">
        <v>564</v>
      </c>
      <c r="I4084" s="8">
        <v>10291</v>
      </c>
    </row>
    <row r="4085" spans="1:9" x14ac:dyDescent="0.2">
      <c r="A4085" t="s">
        <v>970</v>
      </c>
      <c r="B4085" t="s">
        <v>974</v>
      </c>
      <c r="C4085" t="str">
        <f t="shared" si="199"/>
        <v>28662660000000</v>
      </c>
      <c r="D4085" t="s">
        <v>5658</v>
      </c>
      <c r="E4085" t="str">
        <f>"28662666058796"</f>
        <v>28662666058796</v>
      </c>
      <c r="F4085" s="8">
        <v>0</v>
      </c>
      <c r="G4085" s="8">
        <v>51</v>
      </c>
      <c r="H4085" s="8">
        <v>555</v>
      </c>
      <c r="I4085" s="8">
        <v>10473</v>
      </c>
    </row>
    <row r="4086" spans="1:9" x14ac:dyDescent="0.2">
      <c r="A4086" t="s">
        <v>970</v>
      </c>
      <c r="B4086" t="s">
        <v>974</v>
      </c>
      <c r="C4086" t="str">
        <f t="shared" si="199"/>
        <v>28662660000000</v>
      </c>
      <c r="D4086" t="s">
        <v>5659</v>
      </c>
      <c r="E4086" t="str">
        <f>"28662662830016"</f>
        <v>28662662830016</v>
      </c>
      <c r="F4086" s="8">
        <v>0</v>
      </c>
      <c r="G4086" s="8">
        <v>124</v>
      </c>
      <c r="H4086" s="8">
        <v>556</v>
      </c>
      <c r="I4086" s="8">
        <v>10232</v>
      </c>
    </row>
    <row r="4087" spans="1:9" x14ac:dyDescent="0.2">
      <c r="A4087" t="s">
        <v>970</v>
      </c>
      <c r="B4087" t="s">
        <v>974</v>
      </c>
      <c r="C4087" t="str">
        <f t="shared" si="199"/>
        <v>28662660000000</v>
      </c>
      <c r="D4087" t="s">
        <v>5660</v>
      </c>
      <c r="E4087" t="str">
        <f>"28662660109140"</f>
        <v>28662660109140</v>
      </c>
      <c r="F4087" s="8">
        <v>103</v>
      </c>
      <c r="G4087" s="8">
        <v>75</v>
      </c>
      <c r="H4087" s="8">
        <v>563</v>
      </c>
      <c r="I4087" s="8">
        <v>10156</v>
      </c>
    </row>
    <row r="4088" spans="1:9" x14ac:dyDescent="0.2">
      <c r="A4088" t="s">
        <v>970</v>
      </c>
      <c r="B4088" t="s">
        <v>974</v>
      </c>
      <c r="C4088" t="str">
        <f t="shared" si="199"/>
        <v>28662660000000</v>
      </c>
      <c r="D4088" t="s">
        <v>5661</v>
      </c>
      <c r="E4088" t="str">
        <f>"28662666026827"</f>
        <v>28662666026827</v>
      </c>
      <c r="F4088" s="8">
        <v>124</v>
      </c>
      <c r="G4088" s="8">
        <v>69</v>
      </c>
      <c r="H4088" s="8">
        <v>565</v>
      </c>
      <c r="I4088" s="8">
        <v>10103</v>
      </c>
    </row>
    <row r="4089" spans="1:9" x14ac:dyDescent="0.2">
      <c r="A4089" t="s">
        <v>970</v>
      </c>
      <c r="B4089" t="s">
        <v>974</v>
      </c>
      <c r="C4089" t="str">
        <f t="shared" si="199"/>
        <v>28662660000000</v>
      </c>
      <c r="D4089" t="s">
        <v>5662</v>
      </c>
      <c r="E4089" t="str">
        <f>"28662666026918"</f>
        <v>28662666026918</v>
      </c>
      <c r="F4089" s="8">
        <v>128</v>
      </c>
      <c r="G4089" s="8">
        <v>62</v>
      </c>
      <c r="H4089" s="8">
        <v>669</v>
      </c>
      <c r="I4089" s="8">
        <v>9888</v>
      </c>
    </row>
    <row r="4090" spans="1:9" x14ac:dyDescent="0.2">
      <c r="A4090" t="s">
        <v>970</v>
      </c>
      <c r="B4090" t="s">
        <v>974</v>
      </c>
      <c r="C4090" t="str">
        <f t="shared" si="199"/>
        <v>28662660000000</v>
      </c>
      <c r="D4090" t="s">
        <v>5663</v>
      </c>
      <c r="E4090" t="str">
        <f>"28662666115240"</f>
        <v>28662666115240</v>
      </c>
      <c r="F4090" s="8">
        <v>0</v>
      </c>
      <c r="G4090" s="8">
        <v>37</v>
      </c>
      <c r="H4090" s="8">
        <v>554</v>
      </c>
      <c r="I4090" s="8">
        <v>10019</v>
      </c>
    </row>
    <row r="4091" spans="1:9" x14ac:dyDescent="0.2">
      <c r="A4091" t="s">
        <v>970</v>
      </c>
      <c r="B4091" t="s">
        <v>975</v>
      </c>
      <c r="C4091" t="str">
        <f>"28662820000000"</f>
        <v>28662820000000</v>
      </c>
      <c r="D4091" t="s">
        <v>5664</v>
      </c>
      <c r="E4091" t="str">
        <f>"28662826027015"</f>
        <v>28662826027015</v>
      </c>
      <c r="F4091" s="8">
        <v>551</v>
      </c>
      <c r="G4091" s="8">
        <v>31484</v>
      </c>
      <c r="H4091" s="8">
        <v>0</v>
      </c>
      <c r="I4091" s="8">
        <v>0</v>
      </c>
    </row>
    <row r="4092" spans="1:9" x14ac:dyDescent="0.2">
      <c r="A4092" t="s">
        <v>970</v>
      </c>
      <c r="B4092" t="s">
        <v>976</v>
      </c>
      <c r="C4092" t="str">
        <f>"28662900000000"</f>
        <v>28662900000000</v>
      </c>
      <c r="D4092" t="s">
        <v>5665</v>
      </c>
      <c r="E4092" t="str">
        <f>"28662906027031"</f>
        <v>28662906027031</v>
      </c>
      <c r="F4092" s="8">
        <v>832</v>
      </c>
      <c r="G4092" s="8">
        <v>22963</v>
      </c>
      <c r="H4092" s="8">
        <v>802</v>
      </c>
      <c r="I4092" s="8">
        <v>10069</v>
      </c>
    </row>
    <row r="4093" spans="1:9" x14ac:dyDescent="0.2">
      <c r="A4093" t="s">
        <v>970</v>
      </c>
      <c r="B4093" t="s">
        <v>976</v>
      </c>
      <c r="C4093" t="str">
        <f>"28662900000000"</f>
        <v>28662900000000</v>
      </c>
      <c r="D4093" t="s">
        <v>5666</v>
      </c>
      <c r="E4093" t="str">
        <f>"28662902837102"</f>
        <v>28662902837102</v>
      </c>
      <c r="F4093" s="8">
        <v>615</v>
      </c>
      <c r="G4093" s="8">
        <v>20564</v>
      </c>
      <c r="H4093" s="8">
        <v>802</v>
      </c>
      <c r="I4093" s="8">
        <v>10069</v>
      </c>
    </row>
    <row r="4094" spans="1:9" x14ac:dyDescent="0.2">
      <c r="A4094" t="s">
        <v>970</v>
      </c>
      <c r="B4094" t="s">
        <v>976</v>
      </c>
      <c r="C4094" t="str">
        <f>"28662900000000"</f>
        <v>28662900000000</v>
      </c>
      <c r="D4094" t="s">
        <v>5667</v>
      </c>
      <c r="E4094" t="str">
        <f>"28662906027049"</f>
        <v>28662906027049</v>
      </c>
      <c r="F4094" s="8">
        <v>1068</v>
      </c>
      <c r="G4094" s="8">
        <v>19686</v>
      </c>
      <c r="H4094" s="8">
        <v>802</v>
      </c>
      <c r="I4094" s="8">
        <v>10069</v>
      </c>
    </row>
    <row r="4095" spans="1:9" x14ac:dyDescent="0.2">
      <c r="A4095" t="s">
        <v>970</v>
      </c>
      <c r="B4095" t="s">
        <v>976</v>
      </c>
      <c r="C4095" t="str">
        <f>"28662900000000"</f>
        <v>28662900000000</v>
      </c>
      <c r="D4095" t="s">
        <v>5668</v>
      </c>
      <c r="E4095" t="str">
        <f>"28662906117964"</f>
        <v>28662906117964</v>
      </c>
      <c r="F4095" s="8">
        <v>1705</v>
      </c>
      <c r="G4095" s="8">
        <v>18816</v>
      </c>
      <c r="H4095" s="8">
        <v>802</v>
      </c>
      <c r="I4095" s="8">
        <v>10069</v>
      </c>
    </row>
    <row r="4096" spans="1:9" x14ac:dyDescent="0.2">
      <c r="A4096" t="s">
        <v>978</v>
      </c>
      <c r="B4096" t="s">
        <v>979</v>
      </c>
      <c r="C4096" t="str">
        <f>"29663160000000"</f>
        <v>29663160000000</v>
      </c>
      <c r="D4096" t="s">
        <v>5669</v>
      </c>
      <c r="E4096" t="str">
        <f>"29663160125013"</f>
        <v>29663160125013</v>
      </c>
      <c r="F4096" s="8">
        <v>800</v>
      </c>
      <c r="G4096" s="8">
        <v>10320</v>
      </c>
      <c r="H4096" s="8">
        <v>0</v>
      </c>
      <c r="I4096" s="8">
        <v>0</v>
      </c>
    </row>
    <row r="4097" spans="1:9" x14ac:dyDescent="0.2">
      <c r="A4097" t="s">
        <v>978</v>
      </c>
      <c r="B4097" t="s">
        <v>979</v>
      </c>
      <c r="C4097" t="str">
        <f>"29663160000000"</f>
        <v>29663160000000</v>
      </c>
      <c r="D4097" t="s">
        <v>979</v>
      </c>
      <c r="E4097" t="str">
        <f>"29663166027080"</f>
        <v>29663166027080</v>
      </c>
      <c r="F4097" s="8">
        <v>800</v>
      </c>
      <c r="G4097" s="8">
        <v>10320</v>
      </c>
      <c r="H4097" s="8">
        <v>0</v>
      </c>
      <c r="I4097" s="8">
        <v>0</v>
      </c>
    </row>
    <row r="4098" spans="1:9" x14ac:dyDescent="0.2">
      <c r="A4098" t="s">
        <v>978</v>
      </c>
      <c r="B4098" t="s">
        <v>980</v>
      </c>
      <c r="C4098" t="str">
        <f>"29663240000000"</f>
        <v>29663240000000</v>
      </c>
      <c r="D4098" t="s">
        <v>980</v>
      </c>
      <c r="E4098" t="str">
        <f>"29663246027098"</f>
        <v>29663246027098</v>
      </c>
      <c r="F4098" s="8">
        <v>1045</v>
      </c>
      <c r="G4098" s="8">
        <v>9460</v>
      </c>
      <c r="H4098" s="8">
        <v>0</v>
      </c>
      <c r="I4098" s="8">
        <v>0</v>
      </c>
    </row>
    <row r="4099" spans="1:9" x14ac:dyDescent="0.2">
      <c r="A4099" t="s">
        <v>978</v>
      </c>
      <c r="B4099" t="s">
        <v>982</v>
      </c>
      <c r="C4099" t="str">
        <f>"29663320000000"</f>
        <v>29663320000000</v>
      </c>
      <c r="D4099" t="s">
        <v>5670</v>
      </c>
      <c r="E4099" t="str">
        <f>"29663326106157"</f>
        <v>29663326106157</v>
      </c>
      <c r="F4099" s="8">
        <v>2156</v>
      </c>
      <c r="G4099" s="8">
        <v>8119</v>
      </c>
      <c r="H4099" s="8">
        <v>297</v>
      </c>
      <c r="I4099" s="8">
        <v>1927</v>
      </c>
    </row>
    <row r="4100" spans="1:9" x14ac:dyDescent="0.2">
      <c r="A4100" t="s">
        <v>978</v>
      </c>
      <c r="B4100" t="s">
        <v>982</v>
      </c>
      <c r="C4100" t="str">
        <f>"29663320000000"</f>
        <v>29663320000000</v>
      </c>
      <c r="D4100" t="s">
        <v>5671</v>
      </c>
      <c r="E4100" t="str">
        <f>"29663320125955"</f>
        <v>29663320125955</v>
      </c>
      <c r="F4100" s="8">
        <v>1535</v>
      </c>
      <c r="G4100" s="8">
        <v>8226</v>
      </c>
      <c r="H4100" s="8">
        <v>297</v>
      </c>
      <c r="I4100" s="8">
        <v>1927</v>
      </c>
    </row>
    <row r="4101" spans="1:9" x14ac:dyDescent="0.2">
      <c r="A4101" t="s">
        <v>978</v>
      </c>
      <c r="B4101" t="s">
        <v>982</v>
      </c>
      <c r="C4101" t="str">
        <f>"29663320000000"</f>
        <v>29663320000000</v>
      </c>
      <c r="D4101" t="s">
        <v>5672</v>
      </c>
      <c r="E4101" t="str">
        <f>"29663326111140"</f>
        <v>29663326111140</v>
      </c>
      <c r="F4101" s="8">
        <v>916</v>
      </c>
      <c r="G4101" s="8">
        <v>8347</v>
      </c>
      <c r="H4101" s="8">
        <v>297</v>
      </c>
      <c r="I4101" s="8">
        <v>1927</v>
      </c>
    </row>
    <row r="4102" spans="1:9" x14ac:dyDescent="0.2">
      <c r="A4102" t="s">
        <v>978</v>
      </c>
      <c r="B4102" t="s">
        <v>982</v>
      </c>
      <c r="C4102" t="str">
        <f>"29663320000000"</f>
        <v>29663320000000</v>
      </c>
      <c r="D4102" t="s">
        <v>5673</v>
      </c>
      <c r="E4102" t="str">
        <f>"29663326027122"</f>
        <v>29663326027122</v>
      </c>
      <c r="F4102" s="8">
        <v>1284</v>
      </c>
      <c r="G4102" s="8">
        <v>7796</v>
      </c>
      <c r="H4102" s="8">
        <v>297</v>
      </c>
      <c r="I4102" s="8">
        <v>1927</v>
      </c>
    </row>
    <row r="4103" spans="1:9" x14ac:dyDescent="0.2">
      <c r="A4103" t="s">
        <v>978</v>
      </c>
      <c r="B4103" t="s">
        <v>984</v>
      </c>
      <c r="C4103" t="str">
        <f>"29663400000000"</f>
        <v>29663400000000</v>
      </c>
      <c r="D4103" t="s">
        <v>5674</v>
      </c>
      <c r="E4103" t="str">
        <f>"29663406097315"</f>
        <v>29663406097315</v>
      </c>
      <c r="F4103" s="8">
        <v>496</v>
      </c>
      <c r="G4103" s="8">
        <v>7733</v>
      </c>
      <c r="H4103" s="8">
        <v>540</v>
      </c>
      <c r="I4103" s="8">
        <v>4467</v>
      </c>
    </row>
    <row r="4104" spans="1:9" x14ac:dyDescent="0.2">
      <c r="A4104" t="s">
        <v>978</v>
      </c>
      <c r="B4104" t="s">
        <v>984</v>
      </c>
      <c r="C4104" t="str">
        <f>"29663400000000"</f>
        <v>29663400000000</v>
      </c>
      <c r="D4104" t="s">
        <v>5675</v>
      </c>
      <c r="E4104" t="str">
        <f>"29663406027148"</f>
        <v>29663406027148</v>
      </c>
      <c r="F4104" s="8">
        <v>280</v>
      </c>
      <c r="G4104" s="8">
        <v>6547</v>
      </c>
      <c r="H4104" s="8">
        <v>540</v>
      </c>
      <c r="I4104" s="8">
        <v>4467</v>
      </c>
    </row>
    <row r="4105" spans="1:9" x14ac:dyDescent="0.2">
      <c r="A4105" t="s">
        <v>978</v>
      </c>
      <c r="B4105" t="s">
        <v>986</v>
      </c>
      <c r="C4105" t="str">
        <f t="shared" ref="C4105:C4110" si="200">"29102980000000"</f>
        <v>29102980000000</v>
      </c>
      <c r="D4105" t="s">
        <v>5676</v>
      </c>
      <c r="E4105" t="str">
        <f>"29102980116681"</f>
        <v>29102980116681</v>
      </c>
      <c r="F4105" s="8">
        <v>30779</v>
      </c>
      <c r="G4105" s="8">
        <v>92840</v>
      </c>
      <c r="H4105" s="8">
        <v>0</v>
      </c>
      <c r="I4105" s="8">
        <v>0</v>
      </c>
    </row>
    <row r="4106" spans="1:9" x14ac:dyDescent="0.2">
      <c r="A4106" t="s">
        <v>978</v>
      </c>
      <c r="B4106" t="s">
        <v>986</v>
      </c>
      <c r="C4106" t="str">
        <f t="shared" si="200"/>
        <v>29102980000000</v>
      </c>
      <c r="D4106" t="s">
        <v>5677</v>
      </c>
      <c r="E4106" t="str">
        <f>"29102986077226"</f>
        <v>29102986077226</v>
      </c>
      <c r="F4106" s="8">
        <v>6266</v>
      </c>
      <c r="G4106" s="8">
        <v>101132</v>
      </c>
      <c r="H4106" s="8">
        <v>0</v>
      </c>
      <c r="I4106" s="8">
        <v>0</v>
      </c>
    </row>
    <row r="4107" spans="1:9" x14ac:dyDescent="0.2">
      <c r="A4107" t="s">
        <v>978</v>
      </c>
      <c r="B4107" t="s">
        <v>986</v>
      </c>
      <c r="C4107" t="str">
        <f t="shared" si="200"/>
        <v>29102980000000</v>
      </c>
      <c r="D4107" t="s">
        <v>5678</v>
      </c>
      <c r="E4107" t="str">
        <f>"29102980116913"</f>
        <v>29102980116913</v>
      </c>
      <c r="F4107" s="8">
        <v>11937</v>
      </c>
      <c r="G4107" s="8">
        <v>34533</v>
      </c>
      <c r="H4107" s="8">
        <v>0</v>
      </c>
      <c r="I4107" s="8">
        <v>0</v>
      </c>
    </row>
    <row r="4108" spans="1:9" x14ac:dyDescent="0.2">
      <c r="A4108" t="s">
        <v>978</v>
      </c>
      <c r="B4108" t="s">
        <v>986</v>
      </c>
      <c r="C4108" t="str">
        <f t="shared" si="200"/>
        <v>29102980000000</v>
      </c>
      <c r="D4108" t="s">
        <v>5679</v>
      </c>
      <c r="E4108" t="str">
        <f>"29102980114314"</f>
        <v>29102980114314</v>
      </c>
      <c r="F4108" s="8">
        <v>889</v>
      </c>
      <c r="G4108" s="8">
        <v>11330</v>
      </c>
      <c r="H4108" s="8">
        <v>0</v>
      </c>
      <c r="I4108" s="8">
        <v>0</v>
      </c>
    </row>
    <row r="4109" spans="1:9" x14ac:dyDescent="0.2">
      <c r="A4109" t="s">
        <v>978</v>
      </c>
      <c r="B4109" t="s">
        <v>986</v>
      </c>
      <c r="C4109" t="str">
        <f t="shared" si="200"/>
        <v>29102980000000</v>
      </c>
      <c r="D4109" t="s">
        <v>5680</v>
      </c>
      <c r="E4109" t="str">
        <f>"29102980126219"</f>
        <v>29102980126219</v>
      </c>
      <c r="F4109" s="8">
        <v>242</v>
      </c>
      <c r="G4109" s="8">
        <v>10727</v>
      </c>
      <c r="H4109" s="8">
        <v>0</v>
      </c>
      <c r="I4109" s="8">
        <v>0</v>
      </c>
    </row>
    <row r="4110" spans="1:9" x14ac:dyDescent="0.2">
      <c r="A4110" t="s">
        <v>978</v>
      </c>
      <c r="B4110" t="s">
        <v>986</v>
      </c>
      <c r="C4110" t="str">
        <f t="shared" si="200"/>
        <v>29102980000000</v>
      </c>
      <c r="D4110" t="s">
        <v>5681</v>
      </c>
      <c r="E4110" t="str">
        <f>"29102980126227"</f>
        <v>29102980126227</v>
      </c>
      <c r="F4110" s="8">
        <v>94</v>
      </c>
      <c r="G4110" s="8">
        <v>8869</v>
      </c>
      <c r="H4110" s="8">
        <v>0</v>
      </c>
      <c r="I4110" s="8">
        <v>0</v>
      </c>
    </row>
    <row r="4111" spans="1:9" x14ac:dyDescent="0.2">
      <c r="A4111" t="s">
        <v>978</v>
      </c>
      <c r="B4111" t="s">
        <v>987</v>
      </c>
      <c r="C4111" t="str">
        <f>"29663570000000"</f>
        <v>29663570000000</v>
      </c>
      <c r="D4111" t="s">
        <v>5682</v>
      </c>
      <c r="E4111" t="str">
        <f>"29663572930071"</f>
        <v>29663572930071</v>
      </c>
      <c r="F4111" s="8">
        <v>1059</v>
      </c>
      <c r="G4111" s="8">
        <v>13932</v>
      </c>
      <c r="H4111" s="8">
        <v>482</v>
      </c>
      <c r="I4111" s="8">
        <v>3413</v>
      </c>
    </row>
    <row r="4112" spans="1:9" x14ac:dyDescent="0.2">
      <c r="A4112" t="s">
        <v>978</v>
      </c>
      <c r="B4112" t="s">
        <v>987</v>
      </c>
      <c r="C4112" t="str">
        <f>"29663570000000"</f>
        <v>29663570000000</v>
      </c>
      <c r="D4112" t="s">
        <v>5683</v>
      </c>
      <c r="E4112" t="str">
        <f>"29663572930048"</f>
        <v>29663572930048</v>
      </c>
      <c r="F4112" s="8">
        <v>869</v>
      </c>
      <c r="G4112" s="8">
        <v>12345</v>
      </c>
      <c r="H4112" s="8">
        <v>482</v>
      </c>
      <c r="I4112" s="8">
        <v>3413</v>
      </c>
    </row>
    <row r="4113" spans="1:9" x14ac:dyDescent="0.2">
      <c r="A4113" t="s">
        <v>978</v>
      </c>
      <c r="B4113" t="s">
        <v>987</v>
      </c>
      <c r="C4113" t="str">
        <f>"29663570000000"</f>
        <v>29663570000000</v>
      </c>
      <c r="D4113" t="s">
        <v>5684</v>
      </c>
      <c r="E4113" t="str">
        <f>"29663572935500"</f>
        <v>29663572935500</v>
      </c>
      <c r="F4113" s="8">
        <v>1048</v>
      </c>
      <c r="G4113" s="8">
        <v>10304</v>
      </c>
      <c r="H4113" s="8">
        <v>482</v>
      </c>
      <c r="I4113" s="8">
        <v>3413</v>
      </c>
    </row>
    <row r="4114" spans="1:9" x14ac:dyDescent="0.2">
      <c r="A4114" t="s">
        <v>978</v>
      </c>
      <c r="B4114" t="s">
        <v>987</v>
      </c>
      <c r="C4114" t="str">
        <f>"29663570000000"</f>
        <v>29663570000000</v>
      </c>
      <c r="D4114" t="s">
        <v>5685</v>
      </c>
      <c r="E4114" t="str">
        <f>"29663572930030"</f>
        <v>29663572930030</v>
      </c>
      <c r="F4114" s="8">
        <v>101</v>
      </c>
      <c r="G4114" s="8">
        <v>8915</v>
      </c>
      <c r="H4114" s="8">
        <v>482</v>
      </c>
      <c r="I4114" s="8">
        <v>3413</v>
      </c>
    </row>
    <row r="4115" spans="1:9" x14ac:dyDescent="0.2">
      <c r="A4115" t="s">
        <v>978</v>
      </c>
      <c r="B4115" t="s">
        <v>987</v>
      </c>
      <c r="C4115" t="str">
        <f>"29663570000000"</f>
        <v>29663570000000</v>
      </c>
      <c r="D4115" t="s">
        <v>5686</v>
      </c>
      <c r="E4115" t="str">
        <f>"29663570112367"</f>
        <v>29663570112367</v>
      </c>
      <c r="F4115" s="8">
        <v>42</v>
      </c>
      <c r="G4115" s="8">
        <v>5965</v>
      </c>
      <c r="H4115" s="8">
        <v>482</v>
      </c>
      <c r="I4115" s="8">
        <v>3413</v>
      </c>
    </row>
    <row r="4116" spans="1:9" x14ac:dyDescent="0.2">
      <c r="A4116" t="s">
        <v>978</v>
      </c>
      <c r="B4116" t="s">
        <v>988</v>
      </c>
      <c r="C4116" t="str">
        <f>"29768770000000"</f>
        <v>29768770000000</v>
      </c>
      <c r="D4116" t="s">
        <v>5687</v>
      </c>
      <c r="E4116" t="str">
        <f>"29768776110746"</f>
        <v>29768776110746</v>
      </c>
      <c r="F4116" s="8">
        <v>1024</v>
      </c>
      <c r="G4116" s="8">
        <v>6199</v>
      </c>
      <c r="H4116" s="8">
        <v>974</v>
      </c>
      <c r="I4116" s="8">
        <v>1751</v>
      </c>
    </row>
    <row r="4117" spans="1:9" x14ac:dyDescent="0.2">
      <c r="A4117" t="s">
        <v>978</v>
      </c>
      <c r="B4117" t="s">
        <v>988</v>
      </c>
      <c r="C4117" t="str">
        <f>"29768770000000"</f>
        <v>29768770000000</v>
      </c>
      <c r="D4117" t="s">
        <v>5688</v>
      </c>
      <c r="E4117" t="str">
        <f>"29768776027189"</f>
        <v>29768776027189</v>
      </c>
      <c r="F4117" s="8">
        <v>1261</v>
      </c>
      <c r="G4117" s="8">
        <v>5526</v>
      </c>
      <c r="H4117" s="8">
        <v>974</v>
      </c>
      <c r="I4117" s="8">
        <v>1751</v>
      </c>
    </row>
    <row r="4118" spans="1:9" x14ac:dyDescent="0.2">
      <c r="A4118" t="s">
        <v>978</v>
      </c>
      <c r="B4118" t="s">
        <v>988</v>
      </c>
      <c r="C4118" t="str">
        <f>"29768770000000"</f>
        <v>29768770000000</v>
      </c>
      <c r="D4118" t="s">
        <v>5689</v>
      </c>
      <c r="E4118" t="str">
        <f>"29768776111371"</f>
        <v>29768776111371</v>
      </c>
      <c r="F4118" s="8">
        <v>39</v>
      </c>
      <c r="G4118" s="8">
        <v>6631</v>
      </c>
      <c r="H4118" s="8">
        <v>974</v>
      </c>
      <c r="I4118" s="8">
        <v>1751</v>
      </c>
    </row>
    <row r="4119" spans="1:9" x14ac:dyDescent="0.2">
      <c r="A4119" t="s">
        <v>978</v>
      </c>
      <c r="B4119" t="s">
        <v>989</v>
      </c>
      <c r="C4119" t="str">
        <f>"29663730000000"</f>
        <v>29663730000000</v>
      </c>
      <c r="D4119" t="s">
        <v>5690</v>
      </c>
      <c r="E4119" t="str">
        <f>"29663736101018"</f>
        <v>29663736101018</v>
      </c>
      <c r="F4119" s="8">
        <v>1292</v>
      </c>
      <c r="G4119" s="8">
        <v>6980</v>
      </c>
      <c r="H4119" s="8">
        <v>0</v>
      </c>
      <c r="I4119" s="8">
        <v>2852</v>
      </c>
    </row>
    <row r="4120" spans="1:9" x14ac:dyDescent="0.2">
      <c r="A4120" t="s">
        <v>978</v>
      </c>
      <c r="B4120" t="s">
        <v>989</v>
      </c>
      <c r="C4120" t="str">
        <f>"29663730000000"</f>
        <v>29663730000000</v>
      </c>
      <c r="D4120" t="s">
        <v>5691</v>
      </c>
      <c r="E4120" t="str">
        <f>"29663736105811"</f>
        <v>29663736105811</v>
      </c>
      <c r="F4120" s="8">
        <v>1228</v>
      </c>
      <c r="G4120" s="8">
        <v>6894</v>
      </c>
      <c r="H4120" s="8">
        <v>0</v>
      </c>
      <c r="I4120" s="8">
        <v>2852</v>
      </c>
    </row>
    <row r="4121" spans="1:9" x14ac:dyDescent="0.2">
      <c r="A4121" t="s">
        <v>978</v>
      </c>
      <c r="B4121" t="s">
        <v>989</v>
      </c>
      <c r="C4121" t="str">
        <f>"29663730000000"</f>
        <v>29663730000000</v>
      </c>
      <c r="D4121" t="s">
        <v>5692</v>
      </c>
      <c r="E4121" t="str">
        <f>"29663730136424"</f>
        <v>29663730136424</v>
      </c>
      <c r="F4121" s="8">
        <v>1037</v>
      </c>
      <c r="G4121" s="8">
        <v>6665</v>
      </c>
      <c r="H4121" s="8">
        <v>0</v>
      </c>
      <c r="I4121" s="8">
        <v>2852</v>
      </c>
    </row>
    <row r="4122" spans="1:9" x14ac:dyDescent="0.2">
      <c r="A4122" t="s">
        <v>978</v>
      </c>
      <c r="B4122" t="s">
        <v>989</v>
      </c>
      <c r="C4122" t="str">
        <f>"29663730000000"</f>
        <v>29663730000000</v>
      </c>
      <c r="D4122" t="s">
        <v>5693</v>
      </c>
      <c r="E4122" t="str">
        <f>"29663736094981"</f>
        <v>29663736094981</v>
      </c>
      <c r="F4122" s="8">
        <v>1481</v>
      </c>
      <c r="G4122" s="8">
        <v>5808</v>
      </c>
      <c r="H4122" s="8">
        <v>0</v>
      </c>
      <c r="I4122" s="8">
        <v>2852</v>
      </c>
    </row>
    <row r="4123" spans="1:9" x14ac:dyDescent="0.2">
      <c r="A4123" t="s">
        <v>978</v>
      </c>
      <c r="B4123" t="s">
        <v>991</v>
      </c>
      <c r="C4123" t="str">
        <f>"29664150000000"</f>
        <v>29664150000000</v>
      </c>
      <c r="D4123" t="s">
        <v>2094</v>
      </c>
      <c r="E4123" t="str">
        <f>"29664156027205"</f>
        <v>29664156027205</v>
      </c>
      <c r="F4123" s="8">
        <v>0</v>
      </c>
      <c r="G4123" s="8">
        <v>17952</v>
      </c>
      <c r="H4123" s="8">
        <v>3023</v>
      </c>
      <c r="I4123" s="8">
        <v>9466</v>
      </c>
    </row>
    <row r="4124" spans="1:9" x14ac:dyDescent="0.2">
      <c r="A4124" t="s">
        <v>978</v>
      </c>
      <c r="B4124" t="s">
        <v>991</v>
      </c>
      <c r="C4124" t="str">
        <f>"29664150000000"</f>
        <v>29664150000000</v>
      </c>
      <c r="D4124" t="s">
        <v>5694</v>
      </c>
      <c r="E4124" t="str">
        <f>"29664156089403"</f>
        <v>29664156089403</v>
      </c>
      <c r="F4124" s="8">
        <v>1126</v>
      </c>
      <c r="G4124" s="8">
        <v>7513</v>
      </c>
      <c r="H4124" s="8">
        <v>3171</v>
      </c>
      <c r="I4124" s="8">
        <v>9928</v>
      </c>
    </row>
    <row r="4125" spans="1:9" x14ac:dyDescent="0.2">
      <c r="A4125" t="s">
        <v>978</v>
      </c>
      <c r="B4125" t="s">
        <v>992</v>
      </c>
      <c r="C4125" t="str">
        <f>"29664070000000"</f>
        <v>29664070000000</v>
      </c>
      <c r="D4125" t="s">
        <v>992</v>
      </c>
      <c r="E4125" t="str">
        <f>"29664076027197"</f>
        <v>29664076027197</v>
      </c>
      <c r="F4125" s="8">
        <v>812</v>
      </c>
      <c r="G4125" s="8">
        <v>8094</v>
      </c>
      <c r="H4125" s="8">
        <v>0</v>
      </c>
      <c r="I4125" s="8">
        <v>1725</v>
      </c>
    </row>
    <row r="4126" spans="1:9" x14ac:dyDescent="0.2">
      <c r="A4126" t="s">
        <v>978</v>
      </c>
      <c r="B4126" t="s">
        <v>992</v>
      </c>
      <c r="C4126" t="str">
        <f>"29664070000000"</f>
        <v>29664070000000</v>
      </c>
      <c r="D4126" t="s">
        <v>5695</v>
      </c>
      <c r="E4126" t="str">
        <f>"29664070128629"</f>
        <v>29664070128629</v>
      </c>
      <c r="F4126" s="8">
        <v>798</v>
      </c>
      <c r="G4126" s="8">
        <v>6899</v>
      </c>
      <c r="H4126" s="8">
        <v>0</v>
      </c>
      <c r="I4126" s="8">
        <v>1725</v>
      </c>
    </row>
    <row r="4127" spans="1:9" x14ac:dyDescent="0.2">
      <c r="A4127" t="s">
        <v>994</v>
      </c>
      <c r="B4127" t="s">
        <v>995</v>
      </c>
      <c r="C4127" t="str">
        <f t="shared" ref="C4127:C4150" si="201">"30664230000000"</f>
        <v>30664230000000</v>
      </c>
      <c r="D4127" t="s">
        <v>5696</v>
      </c>
      <c r="E4127" t="str">
        <f>"30664236027411"</f>
        <v>30664236027411</v>
      </c>
      <c r="F4127" s="8">
        <v>490</v>
      </c>
      <c r="G4127" s="8">
        <v>13101</v>
      </c>
      <c r="H4127" s="8">
        <v>1783</v>
      </c>
      <c r="I4127" s="8">
        <v>2366</v>
      </c>
    </row>
    <row r="4128" spans="1:9" x14ac:dyDescent="0.2">
      <c r="A4128" t="s">
        <v>994</v>
      </c>
      <c r="B4128" t="s">
        <v>995</v>
      </c>
      <c r="C4128" t="str">
        <f t="shared" si="201"/>
        <v>30664230000000</v>
      </c>
      <c r="D4128" t="s">
        <v>5015</v>
      </c>
      <c r="E4128" t="str">
        <f>"30664236116123"</f>
        <v>30664236116123</v>
      </c>
      <c r="F4128" s="8">
        <v>342</v>
      </c>
      <c r="G4128" s="8">
        <v>13031</v>
      </c>
      <c r="H4128" s="8">
        <v>1783</v>
      </c>
      <c r="I4128" s="8">
        <v>2366</v>
      </c>
    </row>
    <row r="4129" spans="1:9" x14ac:dyDescent="0.2">
      <c r="A4129" t="s">
        <v>994</v>
      </c>
      <c r="B4129" t="s">
        <v>995</v>
      </c>
      <c r="C4129" t="str">
        <f t="shared" si="201"/>
        <v>30664230000000</v>
      </c>
      <c r="D4129" t="s">
        <v>5697</v>
      </c>
      <c r="E4129" t="str">
        <f>"30664236027270"</f>
        <v>30664236027270</v>
      </c>
      <c r="F4129" s="8">
        <v>313</v>
      </c>
      <c r="G4129" s="8">
        <v>12896</v>
      </c>
      <c r="H4129" s="8">
        <v>1783</v>
      </c>
      <c r="I4129" s="8">
        <v>2366</v>
      </c>
    </row>
    <row r="4130" spans="1:9" x14ac:dyDescent="0.2">
      <c r="A4130" t="s">
        <v>994</v>
      </c>
      <c r="B4130" t="s">
        <v>995</v>
      </c>
      <c r="C4130" t="str">
        <f t="shared" si="201"/>
        <v>30664230000000</v>
      </c>
      <c r="D4130" t="s">
        <v>5698</v>
      </c>
      <c r="E4130" t="str">
        <f>"30664236113393"</f>
        <v>30664236113393</v>
      </c>
      <c r="F4130" s="8">
        <v>345</v>
      </c>
      <c r="G4130" s="8">
        <v>12686</v>
      </c>
      <c r="H4130" s="8">
        <v>1783</v>
      </c>
      <c r="I4130" s="8">
        <v>2366</v>
      </c>
    </row>
    <row r="4131" spans="1:9" x14ac:dyDescent="0.2">
      <c r="A4131" t="s">
        <v>994</v>
      </c>
      <c r="B4131" t="s">
        <v>995</v>
      </c>
      <c r="C4131" t="str">
        <f t="shared" si="201"/>
        <v>30664230000000</v>
      </c>
      <c r="D4131" t="s">
        <v>5699</v>
      </c>
      <c r="E4131" t="str">
        <f>"30664236027395"</f>
        <v>30664236027395</v>
      </c>
      <c r="F4131" s="8">
        <v>351</v>
      </c>
      <c r="G4131" s="8">
        <v>12063</v>
      </c>
      <c r="H4131" s="8">
        <v>1783</v>
      </c>
      <c r="I4131" s="8">
        <v>2366</v>
      </c>
    </row>
    <row r="4132" spans="1:9" x14ac:dyDescent="0.2">
      <c r="A4132" t="s">
        <v>994</v>
      </c>
      <c r="B4132" t="s">
        <v>995</v>
      </c>
      <c r="C4132" t="str">
        <f t="shared" si="201"/>
        <v>30664230000000</v>
      </c>
      <c r="D4132" t="s">
        <v>5700</v>
      </c>
      <c r="E4132" t="str">
        <f>"30664236027353"</f>
        <v>30664236027353</v>
      </c>
      <c r="F4132" s="8">
        <v>530</v>
      </c>
      <c r="G4132" s="8">
        <v>11752</v>
      </c>
      <c r="H4132" s="8">
        <v>1783</v>
      </c>
      <c r="I4132" s="8">
        <v>2366</v>
      </c>
    </row>
    <row r="4133" spans="1:9" x14ac:dyDescent="0.2">
      <c r="A4133" t="s">
        <v>994</v>
      </c>
      <c r="B4133" t="s">
        <v>995</v>
      </c>
      <c r="C4133" t="str">
        <f t="shared" si="201"/>
        <v>30664230000000</v>
      </c>
      <c r="D4133" t="s">
        <v>3642</v>
      </c>
      <c r="E4133" t="str">
        <f>"30664236027403"</f>
        <v>30664236027403</v>
      </c>
      <c r="F4133" s="8">
        <v>277</v>
      </c>
      <c r="G4133" s="8">
        <v>11634</v>
      </c>
      <c r="H4133" s="8">
        <v>1783</v>
      </c>
      <c r="I4133" s="8">
        <v>2366</v>
      </c>
    </row>
    <row r="4134" spans="1:9" x14ac:dyDescent="0.2">
      <c r="A4134" t="s">
        <v>994</v>
      </c>
      <c r="B4134" t="s">
        <v>995</v>
      </c>
      <c r="C4134" t="str">
        <f t="shared" si="201"/>
        <v>30664230000000</v>
      </c>
      <c r="D4134" t="s">
        <v>5701</v>
      </c>
      <c r="E4134" t="str">
        <f>"30664236027338"</f>
        <v>30664236027338</v>
      </c>
      <c r="F4134" s="8">
        <v>340</v>
      </c>
      <c r="G4134" s="8">
        <v>11467</v>
      </c>
      <c r="H4134" s="8">
        <v>1783</v>
      </c>
      <c r="I4134" s="8">
        <v>2366</v>
      </c>
    </row>
    <row r="4135" spans="1:9" x14ac:dyDescent="0.2">
      <c r="A4135" t="s">
        <v>994</v>
      </c>
      <c r="B4135" t="s">
        <v>995</v>
      </c>
      <c r="C4135" t="str">
        <f t="shared" si="201"/>
        <v>30664230000000</v>
      </c>
      <c r="D4135" t="s">
        <v>5702</v>
      </c>
      <c r="E4135" t="str">
        <f>"30664236027387"</f>
        <v>30664236027387</v>
      </c>
      <c r="F4135" s="8">
        <v>287</v>
      </c>
      <c r="G4135" s="8">
        <v>11399</v>
      </c>
      <c r="H4135" s="8">
        <v>1783</v>
      </c>
      <c r="I4135" s="8">
        <v>2366</v>
      </c>
    </row>
    <row r="4136" spans="1:9" x14ac:dyDescent="0.2">
      <c r="A4136" t="s">
        <v>994</v>
      </c>
      <c r="B4136" t="s">
        <v>995</v>
      </c>
      <c r="C4136" t="str">
        <f t="shared" si="201"/>
        <v>30664230000000</v>
      </c>
      <c r="D4136" t="s">
        <v>5703</v>
      </c>
      <c r="E4136" t="str">
        <f>"30664236027346"</f>
        <v>30664236027346</v>
      </c>
      <c r="F4136" s="8">
        <v>244</v>
      </c>
      <c r="G4136" s="8">
        <v>11399</v>
      </c>
      <c r="H4136" s="8">
        <v>1783</v>
      </c>
      <c r="I4136" s="8">
        <v>2366</v>
      </c>
    </row>
    <row r="4137" spans="1:9" x14ac:dyDescent="0.2">
      <c r="A4137" t="s">
        <v>994</v>
      </c>
      <c r="B4137" t="s">
        <v>995</v>
      </c>
      <c r="C4137" t="str">
        <f t="shared" si="201"/>
        <v>30664230000000</v>
      </c>
      <c r="D4137" t="s">
        <v>5704</v>
      </c>
      <c r="E4137" t="str">
        <f>"30664236027361"</f>
        <v>30664236027361</v>
      </c>
      <c r="F4137" s="8">
        <v>435</v>
      </c>
      <c r="G4137" s="8">
        <v>11135</v>
      </c>
      <c r="H4137" s="8">
        <v>1783</v>
      </c>
      <c r="I4137" s="8">
        <v>2366</v>
      </c>
    </row>
    <row r="4138" spans="1:9" x14ac:dyDescent="0.2">
      <c r="A4138" t="s">
        <v>994</v>
      </c>
      <c r="B4138" t="s">
        <v>995</v>
      </c>
      <c r="C4138" t="str">
        <f t="shared" si="201"/>
        <v>30664230000000</v>
      </c>
      <c r="D4138" t="s">
        <v>5705</v>
      </c>
      <c r="E4138" t="str">
        <f>"30664236027437"</f>
        <v>30664236027437</v>
      </c>
      <c r="F4138" s="8">
        <v>366</v>
      </c>
      <c r="G4138" s="8">
        <v>11195</v>
      </c>
      <c r="H4138" s="8">
        <v>1783</v>
      </c>
      <c r="I4138" s="8">
        <v>2366</v>
      </c>
    </row>
    <row r="4139" spans="1:9" x14ac:dyDescent="0.2">
      <c r="A4139" t="s">
        <v>994</v>
      </c>
      <c r="B4139" t="s">
        <v>995</v>
      </c>
      <c r="C4139" t="str">
        <f t="shared" si="201"/>
        <v>30664230000000</v>
      </c>
      <c r="D4139" t="s">
        <v>5706</v>
      </c>
      <c r="E4139" t="str">
        <f>"30664236027247"</f>
        <v>30664236027247</v>
      </c>
      <c r="F4139" s="8">
        <v>248</v>
      </c>
      <c r="G4139" s="8">
        <v>10842</v>
      </c>
      <c r="H4139" s="8">
        <v>1783</v>
      </c>
      <c r="I4139" s="8">
        <v>2366</v>
      </c>
    </row>
    <row r="4140" spans="1:9" x14ac:dyDescent="0.2">
      <c r="A4140" t="s">
        <v>994</v>
      </c>
      <c r="B4140" t="s">
        <v>995</v>
      </c>
      <c r="C4140" t="str">
        <f t="shared" si="201"/>
        <v>30664230000000</v>
      </c>
      <c r="D4140" t="s">
        <v>5707</v>
      </c>
      <c r="E4140" t="str">
        <f>"30664236027262"</f>
        <v>30664236027262</v>
      </c>
      <c r="F4140" s="8">
        <v>366</v>
      </c>
      <c r="G4140" s="8">
        <v>10663</v>
      </c>
      <c r="H4140" s="8">
        <v>1783</v>
      </c>
      <c r="I4140" s="8">
        <v>2366</v>
      </c>
    </row>
    <row r="4141" spans="1:9" x14ac:dyDescent="0.2">
      <c r="A4141" t="s">
        <v>994</v>
      </c>
      <c r="B4141" t="s">
        <v>995</v>
      </c>
      <c r="C4141" t="str">
        <f t="shared" si="201"/>
        <v>30664230000000</v>
      </c>
      <c r="D4141" t="s">
        <v>5190</v>
      </c>
      <c r="E4141" t="str">
        <f>"30664230113712"</f>
        <v>30664230113712</v>
      </c>
      <c r="F4141" s="8">
        <v>344</v>
      </c>
      <c r="G4141" s="8">
        <v>10519</v>
      </c>
      <c r="H4141" s="8">
        <v>1783</v>
      </c>
      <c r="I4141" s="8">
        <v>2366</v>
      </c>
    </row>
    <row r="4142" spans="1:9" x14ac:dyDescent="0.2">
      <c r="A4142" t="s">
        <v>994</v>
      </c>
      <c r="B4142" t="s">
        <v>995</v>
      </c>
      <c r="C4142" t="str">
        <f t="shared" si="201"/>
        <v>30664230000000</v>
      </c>
      <c r="D4142" t="s">
        <v>5708</v>
      </c>
      <c r="E4142" t="str">
        <f>"30664236027320"</f>
        <v>30664236027320</v>
      </c>
      <c r="F4142" s="8">
        <v>308</v>
      </c>
      <c r="G4142" s="8">
        <v>10518</v>
      </c>
      <c r="H4142" s="8">
        <v>1783</v>
      </c>
      <c r="I4142" s="8">
        <v>2366</v>
      </c>
    </row>
    <row r="4143" spans="1:9" x14ac:dyDescent="0.2">
      <c r="A4143" t="s">
        <v>994</v>
      </c>
      <c r="B4143" t="s">
        <v>995</v>
      </c>
      <c r="C4143" t="str">
        <f t="shared" si="201"/>
        <v>30664230000000</v>
      </c>
      <c r="D4143" t="s">
        <v>5709</v>
      </c>
      <c r="E4143" t="str">
        <f>"30664236027288"</f>
        <v>30664236027288</v>
      </c>
      <c r="F4143" s="8">
        <v>610</v>
      </c>
      <c r="G4143" s="8">
        <v>10090</v>
      </c>
      <c r="H4143" s="8">
        <v>1783</v>
      </c>
      <c r="I4143" s="8">
        <v>2366</v>
      </c>
    </row>
    <row r="4144" spans="1:9" x14ac:dyDescent="0.2">
      <c r="A4144" t="s">
        <v>994</v>
      </c>
      <c r="B4144" t="s">
        <v>995</v>
      </c>
      <c r="C4144" t="str">
        <f t="shared" si="201"/>
        <v>30664230000000</v>
      </c>
      <c r="D4144" t="s">
        <v>5710</v>
      </c>
      <c r="E4144" t="str">
        <f>"30664236027312"</f>
        <v>30664236027312</v>
      </c>
      <c r="F4144" s="8">
        <v>321</v>
      </c>
      <c r="G4144" s="8">
        <v>10332</v>
      </c>
      <c r="H4144" s="8">
        <v>1783</v>
      </c>
      <c r="I4144" s="8">
        <v>2366</v>
      </c>
    </row>
    <row r="4145" spans="1:9" x14ac:dyDescent="0.2">
      <c r="A4145" t="s">
        <v>994</v>
      </c>
      <c r="B4145" t="s">
        <v>995</v>
      </c>
      <c r="C4145" t="str">
        <f t="shared" si="201"/>
        <v>30664230000000</v>
      </c>
      <c r="D4145" t="s">
        <v>5711</v>
      </c>
      <c r="E4145" t="str">
        <f>"30664236027221"</f>
        <v>30664236027221</v>
      </c>
      <c r="F4145" s="8">
        <v>373</v>
      </c>
      <c r="G4145" s="8">
        <v>9910</v>
      </c>
      <c r="H4145" s="8">
        <v>1783</v>
      </c>
      <c r="I4145" s="8">
        <v>2366</v>
      </c>
    </row>
    <row r="4146" spans="1:9" x14ac:dyDescent="0.2">
      <c r="A4146" t="s">
        <v>994</v>
      </c>
      <c r="B4146" t="s">
        <v>995</v>
      </c>
      <c r="C4146" t="str">
        <f t="shared" si="201"/>
        <v>30664230000000</v>
      </c>
      <c r="D4146" t="s">
        <v>5712</v>
      </c>
      <c r="E4146" t="str">
        <f>"30664236027429"</f>
        <v>30664236027429</v>
      </c>
      <c r="F4146" s="8">
        <v>313</v>
      </c>
      <c r="G4146" s="8">
        <v>9893</v>
      </c>
      <c r="H4146" s="8">
        <v>1783</v>
      </c>
      <c r="I4146" s="8">
        <v>2366</v>
      </c>
    </row>
    <row r="4147" spans="1:9" x14ac:dyDescent="0.2">
      <c r="A4147" t="s">
        <v>994</v>
      </c>
      <c r="B4147" t="s">
        <v>995</v>
      </c>
      <c r="C4147" t="str">
        <f t="shared" si="201"/>
        <v>30664230000000</v>
      </c>
      <c r="D4147" t="s">
        <v>5713</v>
      </c>
      <c r="E4147" t="str">
        <f>"30664230121053"</f>
        <v>30664230121053</v>
      </c>
      <c r="F4147" s="8">
        <v>328</v>
      </c>
      <c r="G4147" s="8">
        <v>9759</v>
      </c>
      <c r="H4147" s="8">
        <v>1783</v>
      </c>
      <c r="I4147" s="8">
        <v>2366</v>
      </c>
    </row>
    <row r="4148" spans="1:9" x14ac:dyDescent="0.2">
      <c r="A4148" t="s">
        <v>994</v>
      </c>
      <c r="B4148" t="s">
        <v>995</v>
      </c>
      <c r="C4148" t="str">
        <f t="shared" si="201"/>
        <v>30664230000000</v>
      </c>
      <c r="D4148" t="s">
        <v>5714</v>
      </c>
      <c r="E4148" t="str">
        <f>"30664236027239"</f>
        <v>30664236027239</v>
      </c>
      <c r="F4148" s="8">
        <v>298</v>
      </c>
      <c r="G4148" s="8">
        <v>9504</v>
      </c>
      <c r="H4148" s="8">
        <v>1783</v>
      </c>
      <c r="I4148" s="8">
        <v>2366</v>
      </c>
    </row>
    <row r="4149" spans="1:9" x14ac:dyDescent="0.2">
      <c r="A4149" t="s">
        <v>994</v>
      </c>
      <c r="B4149" t="s">
        <v>995</v>
      </c>
      <c r="C4149" t="str">
        <f t="shared" si="201"/>
        <v>30664230000000</v>
      </c>
      <c r="D4149" t="s">
        <v>3555</v>
      </c>
      <c r="E4149" t="str">
        <f>"30664236027254"</f>
        <v>30664236027254</v>
      </c>
      <c r="F4149" s="8">
        <v>265</v>
      </c>
      <c r="G4149" s="8">
        <v>9414</v>
      </c>
      <c r="H4149" s="8">
        <v>1783</v>
      </c>
      <c r="I4149" s="8">
        <v>2366</v>
      </c>
    </row>
    <row r="4150" spans="1:9" x14ac:dyDescent="0.2">
      <c r="A4150" t="s">
        <v>994</v>
      </c>
      <c r="B4150" t="s">
        <v>995</v>
      </c>
      <c r="C4150" t="str">
        <f t="shared" si="201"/>
        <v>30664230000000</v>
      </c>
      <c r="D4150" t="s">
        <v>5715</v>
      </c>
      <c r="E4150" t="str">
        <f>"30664230140236"</f>
        <v>30664230140236</v>
      </c>
      <c r="F4150" s="8">
        <v>7000</v>
      </c>
      <c r="G4150" s="8">
        <v>1988</v>
      </c>
      <c r="H4150" s="8">
        <v>1783</v>
      </c>
      <c r="I4150" s="8">
        <v>2366</v>
      </c>
    </row>
    <row r="4151" spans="1:9" x14ac:dyDescent="0.2">
      <c r="A4151" t="s">
        <v>994</v>
      </c>
      <c r="B4151" t="s">
        <v>996</v>
      </c>
      <c r="C4151" t="str">
        <f t="shared" ref="C4151:C4170" si="202">"30664310000000"</f>
        <v>30664310000000</v>
      </c>
      <c r="D4151" t="s">
        <v>5716</v>
      </c>
      <c r="E4151" t="str">
        <f>"30664316066815"</f>
        <v>30664316066815</v>
      </c>
      <c r="F4151" s="8">
        <v>489</v>
      </c>
      <c r="G4151" s="8">
        <v>58075</v>
      </c>
      <c r="H4151" s="8">
        <v>1536</v>
      </c>
      <c r="I4151" s="8">
        <v>3584</v>
      </c>
    </row>
    <row r="4152" spans="1:9" x14ac:dyDescent="0.2">
      <c r="A4152" t="s">
        <v>994</v>
      </c>
      <c r="B4152" t="s">
        <v>996</v>
      </c>
      <c r="C4152" t="str">
        <f t="shared" si="202"/>
        <v>30664310000000</v>
      </c>
      <c r="D4152" t="s">
        <v>5717</v>
      </c>
      <c r="E4152" t="str">
        <f>"30664313030384"</f>
        <v>30664313030384</v>
      </c>
      <c r="F4152" s="8">
        <v>6484</v>
      </c>
      <c r="G4152" s="8">
        <v>23783</v>
      </c>
      <c r="H4152" s="8">
        <v>1208</v>
      </c>
      <c r="I4152" s="8">
        <v>5071</v>
      </c>
    </row>
    <row r="4153" spans="1:9" x14ac:dyDescent="0.2">
      <c r="A4153" t="s">
        <v>994</v>
      </c>
      <c r="B4153" t="s">
        <v>996</v>
      </c>
      <c r="C4153" t="str">
        <f t="shared" si="202"/>
        <v>30664310000000</v>
      </c>
      <c r="D4153" t="s">
        <v>5718</v>
      </c>
      <c r="E4153" t="str">
        <f>"30664313032786"</f>
        <v>30664313032786</v>
      </c>
      <c r="F4153" s="8">
        <v>1042</v>
      </c>
      <c r="G4153" s="8">
        <v>17918</v>
      </c>
      <c r="H4153" s="8">
        <v>1787</v>
      </c>
      <c r="I4153" s="8">
        <v>3605</v>
      </c>
    </row>
    <row r="4154" spans="1:9" x14ac:dyDescent="0.2">
      <c r="A4154" t="s">
        <v>994</v>
      </c>
      <c r="B4154" t="s">
        <v>996</v>
      </c>
      <c r="C4154" t="str">
        <f t="shared" si="202"/>
        <v>30664310000000</v>
      </c>
      <c r="D4154" t="s">
        <v>5719</v>
      </c>
      <c r="E4154" t="str">
        <f>"30664316058861"</f>
        <v>30664316058861</v>
      </c>
      <c r="F4154" s="8">
        <v>1331</v>
      </c>
      <c r="G4154" s="8">
        <v>10478</v>
      </c>
      <c r="H4154" s="8">
        <v>1728</v>
      </c>
      <c r="I4154" s="8">
        <v>3568</v>
      </c>
    </row>
    <row r="4155" spans="1:9" x14ac:dyDescent="0.2">
      <c r="A4155" t="s">
        <v>994</v>
      </c>
      <c r="B4155" t="s">
        <v>996</v>
      </c>
      <c r="C4155" t="str">
        <f t="shared" si="202"/>
        <v>30664310000000</v>
      </c>
      <c r="D4155" t="s">
        <v>5720</v>
      </c>
      <c r="E4155" t="str">
        <f>"30664313034204"</f>
        <v>30664313034204</v>
      </c>
      <c r="F4155" s="8">
        <v>1304</v>
      </c>
      <c r="G4155" s="8">
        <v>10324</v>
      </c>
      <c r="H4155" s="8">
        <v>1774</v>
      </c>
      <c r="I4155" s="8">
        <v>3619</v>
      </c>
    </row>
    <row r="4156" spans="1:9" x14ac:dyDescent="0.2">
      <c r="A4156" t="s">
        <v>994</v>
      </c>
      <c r="B4156" t="s">
        <v>996</v>
      </c>
      <c r="C4156" t="str">
        <f t="shared" si="202"/>
        <v>30664310000000</v>
      </c>
      <c r="D4156" t="s">
        <v>5721</v>
      </c>
      <c r="E4156" t="str">
        <f>"30664316058820"</f>
        <v>30664316058820</v>
      </c>
      <c r="F4156" s="8">
        <v>838</v>
      </c>
      <c r="G4156" s="8">
        <v>10221</v>
      </c>
      <c r="H4156" s="8">
        <v>1760</v>
      </c>
      <c r="I4156" s="8">
        <v>3572</v>
      </c>
    </row>
    <row r="4157" spans="1:9" x14ac:dyDescent="0.2">
      <c r="A4157" t="s">
        <v>994</v>
      </c>
      <c r="B4157" t="s">
        <v>996</v>
      </c>
      <c r="C4157" t="str">
        <f t="shared" si="202"/>
        <v>30664310000000</v>
      </c>
      <c r="D4157" t="s">
        <v>5722</v>
      </c>
      <c r="E4157" t="str">
        <f>"30664316061683"</f>
        <v>30664316061683</v>
      </c>
      <c r="F4157" s="8">
        <v>966</v>
      </c>
      <c r="G4157" s="8">
        <v>9688</v>
      </c>
      <c r="H4157" s="8">
        <v>1760</v>
      </c>
      <c r="I4157" s="8">
        <v>3571</v>
      </c>
    </row>
    <row r="4158" spans="1:9" x14ac:dyDescent="0.2">
      <c r="A4158" t="s">
        <v>994</v>
      </c>
      <c r="B4158" t="s">
        <v>996</v>
      </c>
      <c r="C4158" t="str">
        <f t="shared" si="202"/>
        <v>30664310000000</v>
      </c>
      <c r="D4158" t="s">
        <v>5723</v>
      </c>
      <c r="E4158" t="str">
        <f>"30664313033784"</f>
        <v>30664313033784</v>
      </c>
      <c r="F4158" s="8">
        <v>860</v>
      </c>
      <c r="G4158" s="8">
        <v>9540</v>
      </c>
      <c r="H4158" s="8">
        <v>1721</v>
      </c>
      <c r="I4158" s="8">
        <v>3570</v>
      </c>
    </row>
    <row r="4159" spans="1:9" x14ac:dyDescent="0.2">
      <c r="A4159" t="s">
        <v>994</v>
      </c>
      <c r="B4159" t="s">
        <v>996</v>
      </c>
      <c r="C4159" t="str">
        <f t="shared" si="202"/>
        <v>30664310000000</v>
      </c>
      <c r="D4159" t="s">
        <v>5724</v>
      </c>
      <c r="E4159" t="str">
        <f>"30664316058895"</f>
        <v>30664316058895</v>
      </c>
      <c r="F4159" s="8">
        <v>980</v>
      </c>
      <c r="G4159" s="8">
        <v>9158</v>
      </c>
      <c r="H4159" s="8">
        <v>1829</v>
      </c>
      <c r="I4159" s="8">
        <v>3603</v>
      </c>
    </row>
    <row r="4160" spans="1:9" x14ac:dyDescent="0.2">
      <c r="A4160" t="s">
        <v>994</v>
      </c>
      <c r="B4160" t="s">
        <v>996</v>
      </c>
      <c r="C4160" t="str">
        <f t="shared" si="202"/>
        <v>30664310000000</v>
      </c>
      <c r="D4160" t="s">
        <v>5725</v>
      </c>
      <c r="E4160" t="str">
        <f>"30664313036712"</f>
        <v>30664313036712</v>
      </c>
      <c r="F4160" s="8">
        <v>752</v>
      </c>
      <c r="G4160" s="8">
        <v>9356</v>
      </c>
      <c r="H4160" s="8">
        <v>1748</v>
      </c>
      <c r="I4160" s="8">
        <v>3574</v>
      </c>
    </row>
    <row r="4161" spans="1:9" x14ac:dyDescent="0.2">
      <c r="A4161" t="s">
        <v>994</v>
      </c>
      <c r="B4161" t="s">
        <v>996</v>
      </c>
      <c r="C4161" t="str">
        <f t="shared" si="202"/>
        <v>30664310000000</v>
      </c>
      <c r="D4161" t="s">
        <v>5726</v>
      </c>
      <c r="E4161" t="str">
        <f>"30664316058812"</f>
        <v>30664316058812</v>
      </c>
      <c r="F4161" s="8">
        <v>915</v>
      </c>
      <c r="G4161" s="8">
        <v>9091</v>
      </c>
      <c r="H4161" s="8">
        <v>1731</v>
      </c>
      <c r="I4161" s="8">
        <v>3549</v>
      </c>
    </row>
    <row r="4162" spans="1:9" x14ac:dyDescent="0.2">
      <c r="A4162" t="s">
        <v>994</v>
      </c>
      <c r="B4162" t="s">
        <v>996</v>
      </c>
      <c r="C4162" t="str">
        <f t="shared" si="202"/>
        <v>30664310000000</v>
      </c>
      <c r="D4162" t="s">
        <v>5727</v>
      </c>
      <c r="E4162" t="str">
        <f>"30664313038239"</f>
        <v>30664313038239</v>
      </c>
      <c r="F4162" s="8">
        <v>849</v>
      </c>
      <c r="G4162" s="8">
        <v>9040</v>
      </c>
      <c r="H4162" s="8">
        <v>1711</v>
      </c>
      <c r="I4162" s="8">
        <v>3548</v>
      </c>
    </row>
    <row r="4163" spans="1:9" x14ac:dyDescent="0.2">
      <c r="A4163" t="s">
        <v>994</v>
      </c>
      <c r="B4163" t="s">
        <v>996</v>
      </c>
      <c r="C4163" t="str">
        <f t="shared" si="202"/>
        <v>30664310000000</v>
      </c>
      <c r="D4163" t="s">
        <v>5728</v>
      </c>
      <c r="E4163" t="str">
        <f>"30664313030228"</f>
        <v>30664313030228</v>
      </c>
      <c r="F4163" s="8">
        <v>744</v>
      </c>
      <c r="G4163" s="8">
        <v>8802</v>
      </c>
      <c r="H4163" s="8">
        <v>1783</v>
      </c>
      <c r="I4163" s="8">
        <v>3574</v>
      </c>
    </row>
    <row r="4164" spans="1:9" x14ac:dyDescent="0.2">
      <c r="A4164" t="s">
        <v>994</v>
      </c>
      <c r="B4164" t="s">
        <v>996</v>
      </c>
      <c r="C4164" t="str">
        <f t="shared" si="202"/>
        <v>30664310000000</v>
      </c>
      <c r="D4164" t="s">
        <v>5729</v>
      </c>
      <c r="E4164" t="str">
        <f>"30664316058887"</f>
        <v>30664316058887</v>
      </c>
      <c r="F4164" s="8">
        <v>569</v>
      </c>
      <c r="G4164" s="8">
        <v>8463</v>
      </c>
      <c r="H4164" s="8">
        <v>1755</v>
      </c>
      <c r="I4164" s="8">
        <v>3566</v>
      </c>
    </row>
    <row r="4165" spans="1:9" x14ac:dyDescent="0.2">
      <c r="A4165" t="s">
        <v>994</v>
      </c>
      <c r="B4165" t="s">
        <v>996</v>
      </c>
      <c r="C4165" t="str">
        <f t="shared" si="202"/>
        <v>30664310000000</v>
      </c>
      <c r="D4165" t="s">
        <v>5730</v>
      </c>
      <c r="E4165" t="str">
        <f>"30664316058903"</f>
        <v>30664316058903</v>
      </c>
      <c r="F4165" s="8">
        <v>96</v>
      </c>
      <c r="G4165" s="8">
        <v>9265</v>
      </c>
      <c r="H4165" s="8">
        <v>1511</v>
      </c>
      <c r="I4165" s="8">
        <v>3423</v>
      </c>
    </row>
    <row r="4166" spans="1:9" x14ac:dyDescent="0.2">
      <c r="A4166" t="s">
        <v>994</v>
      </c>
      <c r="B4166" t="s">
        <v>996</v>
      </c>
      <c r="C4166" t="str">
        <f t="shared" si="202"/>
        <v>30664310000000</v>
      </c>
      <c r="D4166" t="s">
        <v>5731</v>
      </c>
      <c r="E4166" t="str">
        <f>"30664313033057"</f>
        <v>30664313033057</v>
      </c>
      <c r="F4166" s="8">
        <v>672</v>
      </c>
      <c r="G4166" s="8">
        <v>7911</v>
      </c>
      <c r="H4166" s="8">
        <v>1776</v>
      </c>
      <c r="I4166" s="8">
        <v>3587</v>
      </c>
    </row>
    <row r="4167" spans="1:9" x14ac:dyDescent="0.2">
      <c r="A4167" t="s">
        <v>994</v>
      </c>
      <c r="B4167" t="s">
        <v>996</v>
      </c>
      <c r="C4167" t="str">
        <f t="shared" si="202"/>
        <v>30664310000000</v>
      </c>
      <c r="D4167" t="s">
        <v>2137</v>
      </c>
      <c r="E4167" t="str">
        <f>"30664313033115"</f>
        <v>30664313033115</v>
      </c>
      <c r="F4167" s="8">
        <v>492</v>
      </c>
      <c r="G4167" s="8">
        <v>8549</v>
      </c>
      <c r="H4167" s="8">
        <v>1418</v>
      </c>
      <c r="I4167" s="8">
        <v>3423</v>
      </c>
    </row>
    <row r="4168" spans="1:9" x14ac:dyDescent="0.2">
      <c r="A4168" t="s">
        <v>994</v>
      </c>
      <c r="B4168" t="s">
        <v>996</v>
      </c>
      <c r="C4168" t="str">
        <f t="shared" si="202"/>
        <v>30664310000000</v>
      </c>
      <c r="D4168" t="s">
        <v>5732</v>
      </c>
      <c r="E4168" t="str">
        <f>"30664313030038"</f>
        <v>30664313030038</v>
      </c>
      <c r="F4168" s="8">
        <v>487</v>
      </c>
      <c r="G4168" s="8">
        <v>7953</v>
      </c>
      <c r="H4168" s="8">
        <v>1370</v>
      </c>
      <c r="I4168" s="8">
        <v>3382</v>
      </c>
    </row>
    <row r="4169" spans="1:9" x14ac:dyDescent="0.2">
      <c r="A4169" t="s">
        <v>994</v>
      </c>
      <c r="B4169" t="s">
        <v>996</v>
      </c>
      <c r="C4169" t="str">
        <f t="shared" si="202"/>
        <v>30664310000000</v>
      </c>
      <c r="D4169" t="s">
        <v>5733</v>
      </c>
      <c r="E4169" t="str">
        <f>"30664313030616"</f>
        <v>30664313030616</v>
      </c>
      <c r="F4169" s="8">
        <v>83</v>
      </c>
      <c r="G4169" s="8">
        <v>7894</v>
      </c>
      <c r="H4169" s="8">
        <v>1357</v>
      </c>
      <c r="I4169" s="8">
        <v>3351</v>
      </c>
    </row>
    <row r="4170" spans="1:9" x14ac:dyDescent="0.2">
      <c r="A4170" t="s">
        <v>994</v>
      </c>
      <c r="B4170" t="s">
        <v>996</v>
      </c>
      <c r="C4170" t="str">
        <f t="shared" si="202"/>
        <v>30664310000000</v>
      </c>
      <c r="D4170" t="s">
        <v>5734</v>
      </c>
      <c r="E4170" t="str">
        <f>"30664316085260"</f>
        <v>30664316085260</v>
      </c>
      <c r="F4170" s="8">
        <v>294</v>
      </c>
      <c r="G4170" s="8">
        <v>7595</v>
      </c>
      <c r="H4170" s="8">
        <v>1357</v>
      </c>
      <c r="I4170" s="8">
        <v>3368</v>
      </c>
    </row>
    <row r="4171" spans="1:9" x14ac:dyDescent="0.2">
      <c r="A4171" t="s">
        <v>994</v>
      </c>
      <c r="B4171" t="s">
        <v>997</v>
      </c>
      <c r="C4171" t="str">
        <f t="shared" ref="C4171:C4180" si="203">"30664490000000"</f>
        <v>30664490000000</v>
      </c>
      <c r="D4171" t="s">
        <v>5735</v>
      </c>
      <c r="E4171" t="str">
        <f>"30664493030624"</f>
        <v>30664493030624</v>
      </c>
      <c r="F4171" s="8">
        <v>1781</v>
      </c>
      <c r="G4171" s="8">
        <v>15434</v>
      </c>
      <c r="H4171" s="8">
        <v>263</v>
      </c>
      <c r="I4171" s="8">
        <v>136</v>
      </c>
    </row>
    <row r="4172" spans="1:9" x14ac:dyDescent="0.2">
      <c r="A4172" t="s">
        <v>994</v>
      </c>
      <c r="B4172" t="s">
        <v>997</v>
      </c>
      <c r="C4172" t="str">
        <f t="shared" si="203"/>
        <v>30664490000000</v>
      </c>
      <c r="D4172" t="s">
        <v>5736</v>
      </c>
      <c r="E4172" t="str">
        <f>"30664496027452"</f>
        <v>30664496027452</v>
      </c>
      <c r="F4172" s="8">
        <v>500</v>
      </c>
      <c r="G4172" s="8">
        <v>8440</v>
      </c>
      <c r="H4172" s="8">
        <v>263</v>
      </c>
      <c r="I4172" s="8">
        <v>136</v>
      </c>
    </row>
    <row r="4173" spans="1:9" x14ac:dyDescent="0.2">
      <c r="A4173" t="s">
        <v>994</v>
      </c>
      <c r="B4173" t="s">
        <v>997</v>
      </c>
      <c r="C4173" t="str">
        <f t="shared" si="203"/>
        <v>30664490000000</v>
      </c>
      <c r="D4173" t="s">
        <v>5737</v>
      </c>
      <c r="E4173" t="str">
        <f>"30664496027445"</f>
        <v>30664496027445</v>
      </c>
      <c r="F4173" s="8">
        <v>388</v>
      </c>
      <c r="G4173" s="8">
        <v>8521</v>
      </c>
      <c r="H4173" s="8">
        <v>263</v>
      </c>
      <c r="I4173" s="8">
        <v>136</v>
      </c>
    </row>
    <row r="4174" spans="1:9" x14ac:dyDescent="0.2">
      <c r="A4174" t="s">
        <v>994</v>
      </c>
      <c r="B4174" t="s">
        <v>997</v>
      </c>
      <c r="C4174" t="str">
        <f t="shared" si="203"/>
        <v>30664490000000</v>
      </c>
      <c r="D4174" t="s">
        <v>5738</v>
      </c>
      <c r="E4174" t="str">
        <f>"30664493030640"</f>
        <v>30664493030640</v>
      </c>
      <c r="F4174" s="8">
        <v>157</v>
      </c>
      <c r="G4174" s="8">
        <v>7774</v>
      </c>
      <c r="H4174" s="8">
        <v>263</v>
      </c>
      <c r="I4174" s="8">
        <v>136</v>
      </c>
    </row>
    <row r="4175" spans="1:9" x14ac:dyDescent="0.2">
      <c r="A4175" t="s">
        <v>994</v>
      </c>
      <c r="B4175" t="s">
        <v>997</v>
      </c>
      <c r="C4175" t="str">
        <f t="shared" si="203"/>
        <v>30664490000000</v>
      </c>
      <c r="D4175" t="s">
        <v>5739</v>
      </c>
      <c r="E4175" t="str">
        <f>"30664496068571"</f>
        <v>30664496068571</v>
      </c>
      <c r="F4175" s="8">
        <v>171</v>
      </c>
      <c r="G4175" s="8">
        <v>7371</v>
      </c>
      <c r="H4175" s="8">
        <v>263</v>
      </c>
      <c r="I4175" s="8">
        <v>136</v>
      </c>
    </row>
    <row r="4176" spans="1:9" x14ac:dyDescent="0.2">
      <c r="A4176" t="s">
        <v>994</v>
      </c>
      <c r="B4176" t="s">
        <v>997</v>
      </c>
      <c r="C4176" t="str">
        <f t="shared" si="203"/>
        <v>30664490000000</v>
      </c>
      <c r="D4176" t="s">
        <v>5740</v>
      </c>
      <c r="E4176" t="str">
        <f>"30664496101901"</f>
        <v>30664496101901</v>
      </c>
      <c r="F4176" s="8">
        <v>231</v>
      </c>
      <c r="G4176" s="8">
        <v>7211</v>
      </c>
      <c r="H4176" s="8">
        <v>263</v>
      </c>
      <c r="I4176" s="8">
        <v>136</v>
      </c>
    </row>
    <row r="4177" spans="1:9" x14ac:dyDescent="0.2">
      <c r="A4177" t="s">
        <v>994</v>
      </c>
      <c r="B4177" t="s">
        <v>997</v>
      </c>
      <c r="C4177" t="str">
        <f t="shared" si="203"/>
        <v>30664490000000</v>
      </c>
      <c r="D4177" t="s">
        <v>5741</v>
      </c>
      <c r="E4177" t="str">
        <f>"30664496058911"</f>
        <v>30664496058911</v>
      </c>
      <c r="F4177" s="8">
        <v>113</v>
      </c>
      <c r="G4177" s="8">
        <v>7166</v>
      </c>
      <c r="H4177" s="8">
        <v>263</v>
      </c>
      <c r="I4177" s="8">
        <v>136</v>
      </c>
    </row>
    <row r="4178" spans="1:9" x14ac:dyDescent="0.2">
      <c r="A4178" t="s">
        <v>994</v>
      </c>
      <c r="B4178" t="s">
        <v>997</v>
      </c>
      <c r="C4178" t="str">
        <f t="shared" si="203"/>
        <v>30664490000000</v>
      </c>
      <c r="D4178" t="s">
        <v>3977</v>
      </c>
      <c r="E4178" t="str">
        <f>"30664496027460"</f>
        <v>30664496027460</v>
      </c>
      <c r="F4178" s="8">
        <v>80</v>
      </c>
      <c r="G4178" s="8">
        <v>6861</v>
      </c>
      <c r="H4178" s="8">
        <v>263</v>
      </c>
      <c r="I4178" s="8">
        <v>136</v>
      </c>
    </row>
    <row r="4179" spans="1:9" x14ac:dyDescent="0.2">
      <c r="A4179" t="s">
        <v>994</v>
      </c>
      <c r="B4179" t="s">
        <v>997</v>
      </c>
      <c r="C4179" t="str">
        <f t="shared" si="203"/>
        <v>30664490000000</v>
      </c>
      <c r="D4179" t="s">
        <v>2715</v>
      </c>
      <c r="E4179" t="str">
        <f>"30664496027478"</f>
        <v>30664496027478</v>
      </c>
      <c r="F4179" s="8">
        <v>84</v>
      </c>
      <c r="G4179" s="8">
        <v>6455</v>
      </c>
      <c r="H4179" s="8">
        <v>263</v>
      </c>
      <c r="I4179" s="8">
        <v>136</v>
      </c>
    </row>
    <row r="4180" spans="1:9" x14ac:dyDescent="0.2">
      <c r="A4180" t="s">
        <v>994</v>
      </c>
      <c r="B4180" t="s">
        <v>997</v>
      </c>
      <c r="C4180" t="str">
        <f t="shared" si="203"/>
        <v>30664490000000</v>
      </c>
      <c r="D4180" t="s">
        <v>5742</v>
      </c>
      <c r="E4180" t="str">
        <f>"30664490140350"</f>
        <v>30664490140350</v>
      </c>
      <c r="F4180" s="8">
        <v>1368</v>
      </c>
      <c r="G4180" s="8">
        <v>1614</v>
      </c>
      <c r="H4180" s="8">
        <v>263</v>
      </c>
      <c r="I4180" s="8">
        <v>136</v>
      </c>
    </row>
    <row r="4181" spans="1:9" x14ac:dyDescent="0.2">
      <c r="A4181" t="s">
        <v>994</v>
      </c>
      <c r="B4181" t="s">
        <v>998</v>
      </c>
      <c r="C4181" t="str">
        <f t="shared" ref="C4181:C4188" si="204">"30664560000000"</f>
        <v>30664560000000</v>
      </c>
      <c r="D4181" t="s">
        <v>5743</v>
      </c>
      <c r="E4181" t="str">
        <f>"30664566027577"</f>
        <v>30664566027577</v>
      </c>
      <c r="F4181" s="8">
        <v>181</v>
      </c>
      <c r="G4181" s="8">
        <v>370</v>
      </c>
      <c r="H4181" s="8">
        <v>1689</v>
      </c>
      <c r="I4181" s="8">
        <v>12754</v>
      </c>
    </row>
    <row r="4182" spans="1:9" x14ac:dyDescent="0.2">
      <c r="A4182" t="s">
        <v>994</v>
      </c>
      <c r="B4182" t="s">
        <v>998</v>
      </c>
      <c r="C4182" t="str">
        <f t="shared" si="204"/>
        <v>30664560000000</v>
      </c>
      <c r="D4182" t="s">
        <v>5744</v>
      </c>
      <c r="E4182" t="str">
        <f>"30664566027494"</f>
        <v>30664566027494</v>
      </c>
      <c r="F4182" s="8">
        <v>166</v>
      </c>
      <c r="G4182" s="8">
        <v>277</v>
      </c>
      <c r="H4182" s="8">
        <v>1689</v>
      </c>
      <c r="I4182" s="8">
        <v>12754</v>
      </c>
    </row>
    <row r="4183" spans="1:9" x14ac:dyDescent="0.2">
      <c r="A4183" t="s">
        <v>994</v>
      </c>
      <c r="B4183" t="s">
        <v>998</v>
      </c>
      <c r="C4183" t="str">
        <f t="shared" si="204"/>
        <v>30664560000000</v>
      </c>
      <c r="D4183" t="s">
        <v>5745</v>
      </c>
      <c r="E4183" t="str">
        <f>"30664566027536"</f>
        <v>30664566027536</v>
      </c>
      <c r="F4183" s="8">
        <v>78</v>
      </c>
      <c r="G4183" s="8">
        <v>334</v>
      </c>
      <c r="H4183" s="8">
        <v>1689</v>
      </c>
      <c r="I4183" s="8">
        <v>12754</v>
      </c>
    </row>
    <row r="4184" spans="1:9" x14ac:dyDescent="0.2">
      <c r="A4184" t="s">
        <v>994</v>
      </c>
      <c r="B4184" t="s">
        <v>998</v>
      </c>
      <c r="C4184" t="str">
        <f t="shared" si="204"/>
        <v>30664560000000</v>
      </c>
      <c r="D4184" t="s">
        <v>5746</v>
      </c>
      <c r="E4184" t="str">
        <f>"30664566027486"</f>
        <v>30664566027486</v>
      </c>
      <c r="F4184" s="8">
        <v>90</v>
      </c>
      <c r="G4184" s="8">
        <v>208</v>
      </c>
      <c r="H4184" s="8">
        <v>1689</v>
      </c>
      <c r="I4184" s="8">
        <v>12754</v>
      </c>
    </row>
    <row r="4185" spans="1:9" x14ac:dyDescent="0.2">
      <c r="A4185" t="s">
        <v>994</v>
      </c>
      <c r="B4185" t="s">
        <v>998</v>
      </c>
      <c r="C4185" t="str">
        <f t="shared" si="204"/>
        <v>30664560000000</v>
      </c>
      <c r="D4185" t="s">
        <v>5747</v>
      </c>
      <c r="E4185" t="str">
        <f>"30664566027569"</f>
        <v>30664566027569</v>
      </c>
      <c r="F4185" s="8">
        <v>109</v>
      </c>
      <c r="G4185" s="8">
        <v>165</v>
      </c>
      <c r="H4185" s="8">
        <v>1689</v>
      </c>
      <c r="I4185" s="8">
        <v>12754</v>
      </c>
    </row>
    <row r="4186" spans="1:9" x14ac:dyDescent="0.2">
      <c r="A4186" t="s">
        <v>994</v>
      </c>
      <c r="B4186" t="s">
        <v>998</v>
      </c>
      <c r="C4186" t="str">
        <f t="shared" si="204"/>
        <v>30664560000000</v>
      </c>
      <c r="D4186" t="s">
        <v>5748</v>
      </c>
      <c r="E4186" t="str">
        <f>"30664566027551"</f>
        <v>30664566027551</v>
      </c>
      <c r="F4186" s="8">
        <v>77</v>
      </c>
      <c r="G4186" s="8">
        <v>188</v>
      </c>
      <c r="H4186" s="8">
        <v>1689</v>
      </c>
      <c r="I4186" s="8">
        <v>12754</v>
      </c>
    </row>
    <row r="4187" spans="1:9" x14ac:dyDescent="0.2">
      <c r="A4187" t="s">
        <v>994</v>
      </c>
      <c r="B4187" t="s">
        <v>998</v>
      </c>
      <c r="C4187" t="str">
        <f t="shared" si="204"/>
        <v>30664560000000</v>
      </c>
      <c r="D4187" t="s">
        <v>5749</v>
      </c>
      <c r="E4187" t="str">
        <f>"30664566027510"</f>
        <v>30664566027510</v>
      </c>
      <c r="F4187" s="8">
        <v>70</v>
      </c>
      <c r="G4187" s="8">
        <v>167</v>
      </c>
      <c r="H4187" s="8">
        <v>1689</v>
      </c>
      <c r="I4187" s="8">
        <v>12754</v>
      </c>
    </row>
    <row r="4188" spans="1:9" x14ac:dyDescent="0.2">
      <c r="A4188" t="s">
        <v>994</v>
      </c>
      <c r="B4188" t="s">
        <v>998</v>
      </c>
      <c r="C4188" t="str">
        <f t="shared" si="204"/>
        <v>30664560000000</v>
      </c>
      <c r="D4188" t="s">
        <v>5750</v>
      </c>
      <c r="E4188" t="str">
        <f>"30664560140244"</f>
        <v>30664560140244</v>
      </c>
      <c r="F4188" s="8">
        <v>74</v>
      </c>
      <c r="G4188" s="8">
        <v>147</v>
      </c>
      <c r="H4188" s="8">
        <v>1689</v>
      </c>
      <c r="I4188" s="8">
        <v>12754</v>
      </c>
    </row>
    <row r="4189" spans="1:9" x14ac:dyDescent="0.2">
      <c r="A4189" t="s">
        <v>994</v>
      </c>
      <c r="B4189" t="s">
        <v>1000</v>
      </c>
      <c r="C4189" t="str">
        <f t="shared" ref="C4189:C4220" si="205">"30664640000000"</f>
        <v>30664640000000</v>
      </c>
      <c r="D4189" t="s">
        <v>5751</v>
      </c>
      <c r="E4189" t="str">
        <f>"30664646117881"</f>
        <v>30664646117881</v>
      </c>
      <c r="F4189" s="8">
        <v>4477</v>
      </c>
      <c r="G4189" s="8">
        <v>29764</v>
      </c>
      <c r="H4189" s="8">
        <v>969</v>
      </c>
      <c r="I4189" s="8">
        <v>6038</v>
      </c>
    </row>
    <row r="4190" spans="1:9" x14ac:dyDescent="0.2">
      <c r="A4190" t="s">
        <v>994</v>
      </c>
      <c r="B4190" t="s">
        <v>1000</v>
      </c>
      <c r="C4190" t="str">
        <f t="shared" si="205"/>
        <v>30664640000000</v>
      </c>
      <c r="D4190" t="s">
        <v>5752</v>
      </c>
      <c r="E4190" t="str">
        <f>"30664643035987"</f>
        <v>30664643035987</v>
      </c>
      <c r="F4190" s="8">
        <v>1064</v>
      </c>
      <c r="G4190" s="8">
        <v>19694</v>
      </c>
      <c r="H4190" s="8">
        <v>969</v>
      </c>
      <c r="I4190" s="8">
        <v>6038</v>
      </c>
    </row>
    <row r="4191" spans="1:9" x14ac:dyDescent="0.2">
      <c r="A4191" t="s">
        <v>994</v>
      </c>
      <c r="B4191" t="s">
        <v>1000</v>
      </c>
      <c r="C4191" t="str">
        <f t="shared" si="205"/>
        <v>30664640000000</v>
      </c>
      <c r="D4191" t="s">
        <v>3701</v>
      </c>
      <c r="E4191" t="str">
        <f>"30664643030798"</f>
        <v>30664643030798</v>
      </c>
      <c r="F4191" s="8">
        <v>0</v>
      </c>
      <c r="G4191" s="8">
        <v>17410</v>
      </c>
      <c r="H4191" s="8">
        <v>969</v>
      </c>
      <c r="I4191" s="8">
        <v>6038</v>
      </c>
    </row>
    <row r="4192" spans="1:9" x14ac:dyDescent="0.2">
      <c r="A4192" t="s">
        <v>994</v>
      </c>
      <c r="B4192" t="s">
        <v>1000</v>
      </c>
      <c r="C4192" t="str">
        <f t="shared" si="205"/>
        <v>30664640000000</v>
      </c>
      <c r="D4192" t="s">
        <v>5753</v>
      </c>
      <c r="E4192" t="str">
        <f>"30664640138941"</f>
        <v>30664640138941</v>
      </c>
      <c r="F4192" s="8">
        <v>646</v>
      </c>
      <c r="G4192" s="8">
        <v>12098</v>
      </c>
      <c r="H4192" s="8">
        <v>969</v>
      </c>
      <c r="I4192" s="8">
        <v>6038</v>
      </c>
    </row>
    <row r="4193" spans="1:9" x14ac:dyDescent="0.2">
      <c r="A4193" t="s">
        <v>994</v>
      </c>
      <c r="B4193" t="s">
        <v>1000</v>
      </c>
      <c r="C4193" t="str">
        <f t="shared" si="205"/>
        <v>30664640000000</v>
      </c>
      <c r="D4193" t="s">
        <v>5754</v>
      </c>
      <c r="E4193" t="str">
        <f>"30664640115501"</f>
        <v>30664640115501</v>
      </c>
      <c r="F4193" s="8">
        <v>203</v>
      </c>
      <c r="G4193" s="8">
        <v>9238</v>
      </c>
      <c r="H4193" s="8">
        <v>969</v>
      </c>
      <c r="I4193" s="8">
        <v>6038</v>
      </c>
    </row>
    <row r="4194" spans="1:9" x14ac:dyDescent="0.2">
      <c r="A4194" t="s">
        <v>994</v>
      </c>
      <c r="B4194" t="s">
        <v>1000</v>
      </c>
      <c r="C4194" t="str">
        <f t="shared" si="205"/>
        <v>30664640000000</v>
      </c>
      <c r="D4194" t="s">
        <v>5755</v>
      </c>
      <c r="E4194" t="str">
        <f>"30664646094619"</f>
        <v>30664646094619</v>
      </c>
      <c r="F4194" s="8">
        <v>498</v>
      </c>
      <c r="G4194" s="8">
        <v>8845</v>
      </c>
      <c r="H4194" s="8">
        <v>969</v>
      </c>
      <c r="I4194" s="8">
        <v>6038</v>
      </c>
    </row>
    <row r="4195" spans="1:9" x14ac:dyDescent="0.2">
      <c r="A4195" t="s">
        <v>994</v>
      </c>
      <c r="B4195" t="s">
        <v>1000</v>
      </c>
      <c r="C4195" t="str">
        <f t="shared" si="205"/>
        <v>30664640000000</v>
      </c>
      <c r="D4195" t="s">
        <v>5756</v>
      </c>
      <c r="E4195" t="str">
        <f>"30664646111819"</f>
        <v>30664646111819</v>
      </c>
      <c r="F4195" s="8">
        <v>653</v>
      </c>
      <c r="G4195" s="8">
        <v>8598</v>
      </c>
      <c r="H4195" s="8">
        <v>969</v>
      </c>
      <c r="I4195" s="8">
        <v>6038</v>
      </c>
    </row>
    <row r="4196" spans="1:9" x14ac:dyDescent="0.2">
      <c r="A4196" t="s">
        <v>994</v>
      </c>
      <c r="B4196" t="s">
        <v>1000</v>
      </c>
      <c r="C4196" t="str">
        <f t="shared" si="205"/>
        <v>30664640000000</v>
      </c>
      <c r="D4196" t="s">
        <v>5757</v>
      </c>
      <c r="E4196" t="str">
        <f>"30664646097406"</f>
        <v>30664646097406</v>
      </c>
      <c r="F4196" s="8">
        <v>128</v>
      </c>
      <c r="G4196" s="8">
        <v>8349</v>
      </c>
      <c r="H4196" s="8">
        <v>969</v>
      </c>
      <c r="I4196" s="8">
        <v>6038</v>
      </c>
    </row>
    <row r="4197" spans="1:9" x14ac:dyDescent="0.2">
      <c r="A4197" t="s">
        <v>994</v>
      </c>
      <c r="B4197" t="s">
        <v>1000</v>
      </c>
      <c r="C4197" t="str">
        <f t="shared" si="205"/>
        <v>30664640000000</v>
      </c>
      <c r="D4197" t="s">
        <v>5758</v>
      </c>
      <c r="E4197" t="str">
        <f>"30664640111914"</f>
        <v>30664640111914</v>
      </c>
      <c r="F4197" s="8">
        <v>211</v>
      </c>
      <c r="G4197" s="8">
        <v>8192</v>
      </c>
      <c r="H4197" s="8">
        <v>969</v>
      </c>
      <c r="I4197" s="8">
        <v>6038</v>
      </c>
    </row>
    <row r="4198" spans="1:9" x14ac:dyDescent="0.2">
      <c r="A4198" t="s">
        <v>994</v>
      </c>
      <c r="B4198" t="s">
        <v>1000</v>
      </c>
      <c r="C4198" t="str">
        <f t="shared" si="205"/>
        <v>30664640000000</v>
      </c>
      <c r="D4198" t="s">
        <v>5759</v>
      </c>
      <c r="E4198" t="str">
        <f>"30664646095095"</f>
        <v>30664646095095</v>
      </c>
      <c r="F4198" s="8">
        <v>213</v>
      </c>
      <c r="G4198" s="8">
        <v>8056</v>
      </c>
      <c r="H4198" s="8">
        <v>969</v>
      </c>
      <c r="I4198" s="8">
        <v>6038</v>
      </c>
    </row>
    <row r="4199" spans="1:9" x14ac:dyDescent="0.2">
      <c r="A4199" t="s">
        <v>994</v>
      </c>
      <c r="B4199" t="s">
        <v>1000</v>
      </c>
      <c r="C4199" t="str">
        <f t="shared" si="205"/>
        <v>30664640000000</v>
      </c>
      <c r="D4199" t="s">
        <v>5760</v>
      </c>
      <c r="E4199" t="str">
        <f>"30664646027635"</f>
        <v>30664646027635</v>
      </c>
      <c r="F4199" s="8">
        <v>523</v>
      </c>
      <c r="G4199" s="8">
        <v>7738</v>
      </c>
      <c r="H4199" s="8">
        <v>969</v>
      </c>
      <c r="I4199" s="8">
        <v>6038</v>
      </c>
    </row>
    <row r="4200" spans="1:9" x14ac:dyDescent="0.2">
      <c r="A4200" t="s">
        <v>994</v>
      </c>
      <c r="B4200" t="s">
        <v>1000</v>
      </c>
      <c r="C4200" t="str">
        <f t="shared" si="205"/>
        <v>30664640000000</v>
      </c>
      <c r="D4200" t="s">
        <v>5761</v>
      </c>
      <c r="E4200" t="str">
        <f>"30664646027627"</f>
        <v>30664646027627</v>
      </c>
      <c r="F4200" s="8">
        <v>4</v>
      </c>
      <c r="G4200" s="8">
        <v>8103</v>
      </c>
      <c r="H4200" s="8">
        <v>969</v>
      </c>
      <c r="I4200" s="8">
        <v>6038</v>
      </c>
    </row>
    <row r="4201" spans="1:9" x14ac:dyDescent="0.2">
      <c r="A4201" t="s">
        <v>994</v>
      </c>
      <c r="B4201" t="s">
        <v>1000</v>
      </c>
      <c r="C4201" t="str">
        <f t="shared" si="205"/>
        <v>30664640000000</v>
      </c>
      <c r="D4201" t="s">
        <v>5762</v>
      </c>
      <c r="E4201" t="str">
        <f>"30664646117733"</f>
        <v>30664646117733</v>
      </c>
      <c r="F4201" s="8">
        <v>791</v>
      </c>
      <c r="G4201" s="8">
        <v>7204</v>
      </c>
      <c r="H4201" s="8">
        <v>969</v>
      </c>
      <c r="I4201" s="8">
        <v>6038</v>
      </c>
    </row>
    <row r="4202" spans="1:9" x14ac:dyDescent="0.2">
      <c r="A4202" t="s">
        <v>994</v>
      </c>
      <c r="B4202" t="s">
        <v>1000</v>
      </c>
      <c r="C4202" t="str">
        <f t="shared" si="205"/>
        <v>30664640000000</v>
      </c>
      <c r="D4202" t="s">
        <v>5763</v>
      </c>
      <c r="E4202" t="str">
        <f>"30664646097398"</f>
        <v>30664646097398</v>
      </c>
      <c r="F4202" s="8">
        <v>0</v>
      </c>
      <c r="G4202" s="8">
        <v>7818</v>
      </c>
      <c r="H4202" s="8">
        <v>969</v>
      </c>
      <c r="I4202" s="8">
        <v>6038</v>
      </c>
    </row>
    <row r="4203" spans="1:9" x14ac:dyDescent="0.2">
      <c r="A4203" t="s">
        <v>994</v>
      </c>
      <c r="B4203" t="s">
        <v>1000</v>
      </c>
      <c r="C4203" t="str">
        <f t="shared" si="205"/>
        <v>30664640000000</v>
      </c>
      <c r="D4203" t="s">
        <v>5764</v>
      </c>
      <c r="E4203" t="str">
        <f>"30664646118954"</f>
        <v>30664646118954</v>
      </c>
      <c r="F4203" s="8">
        <v>347</v>
      </c>
      <c r="G4203" s="8">
        <v>7379</v>
      </c>
      <c r="H4203" s="8">
        <v>969</v>
      </c>
      <c r="I4203" s="8">
        <v>6038</v>
      </c>
    </row>
    <row r="4204" spans="1:9" x14ac:dyDescent="0.2">
      <c r="A4204" t="s">
        <v>994</v>
      </c>
      <c r="B4204" t="s">
        <v>1000</v>
      </c>
      <c r="C4204" t="str">
        <f t="shared" si="205"/>
        <v>30664640000000</v>
      </c>
      <c r="D4204" t="s">
        <v>5765</v>
      </c>
      <c r="E4204" t="str">
        <f>"30664646117725"</f>
        <v>30664646117725</v>
      </c>
      <c r="F4204" s="8">
        <v>156</v>
      </c>
      <c r="G4204" s="8">
        <v>7567</v>
      </c>
      <c r="H4204" s="8">
        <v>969</v>
      </c>
      <c r="I4204" s="8">
        <v>6038</v>
      </c>
    </row>
    <row r="4205" spans="1:9" x14ac:dyDescent="0.2">
      <c r="A4205" t="s">
        <v>994</v>
      </c>
      <c r="B4205" t="s">
        <v>1000</v>
      </c>
      <c r="C4205" t="str">
        <f t="shared" si="205"/>
        <v>30664640000000</v>
      </c>
      <c r="D4205" t="s">
        <v>5766</v>
      </c>
      <c r="E4205" t="str">
        <f>"30664646111835"</f>
        <v>30664646111835</v>
      </c>
      <c r="F4205" s="8">
        <v>265</v>
      </c>
      <c r="G4205" s="8">
        <v>7407</v>
      </c>
      <c r="H4205" s="8">
        <v>969</v>
      </c>
      <c r="I4205" s="8">
        <v>6038</v>
      </c>
    </row>
    <row r="4206" spans="1:9" x14ac:dyDescent="0.2">
      <c r="A4206" t="s">
        <v>994</v>
      </c>
      <c r="B4206" t="s">
        <v>1000</v>
      </c>
      <c r="C4206" t="str">
        <f t="shared" si="205"/>
        <v>30664640000000</v>
      </c>
      <c r="D4206" t="s">
        <v>3402</v>
      </c>
      <c r="E4206" t="str">
        <f>"30664646114516"</f>
        <v>30664646114516</v>
      </c>
      <c r="F4206" s="8">
        <v>1</v>
      </c>
      <c r="G4206" s="8">
        <v>7665</v>
      </c>
      <c r="H4206" s="8">
        <v>969</v>
      </c>
      <c r="I4206" s="8">
        <v>6038</v>
      </c>
    </row>
    <row r="4207" spans="1:9" x14ac:dyDescent="0.2">
      <c r="A4207" t="s">
        <v>994</v>
      </c>
      <c r="B4207" t="s">
        <v>1000</v>
      </c>
      <c r="C4207" t="str">
        <f t="shared" si="205"/>
        <v>30664640000000</v>
      </c>
      <c r="D4207" t="s">
        <v>5767</v>
      </c>
      <c r="E4207" t="str">
        <f>"30664646058929"</f>
        <v>30664646058929</v>
      </c>
      <c r="F4207" s="8">
        <v>804</v>
      </c>
      <c r="G4207" s="8">
        <v>6797</v>
      </c>
      <c r="H4207" s="8">
        <v>969</v>
      </c>
      <c r="I4207" s="8">
        <v>6038</v>
      </c>
    </row>
    <row r="4208" spans="1:9" x14ac:dyDescent="0.2">
      <c r="A4208" t="s">
        <v>994</v>
      </c>
      <c r="B4208" t="s">
        <v>1000</v>
      </c>
      <c r="C4208" t="str">
        <f t="shared" si="205"/>
        <v>30664640000000</v>
      </c>
      <c r="D4208" t="s">
        <v>5768</v>
      </c>
      <c r="E4208" t="str">
        <f>"30664646101125"</f>
        <v>30664646101125</v>
      </c>
      <c r="F4208" s="8">
        <v>159</v>
      </c>
      <c r="G4208" s="8">
        <v>7426</v>
      </c>
      <c r="H4208" s="8">
        <v>969</v>
      </c>
      <c r="I4208" s="8">
        <v>6038</v>
      </c>
    </row>
    <row r="4209" spans="1:9" x14ac:dyDescent="0.2">
      <c r="A4209" t="s">
        <v>994</v>
      </c>
      <c r="B4209" t="s">
        <v>1000</v>
      </c>
      <c r="C4209" t="str">
        <f t="shared" si="205"/>
        <v>30664640000000</v>
      </c>
      <c r="D4209" t="s">
        <v>5769</v>
      </c>
      <c r="E4209" t="str">
        <f>"30664640100735"</f>
        <v>30664640100735</v>
      </c>
      <c r="F4209" s="8">
        <v>47</v>
      </c>
      <c r="G4209" s="8">
        <v>7530</v>
      </c>
      <c r="H4209" s="8">
        <v>969</v>
      </c>
      <c r="I4209" s="8">
        <v>6038</v>
      </c>
    </row>
    <row r="4210" spans="1:9" x14ac:dyDescent="0.2">
      <c r="A4210" t="s">
        <v>994</v>
      </c>
      <c r="B4210" t="s">
        <v>1000</v>
      </c>
      <c r="C4210" t="str">
        <f t="shared" si="205"/>
        <v>30664640000000</v>
      </c>
      <c r="D4210" t="s">
        <v>2660</v>
      </c>
      <c r="E4210" t="str">
        <f>"30664646111801"</f>
        <v>30664646111801</v>
      </c>
      <c r="F4210" s="8">
        <v>546</v>
      </c>
      <c r="G4210" s="8">
        <v>6967</v>
      </c>
      <c r="H4210" s="8">
        <v>969</v>
      </c>
      <c r="I4210" s="8">
        <v>6038</v>
      </c>
    </row>
    <row r="4211" spans="1:9" x14ac:dyDescent="0.2">
      <c r="A4211" t="s">
        <v>994</v>
      </c>
      <c r="B4211" t="s">
        <v>1000</v>
      </c>
      <c r="C4211" t="str">
        <f t="shared" si="205"/>
        <v>30664640000000</v>
      </c>
      <c r="D4211" t="s">
        <v>5770</v>
      </c>
      <c r="E4211" t="str">
        <f>"30664646120281"</f>
        <v>30664646120281</v>
      </c>
      <c r="F4211" s="8">
        <v>1</v>
      </c>
      <c r="G4211" s="8">
        <v>7477</v>
      </c>
      <c r="H4211" s="8">
        <v>969</v>
      </c>
      <c r="I4211" s="8">
        <v>6038</v>
      </c>
    </row>
    <row r="4212" spans="1:9" x14ac:dyDescent="0.2">
      <c r="A4212" t="s">
        <v>994</v>
      </c>
      <c r="B4212" t="s">
        <v>1000</v>
      </c>
      <c r="C4212" t="str">
        <f t="shared" si="205"/>
        <v>30664640000000</v>
      </c>
      <c r="D4212" t="s">
        <v>5771</v>
      </c>
      <c r="E4212" t="str">
        <f>"30664646109474"</f>
        <v>30664646109474</v>
      </c>
      <c r="F4212" s="8">
        <v>0</v>
      </c>
      <c r="G4212" s="8">
        <v>7466</v>
      </c>
      <c r="H4212" s="8">
        <v>969</v>
      </c>
      <c r="I4212" s="8">
        <v>6038</v>
      </c>
    </row>
    <row r="4213" spans="1:9" x14ac:dyDescent="0.2">
      <c r="A4213" t="s">
        <v>994</v>
      </c>
      <c r="B4213" t="s">
        <v>1000</v>
      </c>
      <c r="C4213" t="str">
        <f t="shared" si="205"/>
        <v>30664640000000</v>
      </c>
      <c r="D4213" t="s">
        <v>5772</v>
      </c>
      <c r="E4213" t="str">
        <f>"30664640100909"</f>
        <v>30664640100909</v>
      </c>
      <c r="F4213" s="8">
        <v>126</v>
      </c>
      <c r="G4213" s="8">
        <v>7173</v>
      </c>
      <c r="H4213" s="8">
        <v>969</v>
      </c>
      <c r="I4213" s="8">
        <v>6038</v>
      </c>
    </row>
    <row r="4214" spans="1:9" x14ac:dyDescent="0.2">
      <c r="A4214" t="s">
        <v>994</v>
      </c>
      <c r="B4214" t="s">
        <v>1000</v>
      </c>
      <c r="C4214" t="str">
        <f t="shared" si="205"/>
        <v>30664640000000</v>
      </c>
      <c r="D4214" t="s">
        <v>5773</v>
      </c>
      <c r="E4214" t="str">
        <f>"30664646111397"</f>
        <v>30664646111397</v>
      </c>
      <c r="F4214" s="8">
        <v>180</v>
      </c>
      <c r="G4214" s="8">
        <v>7035</v>
      </c>
      <c r="H4214" s="8">
        <v>969</v>
      </c>
      <c r="I4214" s="8">
        <v>6038</v>
      </c>
    </row>
    <row r="4215" spans="1:9" x14ac:dyDescent="0.2">
      <c r="A4215" t="s">
        <v>994</v>
      </c>
      <c r="B4215" t="s">
        <v>1000</v>
      </c>
      <c r="C4215" t="str">
        <f t="shared" si="205"/>
        <v>30664640000000</v>
      </c>
      <c r="D4215" t="s">
        <v>5774</v>
      </c>
      <c r="E4215" t="str">
        <f>"30664646106819"</f>
        <v>30664646106819</v>
      </c>
      <c r="F4215" s="8">
        <v>1</v>
      </c>
      <c r="G4215" s="8">
        <v>7190</v>
      </c>
      <c r="H4215" s="8">
        <v>969</v>
      </c>
      <c r="I4215" s="8">
        <v>6038</v>
      </c>
    </row>
    <row r="4216" spans="1:9" x14ac:dyDescent="0.2">
      <c r="A4216" t="s">
        <v>994</v>
      </c>
      <c r="B4216" t="s">
        <v>1000</v>
      </c>
      <c r="C4216" t="str">
        <f t="shared" si="205"/>
        <v>30664640000000</v>
      </c>
      <c r="D4216" t="s">
        <v>5775</v>
      </c>
      <c r="E4216" t="str">
        <f>"30664640100891"</f>
        <v>30664640100891</v>
      </c>
      <c r="F4216" s="8">
        <v>153</v>
      </c>
      <c r="G4216" s="8">
        <v>7029</v>
      </c>
      <c r="H4216" s="8">
        <v>969</v>
      </c>
      <c r="I4216" s="8">
        <v>6038</v>
      </c>
    </row>
    <row r="4217" spans="1:9" x14ac:dyDescent="0.2">
      <c r="A4217" t="s">
        <v>994</v>
      </c>
      <c r="B4217" t="s">
        <v>1000</v>
      </c>
      <c r="C4217" t="str">
        <f t="shared" si="205"/>
        <v>30664640000000</v>
      </c>
      <c r="D4217" t="s">
        <v>5776</v>
      </c>
      <c r="E4217" t="str">
        <f>"30664646117741"</f>
        <v>30664646117741</v>
      </c>
      <c r="F4217" s="8">
        <v>3</v>
      </c>
      <c r="G4217" s="8">
        <v>7095</v>
      </c>
      <c r="H4217" s="8">
        <v>969</v>
      </c>
      <c r="I4217" s="8">
        <v>6038</v>
      </c>
    </row>
    <row r="4218" spans="1:9" x14ac:dyDescent="0.2">
      <c r="A4218" t="s">
        <v>994</v>
      </c>
      <c r="B4218" t="s">
        <v>1000</v>
      </c>
      <c r="C4218" t="str">
        <f t="shared" si="205"/>
        <v>30664640000000</v>
      </c>
      <c r="D4218" t="s">
        <v>5777</v>
      </c>
      <c r="E4218" t="str">
        <f>"30664646111827"</f>
        <v>30664646111827</v>
      </c>
      <c r="F4218" s="8">
        <v>1</v>
      </c>
      <c r="G4218" s="8">
        <v>7093</v>
      </c>
      <c r="H4218" s="8">
        <v>969</v>
      </c>
      <c r="I4218" s="8">
        <v>6038</v>
      </c>
    </row>
    <row r="4219" spans="1:9" x14ac:dyDescent="0.2">
      <c r="A4219" t="s">
        <v>994</v>
      </c>
      <c r="B4219" t="s">
        <v>1000</v>
      </c>
      <c r="C4219" t="str">
        <f t="shared" si="205"/>
        <v>30664640000000</v>
      </c>
      <c r="D4219" t="s">
        <v>5778</v>
      </c>
      <c r="E4219" t="str">
        <f>"30664643030210"</f>
        <v>30664643030210</v>
      </c>
      <c r="F4219" s="8">
        <v>97</v>
      </c>
      <c r="G4219" s="8">
        <v>6912</v>
      </c>
      <c r="H4219" s="8">
        <v>969</v>
      </c>
      <c r="I4219" s="8">
        <v>6038</v>
      </c>
    </row>
    <row r="4220" spans="1:9" x14ac:dyDescent="0.2">
      <c r="A4220" t="s">
        <v>994</v>
      </c>
      <c r="B4220" t="s">
        <v>1000</v>
      </c>
      <c r="C4220" t="str">
        <f t="shared" si="205"/>
        <v>30664640000000</v>
      </c>
      <c r="D4220" t="s">
        <v>5779</v>
      </c>
      <c r="E4220" t="str">
        <f>"30664646117642"</f>
        <v>30664646117642</v>
      </c>
      <c r="F4220" s="8">
        <v>158</v>
      </c>
      <c r="G4220" s="8">
        <v>6738</v>
      </c>
      <c r="H4220" s="8">
        <v>969</v>
      </c>
      <c r="I4220" s="8">
        <v>6038</v>
      </c>
    </row>
    <row r="4221" spans="1:9" x14ac:dyDescent="0.2">
      <c r="A4221" t="s">
        <v>994</v>
      </c>
      <c r="B4221" t="s">
        <v>1000</v>
      </c>
      <c r="C4221" t="str">
        <f t="shared" ref="C4221:C4247" si="206">"30664640000000"</f>
        <v>30664640000000</v>
      </c>
      <c r="D4221" t="s">
        <v>5780</v>
      </c>
      <c r="E4221" t="str">
        <f>"30664646108740"</f>
        <v>30664646108740</v>
      </c>
      <c r="F4221" s="8">
        <v>203</v>
      </c>
      <c r="G4221" s="8">
        <v>6653</v>
      </c>
      <c r="H4221" s="8">
        <v>969</v>
      </c>
      <c r="I4221" s="8">
        <v>6038</v>
      </c>
    </row>
    <row r="4222" spans="1:9" x14ac:dyDescent="0.2">
      <c r="A4222" t="s">
        <v>994</v>
      </c>
      <c r="B4222" t="s">
        <v>1000</v>
      </c>
      <c r="C4222" t="str">
        <f t="shared" si="206"/>
        <v>30664640000000</v>
      </c>
      <c r="D4222" t="s">
        <v>5781</v>
      </c>
      <c r="E4222" t="str">
        <f>"30664646115406"</f>
        <v>30664646115406</v>
      </c>
      <c r="F4222" s="8">
        <v>154</v>
      </c>
      <c r="G4222" s="8">
        <v>6693</v>
      </c>
      <c r="H4222" s="8">
        <v>969</v>
      </c>
      <c r="I4222" s="8">
        <v>6038</v>
      </c>
    </row>
    <row r="4223" spans="1:9" x14ac:dyDescent="0.2">
      <c r="A4223" t="s">
        <v>994</v>
      </c>
      <c r="B4223" t="s">
        <v>1000</v>
      </c>
      <c r="C4223" t="str">
        <f t="shared" si="206"/>
        <v>30664640000000</v>
      </c>
      <c r="D4223" t="s">
        <v>5782</v>
      </c>
      <c r="E4223" t="str">
        <f>"30664640100883"</f>
        <v>30664640100883</v>
      </c>
      <c r="F4223" s="8">
        <v>0</v>
      </c>
      <c r="G4223" s="8">
        <v>6842</v>
      </c>
      <c r="H4223" s="8">
        <v>969</v>
      </c>
      <c r="I4223" s="8">
        <v>6038</v>
      </c>
    </row>
    <row r="4224" spans="1:9" x14ac:dyDescent="0.2">
      <c r="A4224" t="s">
        <v>994</v>
      </c>
      <c r="B4224" t="s">
        <v>1000</v>
      </c>
      <c r="C4224" t="str">
        <f t="shared" si="206"/>
        <v>30664640000000</v>
      </c>
      <c r="D4224" t="s">
        <v>5101</v>
      </c>
      <c r="E4224" t="str">
        <f>"30664646110852"</f>
        <v>30664646110852</v>
      </c>
      <c r="F4224" s="8">
        <v>0</v>
      </c>
      <c r="G4224" s="8">
        <v>6833</v>
      </c>
      <c r="H4224" s="8">
        <v>969</v>
      </c>
      <c r="I4224" s="8">
        <v>6038</v>
      </c>
    </row>
    <row r="4225" spans="1:9" x14ac:dyDescent="0.2">
      <c r="A4225" t="s">
        <v>994</v>
      </c>
      <c r="B4225" t="s">
        <v>1000</v>
      </c>
      <c r="C4225" t="str">
        <f t="shared" si="206"/>
        <v>30664640000000</v>
      </c>
      <c r="D4225" t="s">
        <v>5783</v>
      </c>
      <c r="E4225" t="str">
        <f>"30664643038569"</f>
        <v>30664643038569</v>
      </c>
      <c r="F4225" s="8">
        <v>121</v>
      </c>
      <c r="G4225" s="8">
        <v>6580</v>
      </c>
      <c r="H4225" s="8">
        <v>969</v>
      </c>
      <c r="I4225" s="8">
        <v>6038</v>
      </c>
    </row>
    <row r="4226" spans="1:9" x14ac:dyDescent="0.2">
      <c r="A4226" t="s">
        <v>994</v>
      </c>
      <c r="B4226" t="s">
        <v>1000</v>
      </c>
      <c r="C4226" t="str">
        <f t="shared" si="206"/>
        <v>30664640000000</v>
      </c>
      <c r="D4226" t="s">
        <v>5784</v>
      </c>
      <c r="E4226" t="str">
        <f>"30664646114524"</f>
        <v>30664646114524</v>
      </c>
      <c r="F4226" s="8">
        <v>19</v>
      </c>
      <c r="G4226" s="8">
        <v>6655</v>
      </c>
      <c r="H4226" s="8">
        <v>969</v>
      </c>
      <c r="I4226" s="8">
        <v>6038</v>
      </c>
    </row>
    <row r="4227" spans="1:9" x14ac:dyDescent="0.2">
      <c r="A4227" t="s">
        <v>994</v>
      </c>
      <c r="B4227" t="s">
        <v>1000</v>
      </c>
      <c r="C4227" t="str">
        <f t="shared" si="206"/>
        <v>30664640000000</v>
      </c>
      <c r="D4227" t="s">
        <v>5785</v>
      </c>
      <c r="E4227" t="str">
        <f>"30664643030574"</f>
        <v>30664643030574</v>
      </c>
      <c r="F4227" s="8">
        <v>80</v>
      </c>
      <c r="G4227" s="8">
        <v>6582</v>
      </c>
      <c r="H4227" s="8">
        <v>969</v>
      </c>
      <c r="I4227" s="8">
        <v>6038</v>
      </c>
    </row>
    <row r="4228" spans="1:9" x14ac:dyDescent="0.2">
      <c r="A4228" t="s">
        <v>994</v>
      </c>
      <c r="B4228" t="s">
        <v>1000</v>
      </c>
      <c r="C4228" t="str">
        <f t="shared" si="206"/>
        <v>30664640000000</v>
      </c>
      <c r="D4228" t="s">
        <v>5786</v>
      </c>
      <c r="E4228" t="str">
        <f>"30664646089452"</f>
        <v>30664646089452</v>
      </c>
      <c r="F4228" s="8">
        <v>31</v>
      </c>
      <c r="G4228" s="8">
        <v>6594</v>
      </c>
      <c r="H4228" s="8">
        <v>969</v>
      </c>
      <c r="I4228" s="8">
        <v>6038</v>
      </c>
    </row>
    <row r="4229" spans="1:9" x14ac:dyDescent="0.2">
      <c r="A4229" t="s">
        <v>994</v>
      </c>
      <c r="B4229" t="s">
        <v>1000</v>
      </c>
      <c r="C4229" t="str">
        <f t="shared" si="206"/>
        <v>30664640000000</v>
      </c>
      <c r="D4229" t="s">
        <v>5787</v>
      </c>
      <c r="E4229" t="str">
        <f>"30664640124131"</f>
        <v>30664640124131</v>
      </c>
      <c r="F4229" s="8">
        <v>0</v>
      </c>
      <c r="G4229" s="8">
        <v>6623</v>
      </c>
      <c r="H4229" s="8">
        <v>969</v>
      </c>
      <c r="I4229" s="8">
        <v>6038</v>
      </c>
    </row>
    <row r="4230" spans="1:9" x14ac:dyDescent="0.2">
      <c r="A4230" t="s">
        <v>994</v>
      </c>
      <c r="B4230" t="s">
        <v>1000</v>
      </c>
      <c r="C4230" t="str">
        <f t="shared" si="206"/>
        <v>30664640000000</v>
      </c>
      <c r="D4230" t="s">
        <v>5788</v>
      </c>
      <c r="E4230" t="str">
        <f>"30664646095087"</f>
        <v>30664646095087</v>
      </c>
      <c r="F4230" s="8">
        <v>0</v>
      </c>
      <c r="G4230" s="8">
        <v>6618</v>
      </c>
      <c r="H4230" s="8">
        <v>969</v>
      </c>
      <c r="I4230" s="8">
        <v>6038</v>
      </c>
    </row>
    <row r="4231" spans="1:9" x14ac:dyDescent="0.2">
      <c r="A4231" t="s">
        <v>994</v>
      </c>
      <c r="B4231" t="s">
        <v>1000</v>
      </c>
      <c r="C4231" t="str">
        <f t="shared" si="206"/>
        <v>30664640000000</v>
      </c>
      <c r="D4231" t="s">
        <v>5789</v>
      </c>
      <c r="E4231" t="str">
        <f>"30664646106801"</f>
        <v>30664646106801</v>
      </c>
      <c r="F4231" s="8">
        <v>1</v>
      </c>
      <c r="G4231" s="8">
        <v>6577</v>
      </c>
      <c r="H4231" s="8">
        <v>969</v>
      </c>
      <c r="I4231" s="8">
        <v>6038</v>
      </c>
    </row>
    <row r="4232" spans="1:9" x14ac:dyDescent="0.2">
      <c r="A4232" t="s">
        <v>994</v>
      </c>
      <c r="B4232" t="s">
        <v>1000</v>
      </c>
      <c r="C4232" t="str">
        <f t="shared" si="206"/>
        <v>30664640000000</v>
      </c>
      <c r="D4232" t="s">
        <v>5790</v>
      </c>
      <c r="E4232" t="str">
        <f>"30664640100917"</f>
        <v>30664640100917</v>
      </c>
      <c r="F4232" s="8">
        <v>76</v>
      </c>
      <c r="G4232" s="8">
        <v>6458</v>
      </c>
      <c r="H4232" s="8">
        <v>969</v>
      </c>
      <c r="I4232" s="8">
        <v>6038</v>
      </c>
    </row>
    <row r="4233" spans="1:9" x14ac:dyDescent="0.2">
      <c r="A4233" t="s">
        <v>994</v>
      </c>
      <c r="B4233" t="s">
        <v>1000</v>
      </c>
      <c r="C4233" t="str">
        <f t="shared" si="206"/>
        <v>30664640000000</v>
      </c>
      <c r="D4233" t="s">
        <v>5791</v>
      </c>
      <c r="E4233" t="str">
        <f>"30664646098495"</f>
        <v>30664646098495</v>
      </c>
      <c r="F4233" s="8">
        <v>311</v>
      </c>
      <c r="G4233" s="8">
        <v>6216</v>
      </c>
      <c r="H4233" s="8">
        <v>969</v>
      </c>
      <c r="I4233" s="8">
        <v>6038</v>
      </c>
    </row>
    <row r="4234" spans="1:9" x14ac:dyDescent="0.2">
      <c r="A4234" t="s">
        <v>994</v>
      </c>
      <c r="B4234" t="s">
        <v>1000</v>
      </c>
      <c r="C4234" t="str">
        <f t="shared" si="206"/>
        <v>30664640000000</v>
      </c>
      <c r="D4234" t="s">
        <v>5792</v>
      </c>
      <c r="E4234" t="str">
        <f>"30664643030756"</f>
        <v>30664643030756</v>
      </c>
      <c r="F4234" s="8">
        <v>105</v>
      </c>
      <c r="G4234" s="8">
        <v>6362</v>
      </c>
      <c r="H4234" s="8">
        <v>969</v>
      </c>
      <c r="I4234" s="8">
        <v>6038</v>
      </c>
    </row>
    <row r="4235" spans="1:9" x14ac:dyDescent="0.2">
      <c r="A4235" t="s">
        <v>994</v>
      </c>
      <c r="B4235" t="s">
        <v>1000</v>
      </c>
      <c r="C4235" t="str">
        <f t="shared" si="206"/>
        <v>30664640000000</v>
      </c>
      <c r="D4235" t="s">
        <v>5793</v>
      </c>
      <c r="E4235" t="str">
        <f>"30664643036001"</f>
        <v>30664643036001</v>
      </c>
      <c r="F4235" s="8">
        <v>96</v>
      </c>
      <c r="G4235" s="8">
        <v>6328</v>
      </c>
      <c r="H4235" s="8">
        <v>969</v>
      </c>
      <c r="I4235" s="8">
        <v>6038</v>
      </c>
    </row>
    <row r="4236" spans="1:9" x14ac:dyDescent="0.2">
      <c r="A4236" t="s">
        <v>994</v>
      </c>
      <c r="B4236" t="s">
        <v>1000</v>
      </c>
      <c r="C4236" t="str">
        <f t="shared" si="206"/>
        <v>30664640000000</v>
      </c>
      <c r="D4236" t="s">
        <v>3714</v>
      </c>
      <c r="E4236" t="str">
        <f>"30664646118947"</f>
        <v>30664646118947</v>
      </c>
      <c r="F4236" s="8">
        <v>1</v>
      </c>
      <c r="G4236" s="8">
        <v>6419</v>
      </c>
      <c r="H4236" s="8">
        <v>969</v>
      </c>
      <c r="I4236" s="8">
        <v>6038</v>
      </c>
    </row>
    <row r="4237" spans="1:9" x14ac:dyDescent="0.2">
      <c r="A4237" t="s">
        <v>994</v>
      </c>
      <c r="B4237" t="s">
        <v>1000</v>
      </c>
      <c r="C4237" t="str">
        <f t="shared" si="206"/>
        <v>30664640000000</v>
      </c>
      <c r="D4237" t="s">
        <v>5794</v>
      </c>
      <c r="E4237" t="str">
        <f>"30664646027585"</f>
        <v>30664646027585</v>
      </c>
      <c r="F4237" s="8">
        <v>2</v>
      </c>
      <c r="G4237" s="8">
        <v>6400</v>
      </c>
      <c r="H4237" s="8">
        <v>969</v>
      </c>
      <c r="I4237" s="8">
        <v>6038</v>
      </c>
    </row>
    <row r="4238" spans="1:9" x14ac:dyDescent="0.2">
      <c r="A4238" t="s">
        <v>994</v>
      </c>
      <c r="B4238" t="s">
        <v>1000</v>
      </c>
      <c r="C4238" t="str">
        <f t="shared" si="206"/>
        <v>30664640000000</v>
      </c>
      <c r="D4238" t="s">
        <v>5795</v>
      </c>
      <c r="E4238" t="str">
        <f>"30664646027601"</f>
        <v>30664646027601</v>
      </c>
      <c r="F4238" s="8">
        <v>323</v>
      </c>
      <c r="G4238" s="8">
        <v>6057</v>
      </c>
      <c r="H4238" s="8">
        <v>969</v>
      </c>
      <c r="I4238" s="8">
        <v>6038</v>
      </c>
    </row>
    <row r="4239" spans="1:9" x14ac:dyDescent="0.2">
      <c r="A4239" t="s">
        <v>994</v>
      </c>
      <c r="B4239" t="s">
        <v>1000</v>
      </c>
      <c r="C4239" t="str">
        <f t="shared" si="206"/>
        <v>30664640000000</v>
      </c>
      <c r="D4239" t="s">
        <v>5796</v>
      </c>
      <c r="E4239" t="str">
        <f>"30664646027643"</f>
        <v>30664646027643</v>
      </c>
      <c r="F4239" s="8">
        <v>203</v>
      </c>
      <c r="G4239" s="8">
        <v>6021</v>
      </c>
      <c r="H4239" s="8">
        <v>969</v>
      </c>
      <c r="I4239" s="8">
        <v>6038</v>
      </c>
    </row>
    <row r="4240" spans="1:9" x14ac:dyDescent="0.2">
      <c r="A4240" t="s">
        <v>994</v>
      </c>
      <c r="B4240" t="s">
        <v>1000</v>
      </c>
      <c r="C4240" t="str">
        <f t="shared" si="206"/>
        <v>30664640000000</v>
      </c>
      <c r="D4240" t="s">
        <v>5797</v>
      </c>
      <c r="E4240" t="str">
        <f>"30664646068589"</f>
        <v>30664646068589</v>
      </c>
      <c r="F4240" s="8">
        <v>420</v>
      </c>
      <c r="G4240" s="8">
        <v>5771</v>
      </c>
      <c r="H4240" s="8">
        <v>969</v>
      </c>
      <c r="I4240" s="8">
        <v>6038</v>
      </c>
    </row>
    <row r="4241" spans="1:9" x14ac:dyDescent="0.2">
      <c r="A4241" t="s">
        <v>994</v>
      </c>
      <c r="B4241" t="s">
        <v>1000</v>
      </c>
      <c r="C4241" t="str">
        <f t="shared" si="206"/>
        <v>30664640000000</v>
      </c>
      <c r="D4241" t="s">
        <v>5798</v>
      </c>
      <c r="E4241" t="str">
        <f>"30664640108704"</f>
        <v>30664640108704</v>
      </c>
      <c r="F4241" s="8">
        <v>1</v>
      </c>
      <c r="G4241" s="8">
        <v>6149</v>
      </c>
      <c r="H4241" s="8">
        <v>969</v>
      </c>
      <c r="I4241" s="8">
        <v>6038</v>
      </c>
    </row>
    <row r="4242" spans="1:9" x14ac:dyDescent="0.2">
      <c r="A4242" t="s">
        <v>994</v>
      </c>
      <c r="B4242" t="s">
        <v>1000</v>
      </c>
      <c r="C4242" t="str">
        <f t="shared" si="206"/>
        <v>30664640000000</v>
      </c>
      <c r="D4242" t="s">
        <v>5799</v>
      </c>
      <c r="E4242" t="str">
        <f>"30664640113381"</f>
        <v>30664640113381</v>
      </c>
      <c r="F4242" s="8">
        <v>83</v>
      </c>
      <c r="G4242" s="8">
        <v>5788</v>
      </c>
      <c r="H4242" s="8">
        <v>969</v>
      </c>
      <c r="I4242" s="8">
        <v>6038</v>
      </c>
    </row>
    <row r="4243" spans="1:9" x14ac:dyDescent="0.2">
      <c r="A4243" t="s">
        <v>994</v>
      </c>
      <c r="B4243" t="s">
        <v>1000</v>
      </c>
      <c r="C4243" t="str">
        <f t="shared" si="206"/>
        <v>30664640000000</v>
      </c>
      <c r="D4243" t="s">
        <v>5800</v>
      </c>
      <c r="E4243" t="str">
        <f>"30664646111793"</f>
        <v>30664646111793</v>
      </c>
      <c r="F4243" s="8">
        <v>1</v>
      </c>
      <c r="G4243" s="8">
        <v>5824</v>
      </c>
      <c r="H4243" s="8">
        <v>969</v>
      </c>
      <c r="I4243" s="8">
        <v>6038</v>
      </c>
    </row>
    <row r="4244" spans="1:9" x14ac:dyDescent="0.2">
      <c r="A4244" t="s">
        <v>994</v>
      </c>
      <c r="B4244" t="s">
        <v>1000</v>
      </c>
      <c r="C4244" t="str">
        <f t="shared" si="206"/>
        <v>30664640000000</v>
      </c>
      <c r="D4244" t="s">
        <v>1655</v>
      </c>
      <c r="E4244" t="str">
        <f>"30664646113344"</f>
        <v>30664646113344</v>
      </c>
      <c r="F4244" s="8">
        <v>0</v>
      </c>
      <c r="G4244" s="8">
        <v>5819</v>
      </c>
      <c r="H4244" s="8">
        <v>969</v>
      </c>
      <c r="I4244" s="8">
        <v>6038</v>
      </c>
    </row>
    <row r="4245" spans="1:9" x14ac:dyDescent="0.2">
      <c r="A4245" t="s">
        <v>994</v>
      </c>
      <c r="B4245" t="s">
        <v>1000</v>
      </c>
      <c r="C4245" t="str">
        <f t="shared" si="206"/>
        <v>30664640000000</v>
      </c>
      <c r="D4245" t="s">
        <v>5801</v>
      </c>
      <c r="E4245" t="str">
        <f>"30664646117634"</f>
        <v>30664646117634</v>
      </c>
      <c r="F4245" s="8">
        <v>0</v>
      </c>
      <c r="G4245" s="8">
        <v>5689</v>
      </c>
      <c r="H4245" s="8">
        <v>969</v>
      </c>
      <c r="I4245" s="8">
        <v>6038</v>
      </c>
    </row>
    <row r="4246" spans="1:9" x14ac:dyDescent="0.2">
      <c r="A4246" t="s">
        <v>994</v>
      </c>
      <c r="B4246" t="s">
        <v>1000</v>
      </c>
      <c r="C4246" t="str">
        <f t="shared" si="206"/>
        <v>30664640000000</v>
      </c>
      <c r="D4246" t="s">
        <v>5802</v>
      </c>
      <c r="E4246" t="str">
        <f>"30664640136762"</f>
        <v>30664640136762</v>
      </c>
      <c r="F4246" s="8">
        <v>1</v>
      </c>
      <c r="G4246" s="8">
        <v>4549</v>
      </c>
      <c r="H4246" s="8">
        <v>969</v>
      </c>
      <c r="I4246" s="8">
        <v>6038</v>
      </c>
    </row>
    <row r="4247" spans="1:9" x14ac:dyDescent="0.2">
      <c r="A4247" t="s">
        <v>994</v>
      </c>
      <c r="B4247" t="s">
        <v>1000</v>
      </c>
      <c r="C4247" t="str">
        <f t="shared" si="206"/>
        <v>30664640000000</v>
      </c>
      <c r="D4247" t="s">
        <v>5803</v>
      </c>
      <c r="E4247" t="str">
        <f>"30664640112748"</f>
        <v>30664640112748</v>
      </c>
      <c r="F4247" s="8">
        <v>0</v>
      </c>
      <c r="G4247" s="8">
        <v>3922</v>
      </c>
      <c r="H4247" s="8">
        <v>969</v>
      </c>
      <c r="I4247" s="8">
        <v>6038</v>
      </c>
    </row>
    <row r="4248" spans="1:9" x14ac:dyDescent="0.2">
      <c r="A4248" t="s">
        <v>994</v>
      </c>
      <c r="B4248" t="s">
        <v>1001</v>
      </c>
      <c r="C4248" t="str">
        <f>"30742520000000"</f>
        <v>30742520000000</v>
      </c>
      <c r="D4248" t="s">
        <v>1001</v>
      </c>
      <c r="E4248" t="str">
        <f>"30742523095049"</f>
        <v>30742523095049</v>
      </c>
      <c r="F4248" s="8" t="s">
        <v>30</v>
      </c>
      <c r="G4248" s="8" t="s">
        <v>30</v>
      </c>
      <c r="H4248" s="8" t="s">
        <v>30</v>
      </c>
      <c r="I4248" s="8" t="s">
        <v>30</v>
      </c>
    </row>
    <row r="4249" spans="1:9" x14ac:dyDescent="0.2">
      <c r="A4249" t="s">
        <v>994</v>
      </c>
      <c r="B4249" t="s">
        <v>1002</v>
      </c>
      <c r="C4249" t="str">
        <f t="shared" ref="C4249:C4256" si="207">"30664720000000"</f>
        <v>30664720000000</v>
      </c>
      <c r="D4249" t="s">
        <v>1002</v>
      </c>
      <c r="E4249" t="str">
        <f>"30664726027676"</f>
        <v>30664726027676</v>
      </c>
      <c r="F4249" s="8">
        <v>809</v>
      </c>
      <c r="G4249" s="8">
        <v>9864</v>
      </c>
      <c r="H4249" s="8">
        <v>1261</v>
      </c>
      <c r="I4249" s="8">
        <v>1578</v>
      </c>
    </row>
    <row r="4250" spans="1:9" x14ac:dyDescent="0.2">
      <c r="A4250" t="s">
        <v>994</v>
      </c>
      <c r="B4250" t="s">
        <v>1002</v>
      </c>
      <c r="C4250" t="str">
        <f t="shared" si="207"/>
        <v>30664720000000</v>
      </c>
      <c r="D4250" t="s">
        <v>5804</v>
      </c>
      <c r="E4250" t="str">
        <f>"30664726027734"</f>
        <v>30664726027734</v>
      </c>
      <c r="F4250" s="8">
        <v>197</v>
      </c>
      <c r="G4250" s="8">
        <v>10004</v>
      </c>
      <c r="H4250" s="8">
        <v>1261</v>
      </c>
      <c r="I4250" s="8">
        <v>1578</v>
      </c>
    </row>
    <row r="4251" spans="1:9" x14ac:dyDescent="0.2">
      <c r="A4251" t="s">
        <v>994</v>
      </c>
      <c r="B4251" t="s">
        <v>1002</v>
      </c>
      <c r="C4251" t="str">
        <f t="shared" si="207"/>
        <v>30664720000000</v>
      </c>
      <c r="D4251" t="s">
        <v>5805</v>
      </c>
      <c r="E4251" t="str">
        <f>"30664726027684"</f>
        <v>30664726027684</v>
      </c>
      <c r="F4251" s="8">
        <v>656</v>
      </c>
      <c r="G4251" s="8">
        <v>9213</v>
      </c>
      <c r="H4251" s="8">
        <v>1261</v>
      </c>
      <c r="I4251" s="8">
        <v>1578</v>
      </c>
    </row>
    <row r="4252" spans="1:9" x14ac:dyDescent="0.2">
      <c r="A4252" t="s">
        <v>994</v>
      </c>
      <c r="B4252" t="s">
        <v>1002</v>
      </c>
      <c r="C4252" t="str">
        <f t="shared" si="207"/>
        <v>30664720000000</v>
      </c>
      <c r="D4252" t="s">
        <v>5806</v>
      </c>
      <c r="E4252" t="str">
        <f>"30664726027692"</f>
        <v>30664726027692</v>
      </c>
      <c r="F4252" s="8">
        <v>194</v>
      </c>
      <c r="G4252" s="8">
        <v>9657</v>
      </c>
      <c r="H4252" s="8">
        <v>1261</v>
      </c>
      <c r="I4252" s="8">
        <v>1578</v>
      </c>
    </row>
    <row r="4253" spans="1:9" x14ac:dyDescent="0.2">
      <c r="A4253" t="s">
        <v>994</v>
      </c>
      <c r="B4253" t="s">
        <v>1002</v>
      </c>
      <c r="C4253" t="str">
        <f t="shared" si="207"/>
        <v>30664720000000</v>
      </c>
      <c r="D4253" t="s">
        <v>5807</v>
      </c>
      <c r="E4253" t="str">
        <f>"30664726027742"</f>
        <v>30664726027742</v>
      </c>
      <c r="F4253" s="8">
        <v>515</v>
      </c>
      <c r="G4253" s="8">
        <v>8927</v>
      </c>
      <c r="H4253" s="8">
        <v>1261</v>
      </c>
      <c r="I4253" s="8">
        <v>1578</v>
      </c>
    </row>
    <row r="4254" spans="1:9" x14ac:dyDescent="0.2">
      <c r="A4254" t="s">
        <v>994</v>
      </c>
      <c r="B4254" t="s">
        <v>1002</v>
      </c>
      <c r="C4254" t="str">
        <f t="shared" si="207"/>
        <v>30664720000000</v>
      </c>
      <c r="D4254" t="s">
        <v>5808</v>
      </c>
      <c r="E4254" t="str">
        <f>"30664726027668"</f>
        <v>30664726027668</v>
      </c>
      <c r="F4254" s="8">
        <v>194</v>
      </c>
      <c r="G4254" s="8">
        <v>9180</v>
      </c>
      <c r="H4254" s="8">
        <v>1261</v>
      </c>
      <c r="I4254" s="8">
        <v>1578</v>
      </c>
    </row>
    <row r="4255" spans="1:9" x14ac:dyDescent="0.2">
      <c r="A4255" t="s">
        <v>994</v>
      </c>
      <c r="B4255" t="s">
        <v>1002</v>
      </c>
      <c r="C4255" t="str">
        <f t="shared" si="207"/>
        <v>30664720000000</v>
      </c>
      <c r="D4255" t="s">
        <v>5809</v>
      </c>
      <c r="E4255" t="str">
        <f>"30664726027700"</f>
        <v>30664726027700</v>
      </c>
      <c r="F4255" s="8">
        <v>198</v>
      </c>
      <c r="G4255" s="8">
        <v>9141</v>
      </c>
      <c r="H4255" s="8">
        <v>1261</v>
      </c>
      <c r="I4255" s="8">
        <v>1578</v>
      </c>
    </row>
    <row r="4256" spans="1:9" x14ac:dyDescent="0.2">
      <c r="A4256" t="s">
        <v>994</v>
      </c>
      <c r="B4256" t="s">
        <v>1002</v>
      </c>
      <c r="C4256" t="str">
        <f t="shared" si="207"/>
        <v>30664720000000</v>
      </c>
      <c r="D4256" t="s">
        <v>5810</v>
      </c>
      <c r="E4256" t="str">
        <f>"30664726066823"</f>
        <v>30664726066823</v>
      </c>
      <c r="F4256" s="8">
        <v>194</v>
      </c>
      <c r="G4256" s="8">
        <v>8583</v>
      </c>
      <c r="H4256" s="8">
        <v>1261</v>
      </c>
      <c r="I4256" s="8">
        <v>1578</v>
      </c>
    </row>
    <row r="4257" spans="1:9" x14ac:dyDescent="0.2">
      <c r="A4257" t="s">
        <v>994</v>
      </c>
      <c r="B4257" t="s">
        <v>1004</v>
      </c>
      <c r="C4257" t="str">
        <f>"30741120000000"</f>
        <v>30741120000000</v>
      </c>
      <c r="D4257" t="s">
        <v>1004</v>
      </c>
      <c r="E4257" t="str">
        <f>"30741123095023"</f>
        <v>30741123095023</v>
      </c>
      <c r="F4257" s="8" t="s">
        <v>30</v>
      </c>
      <c r="G4257" s="8" t="s">
        <v>30</v>
      </c>
      <c r="H4257" s="8" t="s">
        <v>30</v>
      </c>
      <c r="I4257" s="8" t="s">
        <v>30</v>
      </c>
    </row>
    <row r="4258" spans="1:9" x14ac:dyDescent="0.2">
      <c r="A4258" t="s">
        <v>994</v>
      </c>
      <c r="B4258" t="s">
        <v>1006</v>
      </c>
      <c r="C4258" t="str">
        <f t="shared" ref="C4258:C4263" si="208">"30664800000000"</f>
        <v>30664800000000</v>
      </c>
      <c r="D4258" t="s">
        <v>5811</v>
      </c>
      <c r="E4258" t="str">
        <f>"30664806027874"</f>
        <v>30664806027874</v>
      </c>
      <c r="F4258" s="8">
        <v>245</v>
      </c>
      <c r="G4258" s="8">
        <v>10809</v>
      </c>
      <c r="H4258" s="8">
        <v>1248</v>
      </c>
      <c r="I4258" s="8">
        <v>6204</v>
      </c>
    </row>
    <row r="4259" spans="1:9" x14ac:dyDescent="0.2">
      <c r="A4259" t="s">
        <v>994</v>
      </c>
      <c r="B4259" t="s">
        <v>1006</v>
      </c>
      <c r="C4259" t="str">
        <f t="shared" si="208"/>
        <v>30664800000000</v>
      </c>
      <c r="D4259" t="s">
        <v>5812</v>
      </c>
      <c r="E4259" t="str">
        <f>"30664806027791"</f>
        <v>30664806027791</v>
      </c>
      <c r="F4259" s="8">
        <v>561</v>
      </c>
      <c r="G4259" s="8">
        <v>7948</v>
      </c>
      <c r="H4259" s="8">
        <v>1247</v>
      </c>
      <c r="I4259" s="8">
        <v>6204</v>
      </c>
    </row>
    <row r="4260" spans="1:9" x14ac:dyDescent="0.2">
      <c r="A4260" t="s">
        <v>994</v>
      </c>
      <c r="B4260" t="s">
        <v>1006</v>
      </c>
      <c r="C4260" t="str">
        <f t="shared" si="208"/>
        <v>30664800000000</v>
      </c>
      <c r="D4260" t="s">
        <v>5813</v>
      </c>
      <c r="E4260" t="str">
        <f>"30664806027767"</f>
        <v>30664806027767</v>
      </c>
      <c r="F4260" s="8">
        <v>169</v>
      </c>
      <c r="G4260" s="8">
        <v>8255</v>
      </c>
      <c r="H4260" s="8">
        <v>1248</v>
      </c>
      <c r="I4260" s="8">
        <v>6204</v>
      </c>
    </row>
    <row r="4261" spans="1:9" x14ac:dyDescent="0.2">
      <c r="A4261" t="s">
        <v>994</v>
      </c>
      <c r="B4261" t="s">
        <v>1006</v>
      </c>
      <c r="C4261" t="str">
        <f t="shared" si="208"/>
        <v>30664800000000</v>
      </c>
      <c r="D4261" t="s">
        <v>5814</v>
      </c>
      <c r="E4261" t="str">
        <f>"30664806027833"</f>
        <v>30664806027833</v>
      </c>
      <c r="F4261" s="8">
        <v>256</v>
      </c>
      <c r="G4261" s="8">
        <v>7531</v>
      </c>
      <c r="H4261" s="8">
        <v>1247</v>
      </c>
      <c r="I4261" s="8">
        <v>6204</v>
      </c>
    </row>
    <row r="4262" spans="1:9" x14ac:dyDescent="0.2">
      <c r="A4262" t="s">
        <v>994</v>
      </c>
      <c r="B4262" t="s">
        <v>1006</v>
      </c>
      <c r="C4262" t="str">
        <f t="shared" si="208"/>
        <v>30664800000000</v>
      </c>
      <c r="D4262" t="s">
        <v>5815</v>
      </c>
      <c r="E4262" t="str">
        <f>"30664806027841"</f>
        <v>30664806027841</v>
      </c>
      <c r="F4262" s="8">
        <v>232</v>
      </c>
      <c r="G4262" s="8">
        <v>6309</v>
      </c>
      <c r="H4262" s="8">
        <v>1247</v>
      </c>
      <c r="I4262" s="8">
        <v>6204</v>
      </c>
    </row>
    <row r="4263" spans="1:9" x14ac:dyDescent="0.2">
      <c r="A4263" t="s">
        <v>994</v>
      </c>
      <c r="B4263" t="s">
        <v>1006</v>
      </c>
      <c r="C4263" t="str">
        <f t="shared" si="208"/>
        <v>30664800000000</v>
      </c>
      <c r="D4263" t="s">
        <v>5816</v>
      </c>
      <c r="E4263" t="str">
        <f>"30664806027858"</f>
        <v>30664806027858</v>
      </c>
      <c r="F4263" s="8">
        <v>222</v>
      </c>
      <c r="G4263" s="8">
        <v>5428</v>
      </c>
      <c r="H4263" s="8">
        <v>1247</v>
      </c>
      <c r="I4263" s="8">
        <v>6204</v>
      </c>
    </row>
    <row r="4264" spans="1:9" x14ac:dyDescent="0.2">
      <c r="A4264" t="s">
        <v>994</v>
      </c>
      <c r="B4264" t="s">
        <v>1011</v>
      </c>
      <c r="C4264" t="str">
        <f t="shared" ref="C4264:C4273" si="209">"30664980000000"</f>
        <v>30664980000000</v>
      </c>
      <c r="D4264" t="s">
        <v>5817</v>
      </c>
      <c r="E4264" t="str">
        <f>"30664986027999"</f>
        <v>30664986027999</v>
      </c>
      <c r="F4264" s="8">
        <v>349</v>
      </c>
      <c r="G4264" s="8">
        <v>7520</v>
      </c>
      <c r="H4264" s="8">
        <v>541</v>
      </c>
      <c r="I4264" s="8">
        <v>3700</v>
      </c>
    </row>
    <row r="4265" spans="1:9" x14ac:dyDescent="0.2">
      <c r="A4265" t="s">
        <v>994</v>
      </c>
      <c r="B4265" t="s">
        <v>1011</v>
      </c>
      <c r="C4265" t="str">
        <f t="shared" si="209"/>
        <v>30664980000000</v>
      </c>
      <c r="D4265" t="s">
        <v>5818</v>
      </c>
      <c r="E4265" t="str">
        <f>"30664986027973"</f>
        <v>30664986027973</v>
      </c>
      <c r="F4265" s="8">
        <v>435</v>
      </c>
      <c r="G4265" s="8">
        <v>7101</v>
      </c>
      <c r="H4265" s="8">
        <v>541</v>
      </c>
      <c r="I4265" s="8">
        <v>3700</v>
      </c>
    </row>
    <row r="4266" spans="1:9" x14ac:dyDescent="0.2">
      <c r="A4266" t="s">
        <v>994</v>
      </c>
      <c r="B4266" t="s">
        <v>1011</v>
      </c>
      <c r="C4266" t="str">
        <f t="shared" si="209"/>
        <v>30664980000000</v>
      </c>
      <c r="D4266" t="s">
        <v>5819</v>
      </c>
      <c r="E4266" t="str">
        <f>"30664986068605"</f>
        <v>30664986068605</v>
      </c>
      <c r="F4266" s="8">
        <v>280</v>
      </c>
      <c r="G4266" s="8">
        <v>6670</v>
      </c>
      <c r="H4266" s="8">
        <v>541</v>
      </c>
      <c r="I4266" s="8">
        <v>3700</v>
      </c>
    </row>
    <row r="4267" spans="1:9" x14ac:dyDescent="0.2">
      <c r="A4267" t="s">
        <v>994</v>
      </c>
      <c r="B4267" t="s">
        <v>1011</v>
      </c>
      <c r="C4267" t="str">
        <f t="shared" si="209"/>
        <v>30664980000000</v>
      </c>
      <c r="D4267" t="s">
        <v>5820</v>
      </c>
      <c r="E4267" t="str">
        <f>"30664986094635"</f>
        <v>30664986094635</v>
      </c>
      <c r="F4267" s="8">
        <v>193</v>
      </c>
      <c r="G4267" s="8">
        <v>6571</v>
      </c>
      <c r="H4267" s="8">
        <v>541</v>
      </c>
      <c r="I4267" s="8">
        <v>3700</v>
      </c>
    </row>
    <row r="4268" spans="1:9" x14ac:dyDescent="0.2">
      <c r="A4268" t="s">
        <v>994</v>
      </c>
      <c r="B4268" t="s">
        <v>1011</v>
      </c>
      <c r="C4268" t="str">
        <f t="shared" si="209"/>
        <v>30664980000000</v>
      </c>
      <c r="D4268" t="s">
        <v>5821</v>
      </c>
      <c r="E4268" t="str">
        <f>"30664986027924"</f>
        <v>30664986027924</v>
      </c>
      <c r="F4268" s="8">
        <v>117</v>
      </c>
      <c r="G4268" s="8">
        <v>6200</v>
      </c>
      <c r="H4268" s="8">
        <v>541</v>
      </c>
      <c r="I4268" s="8">
        <v>3700</v>
      </c>
    </row>
    <row r="4269" spans="1:9" x14ac:dyDescent="0.2">
      <c r="A4269" t="s">
        <v>994</v>
      </c>
      <c r="B4269" t="s">
        <v>1011</v>
      </c>
      <c r="C4269" t="str">
        <f t="shared" si="209"/>
        <v>30664980000000</v>
      </c>
      <c r="D4269" t="s">
        <v>5822</v>
      </c>
      <c r="E4269" t="str">
        <f>"30664986085278"</f>
        <v>30664986085278</v>
      </c>
      <c r="F4269" s="8">
        <v>290</v>
      </c>
      <c r="G4269" s="8">
        <v>6001</v>
      </c>
      <c r="H4269" s="8">
        <v>541</v>
      </c>
      <c r="I4269" s="8">
        <v>3700</v>
      </c>
    </row>
    <row r="4270" spans="1:9" x14ac:dyDescent="0.2">
      <c r="A4270" t="s">
        <v>994</v>
      </c>
      <c r="B4270" t="s">
        <v>1011</v>
      </c>
      <c r="C4270" t="str">
        <f t="shared" si="209"/>
        <v>30664980000000</v>
      </c>
      <c r="D4270" t="s">
        <v>5823</v>
      </c>
      <c r="E4270" t="str">
        <f>"30664986071096"</f>
        <v>30664986071096</v>
      </c>
      <c r="F4270" s="8">
        <v>447</v>
      </c>
      <c r="G4270" s="8">
        <v>5569</v>
      </c>
      <c r="H4270" s="8">
        <v>541</v>
      </c>
      <c r="I4270" s="8">
        <v>3700</v>
      </c>
    </row>
    <row r="4271" spans="1:9" x14ac:dyDescent="0.2">
      <c r="A4271" t="s">
        <v>994</v>
      </c>
      <c r="B4271" t="s">
        <v>1011</v>
      </c>
      <c r="C4271" t="str">
        <f t="shared" si="209"/>
        <v>30664980000000</v>
      </c>
      <c r="D4271" t="s">
        <v>5824</v>
      </c>
      <c r="E4271" t="str">
        <f>"30664986066922"</f>
        <v>30664986066922</v>
      </c>
      <c r="F4271" s="8">
        <v>209</v>
      </c>
      <c r="G4271" s="8">
        <v>5736</v>
      </c>
      <c r="H4271" s="8">
        <v>541</v>
      </c>
      <c r="I4271" s="8">
        <v>3700</v>
      </c>
    </row>
    <row r="4272" spans="1:9" x14ac:dyDescent="0.2">
      <c r="A4272" t="s">
        <v>994</v>
      </c>
      <c r="B4272" t="s">
        <v>1011</v>
      </c>
      <c r="C4272" t="str">
        <f t="shared" si="209"/>
        <v>30664980000000</v>
      </c>
      <c r="D4272" t="s">
        <v>5825</v>
      </c>
      <c r="E4272" t="str">
        <f>"30664986094627"</f>
        <v>30664986094627</v>
      </c>
      <c r="F4272" s="8">
        <v>336</v>
      </c>
      <c r="G4272" s="8">
        <v>5309</v>
      </c>
      <c r="H4272" s="8">
        <v>541</v>
      </c>
      <c r="I4272" s="8">
        <v>3700</v>
      </c>
    </row>
    <row r="4273" spans="1:9" x14ac:dyDescent="0.2">
      <c r="A4273" t="s">
        <v>994</v>
      </c>
      <c r="B4273" t="s">
        <v>1011</v>
      </c>
      <c r="C4273" t="str">
        <f t="shared" si="209"/>
        <v>30664980000000</v>
      </c>
      <c r="D4273" t="s">
        <v>5826</v>
      </c>
      <c r="E4273" t="str">
        <f>"30664986027916"</f>
        <v>30664986027916</v>
      </c>
      <c r="F4273" s="8">
        <v>158</v>
      </c>
      <c r="G4273" s="8">
        <v>5245</v>
      </c>
      <c r="H4273" s="8">
        <v>541</v>
      </c>
      <c r="I4273" s="8">
        <v>3700</v>
      </c>
    </row>
    <row r="4274" spans="1:9" x14ac:dyDescent="0.2">
      <c r="A4274" t="s">
        <v>994</v>
      </c>
      <c r="B4274" t="s">
        <v>1012</v>
      </c>
      <c r="C4274" t="str">
        <f t="shared" ref="C4274:C4293" si="210">"30665060000000"</f>
        <v>30665060000000</v>
      </c>
      <c r="D4274" t="s">
        <v>5827</v>
      </c>
      <c r="E4274" t="str">
        <f>"30665066028021"</f>
        <v>30665066028021</v>
      </c>
      <c r="F4274" s="8">
        <v>635</v>
      </c>
      <c r="G4274" s="8">
        <v>6261</v>
      </c>
      <c r="H4274" s="8">
        <v>2666</v>
      </c>
      <c r="I4274" s="8">
        <v>10446</v>
      </c>
    </row>
    <row r="4275" spans="1:9" x14ac:dyDescent="0.2">
      <c r="A4275" t="s">
        <v>994</v>
      </c>
      <c r="B4275" t="s">
        <v>1012</v>
      </c>
      <c r="C4275" t="str">
        <f t="shared" si="210"/>
        <v>30665060000000</v>
      </c>
      <c r="D4275" t="s">
        <v>5828</v>
      </c>
      <c r="E4275" t="str">
        <f>"30665066028146"</f>
        <v>30665066028146</v>
      </c>
      <c r="F4275" s="8">
        <v>558</v>
      </c>
      <c r="G4275" s="8">
        <v>6797</v>
      </c>
      <c r="H4275" s="8">
        <v>2459</v>
      </c>
      <c r="I4275" s="8">
        <v>8606</v>
      </c>
    </row>
    <row r="4276" spans="1:9" x14ac:dyDescent="0.2">
      <c r="A4276" t="s">
        <v>994</v>
      </c>
      <c r="B4276" t="s">
        <v>1012</v>
      </c>
      <c r="C4276" t="str">
        <f t="shared" si="210"/>
        <v>30665060000000</v>
      </c>
      <c r="D4276" t="s">
        <v>4665</v>
      </c>
      <c r="E4276" t="str">
        <f>"30665066028195"</f>
        <v>30665066028195</v>
      </c>
      <c r="F4276" s="8">
        <v>613</v>
      </c>
      <c r="G4276" s="8">
        <v>5825</v>
      </c>
      <c r="H4276" s="8">
        <v>2541</v>
      </c>
      <c r="I4276" s="8">
        <v>9167</v>
      </c>
    </row>
    <row r="4277" spans="1:9" x14ac:dyDescent="0.2">
      <c r="A4277" t="s">
        <v>994</v>
      </c>
      <c r="B4277" t="s">
        <v>1012</v>
      </c>
      <c r="C4277" t="str">
        <f t="shared" si="210"/>
        <v>30665060000000</v>
      </c>
      <c r="D4277" t="s">
        <v>5829</v>
      </c>
      <c r="E4277" t="str">
        <f>"30665066028112"</f>
        <v>30665066028112</v>
      </c>
      <c r="F4277" s="8">
        <v>424</v>
      </c>
      <c r="G4277" s="8">
        <v>5256</v>
      </c>
      <c r="H4277" s="8">
        <v>2472</v>
      </c>
      <c r="I4277" s="8">
        <v>8536</v>
      </c>
    </row>
    <row r="4278" spans="1:9" x14ac:dyDescent="0.2">
      <c r="A4278" t="s">
        <v>994</v>
      </c>
      <c r="B4278" t="s">
        <v>1012</v>
      </c>
      <c r="C4278" t="str">
        <f t="shared" si="210"/>
        <v>30665060000000</v>
      </c>
      <c r="D4278" t="s">
        <v>5830</v>
      </c>
      <c r="E4278" t="str">
        <f>"30665066028104"</f>
        <v>30665066028104</v>
      </c>
      <c r="F4278" s="8">
        <v>471</v>
      </c>
      <c r="G4278" s="8">
        <v>5885</v>
      </c>
      <c r="H4278" s="8">
        <v>2480</v>
      </c>
      <c r="I4278" s="8">
        <v>7587</v>
      </c>
    </row>
    <row r="4279" spans="1:9" x14ac:dyDescent="0.2">
      <c r="A4279" t="s">
        <v>994</v>
      </c>
      <c r="B4279" t="s">
        <v>1012</v>
      </c>
      <c r="C4279" t="str">
        <f t="shared" si="210"/>
        <v>30665060000000</v>
      </c>
      <c r="D4279" t="s">
        <v>5831</v>
      </c>
      <c r="E4279" t="str">
        <f>"30665066028120"</f>
        <v>30665066028120</v>
      </c>
      <c r="F4279" s="8">
        <v>447</v>
      </c>
      <c r="G4279" s="8">
        <v>4988</v>
      </c>
      <c r="H4279" s="8">
        <v>2440</v>
      </c>
      <c r="I4279" s="8">
        <v>8316</v>
      </c>
    </row>
    <row r="4280" spans="1:9" x14ac:dyDescent="0.2">
      <c r="A4280" t="s">
        <v>994</v>
      </c>
      <c r="B4280" t="s">
        <v>1012</v>
      </c>
      <c r="C4280" t="str">
        <f t="shared" si="210"/>
        <v>30665060000000</v>
      </c>
      <c r="D4280" t="s">
        <v>5832</v>
      </c>
      <c r="E4280" t="str">
        <f>"30665066028179"</f>
        <v>30665066028179</v>
      </c>
      <c r="F4280" s="8">
        <v>479</v>
      </c>
      <c r="G4280" s="8">
        <v>6443</v>
      </c>
      <c r="H4280" s="8">
        <v>2250</v>
      </c>
      <c r="I4280" s="8">
        <v>6879</v>
      </c>
    </row>
    <row r="4281" spans="1:9" x14ac:dyDescent="0.2">
      <c r="A4281" t="s">
        <v>994</v>
      </c>
      <c r="B4281" t="s">
        <v>1012</v>
      </c>
      <c r="C4281" t="str">
        <f t="shared" si="210"/>
        <v>30665060000000</v>
      </c>
      <c r="D4281" t="s">
        <v>5833</v>
      </c>
      <c r="E4281" t="str">
        <f>"30665066028070"</f>
        <v>30665066028070</v>
      </c>
      <c r="F4281" s="8">
        <v>0</v>
      </c>
      <c r="G4281" s="8">
        <v>6292</v>
      </c>
      <c r="H4281" s="8">
        <v>2180</v>
      </c>
      <c r="I4281" s="8">
        <v>7120</v>
      </c>
    </row>
    <row r="4282" spans="1:9" x14ac:dyDescent="0.2">
      <c r="A4282" t="s">
        <v>994</v>
      </c>
      <c r="B4282" t="s">
        <v>1012</v>
      </c>
      <c r="C4282" t="str">
        <f t="shared" si="210"/>
        <v>30665060000000</v>
      </c>
      <c r="D4282" t="s">
        <v>5834</v>
      </c>
      <c r="E4282" t="str">
        <f>"30665066028062"</f>
        <v>30665066028062</v>
      </c>
      <c r="F4282" s="8">
        <v>0</v>
      </c>
      <c r="G4282" s="8">
        <v>6572</v>
      </c>
      <c r="H4282" s="8">
        <v>2099</v>
      </c>
      <c r="I4282" s="8">
        <v>6787</v>
      </c>
    </row>
    <row r="4283" spans="1:9" x14ac:dyDescent="0.2">
      <c r="A4283" t="s">
        <v>994</v>
      </c>
      <c r="B4283" t="s">
        <v>1012</v>
      </c>
      <c r="C4283" t="str">
        <f t="shared" si="210"/>
        <v>30665060000000</v>
      </c>
      <c r="D4283" t="s">
        <v>367</v>
      </c>
      <c r="E4283" t="str">
        <f>"30665066113617"</f>
        <v>30665066113617</v>
      </c>
      <c r="F4283" s="8">
        <v>595</v>
      </c>
      <c r="G4283" s="8">
        <v>5717</v>
      </c>
      <c r="H4283" s="8">
        <v>2235</v>
      </c>
      <c r="I4283" s="8">
        <v>6675</v>
      </c>
    </row>
    <row r="4284" spans="1:9" x14ac:dyDescent="0.2">
      <c r="A4284" t="s">
        <v>994</v>
      </c>
      <c r="B4284" t="s">
        <v>1012</v>
      </c>
      <c r="C4284" t="str">
        <f t="shared" si="210"/>
        <v>30665060000000</v>
      </c>
      <c r="D4284" t="s">
        <v>5835</v>
      </c>
      <c r="E4284" t="str">
        <f>"30665066028153"</f>
        <v>30665066028153</v>
      </c>
      <c r="F4284" s="8">
        <v>0</v>
      </c>
      <c r="G4284" s="8">
        <v>5340</v>
      </c>
      <c r="H4284" s="8">
        <v>2212</v>
      </c>
      <c r="I4284" s="8">
        <v>7299</v>
      </c>
    </row>
    <row r="4285" spans="1:9" x14ac:dyDescent="0.2">
      <c r="A4285" t="s">
        <v>994</v>
      </c>
      <c r="B4285" t="s">
        <v>1012</v>
      </c>
      <c r="C4285" t="str">
        <f t="shared" si="210"/>
        <v>30665060000000</v>
      </c>
      <c r="D4285" t="s">
        <v>5836</v>
      </c>
      <c r="E4285" t="str">
        <f>"30665066028039"</f>
        <v>30665066028039</v>
      </c>
      <c r="F4285" s="8">
        <v>0</v>
      </c>
      <c r="G4285" s="8">
        <v>6572</v>
      </c>
      <c r="H4285" s="8">
        <v>2064</v>
      </c>
      <c r="I4285" s="8">
        <v>6129</v>
      </c>
    </row>
    <row r="4286" spans="1:9" x14ac:dyDescent="0.2">
      <c r="A4286" t="s">
        <v>994</v>
      </c>
      <c r="B4286" t="s">
        <v>1012</v>
      </c>
      <c r="C4286" t="str">
        <f t="shared" si="210"/>
        <v>30665060000000</v>
      </c>
      <c r="D4286" t="s">
        <v>5837</v>
      </c>
      <c r="E4286" t="str">
        <f>"30665066028161"</f>
        <v>30665066028161</v>
      </c>
      <c r="F4286" s="8">
        <v>0</v>
      </c>
      <c r="G4286" s="8">
        <v>5706</v>
      </c>
      <c r="H4286" s="8">
        <v>2081</v>
      </c>
      <c r="I4286" s="8">
        <v>6261</v>
      </c>
    </row>
    <row r="4287" spans="1:9" x14ac:dyDescent="0.2">
      <c r="A4287" t="s">
        <v>994</v>
      </c>
      <c r="B4287" t="s">
        <v>1012</v>
      </c>
      <c r="C4287" t="str">
        <f t="shared" si="210"/>
        <v>30665060000000</v>
      </c>
      <c r="D4287" t="s">
        <v>5838</v>
      </c>
      <c r="E4287" t="str">
        <f>"30665066028054"</f>
        <v>30665066028054</v>
      </c>
      <c r="F4287" s="8">
        <v>0</v>
      </c>
      <c r="G4287" s="8">
        <v>5509</v>
      </c>
      <c r="H4287" s="8">
        <v>2101</v>
      </c>
      <c r="I4287" s="8">
        <v>6420</v>
      </c>
    </row>
    <row r="4288" spans="1:9" x14ac:dyDescent="0.2">
      <c r="A4288" t="s">
        <v>994</v>
      </c>
      <c r="B4288" t="s">
        <v>1012</v>
      </c>
      <c r="C4288" t="str">
        <f t="shared" si="210"/>
        <v>30665060000000</v>
      </c>
      <c r="D4288" t="s">
        <v>5839</v>
      </c>
      <c r="E4288" t="str">
        <f>"30665066028013"</f>
        <v>30665066028013</v>
      </c>
      <c r="F4288" s="8">
        <v>0</v>
      </c>
      <c r="G4288" s="8">
        <v>6355</v>
      </c>
      <c r="H4288" s="8">
        <v>1994</v>
      </c>
      <c r="I4288" s="8">
        <v>5576</v>
      </c>
    </row>
    <row r="4289" spans="1:9" x14ac:dyDescent="0.2">
      <c r="A4289" t="s">
        <v>994</v>
      </c>
      <c r="B4289" t="s">
        <v>1012</v>
      </c>
      <c r="C4289" t="str">
        <f t="shared" si="210"/>
        <v>30665060000000</v>
      </c>
      <c r="D4289" t="s">
        <v>5840</v>
      </c>
      <c r="E4289" t="str">
        <f>"30665066085286"</f>
        <v>30665066085286</v>
      </c>
      <c r="F4289" s="8">
        <v>0</v>
      </c>
      <c r="G4289" s="8">
        <v>6160</v>
      </c>
      <c r="H4289" s="8">
        <v>2016</v>
      </c>
      <c r="I4289" s="8">
        <v>5747</v>
      </c>
    </row>
    <row r="4290" spans="1:9" x14ac:dyDescent="0.2">
      <c r="A4290" t="s">
        <v>994</v>
      </c>
      <c r="B4290" t="s">
        <v>1012</v>
      </c>
      <c r="C4290" t="str">
        <f t="shared" si="210"/>
        <v>30665060000000</v>
      </c>
      <c r="D4290" t="s">
        <v>5841</v>
      </c>
      <c r="E4290" t="str">
        <f>"30665060102582"</f>
        <v>30665060102582</v>
      </c>
      <c r="F4290" s="8">
        <v>0</v>
      </c>
      <c r="G4290" s="8">
        <v>6296</v>
      </c>
      <c r="H4290" s="8">
        <v>1993</v>
      </c>
      <c r="I4290" s="8">
        <v>5569</v>
      </c>
    </row>
    <row r="4291" spans="1:9" x14ac:dyDescent="0.2">
      <c r="A4291" t="s">
        <v>994</v>
      </c>
      <c r="B4291" t="s">
        <v>1012</v>
      </c>
      <c r="C4291" t="str">
        <f t="shared" si="210"/>
        <v>30665060000000</v>
      </c>
      <c r="D4291" t="s">
        <v>5842</v>
      </c>
      <c r="E4291" t="str">
        <f>"30665066028088"</f>
        <v>30665066028088</v>
      </c>
      <c r="F4291" s="8">
        <v>0</v>
      </c>
      <c r="G4291" s="8">
        <v>5662</v>
      </c>
      <c r="H4291" s="8">
        <v>1995</v>
      </c>
      <c r="I4291" s="8">
        <v>5585</v>
      </c>
    </row>
    <row r="4292" spans="1:9" x14ac:dyDescent="0.2">
      <c r="A4292" t="s">
        <v>994</v>
      </c>
      <c r="B4292" t="s">
        <v>1012</v>
      </c>
      <c r="C4292" t="str">
        <f t="shared" si="210"/>
        <v>30665060000000</v>
      </c>
      <c r="D4292" t="s">
        <v>5843</v>
      </c>
      <c r="E4292" t="str">
        <f>"30665066028005"</f>
        <v>30665066028005</v>
      </c>
      <c r="F4292" s="8">
        <v>0</v>
      </c>
      <c r="G4292" s="8">
        <v>5655</v>
      </c>
      <c r="H4292" s="8">
        <v>1993</v>
      </c>
      <c r="I4292" s="8">
        <v>5568</v>
      </c>
    </row>
    <row r="4293" spans="1:9" x14ac:dyDescent="0.2">
      <c r="A4293" t="s">
        <v>994</v>
      </c>
      <c r="B4293" t="s">
        <v>1012</v>
      </c>
      <c r="C4293" t="str">
        <f t="shared" si="210"/>
        <v>30665060000000</v>
      </c>
      <c r="D4293" t="s">
        <v>5844</v>
      </c>
      <c r="E4293" t="str">
        <f>"30665066028138"</f>
        <v>30665066028138</v>
      </c>
      <c r="F4293" s="8">
        <v>219</v>
      </c>
      <c r="G4293" s="8">
        <v>3386</v>
      </c>
      <c r="H4293" s="8">
        <v>2165</v>
      </c>
      <c r="I4293" s="8">
        <v>5970</v>
      </c>
    </row>
    <row r="4294" spans="1:9" x14ac:dyDescent="0.2">
      <c r="A4294" t="s">
        <v>994</v>
      </c>
      <c r="B4294" t="s">
        <v>1013</v>
      </c>
      <c r="C4294" t="str">
        <f t="shared" ref="C4294:C4301" si="211">"30665140000000"</f>
        <v>30665140000000</v>
      </c>
      <c r="D4294" t="s">
        <v>5845</v>
      </c>
      <c r="E4294" t="str">
        <f>"30665143033610"</f>
        <v>30665143033610</v>
      </c>
      <c r="F4294" s="8">
        <v>1671</v>
      </c>
      <c r="G4294" s="8">
        <v>11842</v>
      </c>
      <c r="H4294" s="8">
        <v>1159</v>
      </c>
      <c r="I4294" s="8">
        <v>4598</v>
      </c>
    </row>
    <row r="4295" spans="1:9" x14ac:dyDescent="0.2">
      <c r="A4295" t="s">
        <v>994</v>
      </c>
      <c r="B4295" t="s">
        <v>1013</v>
      </c>
      <c r="C4295" t="str">
        <f t="shared" si="211"/>
        <v>30665140000000</v>
      </c>
      <c r="D4295" t="s">
        <v>5846</v>
      </c>
      <c r="E4295" t="str">
        <f>"30665143030335"</f>
        <v>30665143030335</v>
      </c>
      <c r="F4295" s="8">
        <v>1749</v>
      </c>
      <c r="G4295" s="8">
        <v>11219</v>
      </c>
      <c r="H4295" s="8">
        <v>1159</v>
      </c>
      <c r="I4295" s="8">
        <v>4598</v>
      </c>
    </row>
    <row r="4296" spans="1:9" x14ac:dyDescent="0.2">
      <c r="A4296" t="s">
        <v>994</v>
      </c>
      <c r="B4296" t="s">
        <v>1013</v>
      </c>
      <c r="C4296" t="str">
        <f t="shared" si="211"/>
        <v>30665140000000</v>
      </c>
      <c r="D4296" t="s">
        <v>5847</v>
      </c>
      <c r="E4296" t="str">
        <f>"30665143032505"</f>
        <v>30665143032505</v>
      </c>
      <c r="F4296" s="8">
        <v>313</v>
      </c>
      <c r="G4296" s="8">
        <v>7850</v>
      </c>
      <c r="H4296" s="8">
        <v>1159</v>
      </c>
      <c r="I4296" s="8">
        <v>4598</v>
      </c>
    </row>
    <row r="4297" spans="1:9" x14ac:dyDescent="0.2">
      <c r="A4297" t="s">
        <v>994</v>
      </c>
      <c r="B4297" t="s">
        <v>1013</v>
      </c>
      <c r="C4297" t="str">
        <f t="shared" si="211"/>
        <v>30665140000000</v>
      </c>
      <c r="D4297" t="s">
        <v>5848</v>
      </c>
      <c r="E4297" t="str">
        <f>"30665143037496"</f>
        <v>30665143037496</v>
      </c>
      <c r="F4297" s="8">
        <v>88</v>
      </c>
      <c r="G4297" s="8">
        <v>8054</v>
      </c>
      <c r="H4297" s="8">
        <v>1159</v>
      </c>
      <c r="I4297" s="8">
        <v>4598</v>
      </c>
    </row>
    <row r="4298" spans="1:9" x14ac:dyDescent="0.2">
      <c r="A4298" t="s">
        <v>994</v>
      </c>
      <c r="B4298" t="s">
        <v>1013</v>
      </c>
      <c r="C4298" t="str">
        <f t="shared" si="211"/>
        <v>30665140000000</v>
      </c>
      <c r="D4298" t="s">
        <v>5849</v>
      </c>
      <c r="E4298" t="str">
        <f>"30665143037090"</f>
        <v>30665143037090</v>
      </c>
      <c r="F4298" s="8">
        <v>265</v>
      </c>
      <c r="G4298" s="8">
        <v>7805</v>
      </c>
      <c r="H4298" s="8">
        <v>1159</v>
      </c>
      <c r="I4298" s="8">
        <v>4598</v>
      </c>
    </row>
    <row r="4299" spans="1:9" x14ac:dyDescent="0.2">
      <c r="A4299" t="s">
        <v>994</v>
      </c>
      <c r="B4299" t="s">
        <v>1013</v>
      </c>
      <c r="C4299" t="str">
        <f t="shared" si="211"/>
        <v>30665140000000</v>
      </c>
      <c r="D4299" t="s">
        <v>5850</v>
      </c>
      <c r="E4299" t="str">
        <f>"30665143030855"</f>
        <v>30665143030855</v>
      </c>
      <c r="F4299" s="8">
        <v>443</v>
      </c>
      <c r="G4299" s="8">
        <v>7529</v>
      </c>
      <c r="H4299" s="8">
        <v>1159</v>
      </c>
      <c r="I4299" s="8">
        <v>4598</v>
      </c>
    </row>
    <row r="4300" spans="1:9" x14ac:dyDescent="0.2">
      <c r="A4300" t="s">
        <v>994</v>
      </c>
      <c r="B4300" t="s">
        <v>1013</v>
      </c>
      <c r="C4300" t="str">
        <f t="shared" si="211"/>
        <v>30665140000000</v>
      </c>
      <c r="D4300" t="s">
        <v>5851</v>
      </c>
      <c r="E4300" t="str">
        <f>"30665143033362"</f>
        <v>30665143033362</v>
      </c>
      <c r="F4300" s="8">
        <v>340</v>
      </c>
      <c r="G4300" s="8">
        <v>7256</v>
      </c>
      <c r="H4300" s="8">
        <v>1159</v>
      </c>
      <c r="I4300" s="8">
        <v>4598</v>
      </c>
    </row>
    <row r="4301" spans="1:9" x14ac:dyDescent="0.2">
      <c r="A4301" t="s">
        <v>994</v>
      </c>
      <c r="B4301" t="s">
        <v>1013</v>
      </c>
      <c r="C4301" t="str">
        <f t="shared" si="211"/>
        <v>30665140000000</v>
      </c>
      <c r="D4301" t="s">
        <v>5852</v>
      </c>
      <c r="E4301" t="str">
        <f>"30665143037348"</f>
        <v>30665143037348</v>
      </c>
      <c r="F4301" s="8">
        <v>86</v>
      </c>
      <c r="G4301" s="8">
        <v>7227</v>
      </c>
      <c r="H4301" s="8">
        <v>1159</v>
      </c>
      <c r="I4301" s="8">
        <v>4598</v>
      </c>
    </row>
    <row r="4302" spans="1:9" x14ac:dyDescent="0.2">
      <c r="A4302" t="s">
        <v>994</v>
      </c>
      <c r="B4302" t="s">
        <v>1014</v>
      </c>
      <c r="C4302" t="str">
        <f t="shared" ref="C4302:C4333" si="212">"30665220000000"</f>
        <v>30665220000000</v>
      </c>
      <c r="D4302" t="s">
        <v>5853</v>
      </c>
      <c r="E4302" t="str">
        <f>"30665226028633"</f>
        <v>30665226028633</v>
      </c>
      <c r="F4302" s="8">
        <v>14422</v>
      </c>
      <c r="G4302" s="8">
        <v>24689</v>
      </c>
      <c r="H4302" s="8">
        <v>9212</v>
      </c>
      <c r="I4302" s="8">
        <v>19420</v>
      </c>
    </row>
    <row r="4303" spans="1:9" x14ac:dyDescent="0.2">
      <c r="A4303" t="s">
        <v>994</v>
      </c>
      <c r="B4303" t="s">
        <v>1014</v>
      </c>
      <c r="C4303" t="str">
        <f t="shared" si="212"/>
        <v>30665220000000</v>
      </c>
      <c r="D4303" t="s">
        <v>5854</v>
      </c>
      <c r="E4303" t="str">
        <f>"30665226104129"</f>
        <v>30665226104129</v>
      </c>
      <c r="F4303" s="8">
        <v>7504</v>
      </c>
      <c r="G4303" s="8">
        <v>15316</v>
      </c>
      <c r="H4303" s="8">
        <v>9672</v>
      </c>
      <c r="I4303" s="8">
        <v>20329</v>
      </c>
    </row>
    <row r="4304" spans="1:9" x14ac:dyDescent="0.2">
      <c r="A4304" t="s">
        <v>994</v>
      </c>
      <c r="B4304" t="s">
        <v>1014</v>
      </c>
      <c r="C4304" t="str">
        <f t="shared" si="212"/>
        <v>30665220000000</v>
      </c>
      <c r="D4304" t="s">
        <v>5855</v>
      </c>
      <c r="E4304" t="str">
        <f>"30665223030103"</f>
        <v>30665223030103</v>
      </c>
      <c r="F4304" s="8">
        <v>544</v>
      </c>
      <c r="G4304" s="8">
        <v>14962</v>
      </c>
      <c r="H4304" s="8">
        <v>1083</v>
      </c>
      <c r="I4304" s="8">
        <v>3629</v>
      </c>
    </row>
    <row r="4305" spans="1:9" x14ac:dyDescent="0.2">
      <c r="A4305" t="s">
        <v>994</v>
      </c>
      <c r="B4305" t="s">
        <v>1014</v>
      </c>
      <c r="C4305" t="str">
        <f t="shared" si="212"/>
        <v>30665220000000</v>
      </c>
      <c r="D4305" t="s">
        <v>5856</v>
      </c>
      <c r="E4305" t="str">
        <f>"30665226028823"</f>
        <v>30665226028823</v>
      </c>
      <c r="F4305" s="8">
        <v>1146</v>
      </c>
      <c r="G4305" s="8">
        <v>9419</v>
      </c>
      <c r="H4305" s="8">
        <v>2449</v>
      </c>
      <c r="I4305" s="8">
        <v>5947</v>
      </c>
    </row>
    <row r="4306" spans="1:9" x14ac:dyDescent="0.2">
      <c r="A4306" t="s">
        <v>994</v>
      </c>
      <c r="B4306" t="s">
        <v>1014</v>
      </c>
      <c r="C4306" t="str">
        <f t="shared" si="212"/>
        <v>30665220000000</v>
      </c>
      <c r="D4306" t="s">
        <v>5857</v>
      </c>
      <c r="E4306" t="str">
        <f>"30665226028641"</f>
        <v>30665226028641</v>
      </c>
      <c r="F4306" s="8">
        <v>889</v>
      </c>
      <c r="G4306" s="8">
        <v>9814</v>
      </c>
      <c r="H4306" s="8">
        <v>2306</v>
      </c>
      <c r="I4306" s="8">
        <v>5661</v>
      </c>
    </row>
    <row r="4307" spans="1:9" x14ac:dyDescent="0.2">
      <c r="A4307" t="s">
        <v>994</v>
      </c>
      <c r="B4307" t="s">
        <v>1014</v>
      </c>
      <c r="C4307" t="str">
        <f t="shared" si="212"/>
        <v>30665220000000</v>
      </c>
      <c r="D4307" t="s">
        <v>3858</v>
      </c>
      <c r="E4307" t="str">
        <f>"30665226028518"</f>
        <v>30665226028518</v>
      </c>
      <c r="F4307" s="8">
        <v>1106</v>
      </c>
      <c r="G4307" s="8">
        <v>9420</v>
      </c>
      <c r="H4307" s="8">
        <v>2309</v>
      </c>
      <c r="I4307" s="8">
        <v>5669</v>
      </c>
    </row>
    <row r="4308" spans="1:9" x14ac:dyDescent="0.2">
      <c r="A4308" t="s">
        <v>994</v>
      </c>
      <c r="B4308" t="s">
        <v>1014</v>
      </c>
      <c r="C4308" t="str">
        <f t="shared" si="212"/>
        <v>30665220000000</v>
      </c>
      <c r="D4308" t="s">
        <v>5858</v>
      </c>
      <c r="E4308" t="str">
        <f>"30665226028476"</f>
        <v>30665226028476</v>
      </c>
      <c r="F4308" s="8">
        <v>2177</v>
      </c>
      <c r="G4308" s="8">
        <v>8836</v>
      </c>
      <c r="H4308" s="8">
        <v>1748</v>
      </c>
      <c r="I4308" s="8">
        <v>4806</v>
      </c>
    </row>
    <row r="4309" spans="1:9" x14ac:dyDescent="0.2">
      <c r="A4309" t="s">
        <v>994</v>
      </c>
      <c r="B4309" t="s">
        <v>1014</v>
      </c>
      <c r="C4309" t="str">
        <f t="shared" si="212"/>
        <v>30665220000000</v>
      </c>
      <c r="D4309" t="s">
        <v>2402</v>
      </c>
      <c r="E4309" t="str">
        <f>"30665226028690"</f>
        <v>30665226028690</v>
      </c>
      <c r="F4309" s="8">
        <v>757</v>
      </c>
      <c r="G4309" s="8">
        <v>8987</v>
      </c>
      <c r="H4309" s="8">
        <v>2107</v>
      </c>
      <c r="I4309" s="8">
        <v>5265</v>
      </c>
    </row>
    <row r="4310" spans="1:9" x14ac:dyDescent="0.2">
      <c r="A4310" t="s">
        <v>994</v>
      </c>
      <c r="B4310" t="s">
        <v>1014</v>
      </c>
      <c r="C4310" t="str">
        <f t="shared" si="212"/>
        <v>30665220000000</v>
      </c>
      <c r="D4310" t="s">
        <v>5859</v>
      </c>
      <c r="E4310" t="str">
        <f>"30665226028807"</f>
        <v>30665226028807</v>
      </c>
      <c r="F4310" s="8">
        <v>967</v>
      </c>
      <c r="G4310" s="8">
        <v>8860</v>
      </c>
      <c r="H4310" s="8">
        <v>1986</v>
      </c>
      <c r="I4310" s="8">
        <v>5024</v>
      </c>
    </row>
    <row r="4311" spans="1:9" x14ac:dyDescent="0.2">
      <c r="A4311" t="s">
        <v>994</v>
      </c>
      <c r="B4311" t="s">
        <v>1014</v>
      </c>
      <c r="C4311" t="str">
        <f t="shared" si="212"/>
        <v>30665220000000</v>
      </c>
      <c r="D4311" t="s">
        <v>5860</v>
      </c>
      <c r="E4311" t="str">
        <f>"30665226028534"</f>
        <v>30665226028534</v>
      </c>
      <c r="F4311" s="8">
        <v>2013</v>
      </c>
      <c r="G4311" s="8">
        <v>8318</v>
      </c>
      <c r="H4311" s="8">
        <v>1701</v>
      </c>
      <c r="I4311" s="8">
        <v>4711</v>
      </c>
    </row>
    <row r="4312" spans="1:9" x14ac:dyDescent="0.2">
      <c r="A4312" t="s">
        <v>994</v>
      </c>
      <c r="B4312" t="s">
        <v>1014</v>
      </c>
      <c r="C4312" t="str">
        <f t="shared" si="212"/>
        <v>30665220000000</v>
      </c>
      <c r="D4312" t="s">
        <v>5861</v>
      </c>
      <c r="E4312" t="str">
        <f>"30665226028328"</f>
        <v>30665226028328</v>
      </c>
      <c r="F4312" s="8">
        <v>1047</v>
      </c>
      <c r="G4312" s="8">
        <v>8480</v>
      </c>
      <c r="H4312" s="8">
        <v>1909</v>
      </c>
      <c r="I4312" s="8">
        <v>4871</v>
      </c>
    </row>
    <row r="4313" spans="1:9" x14ac:dyDescent="0.2">
      <c r="A4313" t="s">
        <v>994</v>
      </c>
      <c r="B4313" t="s">
        <v>1014</v>
      </c>
      <c r="C4313" t="str">
        <f t="shared" si="212"/>
        <v>30665220000000</v>
      </c>
      <c r="D4313" t="s">
        <v>5862</v>
      </c>
      <c r="E4313" t="str">
        <f>"30665223033933"</f>
        <v>30665223033933</v>
      </c>
      <c r="F4313" s="8">
        <v>1067</v>
      </c>
      <c r="G4313" s="8">
        <v>7914</v>
      </c>
      <c r="H4313" s="8">
        <v>1802</v>
      </c>
      <c r="I4313" s="8">
        <v>5062</v>
      </c>
    </row>
    <row r="4314" spans="1:9" x14ac:dyDescent="0.2">
      <c r="A4314" t="s">
        <v>994</v>
      </c>
      <c r="B4314" t="s">
        <v>1014</v>
      </c>
      <c r="C4314" t="str">
        <f t="shared" si="212"/>
        <v>30665220000000</v>
      </c>
      <c r="D4314" t="s">
        <v>5863</v>
      </c>
      <c r="E4314" t="str">
        <f>"30665223035706"</f>
        <v>30665223035706</v>
      </c>
      <c r="F4314" s="8">
        <v>780</v>
      </c>
      <c r="G4314" s="8">
        <v>8528</v>
      </c>
      <c r="H4314" s="8">
        <v>1651</v>
      </c>
      <c r="I4314" s="8">
        <v>4761</v>
      </c>
    </row>
    <row r="4315" spans="1:9" x14ac:dyDescent="0.2">
      <c r="A4315" t="s">
        <v>994</v>
      </c>
      <c r="B4315" t="s">
        <v>1014</v>
      </c>
      <c r="C4315" t="str">
        <f t="shared" si="212"/>
        <v>30665220000000</v>
      </c>
      <c r="D4315" t="s">
        <v>5864</v>
      </c>
      <c r="E4315" t="str">
        <f>"30665226028344"</f>
        <v>30665226028344</v>
      </c>
      <c r="F4315" s="8">
        <v>727</v>
      </c>
      <c r="G4315" s="8">
        <v>8219</v>
      </c>
      <c r="H4315" s="8">
        <v>1869</v>
      </c>
      <c r="I4315" s="8">
        <v>4791</v>
      </c>
    </row>
    <row r="4316" spans="1:9" x14ac:dyDescent="0.2">
      <c r="A4316" t="s">
        <v>994</v>
      </c>
      <c r="B4316" t="s">
        <v>1014</v>
      </c>
      <c r="C4316" t="str">
        <f t="shared" si="212"/>
        <v>30665220000000</v>
      </c>
      <c r="D4316" t="s">
        <v>5865</v>
      </c>
      <c r="E4316" t="str">
        <f>"30665226028575"</f>
        <v>30665226028575</v>
      </c>
      <c r="F4316" s="8">
        <v>693</v>
      </c>
      <c r="G4316" s="8">
        <v>9474</v>
      </c>
      <c r="H4316" s="8">
        <v>1400</v>
      </c>
      <c r="I4316" s="8">
        <v>3858</v>
      </c>
    </row>
    <row r="4317" spans="1:9" x14ac:dyDescent="0.2">
      <c r="A4317" t="s">
        <v>994</v>
      </c>
      <c r="B4317" t="s">
        <v>1014</v>
      </c>
      <c r="C4317" t="str">
        <f t="shared" si="212"/>
        <v>30665220000000</v>
      </c>
      <c r="D4317" t="s">
        <v>5866</v>
      </c>
      <c r="E4317" t="str">
        <f>"30665226028583"</f>
        <v>30665226028583</v>
      </c>
      <c r="F4317" s="8">
        <v>626</v>
      </c>
      <c r="G4317" s="8">
        <v>9283</v>
      </c>
      <c r="H4317" s="8">
        <v>1476</v>
      </c>
      <c r="I4317" s="8">
        <v>4008</v>
      </c>
    </row>
    <row r="4318" spans="1:9" x14ac:dyDescent="0.2">
      <c r="A4318" t="s">
        <v>994</v>
      </c>
      <c r="B4318" t="s">
        <v>1014</v>
      </c>
      <c r="C4318" t="str">
        <f t="shared" si="212"/>
        <v>30665220000000</v>
      </c>
      <c r="D4318" t="s">
        <v>5867</v>
      </c>
      <c r="E4318" t="str">
        <f>"30665226028815"</f>
        <v>30665226028815</v>
      </c>
      <c r="F4318" s="8">
        <v>1184</v>
      </c>
      <c r="G4318" s="8">
        <v>9469</v>
      </c>
      <c r="H4318" s="8">
        <v>1217</v>
      </c>
      <c r="I4318" s="8">
        <v>3493</v>
      </c>
    </row>
    <row r="4319" spans="1:9" x14ac:dyDescent="0.2">
      <c r="A4319" t="s">
        <v>994</v>
      </c>
      <c r="B4319" t="s">
        <v>1014</v>
      </c>
      <c r="C4319" t="str">
        <f t="shared" si="212"/>
        <v>30665220000000</v>
      </c>
      <c r="D4319" t="s">
        <v>5868</v>
      </c>
      <c r="E4319" t="str">
        <f>"30665226028237"</f>
        <v>30665226028237</v>
      </c>
      <c r="F4319" s="8">
        <v>1381</v>
      </c>
      <c r="G4319" s="8">
        <v>8370</v>
      </c>
      <c r="H4319" s="8">
        <v>1432</v>
      </c>
      <c r="I4319" s="8">
        <v>4175</v>
      </c>
    </row>
    <row r="4320" spans="1:9" x14ac:dyDescent="0.2">
      <c r="A4320" t="s">
        <v>994</v>
      </c>
      <c r="B4320" t="s">
        <v>1014</v>
      </c>
      <c r="C4320" t="str">
        <f t="shared" si="212"/>
        <v>30665220000000</v>
      </c>
      <c r="D4320" t="s">
        <v>5869</v>
      </c>
      <c r="E4320" t="str">
        <f>"30665226028773"</f>
        <v>30665226028773</v>
      </c>
      <c r="F4320" s="8">
        <v>1558</v>
      </c>
      <c r="G4320" s="8">
        <v>7528</v>
      </c>
      <c r="H4320" s="8">
        <v>1651</v>
      </c>
      <c r="I4320" s="8">
        <v>4611</v>
      </c>
    </row>
    <row r="4321" spans="1:9" x14ac:dyDescent="0.2">
      <c r="A4321" t="s">
        <v>994</v>
      </c>
      <c r="B4321" t="s">
        <v>1014</v>
      </c>
      <c r="C4321" t="str">
        <f t="shared" si="212"/>
        <v>30665220000000</v>
      </c>
      <c r="D4321" t="s">
        <v>5870</v>
      </c>
      <c r="E4321" t="str">
        <f>"30665226085294"</f>
        <v>30665226085294</v>
      </c>
      <c r="F4321" s="8">
        <v>638</v>
      </c>
      <c r="G4321" s="8">
        <v>9344</v>
      </c>
      <c r="H4321" s="8">
        <v>1417</v>
      </c>
      <c r="I4321" s="8">
        <v>3891</v>
      </c>
    </row>
    <row r="4322" spans="1:9" x14ac:dyDescent="0.2">
      <c r="A4322" t="s">
        <v>994</v>
      </c>
      <c r="B4322" t="s">
        <v>1014</v>
      </c>
      <c r="C4322" t="str">
        <f t="shared" si="212"/>
        <v>30665220000000</v>
      </c>
      <c r="D4322" t="s">
        <v>5871</v>
      </c>
      <c r="E4322" t="str">
        <f>"30665226028674"</f>
        <v>30665226028674</v>
      </c>
      <c r="F4322" s="8">
        <v>518</v>
      </c>
      <c r="G4322" s="8">
        <v>8887</v>
      </c>
      <c r="H4322" s="8">
        <v>1600</v>
      </c>
      <c r="I4322" s="8">
        <v>4255</v>
      </c>
    </row>
    <row r="4323" spans="1:9" x14ac:dyDescent="0.2">
      <c r="A4323" t="s">
        <v>994</v>
      </c>
      <c r="B4323" t="s">
        <v>1014</v>
      </c>
      <c r="C4323" t="str">
        <f t="shared" si="212"/>
        <v>30665220000000</v>
      </c>
      <c r="D4323" t="s">
        <v>5872</v>
      </c>
      <c r="E4323" t="str">
        <f>"30665226028435"</f>
        <v>30665226028435</v>
      </c>
      <c r="F4323" s="8">
        <v>940</v>
      </c>
      <c r="G4323" s="8">
        <v>7692</v>
      </c>
      <c r="H4323" s="8">
        <v>1830</v>
      </c>
      <c r="I4323" s="8">
        <v>4714</v>
      </c>
    </row>
    <row r="4324" spans="1:9" x14ac:dyDescent="0.2">
      <c r="A4324" t="s">
        <v>994</v>
      </c>
      <c r="B4324" t="s">
        <v>1014</v>
      </c>
      <c r="C4324" t="str">
        <f t="shared" si="212"/>
        <v>30665220000000</v>
      </c>
      <c r="D4324" t="s">
        <v>5873</v>
      </c>
      <c r="E4324" t="str">
        <f>"30665223035581"</f>
        <v>30665223035581</v>
      </c>
      <c r="F4324" s="8">
        <v>644</v>
      </c>
      <c r="G4324" s="8">
        <v>8516</v>
      </c>
      <c r="H4324" s="8">
        <v>1488</v>
      </c>
      <c r="I4324" s="8">
        <v>4405</v>
      </c>
    </row>
    <row r="4325" spans="1:9" x14ac:dyDescent="0.2">
      <c r="A4325" t="s">
        <v>994</v>
      </c>
      <c r="B4325" t="s">
        <v>1014</v>
      </c>
      <c r="C4325" t="str">
        <f t="shared" si="212"/>
        <v>30665220000000</v>
      </c>
      <c r="D4325" t="s">
        <v>5874</v>
      </c>
      <c r="E4325" t="str">
        <f>"30665226028211"</f>
        <v>30665226028211</v>
      </c>
      <c r="F4325" s="8">
        <v>678</v>
      </c>
      <c r="G4325" s="8">
        <v>9741</v>
      </c>
      <c r="H4325" s="8">
        <v>1144</v>
      </c>
      <c r="I4325" s="8">
        <v>3347</v>
      </c>
    </row>
    <row r="4326" spans="1:9" x14ac:dyDescent="0.2">
      <c r="A4326" t="s">
        <v>994</v>
      </c>
      <c r="B4326" t="s">
        <v>1014</v>
      </c>
      <c r="C4326" t="str">
        <f t="shared" si="212"/>
        <v>30665220000000</v>
      </c>
      <c r="D4326" t="s">
        <v>5875</v>
      </c>
      <c r="E4326" t="str">
        <f>"30665226028450"</f>
        <v>30665226028450</v>
      </c>
      <c r="F4326" s="8">
        <v>1251</v>
      </c>
      <c r="G4326" s="8">
        <v>8296</v>
      </c>
      <c r="H4326" s="8">
        <v>1339</v>
      </c>
      <c r="I4326" s="8">
        <v>3991</v>
      </c>
    </row>
    <row r="4327" spans="1:9" x14ac:dyDescent="0.2">
      <c r="A4327" t="s">
        <v>994</v>
      </c>
      <c r="B4327" t="s">
        <v>1014</v>
      </c>
      <c r="C4327" t="str">
        <f t="shared" si="212"/>
        <v>30665220000000</v>
      </c>
      <c r="D4327" t="s">
        <v>5876</v>
      </c>
      <c r="E4327" t="str">
        <f>"30665223036555"</f>
        <v>30665223036555</v>
      </c>
      <c r="F4327" s="8">
        <v>814</v>
      </c>
      <c r="G4327" s="8">
        <v>8057</v>
      </c>
      <c r="H4327" s="8">
        <v>1505</v>
      </c>
      <c r="I4327" s="8">
        <v>4439</v>
      </c>
    </row>
    <row r="4328" spans="1:9" x14ac:dyDescent="0.2">
      <c r="A4328" t="s">
        <v>994</v>
      </c>
      <c r="B4328" t="s">
        <v>1014</v>
      </c>
      <c r="C4328" t="str">
        <f t="shared" si="212"/>
        <v>30665220000000</v>
      </c>
      <c r="D4328" t="s">
        <v>5877</v>
      </c>
      <c r="E4328" t="str">
        <f>"30665226028443"</f>
        <v>30665226028443</v>
      </c>
      <c r="F4328" s="8">
        <v>653</v>
      </c>
      <c r="G4328" s="8">
        <v>9131</v>
      </c>
      <c r="H4328" s="8">
        <v>1318</v>
      </c>
      <c r="I4328" s="8">
        <v>3693</v>
      </c>
    </row>
    <row r="4329" spans="1:9" x14ac:dyDescent="0.2">
      <c r="A4329" t="s">
        <v>994</v>
      </c>
      <c r="B4329" t="s">
        <v>1014</v>
      </c>
      <c r="C4329" t="str">
        <f t="shared" si="212"/>
        <v>30665220000000</v>
      </c>
      <c r="D4329" t="s">
        <v>5878</v>
      </c>
      <c r="E4329" t="str">
        <f>"30665226028252"</f>
        <v>30665226028252</v>
      </c>
      <c r="F4329" s="8">
        <v>612</v>
      </c>
      <c r="G4329" s="8">
        <v>8705</v>
      </c>
      <c r="H4329" s="8">
        <v>1453</v>
      </c>
      <c r="I4329" s="8">
        <v>3963</v>
      </c>
    </row>
    <row r="4330" spans="1:9" x14ac:dyDescent="0.2">
      <c r="A4330" t="s">
        <v>994</v>
      </c>
      <c r="B4330" t="s">
        <v>1014</v>
      </c>
      <c r="C4330" t="str">
        <f t="shared" si="212"/>
        <v>30665220000000</v>
      </c>
      <c r="D4330" t="s">
        <v>5879</v>
      </c>
      <c r="E4330" t="str">
        <f>"30665226028716"</f>
        <v>30665226028716</v>
      </c>
      <c r="F4330" s="8">
        <v>704</v>
      </c>
      <c r="G4330" s="8">
        <v>9183</v>
      </c>
      <c r="H4330" s="8">
        <v>1246</v>
      </c>
      <c r="I4330" s="8">
        <v>3551</v>
      </c>
    </row>
    <row r="4331" spans="1:9" x14ac:dyDescent="0.2">
      <c r="A4331" t="s">
        <v>994</v>
      </c>
      <c r="B4331" t="s">
        <v>1014</v>
      </c>
      <c r="C4331" t="str">
        <f t="shared" si="212"/>
        <v>30665220000000</v>
      </c>
      <c r="D4331" t="s">
        <v>5880</v>
      </c>
      <c r="E4331" t="str">
        <f>"30665226028278"</f>
        <v>30665226028278</v>
      </c>
      <c r="F4331" s="8">
        <v>671</v>
      </c>
      <c r="G4331" s="8">
        <v>8934</v>
      </c>
      <c r="H4331" s="8">
        <v>1322</v>
      </c>
      <c r="I4331" s="8">
        <v>3703</v>
      </c>
    </row>
    <row r="4332" spans="1:9" x14ac:dyDescent="0.2">
      <c r="A4332" t="s">
        <v>994</v>
      </c>
      <c r="B4332" t="s">
        <v>1014</v>
      </c>
      <c r="C4332" t="str">
        <f t="shared" si="212"/>
        <v>30665220000000</v>
      </c>
      <c r="D4332" t="s">
        <v>5881</v>
      </c>
      <c r="E4332" t="str">
        <f>"30665223030434"</f>
        <v>30665223030434</v>
      </c>
      <c r="F4332" s="8">
        <v>570</v>
      </c>
      <c r="G4332" s="8">
        <v>8346</v>
      </c>
      <c r="H4332" s="8">
        <v>1391</v>
      </c>
      <c r="I4332" s="8">
        <v>4242</v>
      </c>
    </row>
    <row r="4333" spans="1:9" x14ac:dyDescent="0.2">
      <c r="A4333" t="s">
        <v>994</v>
      </c>
      <c r="B4333" t="s">
        <v>1014</v>
      </c>
      <c r="C4333" t="str">
        <f t="shared" si="212"/>
        <v>30665220000000</v>
      </c>
      <c r="D4333" t="s">
        <v>4016</v>
      </c>
      <c r="E4333" t="str">
        <f>"30665226028260"</f>
        <v>30665226028260</v>
      </c>
      <c r="F4333" s="8">
        <v>697</v>
      </c>
      <c r="G4333" s="8">
        <v>8175</v>
      </c>
      <c r="H4333" s="8">
        <v>1449</v>
      </c>
      <c r="I4333" s="8">
        <v>3954</v>
      </c>
    </row>
    <row r="4334" spans="1:9" x14ac:dyDescent="0.2">
      <c r="A4334" t="s">
        <v>994</v>
      </c>
      <c r="B4334" t="s">
        <v>1014</v>
      </c>
      <c r="C4334" t="str">
        <f t="shared" ref="C4334:C4365" si="213">"30665220000000"</f>
        <v>30665220000000</v>
      </c>
      <c r="D4334" t="s">
        <v>5882</v>
      </c>
      <c r="E4334" t="str">
        <f>"30665226028625"</f>
        <v>30665226028625</v>
      </c>
      <c r="F4334" s="8">
        <v>331</v>
      </c>
      <c r="G4334" s="8">
        <v>8575</v>
      </c>
      <c r="H4334" s="8">
        <v>1335</v>
      </c>
      <c r="I4334" s="8">
        <v>3982</v>
      </c>
    </row>
    <row r="4335" spans="1:9" x14ac:dyDescent="0.2">
      <c r="A4335" t="s">
        <v>994</v>
      </c>
      <c r="B4335" t="s">
        <v>1014</v>
      </c>
      <c r="C4335" t="str">
        <f t="shared" si="213"/>
        <v>30665220000000</v>
      </c>
      <c r="D4335" t="s">
        <v>5883</v>
      </c>
      <c r="E4335" t="str">
        <f>"30665226028385"</f>
        <v>30665226028385</v>
      </c>
      <c r="F4335" s="8">
        <v>523</v>
      </c>
      <c r="G4335" s="8">
        <v>8977</v>
      </c>
      <c r="H4335" s="8">
        <v>1221</v>
      </c>
      <c r="I4335" s="8">
        <v>3501</v>
      </c>
    </row>
    <row r="4336" spans="1:9" x14ac:dyDescent="0.2">
      <c r="A4336" t="s">
        <v>994</v>
      </c>
      <c r="B4336" t="s">
        <v>1014</v>
      </c>
      <c r="C4336" t="str">
        <f t="shared" si="213"/>
        <v>30665220000000</v>
      </c>
      <c r="D4336" t="s">
        <v>5884</v>
      </c>
      <c r="E4336" t="str">
        <f>"30665226028542"</f>
        <v>30665226028542</v>
      </c>
      <c r="F4336" s="8">
        <v>501</v>
      </c>
      <c r="G4336" s="8">
        <v>8611</v>
      </c>
      <c r="H4336" s="8">
        <v>1316</v>
      </c>
      <c r="I4336" s="8">
        <v>3690</v>
      </c>
    </row>
    <row r="4337" spans="1:9" x14ac:dyDescent="0.2">
      <c r="A4337" t="s">
        <v>994</v>
      </c>
      <c r="B4337" t="s">
        <v>1014</v>
      </c>
      <c r="C4337" t="str">
        <f t="shared" si="213"/>
        <v>30665220000000</v>
      </c>
      <c r="D4337" t="s">
        <v>5885</v>
      </c>
      <c r="E4337" t="str">
        <f>"30665226028302"</f>
        <v>30665226028302</v>
      </c>
      <c r="F4337" s="8">
        <v>578</v>
      </c>
      <c r="G4337" s="8">
        <v>7858</v>
      </c>
      <c r="H4337" s="8">
        <v>1433</v>
      </c>
      <c r="I4337" s="8">
        <v>4178</v>
      </c>
    </row>
    <row r="4338" spans="1:9" x14ac:dyDescent="0.2">
      <c r="A4338" t="s">
        <v>994</v>
      </c>
      <c r="B4338" t="s">
        <v>1014</v>
      </c>
      <c r="C4338" t="str">
        <f t="shared" si="213"/>
        <v>30665220000000</v>
      </c>
      <c r="D4338" t="s">
        <v>5886</v>
      </c>
      <c r="E4338" t="str">
        <f>"30665226028419"</f>
        <v>30665226028419</v>
      </c>
      <c r="F4338" s="8">
        <v>367</v>
      </c>
      <c r="G4338" s="8">
        <v>8435</v>
      </c>
      <c r="H4338" s="8">
        <v>1386</v>
      </c>
      <c r="I4338" s="8">
        <v>3829</v>
      </c>
    </row>
    <row r="4339" spans="1:9" x14ac:dyDescent="0.2">
      <c r="A4339" t="s">
        <v>994</v>
      </c>
      <c r="B4339" t="s">
        <v>1014</v>
      </c>
      <c r="C4339" t="str">
        <f t="shared" si="213"/>
        <v>30665220000000</v>
      </c>
      <c r="D4339" t="s">
        <v>5887</v>
      </c>
      <c r="E4339" t="str">
        <f>"30665226028393"</f>
        <v>30665226028393</v>
      </c>
      <c r="F4339" s="8">
        <v>483</v>
      </c>
      <c r="G4339" s="8">
        <v>8467</v>
      </c>
      <c r="H4339" s="8">
        <v>1334</v>
      </c>
      <c r="I4339" s="8">
        <v>3725</v>
      </c>
    </row>
    <row r="4340" spans="1:9" x14ac:dyDescent="0.2">
      <c r="A4340" t="s">
        <v>994</v>
      </c>
      <c r="B4340" t="s">
        <v>1014</v>
      </c>
      <c r="C4340" t="str">
        <f t="shared" si="213"/>
        <v>30665220000000</v>
      </c>
      <c r="D4340" t="s">
        <v>5888</v>
      </c>
      <c r="E4340" t="str">
        <f>"30665226028468"</f>
        <v>30665226028468</v>
      </c>
      <c r="F4340" s="8">
        <v>497</v>
      </c>
      <c r="G4340" s="8">
        <v>7720</v>
      </c>
      <c r="H4340" s="8">
        <v>1483</v>
      </c>
      <c r="I4340" s="8">
        <v>4277</v>
      </c>
    </row>
    <row r="4341" spans="1:9" x14ac:dyDescent="0.2">
      <c r="A4341" t="s">
        <v>994</v>
      </c>
      <c r="B4341" t="s">
        <v>1014</v>
      </c>
      <c r="C4341" t="str">
        <f t="shared" si="213"/>
        <v>30665220000000</v>
      </c>
      <c r="D4341" t="s">
        <v>5889</v>
      </c>
      <c r="E4341" t="str">
        <f>"30665223033578"</f>
        <v>30665223033578</v>
      </c>
      <c r="F4341" s="8">
        <v>513</v>
      </c>
      <c r="G4341" s="8">
        <v>7625</v>
      </c>
      <c r="H4341" s="8">
        <v>1459</v>
      </c>
      <c r="I4341" s="8">
        <v>4379</v>
      </c>
    </row>
    <row r="4342" spans="1:9" x14ac:dyDescent="0.2">
      <c r="A4342" t="s">
        <v>994</v>
      </c>
      <c r="B4342" t="s">
        <v>1014</v>
      </c>
      <c r="C4342" t="str">
        <f t="shared" si="213"/>
        <v>30665220000000</v>
      </c>
      <c r="D4342" t="s">
        <v>5890</v>
      </c>
      <c r="E4342" t="str">
        <f>"30665226028500"</f>
        <v>30665226028500</v>
      </c>
      <c r="F4342" s="8">
        <v>412</v>
      </c>
      <c r="G4342" s="8">
        <v>8453</v>
      </c>
      <c r="H4342" s="8">
        <v>1310</v>
      </c>
      <c r="I4342" s="8">
        <v>3678</v>
      </c>
    </row>
    <row r="4343" spans="1:9" x14ac:dyDescent="0.2">
      <c r="A4343" t="s">
        <v>994</v>
      </c>
      <c r="B4343" t="s">
        <v>1014</v>
      </c>
      <c r="C4343" t="str">
        <f t="shared" si="213"/>
        <v>30665220000000</v>
      </c>
      <c r="D4343" t="s">
        <v>5891</v>
      </c>
      <c r="E4343" t="str">
        <f>"30665226028294"</f>
        <v>30665226028294</v>
      </c>
      <c r="F4343" s="8">
        <v>624</v>
      </c>
      <c r="G4343" s="8">
        <v>8324</v>
      </c>
      <c r="H4343" s="8">
        <v>1265</v>
      </c>
      <c r="I4343" s="8">
        <v>3589</v>
      </c>
    </row>
    <row r="4344" spans="1:9" x14ac:dyDescent="0.2">
      <c r="A4344" t="s">
        <v>994</v>
      </c>
      <c r="B4344" t="s">
        <v>1014</v>
      </c>
      <c r="C4344" t="str">
        <f t="shared" si="213"/>
        <v>30665220000000</v>
      </c>
      <c r="D4344" t="s">
        <v>2889</v>
      </c>
      <c r="E4344" t="str">
        <f>"30665226028799"</f>
        <v>30665226028799</v>
      </c>
      <c r="F4344" s="8">
        <v>395</v>
      </c>
      <c r="G4344" s="8">
        <v>8216</v>
      </c>
      <c r="H4344" s="8">
        <v>1367</v>
      </c>
      <c r="I4344" s="8">
        <v>3792</v>
      </c>
    </row>
    <row r="4345" spans="1:9" x14ac:dyDescent="0.2">
      <c r="A4345" t="s">
        <v>994</v>
      </c>
      <c r="B4345" t="s">
        <v>1014</v>
      </c>
      <c r="C4345" t="str">
        <f t="shared" si="213"/>
        <v>30665220000000</v>
      </c>
      <c r="D4345" t="s">
        <v>5892</v>
      </c>
      <c r="E4345" t="str">
        <f>"30665226028559"</f>
        <v>30665226028559</v>
      </c>
      <c r="F4345" s="8">
        <v>545</v>
      </c>
      <c r="G4345" s="8">
        <v>7599</v>
      </c>
      <c r="H4345" s="8">
        <v>1429</v>
      </c>
      <c r="I4345" s="8">
        <v>4170</v>
      </c>
    </row>
    <row r="4346" spans="1:9" x14ac:dyDescent="0.2">
      <c r="A4346" t="s">
        <v>994</v>
      </c>
      <c r="B4346" t="s">
        <v>1014</v>
      </c>
      <c r="C4346" t="str">
        <f t="shared" si="213"/>
        <v>30665220000000</v>
      </c>
      <c r="D4346" t="s">
        <v>5893</v>
      </c>
      <c r="E4346" t="str">
        <f>"30665226028708"</f>
        <v>30665226028708</v>
      </c>
      <c r="F4346" s="8">
        <v>555</v>
      </c>
      <c r="G4346" s="8">
        <v>7934</v>
      </c>
      <c r="H4346" s="8">
        <v>1379</v>
      </c>
      <c r="I4346" s="8">
        <v>3815</v>
      </c>
    </row>
    <row r="4347" spans="1:9" x14ac:dyDescent="0.2">
      <c r="A4347" t="s">
        <v>994</v>
      </c>
      <c r="B4347" t="s">
        <v>1014</v>
      </c>
      <c r="C4347" t="str">
        <f t="shared" si="213"/>
        <v>30665220000000</v>
      </c>
      <c r="D4347" t="s">
        <v>5894</v>
      </c>
      <c r="E4347" t="str">
        <f>"30665226028732"</f>
        <v>30665226028732</v>
      </c>
      <c r="F4347" s="8">
        <v>553</v>
      </c>
      <c r="G4347" s="8">
        <v>8385</v>
      </c>
      <c r="H4347" s="8">
        <v>1220</v>
      </c>
      <c r="I4347" s="8">
        <v>3498</v>
      </c>
    </row>
    <row r="4348" spans="1:9" x14ac:dyDescent="0.2">
      <c r="A4348" t="s">
        <v>994</v>
      </c>
      <c r="B4348" t="s">
        <v>1014</v>
      </c>
      <c r="C4348" t="str">
        <f t="shared" si="213"/>
        <v>30665220000000</v>
      </c>
      <c r="D4348" t="s">
        <v>5895</v>
      </c>
      <c r="E4348" t="str">
        <f>"30665226028229"</f>
        <v>30665226028229</v>
      </c>
      <c r="F4348" s="8">
        <v>573</v>
      </c>
      <c r="G4348" s="8">
        <v>8180</v>
      </c>
      <c r="H4348" s="8">
        <v>1221</v>
      </c>
      <c r="I4348" s="8">
        <v>3501</v>
      </c>
    </row>
    <row r="4349" spans="1:9" x14ac:dyDescent="0.2">
      <c r="A4349" t="s">
        <v>994</v>
      </c>
      <c r="B4349" t="s">
        <v>1014</v>
      </c>
      <c r="C4349" t="str">
        <f t="shared" si="213"/>
        <v>30665220000000</v>
      </c>
      <c r="D4349" t="s">
        <v>5896</v>
      </c>
      <c r="E4349" t="str">
        <f>"30665226028310"</f>
        <v>30665226028310</v>
      </c>
      <c r="F4349" s="8">
        <v>785</v>
      </c>
      <c r="G4349" s="8">
        <v>7841</v>
      </c>
      <c r="H4349" s="8">
        <v>1258</v>
      </c>
      <c r="I4349" s="8">
        <v>3574</v>
      </c>
    </row>
    <row r="4350" spans="1:9" x14ac:dyDescent="0.2">
      <c r="A4350" t="s">
        <v>994</v>
      </c>
      <c r="B4350" t="s">
        <v>1014</v>
      </c>
      <c r="C4350" t="str">
        <f t="shared" si="213"/>
        <v>30665220000000</v>
      </c>
      <c r="D4350" t="s">
        <v>5897</v>
      </c>
      <c r="E4350" t="str">
        <f>"30665223032752"</f>
        <v>30665223032752</v>
      </c>
      <c r="F4350" s="8">
        <v>573</v>
      </c>
      <c r="G4350" s="8">
        <v>7383</v>
      </c>
      <c r="H4350" s="8">
        <v>1312</v>
      </c>
      <c r="I4350" s="8">
        <v>4085</v>
      </c>
    </row>
    <row r="4351" spans="1:9" x14ac:dyDescent="0.2">
      <c r="A4351" t="s">
        <v>994</v>
      </c>
      <c r="B4351" t="s">
        <v>1014</v>
      </c>
      <c r="C4351" t="str">
        <f t="shared" si="213"/>
        <v>30665220000000</v>
      </c>
      <c r="D4351" t="s">
        <v>5412</v>
      </c>
      <c r="E4351" t="str">
        <f>"30665226028658"</f>
        <v>30665226028658</v>
      </c>
      <c r="F4351" s="8">
        <v>432</v>
      </c>
      <c r="G4351" s="8">
        <v>7329</v>
      </c>
      <c r="H4351" s="8">
        <v>1463</v>
      </c>
      <c r="I4351" s="8">
        <v>3982</v>
      </c>
    </row>
    <row r="4352" spans="1:9" x14ac:dyDescent="0.2">
      <c r="A4352" t="s">
        <v>994</v>
      </c>
      <c r="B4352" t="s">
        <v>1014</v>
      </c>
      <c r="C4352" t="str">
        <f t="shared" si="213"/>
        <v>30665220000000</v>
      </c>
      <c r="D4352" t="s">
        <v>5898</v>
      </c>
      <c r="E4352" t="str">
        <f>"30665226028781"</f>
        <v>30665226028781</v>
      </c>
      <c r="F4352" s="8">
        <v>345</v>
      </c>
      <c r="G4352" s="8">
        <v>8041</v>
      </c>
      <c r="H4352" s="8">
        <v>1252</v>
      </c>
      <c r="I4352" s="8">
        <v>3563</v>
      </c>
    </row>
    <row r="4353" spans="1:9" x14ac:dyDescent="0.2">
      <c r="A4353" t="s">
        <v>994</v>
      </c>
      <c r="B4353" t="s">
        <v>1014</v>
      </c>
      <c r="C4353" t="str">
        <f t="shared" si="213"/>
        <v>30665220000000</v>
      </c>
      <c r="D4353" t="s">
        <v>4575</v>
      </c>
      <c r="E4353" t="str">
        <f>"30665226028666"</f>
        <v>30665226028666</v>
      </c>
      <c r="F4353" s="8">
        <v>469</v>
      </c>
      <c r="G4353" s="8">
        <v>8191</v>
      </c>
      <c r="H4353" s="8">
        <v>1141</v>
      </c>
      <c r="I4353" s="8">
        <v>3342</v>
      </c>
    </row>
    <row r="4354" spans="1:9" x14ac:dyDescent="0.2">
      <c r="A4354" t="s">
        <v>994</v>
      </c>
      <c r="B4354" t="s">
        <v>1014</v>
      </c>
      <c r="C4354" t="str">
        <f t="shared" si="213"/>
        <v>30665220000000</v>
      </c>
      <c r="D4354" t="s">
        <v>5899</v>
      </c>
      <c r="E4354" t="str">
        <f>"30665226028401"</f>
        <v>30665226028401</v>
      </c>
      <c r="F4354" s="8">
        <v>444</v>
      </c>
      <c r="G4354" s="8">
        <v>8204</v>
      </c>
      <c r="H4354" s="8">
        <v>1121</v>
      </c>
      <c r="I4354" s="8">
        <v>3301</v>
      </c>
    </row>
    <row r="4355" spans="1:9" x14ac:dyDescent="0.2">
      <c r="A4355" t="s">
        <v>994</v>
      </c>
      <c r="B4355" t="s">
        <v>1014</v>
      </c>
      <c r="C4355" t="str">
        <f t="shared" si="213"/>
        <v>30665220000000</v>
      </c>
      <c r="D4355" t="s">
        <v>5900</v>
      </c>
      <c r="E4355" t="str">
        <f>"30665226028765"</f>
        <v>30665226028765</v>
      </c>
      <c r="F4355" s="8">
        <v>474</v>
      </c>
      <c r="G4355" s="8">
        <v>7438</v>
      </c>
      <c r="H4355" s="8">
        <v>1329</v>
      </c>
      <c r="I4355" s="8">
        <v>3715</v>
      </c>
    </row>
    <row r="4356" spans="1:9" x14ac:dyDescent="0.2">
      <c r="A4356" t="s">
        <v>994</v>
      </c>
      <c r="B4356" t="s">
        <v>1014</v>
      </c>
      <c r="C4356" t="str">
        <f t="shared" si="213"/>
        <v>30665220000000</v>
      </c>
      <c r="D4356" t="s">
        <v>5901</v>
      </c>
      <c r="E4356" t="str">
        <f>"30665226028682"</f>
        <v>30665226028682</v>
      </c>
      <c r="F4356" s="8">
        <v>1197</v>
      </c>
      <c r="G4356" s="8">
        <v>6937</v>
      </c>
      <c r="H4356" s="8">
        <v>1237</v>
      </c>
      <c r="I4356" s="8">
        <v>3576</v>
      </c>
    </row>
    <row r="4357" spans="1:9" x14ac:dyDescent="0.2">
      <c r="A4357" t="s">
        <v>994</v>
      </c>
      <c r="B4357" t="s">
        <v>1014</v>
      </c>
      <c r="C4357" t="str">
        <f t="shared" si="213"/>
        <v>30665220000000</v>
      </c>
      <c r="D4357" t="s">
        <v>5902</v>
      </c>
      <c r="E4357" t="str">
        <f>"30665226028526"</f>
        <v>30665226028526</v>
      </c>
      <c r="F4357" s="8">
        <v>456</v>
      </c>
      <c r="G4357" s="8">
        <v>7634</v>
      </c>
      <c r="H4357" s="8">
        <v>1258</v>
      </c>
      <c r="I4357" s="8">
        <v>3575</v>
      </c>
    </row>
    <row r="4358" spans="1:9" x14ac:dyDescent="0.2">
      <c r="A4358" t="s">
        <v>994</v>
      </c>
      <c r="B4358" t="s">
        <v>1014</v>
      </c>
      <c r="C4358" t="str">
        <f t="shared" si="213"/>
        <v>30665220000000</v>
      </c>
      <c r="D4358" t="s">
        <v>5903</v>
      </c>
      <c r="E4358" t="str">
        <f>"30665226028740"</f>
        <v>30665226028740</v>
      </c>
      <c r="F4358" s="8">
        <v>357</v>
      </c>
      <c r="G4358" s="8">
        <v>7395</v>
      </c>
      <c r="H4358" s="8">
        <v>1271</v>
      </c>
      <c r="I4358" s="8">
        <v>3854</v>
      </c>
    </row>
    <row r="4359" spans="1:9" x14ac:dyDescent="0.2">
      <c r="A4359" t="s">
        <v>994</v>
      </c>
      <c r="B4359" t="s">
        <v>1014</v>
      </c>
      <c r="C4359" t="str">
        <f t="shared" si="213"/>
        <v>30665220000000</v>
      </c>
      <c r="D4359" t="s">
        <v>5904</v>
      </c>
      <c r="E4359" t="str">
        <f>"30665226028377"</f>
        <v>30665226028377</v>
      </c>
      <c r="F4359" s="8">
        <v>493</v>
      </c>
      <c r="G4359" s="8">
        <v>7426</v>
      </c>
      <c r="H4359" s="8">
        <v>1252</v>
      </c>
      <c r="I4359" s="8">
        <v>3562</v>
      </c>
    </row>
    <row r="4360" spans="1:9" x14ac:dyDescent="0.2">
      <c r="A4360" t="s">
        <v>994</v>
      </c>
      <c r="B4360" t="s">
        <v>1014</v>
      </c>
      <c r="C4360" t="str">
        <f t="shared" si="213"/>
        <v>30665220000000</v>
      </c>
      <c r="D4360" t="s">
        <v>3029</v>
      </c>
      <c r="E4360" t="str">
        <f>"30665226028724"</f>
        <v>30665226028724</v>
      </c>
      <c r="F4360" s="8">
        <v>399</v>
      </c>
      <c r="G4360" s="8">
        <v>7619</v>
      </c>
      <c r="H4360" s="8">
        <v>1200</v>
      </c>
      <c r="I4360" s="8">
        <v>3459</v>
      </c>
    </row>
    <row r="4361" spans="1:9" x14ac:dyDescent="0.2">
      <c r="A4361" t="s">
        <v>994</v>
      </c>
      <c r="B4361" t="s">
        <v>1014</v>
      </c>
      <c r="C4361" t="str">
        <f t="shared" si="213"/>
        <v>30665220000000</v>
      </c>
      <c r="D4361" t="s">
        <v>5905</v>
      </c>
      <c r="E4361" t="str">
        <f>"30665226028609"</f>
        <v>30665226028609</v>
      </c>
      <c r="F4361" s="8">
        <v>232</v>
      </c>
      <c r="G4361" s="8">
        <v>7883</v>
      </c>
      <c r="H4361" s="8">
        <v>1162</v>
      </c>
      <c r="I4361" s="8">
        <v>3383</v>
      </c>
    </row>
    <row r="4362" spans="1:9" x14ac:dyDescent="0.2">
      <c r="A4362" t="s">
        <v>994</v>
      </c>
      <c r="B4362" t="s">
        <v>1014</v>
      </c>
      <c r="C4362" t="str">
        <f t="shared" si="213"/>
        <v>30665220000000</v>
      </c>
      <c r="D4362" t="s">
        <v>5906</v>
      </c>
      <c r="E4362" t="str">
        <f>"30665226028336"</f>
        <v>30665226028336</v>
      </c>
      <c r="F4362" s="8">
        <v>537</v>
      </c>
      <c r="G4362" s="8">
        <v>7351</v>
      </c>
      <c r="H4362" s="8">
        <v>1215</v>
      </c>
      <c r="I4362" s="8">
        <v>3488</v>
      </c>
    </row>
    <row r="4363" spans="1:9" x14ac:dyDescent="0.2">
      <c r="A4363" t="s">
        <v>994</v>
      </c>
      <c r="B4363" t="s">
        <v>1014</v>
      </c>
      <c r="C4363" t="str">
        <f t="shared" si="213"/>
        <v>30665220000000</v>
      </c>
      <c r="D4363" t="s">
        <v>5907</v>
      </c>
      <c r="E4363" t="str">
        <f>"30665226028427"</f>
        <v>30665226028427</v>
      </c>
      <c r="F4363" s="8">
        <v>261</v>
      </c>
      <c r="G4363" s="8">
        <v>7178</v>
      </c>
      <c r="H4363" s="8">
        <v>1189</v>
      </c>
      <c r="I4363" s="8">
        <v>3480</v>
      </c>
    </row>
    <row r="4364" spans="1:9" x14ac:dyDescent="0.2">
      <c r="A4364" t="s">
        <v>994</v>
      </c>
      <c r="B4364" t="s">
        <v>1014</v>
      </c>
      <c r="C4364" t="str">
        <f t="shared" si="213"/>
        <v>30665220000000</v>
      </c>
      <c r="D4364" t="s">
        <v>5908</v>
      </c>
      <c r="E4364" t="str">
        <f>"30665226028369"</f>
        <v>30665226028369</v>
      </c>
      <c r="F4364" s="8">
        <v>313</v>
      </c>
      <c r="G4364" s="8">
        <v>6920</v>
      </c>
      <c r="H4364" s="8">
        <v>1135</v>
      </c>
      <c r="I4364" s="8">
        <v>3371</v>
      </c>
    </row>
    <row r="4365" spans="1:9" x14ac:dyDescent="0.2">
      <c r="A4365" t="s">
        <v>994</v>
      </c>
      <c r="B4365" t="s">
        <v>1014</v>
      </c>
      <c r="C4365" t="str">
        <f t="shared" si="213"/>
        <v>30665220000000</v>
      </c>
      <c r="D4365" t="s">
        <v>5258</v>
      </c>
      <c r="E4365" t="str">
        <f>"30665226028484"</f>
        <v>30665226028484</v>
      </c>
      <c r="F4365" s="8">
        <v>427</v>
      </c>
      <c r="G4365" s="8">
        <v>6821</v>
      </c>
      <c r="H4365" s="8">
        <v>1121</v>
      </c>
      <c r="I4365" s="8">
        <v>3301</v>
      </c>
    </row>
    <row r="4366" spans="1:9" x14ac:dyDescent="0.2">
      <c r="A4366" t="s">
        <v>994</v>
      </c>
      <c r="B4366" t="s">
        <v>1015</v>
      </c>
      <c r="C4366" t="str">
        <f t="shared" ref="C4366:C4373" si="214">"30665300000000"</f>
        <v>30665300000000</v>
      </c>
      <c r="D4366" t="s">
        <v>5909</v>
      </c>
      <c r="E4366" t="str">
        <f>"30665306089072"</f>
        <v>30665306089072</v>
      </c>
      <c r="F4366" s="8">
        <v>0</v>
      </c>
      <c r="G4366" s="8">
        <v>6359</v>
      </c>
      <c r="H4366" s="8">
        <v>1129</v>
      </c>
      <c r="I4366" s="8">
        <v>10931</v>
      </c>
    </row>
    <row r="4367" spans="1:9" x14ac:dyDescent="0.2">
      <c r="A4367" t="s">
        <v>994</v>
      </c>
      <c r="B4367" t="s">
        <v>1015</v>
      </c>
      <c r="C4367" t="str">
        <f t="shared" si="214"/>
        <v>30665300000000</v>
      </c>
      <c r="D4367" t="s">
        <v>5910</v>
      </c>
      <c r="E4367" t="str">
        <f>"30665306028831"</f>
        <v>30665306028831</v>
      </c>
      <c r="F4367" s="8">
        <v>175</v>
      </c>
      <c r="G4367" s="8">
        <v>6150</v>
      </c>
      <c r="H4367" s="8">
        <v>1129</v>
      </c>
      <c r="I4367" s="8">
        <v>10931</v>
      </c>
    </row>
    <row r="4368" spans="1:9" x14ac:dyDescent="0.2">
      <c r="A4368" t="s">
        <v>994</v>
      </c>
      <c r="B4368" t="s">
        <v>1015</v>
      </c>
      <c r="C4368" t="str">
        <f t="shared" si="214"/>
        <v>30665300000000</v>
      </c>
      <c r="D4368" t="s">
        <v>5911</v>
      </c>
      <c r="E4368" t="str">
        <f>"30665306028864"</f>
        <v>30665306028864</v>
      </c>
      <c r="F4368" s="8">
        <v>0</v>
      </c>
      <c r="G4368" s="8">
        <v>6244</v>
      </c>
      <c r="H4368" s="8">
        <v>1129</v>
      </c>
      <c r="I4368" s="8">
        <v>10931</v>
      </c>
    </row>
    <row r="4369" spans="1:9" x14ac:dyDescent="0.2">
      <c r="A4369" t="s">
        <v>994</v>
      </c>
      <c r="B4369" t="s">
        <v>1015</v>
      </c>
      <c r="C4369" t="str">
        <f t="shared" si="214"/>
        <v>30665300000000</v>
      </c>
      <c r="D4369" t="s">
        <v>5912</v>
      </c>
      <c r="E4369" t="str">
        <f>"30665306094643"</f>
        <v>30665306094643</v>
      </c>
      <c r="F4369" s="8">
        <v>0</v>
      </c>
      <c r="G4369" s="8">
        <v>6176</v>
      </c>
      <c r="H4369" s="8">
        <v>1129</v>
      </c>
      <c r="I4369" s="8">
        <v>10931</v>
      </c>
    </row>
    <row r="4370" spans="1:9" x14ac:dyDescent="0.2">
      <c r="A4370" t="s">
        <v>994</v>
      </c>
      <c r="B4370" t="s">
        <v>1015</v>
      </c>
      <c r="C4370" t="str">
        <f t="shared" si="214"/>
        <v>30665300000000</v>
      </c>
      <c r="D4370" t="s">
        <v>5913</v>
      </c>
      <c r="E4370" t="str">
        <f>"30665306028872"</f>
        <v>30665306028872</v>
      </c>
      <c r="F4370" s="8">
        <v>141</v>
      </c>
      <c r="G4370" s="8">
        <v>5622</v>
      </c>
      <c r="H4370" s="8">
        <v>1129</v>
      </c>
      <c r="I4370" s="8">
        <v>10931</v>
      </c>
    </row>
    <row r="4371" spans="1:9" x14ac:dyDescent="0.2">
      <c r="A4371" t="s">
        <v>994</v>
      </c>
      <c r="B4371" t="s">
        <v>1015</v>
      </c>
      <c r="C4371" t="str">
        <f t="shared" si="214"/>
        <v>30665300000000</v>
      </c>
      <c r="D4371" t="s">
        <v>5914</v>
      </c>
      <c r="E4371" t="str">
        <f>"30665306095111"</f>
        <v>30665306095111</v>
      </c>
      <c r="F4371" s="8">
        <v>0</v>
      </c>
      <c r="G4371" s="8">
        <v>5537</v>
      </c>
      <c r="H4371" s="8">
        <v>1129</v>
      </c>
      <c r="I4371" s="8">
        <v>10931</v>
      </c>
    </row>
    <row r="4372" spans="1:9" x14ac:dyDescent="0.2">
      <c r="A4372" t="s">
        <v>994</v>
      </c>
      <c r="B4372" t="s">
        <v>1015</v>
      </c>
      <c r="C4372" t="str">
        <f t="shared" si="214"/>
        <v>30665300000000</v>
      </c>
      <c r="D4372" t="s">
        <v>5915</v>
      </c>
      <c r="E4372" t="str">
        <f>"30665306028849"</f>
        <v>30665306028849</v>
      </c>
      <c r="F4372" s="8">
        <v>48</v>
      </c>
      <c r="G4372" s="8">
        <v>5487</v>
      </c>
      <c r="H4372" s="8">
        <v>1129</v>
      </c>
      <c r="I4372" s="8">
        <v>10931</v>
      </c>
    </row>
    <row r="4373" spans="1:9" x14ac:dyDescent="0.2">
      <c r="A4373" t="s">
        <v>994</v>
      </c>
      <c r="B4373" t="s">
        <v>1015</v>
      </c>
      <c r="C4373" t="str">
        <f t="shared" si="214"/>
        <v>30665300000000</v>
      </c>
      <c r="D4373" t="s">
        <v>5916</v>
      </c>
      <c r="E4373" t="str">
        <f>"30665306116065"</f>
        <v>30665306116065</v>
      </c>
      <c r="F4373" s="8">
        <v>0</v>
      </c>
      <c r="G4373" s="8">
        <v>5380</v>
      </c>
      <c r="H4373" s="8">
        <v>1129</v>
      </c>
      <c r="I4373" s="8">
        <v>10931</v>
      </c>
    </row>
    <row r="4374" spans="1:9" x14ac:dyDescent="0.2">
      <c r="A4374" t="s">
        <v>994</v>
      </c>
      <c r="B4374" t="s">
        <v>1016</v>
      </c>
      <c r="C4374" t="str">
        <f t="shared" ref="C4374:C4381" si="215">"30665480000000"</f>
        <v>30665480000000</v>
      </c>
      <c r="D4374" t="s">
        <v>5917</v>
      </c>
      <c r="E4374" t="str">
        <f>"30665483030368"</f>
        <v>30665483030368</v>
      </c>
      <c r="F4374" s="8">
        <v>206</v>
      </c>
      <c r="G4374" s="8">
        <v>13195</v>
      </c>
      <c r="H4374" s="8">
        <v>331</v>
      </c>
      <c r="I4374" s="8">
        <v>3353</v>
      </c>
    </row>
    <row r="4375" spans="1:9" x14ac:dyDescent="0.2">
      <c r="A4375" t="s">
        <v>994</v>
      </c>
      <c r="B4375" t="s">
        <v>1016</v>
      </c>
      <c r="C4375" t="str">
        <f t="shared" si="215"/>
        <v>30665480000000</v>
      </c>
      <c r="D4375" t="s">
        <v>5918</v>
      </c>
      <c r="E4375" t="str">
        <f>"30665483038551"</f>
        <v>30665483038551</v>
      </c>
      <c r="F4375" s="8">
        <v>1150</v>
      </c>
      <c r="G4375" s="8">
        <v>11597</v>
      </c>
      <c r="H4375" s="8">
        <v>331</v>
      </c>
      <c r="I4375" s="8">
        <v>3353</v>
      </c>
    </row>
    <row r="4376" spans="1:9" x14ac:dyDescent="0.2">
      <c r="A4376" t="s">
        <v>994</v>
      </c>
      <c r="B4376" t="s">
        <v>1016</v>
      </c>
      <c r="C4376" t="str">
        <f t="shared" si="215"/>
        <v>30665480000000</v>
      </c>
      <c r="D4376" t="s">
        <v>5919</v>
      </c>
      <c r="E4376" t="str">
        <f>"30665483030145"</f>
        <v>30665483030145</v>
      </c>
      <c r="F4376" s="8">
        <v>149</v>
      </c>
      <c r="G4376" s="8">
        <v>11985</v>
      </c>
      <c r="H4376" s="8">
        <v>331</v>
      </c>
      <c r="I4376" s="8">
        <v>3353</v>
      </c>
    </row>
    <row r="4377" spans="1:9" x14ac:dyDescent="0.2">
      <c r="A4377" t="s">
        <v>994</v>
      </c>
      <c r="B4377" t="s">
        <v>1016</v>
      </c>
      <c r="C4377" t="str">
        <f t="shared" si="215"/>
        <v>30665480000000</v>
      </c>
      <c r="D4377" t="s">
        <v>2958</v>
      </c>
      <c r="E4377" t="str">
        <f>"30665483031895"</f>
        <v>30665483031895</v>
      </c>
      <c r="F4377" s="8">
        <v>183</v>
      </c>
      <c r="G4377" s="8">
        <v>10708</v>
      </c>
      <c r="H4377" s="8">
        <v>331</v>
      </c>
      <c r="I4377" s="8">
        <v>3353</v>
      </c>
    </row>
    <row r="4378" spans="1:9" x14ac:dyDescent="0.2">
      <c r="A4378" t="s">
        <v>994</v>
      </c>
      <c r="B4378" t="s">
        <v>1016</v>
      </c>
      <c r="C4378" t="str">
        <f t="shared" si="215"/>
        <v>30665480000000</v>
      </c>
      <c r="D4378" t="s">
        <v>5572</v>
      </c>
      <c r="E4378" t="str">
        <f>"30665483034410"</f>
        <v>30665483034410</v>
      </c>
      <c r="F4378" s="8">
        <v>248</v>
      </c>
      <c r="G4378" s="8">
        <v>8752</v>
      </c>
      <c r="H4378" s="8">
        <v>331</v>
      </c>
      <c r="I4378" s="8">
        <v>3353</v>
      </c>
    </row>
    <row r="4379" spans="1:9" x14ac:dyDescent="0.2">
      <c r="A4379" t="s">
        <v>994</v>
      </c>
      <c r="B4379" t="s">
        <v>1016</v>
      </c>
      <c r="C4379" t="str">
        <f t="shared" si="215"/>
        <v>30665480000000</v>
      </c>
      <c r="D4379" t="s">
        <v>5920</v>
      </c>
      <c r="E4379" t="str">
        <f>"30665483038445"</f>
        <v>30665483038445</v>
      </c>
      <c r="F4379" s="8">
        <v>246</v>
      </c>
      <c r="G4379" s="8">
        <v>8609</v>
      </c>
      <c r="H4379" s="8">
        <v>331</v>
      </c>
      <c r="I4379" s="8">
        <v>3353</v>
      </c>
    </row>
    <row r="4380" spans="1:9" x14ac:dyDescent="0.2">
      <c r="A4380" t="s">
        <v>994</v>
      </c>
      <c r="B4380" t="s">
        <v>1016</v>
      </c>
      <c r="C4380" t="str">
        <f t="shared" si="215"/>
        <v>30665480000000</v>
      </c>
      <c r="D4380" t="s">
        <v>5921</v>
      </c>
      <c r="E4380" t="str">
        <f>"30665483032943"</f>
        <v>30665483032943</v>
      </c>
      <c r="F4380" s="8">
        <v>213</v>
      </c>
      <c r="G4380" s="8">
        <v>7668</v>
      </c>
      <c r="H4380" s="8">
        <v>331</v>
      </c>
      <c r="I4380" s="8">
        <v>3353</v>
      </c>
    </row>
    <row r="4381" spans="1:9" x14ac:dyDescent="0.2">
      <c r="A4381" t="s">
        <v>994</v>
      </c>
      <c r="B4381" t="s">
        <v>1016</v>
      </c>
      <c r="C4381" t="str">
        <f t="shared" si="215"/>
        <v>30665480000000</v>
      </c>
      <c r="D4381" t="s">
        <v>5922</v>
      </c>
      <c r="E4381" t="str">
        <f>"30665483032158"</f>
        <v>30665483032158</v>
      </c>
      <c r="F4381" s="8">
        <v>121</v>
      </c>
      <c r="G4381" s="8">
        <v>7214</v>
      </c>
      <c r="H4381" s="8">
        <v>331</v>
      </c>
      <c r="I4381" s="8">
        <v>3353</v>
      </c>
    </row>
    <row r="4382" spans="1:9" x14ac:dyDescent="0.2">
      <c r="A4382" t="s">
        <v>994</v>
      </c>
      <c r="B4382" t="s">
        <v>1018</v>
      </c>
      <c r="C4382" t="str">
        <f t="shared" ref="C4382:C4423" si="216">"30736500000000"</f>
        <v>30736500000000</v>
      </c>
      <c r="D4382" t="s">
        <v>5923</v>
      </c>
      <c r="E4382" t="str">
        <f>"30736503030129"</f>
        <v>30736503030129</v>
      </c>
      <c r="F4382" s="8">
        <v>0</v>
      </c>
      <c r="G4382" s="8">
        <v>22091</v>
      </c>
      <c r="H4382" s="8">
        <v>1028</v>
      </c>
      <c r="I4382" s="8">
        <v>9254</v>
      </c>
    </row>
    <row r="4383" spans="1:9" x14ac:dyDescent="0.2">
      <c r="A4383" t="s">
        <v>994</v>
      </c>
      <c r="B4383" t="s">
        <v>1018</v>
      </c>
      <c r="C4383" t="str">
        <f t="shared" si="216"/>
        <v>30736500000000</v>
      </c>
      <c r="D4383" t="s">
        <v>5924</v>
      </c>
      <c r="E4383" t="str">
        <f>"30736506107502"</f>
        <v>30736506107502</v>
      </c>
      <c r="F4383" s="8">
        <v>397</v>
      </c>
      <c r="G4383" s="8">
        <v>7316</v>
      </c>
      <c r="H4383" s="8">
        <v>829</v>
      </c>
      <c r="I4383" s="8">
        <v>6515</v>
      </c>
    </row>
    <row r="4384" spans="1:9" x14ac:dyDescent="0.2">
      <c r="A4384" t="s">
        <v>994</v>
      </c>
      <c r="B4384" t="s">
        <v>1018</v>
      </c>
      <c r="C4384" t="str">
        <f t="shared" si="216"/>
        <v>30736500000000</v>
      </c>
      <c r="D4384" t="s">
        <v>5925</v>
      </c>
      <c r="E4384" t="str">
        <f>"30736506097042"</f>
        <v>30736506097042</v>
      </c>
      <c r="F4384" s="8">
        <v>0</v>
      </c>
      <c r="G4384" s="8">
        <v>8547</v>
      </c>
      <c r="H4384" s="8">
        <v>704</v>
      </c>
      <c r="I4384" s="8">
        <v>5725</v>
      </c>
    </row>
    <row r="4385" spans="1:9" x14ac:dyDescent="0.2">
      <c r="A4385" t="s">
        <v>994</v>
      </c>
      <c r="B4385" t="s">
        <v>1018</v>
      </c>
      <c r="C4385" t="str">
        <f t="shared" si="216"/>
        <v>30736500000000</v>
      </c>
      <c r="D4385" t="s">
        <v>5926</v>
      </c>
      <c r="E4385" t="str">
        <f>"30736506102719"</f>
        <v>30736506102719</v>
      </c>
      <c r="F4385" s="8">
        <v>0</v>
      </c>
      <c r="G4385" s="8">
        <v>7345</v>
      </c>
      <c r="H4385" s="8">
        <v>763</v>
      </c>
      <c r="I4385" s="8">
        <v>6358</v>
      </c>
    </row>
    <row r="4386" spans="1:9" x14ac:dyDescent="0.2">
      <c r="A4386" t="s">
        <v>994</v>
      </c>
      <c r="B4386" t="s">
        <v>1018</v>
      </c>
      <c r="C4386" t="str">
        <f t="shared" si="216"/>
        <v>30736500000000</v>
      </c>
      <c r="D4386" t="s">
        <v>5927</v>
      </c>
      <c r="E4386" t="str">
        <f>"30736503030152"</f>
        <v>30736503030152</v>
      </c>
      <c r="F4386" s="8">
        <v>0</v>
      </c>
      <c r="G4386" s="8">
        <v>8272</v>
      </c>
      <c r="H4386" s="8">
        <v>683</v>
      </c>
      <c r="I4386" s="8">
        <v>5326</v>
      </c>
    </row>
    <row r="4387" spans="1:9" x14ac:dyDescent="0.2">
      <c r="A4387" t="s">
        <v>994</v>
      </c>
      <c r="B4387" t="s">
        <v>1018</v>
      </c>
      <c r="C4387" t="str">
        <f t="shared" si="216"/>
        <v>30736500000000</v>
      </c>
      <c r="D4387" t="s">
        <v>5928</v>
      </c>
      <c r="E4387" t="str">
        <f>"30736506089429"</f>
        <v>30736506089429</v>
      </c>
      <c r="F4387" s="8">
        <v>563</v>
      </c>
      <c r="G4387" s="8">
        <v>7507</v>
      </c>
      <c r="H4387" s="8">
        <v>723</v>
      </c>
      <c r="I4387" s="8">
        <v>5365</v>
      </c>
    </row>
    <row r="4388" spans="1:9" x14ac:dyDescent="0.2">
      <c r="A4388" t="s">
        <v>994</v>
      </c>
      <c r="B4388" t="s">
        <v>1018</v>
      </c>
      <c r="C4388" t="str">
        <f t="shared" si="216"/>
        <v>30736500000000</v>
      </c>
      <c r="D4388" t="s">
        <v>5929</v>
      </c>
      <c r="E4388" t="str">
        <f>"30736506096184"</f>
        <v>30736506096184</v>
      </c>
      <c r="F4388" s="8">
        <v>238</v>
      </c>
      <c r="G4388" s="8">
        <v>8693</v>
      </c>
      <c r="H4388" s="8">
        <v>641</v>
      </c>
      <c r="I4388" s="8">
        <v>4462</v>
      </c>
    </row>
    <row r="4389" spans="1:9" x14ac:dyDescent="0.2">
      <c r="A4389" t="s">
        <v>994</v>
      </c>
      <c r="B4389" t="s">
        <v>1018</v>
      </c>
      <c r="C4389" t="str">
        <f t="shared" si="216"/>
        <v>30736500000000</v>
      </c>
      <c r="D4389" t="s">
        <v>5930</v>
      </c>
      <c r="E4389" t="str">
        <f>"30736500138719"</f>
        <v>30736500138719</v>
      </c>
      <c r="F4389" s="8">
        <v>0</v>
      </c>
      <c r="G4389" s="8">
        <v>7331</v>
      </c>
      <c r="H4389" s="8">
        <v>727</v>
      </c>
      <c r="I4389" s="8">
        <v>5967</v>
      </c>
    </row>
    <row r="4390" spans="1:9" x14ac:dyDescent="0.2">
      <c r="A4390" t="s">
        <v>994</v>
      </c>
      <c r="B4390" t="s">
        <v>1018</v>
      </c>
      <c r="C4390" t="str">
        <f t="shared" si="216"/>
        <v>30736500000000</v>
      </c>
      <c r="D4390" t="s">
        <v>5931</v>
      </c>
      <c r="E4390" t="str">
        <f>"30736506111876"</f>
        <v>30736506111876</v>
      </c>
      <c r="F4390" s="8">
        <v>348</v>
      </c>
      <c r="G4390" s="8">
        <v>7290</v>
      </c>
      <c r="H4390" s="8">
        <v>748</v>
      </c>
      <c r="I4390" s="8">
        <v>5636</v>
      </c>
    </row>
    <row r="4391" spans="1:9" x14ac:dyDescent="0.2">
      <c r="A4391" t="s">
        <v>994</v>
      </c>
      <c r="B4391" t="s">
        <v>1018</v>
      </c>
      <c r="C4391" t="str">
        <f t="shared" si="216"/>
        <v>30736500000000</v>
      </c>
      <c r="D4391" t="s">
        <v>5932</v>
      </c>
      <c r="E4391" t="str">
        <f>"30736506089445"</f>
        <v>30736506089445</v>
      </c>
      <c r="F4391" s="8">
        <v>385</v>
      </c>
      <c r="G4391" s="8">
        <v>7118</v>
      </c>
      <c r="H4391" s="8">
        <v>742</v>
      </c>
      <c r="I4391" s="8">
        <v>5562</v>
      </c>
    </row>
    <row r="4392" spans="1:9" x14ac:dyDescent="0.2">
      <c r="A4392" t="s">
        <v>994</v>
      </c>
      <c r="B4392" t="s">
        <v>1018</v>
      </c>
      <c r="C4392" t="str">
        <f t="shared" si="216"/>
        <v>30736500000000</v>
      </c>
      <c r="D4392" t="s">
        <v>5933</v>
      </c>
      <c r="E4392" t="str">
        <f>"30736506100317"</f>
        <v>30736506100317</v>
      </c>
      <c r="F4392" s="8">
        <v>331</v>
      </c>
      <c r="G4392" s="8">
        <v>7504</v>
      </c>
      <c r="H4392" s="8">
        <v>696</v>
      </c>
      <c r="I4392" s="8">
        <v>5069</v>
      </c>
    </row>
    <row r="4393" spans="1:9" x14ac:dyDescent="0.2">
      <c r="A4393" t="s">
        <v>994</v>
      </c>
      <c r="B4393" t="s">
        <v>1018</v>
      </c>
      <c r="C4393" t="str">
        <f t="shared" si="216"/>
        <v>30736500000000</v>
      </c>
      <c r="D4393" t="s">
        <v>5934</v>
      </c>
      <c r="E4393" t="str">
        <f>"30736500129296"</f>
        <v>30736500129296</v>
      </c>
      <c r="F4393" s="8">
        <v>0</v>
      </c>
      <c r="G4393" s="8">
        <v>7181</v>
      </c>
      <c r="H4393" s="8">
        <v>699</v>
      </c>
      <c r="I4393" s="8">
        <v>5664</v>
      </c>
    </row>
    <row r="4394" spans="1:9" x14ac:dyDescent="0.2">
      <c r="A4394" t="s">
        <v>994</v>
      </c>
      <c r="B4394" t="s">
        <v>1018</v>
      </c>
      <c r="C4394" t="str">
        <f t="shared" si="216"/>
        <v>30736500000000</v>
      </c>
      <c r="D4394" t="s">
        <v>5588</v>
      </c>
      <c r="E4394" t="str">
        <f>"30736506030191"</f>
        <v>30736506030191</v>
      </c>
      <c r="F4394" s="8">
        <v>307</v>
      </c>
      <c r="G4394" s="8">
        <v>7478</v>
      </c>
      <c r="H4394" s="8">
        <v>694</v>
      </c>
      <c r="I4394" s="8">
        <v>5043</v>
      </c>
    </row>
    <row r="4395" spans="1:9" x14ac:dyDescent="0.2">
      <c r="A4395" t="s">
        <v>994</v>
      </c>
      <c r="B4395" t="s">
        <v>1018</v>
      </c>
      <c r="C4395" t="str">
        <f t="shared" si="216"/>
        <v>30736500000000</v>
      </c>
      <c r="D4395" t="s">
        <v>5935</v>
      </c>
      <c r="E4395" t="str">
        <f>"30736506106850"</f>
        <v>30736506106850</v>
      </c>
      <c r="F4395" s="8">
        <v>370</v>
      </c>
      <c r="G4395" s="8">
        <v>6492</v>
      </c>
      <c r="H4395" s="8">
        <v>770</v>
      </c>
      <c r="I4395" s="8">
        <v>5869</v>
      </c>
    </row>
    <row r="4396" spans="1:9" x14ac:dyDescent="0.2">
      <c r="A4396" t="s">
        <v>994</v>
      </c>
      <c r="B4396" t="s">
        <v>1018</v>
      </c>
      <c r="C4396" t="str">
        <f t="shared" si="216"/>
        <v>30736500000000</v>
      </c>
      <c r="D4396" t="s">
        <v>4005</v>
      </c>
      <c r="E4396" t="str">
        <f>"30736506098511"</f>
        <v>30736506098511</v>
      </c>
      <c r="F4396" s="8">
        <v>314</v>
      </c>
      <c r="G4396" s="8">
        <v>7329</v>
      </c>
      <c r="H4396" s="8">
        <v>697</v>
      </c>
      <c r="I4396" s="8">
        <v>5072</v>
      </c>
    </row>
    <row r="4397" spans="1:9" x14ac:dyDescent="0.2">
      <c r="A4397" t="s">
        <v>994</v>
      </c>
      <c r="B4397" t="s">
        <v>1018</v>
      </c>
      <c r="C4397" t="str">
        <f t="shared" si="216"/>
        <v>30736500000000</v>
      </c>
      <c r="D4397" t="s">
        <v>5936</v>
      </c>
      <c r="E4397" t="str">
        <f>"30736506095137"</f>
        <v>30736506095137</v>
      </c>
      <c r="F4397" s="8">
        <v>123</v>
      </c>
      <c r="G4397" s="8">
        <v>7414</v>
      </c>
      <c r="H4397" s="8">
        <v>701</v>
      </c>
      <c r="I4397" s="8">
        <v>5123</v>
      </c>
    </row>
    <row r="4398" spans="1:9" x14ac:dyDescent="0.2">
      <c r="A4398" t="s">
        <v>994</v>
      </c>
      <c r="B4398" t="s">
        <v>1018</v>
      </c>
      <c r="C4398" t="str">
        <f t="shared" si="216"/>
        <v>30736500000000</v>
      </c>
      <c r="D4398" t="s">
        <v>5937</v>
      </c>
      <c r="E4398" t="str">
        <f>"30736506120141"</f>
        <v>30736506120141</v>
      </c>
      <c r="F4398" s="8">
        <v>475</v>
      </c>
      <c r="G4398" s="8">
        <v>7376</v>
      </c>
      <c r="H4398" s="8">
        <v>671</v>
      </c>
      <c r="I4398" s="8">
        <v>4790</v>
      </c>
    </row>
    <row r="4399" spans="1:9" x14ac:dyDescent="0.2">
      <c r="A4399" t="s">
        <v>994</v>
      </c>
      <c r="B4399" t="s">
        <v>1018</v>
      </c>
      <c r="C4399" t="str">
        <f t="shared" si="216"/>
        <v>30736500000000</v>
      </c>
      <c r="D4399" t="s">
        <v>5938</v>
      </c>
      <c r="E4399" t="str">
        <f>"30736506089437"</f>
        <v>30736506089437</v>
      </c>
      <c r="F4399" s="8">
        <v>0</v>
      </c>
      <c r="G4399" s="8">
        <v>7329</v>
      </c>
      <c r="H4399" s="8">
        <v>654</v>
      </c>
      <c r="I4399" s="8">
        <v>5177</v>
      </c>
    </row>
    <row r="4400" spans="1:9" x14ac:dyDescent="0.2">
      <c r="A4400" t="s">
        <v>994</v>
      </c>
      <c r="B4400" t="s">
        <v>1018</v>
      </c>
      <c r="C4400" t="str">
        <f t="shared" si="216"/>
        <v>30736500000000</v>
      </c>
      <c r="D4400" t="s">
        <v>5939</v>
      </c>
      <c r="E4400" t="str">
        <f>"30736506098529"</f>
        <v>30736506098529</v>
      </c>
      <c r="F4400" s="8">
        <v>0</v>
      </c>
      <c r="G4400" s="8">
        <v>7712</v>
      </c>
      <c r="H4400" s="8">
        <v>609</v>
      </c>
      <c r="I4400" s="8">
        <v>4690</v>
      </c>
    </row>
    <row r="4401" spans="1:9" x14ac:dyDescent="0.2">
      <c r="A4401" t="s">
        <v>994</v>
      </c>
      <c r="B4401" t="s">
        <v>1018</v>
      </c>
      <c r="C4401" t="str">
        <f t="shared" si="216"/>
        <v>30736500000000</v>
      </c>
      <c r="D4401" t="s">
        <v>5940</v>
      </c>
      <c r="E4401" t="str">
        <f>"30736506071179"</f>
        <v>30736506071179</v>
      </c>
      <c r="F4401" s="8">
        <v>0</v>
      </c>
      <c r="G4401" s="8">
        <v>8146</v>
      </c>
      <c r="H4401" s="8">
        <v>568</v>
      </c>
      <c r="I4401" s="8">
        <v>4233</v>
      </c>
    </row>
    <row r="4402" spans="1:9" x14ac:dyDescent="0.2">
      <c r="A4402" t="s">
        <v>994</v>
      </c>
      <c r="B4402" t="s">
        <v>1018</v>
      </c>
      <c r="C4402" t="str">
        <f t="shared" si="216"/>
        <v>30736500000000</v>
      </c>
      <c r="D4402" t="s">
        <v>4924</v>
      </c>
      <c r="E4402" t="str">
        <f>"30736500135137"</f>
        <v>30736500135137</v>
      </c>
      <c r="F4402" s="8">
        <v>0</v>
      </c>
      <c r="G4402" s="8">
        <v>7573</v>
      </c>
      <c r="H4402" s="8">
        <v>606</v>
      </c>
      <c r="I4402" s="8">
        <v>4651</v>
      </c>
    </row>
    <row r="4403" spans="1:9" x14ac:dyDescent="0.2">
      <c r="A4403" t="s">
        <v>994</v>
      </c>
      <c r="B4403" t="s">
        <v>1018</v>
      </c>
      <c r="C4403" t="str">
        <f t="shared" si="216"/>
        <v>30736500000000</v>
      </c>
      <c r="D4403" t="s">
        <v>5941</v>
      </c>
      <c r="E4403" t="str">
        <f>"30736506094718"</f>
        <v>30736506094718</v>
      </c>
      <c r="F4403" s="8">
        <v>0</v>
      </c>
      <c r="G4403" s="8">
        <v>8359</v>
      </c>
      <c r="H4403" s="8">
        <v>537</v>
      </c>
      <c r="I4403" s="8">
        <v>3899</v>
      </c>
    </row>
    <row r="4404" spans="1:9" x14ac:dyDescent="0.2">
      <c r="A4404" t="s">
        <v>994</v>
      </c>
      <c r="B4404" t="s">
        <v>1018</v>
      </c>
      <c r="C4404" t="str">
        <f t="shared" si="216"/>
        <v>30736500000000</v>
      </c>
      <c r="D4404" t="s">
        <v>5650</v>
      </c>
      <c r="E4404" t="str">
        <f>"30736506100861"</f>
        <v>30736506100861</v>
      </c>
      <c r="F4404" s="8">
        <v>388</v>
      </c>
      <c r="G4404" s="8">
        <v>7328</v>
      </c>
      <c r="H4404" s="8">
        <v>630</v>
      </c>
      <c r="I4404" s="8">
        <v>4349</v>
      </c>
    </row>
    <row r="4405" spans="1:9" x14ac:dyDescent="0.2">
      <c r="A4405" t="s">
        <v>994</v>
      </c>
      <c r="B4405" t="s">
        <v>1018</v>
      </c>
      <c r="C4405" t="str">
        <f t="shared" si="216"/>
        <v>30736500000000</v>
      </c>
      <c r="D4405" t="s">
        <v>5942</v>
      </c>
      <c r="E4405" t="str">
        <f>"30736506096192"</f>
        <v>30736506096192</v>
      </c>
      <c r="F4405" s="8">
        <v>0</v>
      </c>
      <c r="G4405" s="8">
        <v>7457</v>
      </c>
      <c r="H4405" s="8">
        <v>589</v>
      </c>
      <c r="I4405" s="8">
        <v>4471</v>
      </c>
    </row>
    <row r="4406" spans="1:9" x14ac:dyDescent="0.2">
      <c r="A4406" t="s">
        <v>994</v>
      </c>
      <c r="B4406" t="s">
        <v>1018</v>
      </c>
      <c r="C4406" t="str">
        <f t="shared" si="216"/>
        <v>30736500000000</v>
      </c>
      <c r="D4406" t="s">
        <v>5943</v>
      </c>
      <c r="E4406" t="str">
        <f>"30736500133389"</f>
        <v>30736500133389</v>
      </c>
      <c r="F4406" s="8">
        <v>0</v>
      </c>
      <c r="G4406" s="8">
        <v>7792</v>
      </c>
      <c r="H4406" s="8">
        <v>554</v>
      </c>
      <c r="I4406" s="8">
        <v>4087</v>
      </c>
    </row>
    <row r="4407" spans="1:9" x14ac:dyDescent="0.2">
      <c r="A4407" t="s">
        <v>994</v>
      </c>
      <c r="B4407" t="s">
        <v>1018</v>
      </c>
      <c r="C4407" t="str">
        <f t="shared" si="216"/>
        <v>30736500000000</v>
      </c>
      <c r="D4407" t="s">
        <v>5944</v>
      </c>
      <c r="E4407" t="str">
        <f>"30736500127472"</f>
        <v>30736500127472</v>
      </c>
      <c r="F4407" s="8">
        <v>0</v>
      </c>
      <c r="G4407" s="8">
        <v>7001</v>
      </c>
      <c r="H4407" s="8">
        <v>588</v>
      </c>
      <c r="I4407" s="8">
        <v>4455</v>
      </c>
    </row>
    <row r="4408" spans="1:9" x14ac:dyDescent="0.2">
      <c r="A4408" t="s">
        <v>994</v>
      </c>
      <c r="B4408" t="s">
        <v>1018</v>
      </c>
      <c r="C4408" t="str">
        <f t="shared" si="216"/>
        <v>30736500000000</v>
      </c>
      <c r="D4408" t="s">
        <v>5945</v>
      </c>
      <c r="E4408" t="str">
        <f>"30736506115786"</f>
        <v>30736506115786</v>
      </c>
      <c r="F4408" s="8">
        <v>320</v>
      </c>
      <c r="G4408" s="8">
        <v>7296</v>
      </c>
      <c r="H4408" s="8">
        <v>580</v>
      </c>
      <c r="I4408" s="8">
        <v>3800</v>
      </c>
    </row>
    <row r="4409" spans="1:9" x14ac:dyDescent="0.2">
      <c r="A4409" t="s">
        <v>994</v>
      </c>
      <c r="B4409" t="s">
        <v>1018</v>
      </c>
      <c r="C4409" t="str">
        <f t="shared" si="216"/>
        <v>30736500000000</v>
      </c>
      <c r="D4409" t="s">
        <v>3412</v>
      </c>
      <c r="E4409" t="str">
        <f>"30736506108799"</f>
        <v>30736506108799</v>
      </c>
      <c r="F4409" s="8">
        <v>311</v>
      </c>
      <c r="G4409" s="8">
        <v>6625</v>
      </c>
      <c r="H4409" s="8">
        <v>631</v>
      </c>
      <c r="I4409" s="8">
        <v>4359</v>
      </c>
    </row>
    <row r="4410" spans="1:9" x14ac:dyDescent="0.2">
      <c r="A4410" t="s">
        <v>994</v>
      </c>
      <c r="B4410" t="s">
        <v>1018</v>
      </c>
      <c r="C4410" t="str">
        <f t="shared" si="216"/>
        <v>30736500000000</v>
      </c>
      <c r="D4410" t="s">
        <v>5946</v>
      </c>
      <c r="E4410" t="str">
        <f>"30736506115455"</f>
        <v>30736506115455</v>
      </c>
      <c r="F4410" s="8">
        <v>0</v>
      </c>
      <c r="G4410" s="8">
        <v>6756</v>
      </c>
      <c r="H4410" s="8">
        <v>598</v>
      </c>
      <c r="I4410" s="8">
        <v>4566</v>
      </c>
    </row>
    <row r="4411" spans="1:9" x14ac:dyDescent="0.2">
      <c r="A4411" t="s">
        <v>994</v>
      </c>
      <c r="B4411" t="s">
        <v>1018</v>
      </c>
      <c r="C4411" t="str">
        <f t="shared" si="216"/>
        <v>30736500000000</v>
      </c>
      <c r="D4411" t="s">
        <v>5947</v>
      </c>
      <c r="E4411" t="str">
        <f>"30736500129155"</f>
        <v>30736500129155</v>
      </c>
      <c r="F4411" s="8">
        <v>399</v>
      </c>
      <c r="G4411" s="8">
        <v>6212</v>
      </c>
      <c r="H4411" s="8">
        <v>653</v>
      </c>
      <c r="I4411" s="8">
        <v>4599</v>
      </c>
    </row>
    <row r="4412" spans="1:9" x14ac:dyDescent="0.2">
      <c r="A4412" t="s">
        <v>994</v>
      </c>
      <c r="B4412" t="s">
        <v>1018</v>
      </c>
      <c r="C4412" t="str">
        <f t="shared" si="216"/>
        <v>30736500000000</v>
      </c>
      <c r="D4412" t="s">
        <v>5948</v>
      </c>
      <c r="E4412" t="str">
        <f>"30736506068647"</f>
        <v>30736506068647</v>
      </c>
      <c r="F4412" s="8">
        <v>0</v>
      </c>
      <c r="G4412" s="8">
        <v>7463</v>
      </c>
      <c r="H4412" s="8">
        <v>533</v>
      </c>
      <c r="I4412" s="8">
        <v>3858</v>
      </c>
    </row>
    <row r="4413" spans="1:9" x14ac:dyDescent="0.2">
      <c r="A4413" t="s">
        <v>994</v>
      </c>
      <c r="B4413" t="s">
        <v>1018</v>
      </c>
      <c r="C4413" t="str">
        <f t="shared" si="216"/>
        <v>30736500000000</v>
      </c>
      <c r="D4413" t="s">
        <v>5949</v>
      </c>
      <c r="E4413" t="str">
        <f>"30736506096200"</f>
        <v>30736506096200</v>
      </c>
      <c r="F4413" s="8">
        <v>0</v>
      </c>
      <c r="G4413" s="8">
        <v>6506</v>
      </c>
      <c r="H4413" s="8">
        <v>609</v>
      </c>
      <c r="I4413" s="8">
        <v>4681</v>
      </c>
    </row>
    <row r="4414" spans="1:9" x14ac:dyDescent="0.2">
      <c r="A4414" t="s">
        <v>994</v>
      </c>
      <c r="B4414" t="s">
        <v>1018</v>
      </c>
      <c r="C4414" t="str">
        <f t="shared" si="216"/>
        <v>30736500000000</v>
      </c>
      <c r="D4414" t="s">
        <v>244</v>
      </c>
      <c r="E4414" t="str">
        <f>"30736503035102"</f>
        <v>30736503035102</v>
      </c>
      <c r="F4414" s="8">
        <v>0</v>
      </c>
      <c r="G4414" s="8">
        <v>7253</v>
      </c>
      <c r="H4414" s="8">
        <v>547</v>
      </c>
      <c r="I4414" s="8">
        <v>3842</v>
      </c>
    </row>
    <row r="4415" spans="1:9" x14ac:dyDescent="0.2">
      <c r="A4415" t="s">
        <v>994</v>
      </c>
      <c r="B4415" t="s">
        <v>1018</v>
      </c>
      <c r="C4415" t="str">
        <f t="shared" si="216"/>
        <v>30736500000000</v>
      </c>
      <c r="D4415" t="s">
        <v>5950</v>
      </c>
      <c r="E4415" t="str">
        <f>"30736506100838"</f>
        <v>30736506100838</v>
      </c>
      <c r="F4415" s="8">
        <v>0</v>
      </c>
      <c r="G4415" s="8">
        <v>6708</v>
      </c>
      <c r="H4415" s="8">
        <v>575</v>
      </c>
      <c r="I4415" s="8">
        <v>4316</v>
      </c>
    </row>
    <row r="4416" spans="1:9" x14ac:dyDescent="0.2">
      <c r="A4416" t="s">
        <v>994</v>
      </c>
      <c r="B4416" t="s">
        <v>1018</v>
      </c>
      <c r="C4416" t="str">
        <f t="shared" si="216"/>
        <v>30736500000000</v>
      </c>
      <c r="D4416" t="s">
        <v>5951</v>
      </c>
      <c r="E4416" t="str">
        <f>"30736503030285"</f>
        <v>30736503030285</v>
      </c>
      <c r="F4416" s="8">
        <v>0</v>
      </c>
      <c r="G4416" s="8">
        <v>6797</v>
      </c>
      <c r="H4416" s="8">
        <v>581</v>
      </c>
      <c r="I4416" s="8">
        <v>4215</v>
      </c>
    </row>
    <row r="4417" spans="1:9" x14ac:dyDescent="0.2">
      <c r="A4417" t="s">
        <v>994</v>
      </c>
      <c r="B4417" t="s">
        <v>1018</v>
      </c>
      <c r="C4417" t="str">
        <f t="shared" si="216"/>
        <v>30736500000000</v>
      </c>
      <c r="D4417" t="s">
        <v>5952</v>
      </c>
      <c r="E4417" t="str">
        <f>"30736500136689"</f>
        <v>30736500136689</v>
      </c>
      <c r="F4417" s="8">
        <v>211</v>
      </c>
      <c r="G4417" s="8">
        <v>6805</v>
      </c>
      <c r="H4417" s="8">
        <v>590</v>
      </c>
      <c r="I4417" s="8">
        <v>3910</v>
      </c>
    </row>
    <row r="4418" spans="1:9" x14ac:dyDescent="0.2">
      <c r="A4418" t="s">
        <v>994</v>
      </c>
      <c r="B4418" t="s">
        <v>1018</v>
      </c>
      <c r="C4418" t="str">
        <f t="shared" si="216"/>
        <v>30736500000000</v>
      </c>
      <c r="D4418" t="s">
        <v>3636</v>
      </c>
      <c r="E4418" t="str">
        <f>"30736506100879"</f>
        <v>30736506100879</v>
      </c>
      <c r="F4418" s="8">
        <v>0</v>
      </c>
      <c r="G4418" s="8">
        <v>6439</v>
      </c>
      <c r="H4418" s="8">
        <v>586</v>
      </c>
      <c r="I4418" s="8">
        <v>4430</v>
      </c>
    </row>
    <row r="4419" spans="1:9" x14ac:dyDescent="0.2">
      <c r="A4419" t="s">
        <v>994</v>
      </c>
      <c r="B4419" t="s">
        <v>1018</v>
      </c>
      <c r="C4419" t="str">
        <f t="shared" si="216"/>
        <v>30736500000000</v>
      </c>
      <c r="D4419" t="s">
        <v>5953</v>
      </c>
      <c r="E4419" t="str">
        <f>"30736503030657"</f>
        <v>30736503030657</v>
      </c>
      <c r="F4419" s="8">
        <v>0</v>
      </c>
      <c r="G4419" s="8">
        <v>6834</v>
      </c>
      <c r="H4419" s="8">
        <v>559</v>
      </c>
      <c r="I4419" s="8">
        <v>3974</v>
      </c>
    </row>
    <row r="4420" spans="1:9" x14ac:dyDescent="0.2">
      <c r="A4420" t="s">
        <v>994</v>
      </c>
      <c r="B4420" t="s">
        <v>1018</v>
      </c>
      <c r="C4420" t="str">
        <f t="shared" si="216"/>
        <v>30736500000000</v>
      </c>
      <c r="D4420" t="s">
        <v>5954</v>
      </c>
      <c r="E4420" t="str">
        <f>"30736500133405"</f>
        <v>30736500133405</v>
      </c>
      <c r="F4420" s="8">
        <v>0</v>
      </c>
      <c r="G4420" s="8">
        <v>6734</v>
      </c>
      <c r="H4420" s="8">
        <v>530</v>
      </c>
      <c r="I4420" s="8">
        <v>3653</v>
      </c>
    </row>
    <row r="4421" spans="1:9" x14ac:dyDescent="0.2">
      <c r="A4421" t="s">
        <v>994</v>
      </c>
      <c r="B4421" t="s">
        <v>1018</v>
      </c>
      <c r="C4421" t="str">
        <f t="shared" si="216"/>
        <v>30736500000000</v>
      </c>
      <c r="D4421" t="s">
        <v>5856</v>
      </c>
      <c r="E4421" t="str">
        <f>"30736506085344"</f>
        <v>30736506085344</v>
      </c>
      <c r="F4421" s="8">
        <v>0</v>
      </c>
      <c r="G4421" s="8">
        <v>6387</v>
      </c>
      <c r="H4421" s="8">
        <v>542</v>
      </c>
      <c r="I4421" s="8">
        <v>3955</v>
      </c>
    </row>
    <row r="4422" spans="1:9" x14ac:dyDescent="0.2">
      <c r="A4422" t="s">
        <v>994</v>
      </c>
      <c r="B4422" t="s">
        <v>1018</v>
      </c>
      <c r="C4422" t="str">
        <f t="shared" si="216"/>
        <v>30736500000000</v>
      </c>
      <c r="D4422" t="s">
        <v>5955</v>
      </c>
      <c r="E4422" t="str">
        <f>"30736503030467"</f>
        <v>30736503030467</v>
      </c>
      <c r="F4422" s="8">
        <v>0</v>
      </c>
      <c r="G4422" s="8">
        <v>3824</v>
      </c>
      <c r="H4422" s="8">
        <v>565</v>
      </c>
      <c r="I4422" s="8">
        <v>4201</v>
      </c>
    </row>
    <row r="4423" spans="1:9" x14ac:dyDescent="0.2">
      <c r="A4423" t="s">
        <v>994</v>
      </c>
      <c r="B4423" t="s">
        <v>1018</v>
      </c>
      <c r="C4423" t="str">
        <f t="shared" si="216"/>
        <v>30736500000000</v>
      </c>
      <c r="D4423" t="s">
        <v>5956</v>
      </c>
      <c r="E4423" t="str">
        <f>"30736500116046"</f>
        <v>30736500116046</v>
      </c>
      <c r="F4423" s="8">
        <v>0</v>
      </c>
      <c r="G4423" s="8">
        <v>0</v>
      </c>
      <c r="H4423" s="8">
        <v>406</v>
      </c>
      <c r="I4423" s="8">
        <v>2467</v>
      </c>
    </row>
    <row r="4424" spans="1:9" x14ac:dyDescent="0.2">
      <c r="A4424" t="s">
        <v>994</v>
      </c>
      <c r="B4424" t="s">
        <v>1021</v>
      </c>
      <c r="C4424" t="str">
        <f t="shared" ref="C4424:C4432" si="217">"30665630000000"</f>
        <v>30665630000000</v>
      </c>
      <c r="D4424" t="s">
        <v>5957</v>
      </c>
      <c r="E4424" t="str">
        <f>"30665636028971"</f>
        <v>30665636028971</v>
      </c>
      <c r="F4424" s="8">
        <v>3094</v>
      </c>
      <c r="G4424" s="8">
        <v>5344</v>
      </c>
      <c r="H4424" s="8">
        <v>3534</v>
      </c>
      <c r="I4424" s="8">
        <v>3142</v>
      </c>
    </row>
    <row r="4425" spans="1:9" x14ac:dyDescent="0.2">
      <c r="A4425" t="s">
        <v>994</v>
      </c>
      <c r="B4425" t="s">
        <v>1021</v>
      </c>
      <c r="C4425" t="str">
        <f t="shared" si="217"/>
        <v>30665630000000</v>
      </c>
      <c r="D4425" t="s">
        <v>5958</v>
      </c>
      <c r="E4425" t="str">
        <f>"30665636028955"</f>
        <v>30665636028955</v>
      </c>
      <c r="F4425" s="8">
        <v>953</v>
      </c>
      <c r="G4425" s="8">
        <v>6871</v>
      </c>
      <c r="H4425" s="8">
        <v>3534</v>
      </c>
      <c r="I4425" s="8">
        <v>3142</v>
      </c>
    </row>
    <row r="4426" spans="1:9" x14ac:dyDescent="0.2">
      <c r="A4426" t="s">
        <v>994</v>
      </c>
      <c r="B4426" t="s">
        <v>1021</v>
      </c>
      <c r="C4426" t="str">
        <f t="shared" si="217"/>
        <v>30665630000000</v>
      </c>
      <c r="D4426" t="s">
        <v>5959</v>
      </c>
      <c r="E4426" t="str">
        <f>"30665636028989"</f>
        <v>30665636028989</v>
      </c>
      <c r="F4426" s="8">
        <v>1057</v>
      </c>
      <c r="G4426" s="8">
        <v>5617</v>
      </c>
      <c r="H4426" s="8">
        <v>3534</v>
      </c>
      <c r="I4426" s="8">
        <v>3142</v>
      </c>
    </row>
    <row r="4427" spans="1:9" x14ac:dyDescent="0.2">
      <c r="A4427" t="s">
        <v>994</v>
      </c>
      <c r="B4427" t="s">
        <v>1021</v>
      </c>
      <c r="C4427" t="str">
        <f t="shared" si="217"/>
        <v>30665630000000</v>
      </c>
      <c r="D4427" t="s">
        <v>3629</v>
      </c>
      <c r="E4427" t="str">
        <f>"30665636029029"</f>
        <v>30665636029029</v>
      </c>
      <c r="F4427" s="8">
        <v>1070</v>
      </c>
      <c r="G4427" s="8">
        <v>4903</v>
      </c>
      <c r="H4427" s="8">
        <v>3534</v>
      </c>
      <c r="I4427" s="8">
        <v>3142</v>
      </c>
    </row>
    <row r="4428" spans="1:9" x14ac:dyDescent="0.2">
      <c r="A4428" t="s">
        <v>994</v>
      </c>
      <c r="B4428" t="s">
        <v>1021</v>
      </c>
      <c r="C4428" t="str">
        <f t="shared" si="217"/>
        <v>30665630000000</v>
      </c>
      <c r="D4428" t="s">
        <v>3250</v>
      </c>
      <c r="E4428" t="str">
        <f>"30665636029037"</f>
        <v>30665636029037</v>
      </c>
      <c r="F4428" s="8">
        <v>407</v>
      </c>
      <c r="G4428" s="8">
        <v>5318</v>
      </c>
      <c r="H4428" s="8">
        <v>3534</v>
      </c>
      <c r="I4428" s="8">
        <v>3142</v>
      </c>
    </row>
    <row r="4429" spans="1:9" x14ac:dyDescent="0.2">
      <c r="A4429" t="s">
        <v>994</v>
      </c>
      <c r="B4429" t="s">
        <v>1021</v>
      </c>
      <c r="C4429" t="str">
        <f t="shared" si="217"/>
        <v>30665630000000</v>
      </c>
      <c r="D4429" t="s">
        <v>5960</v>
      </c>
      <c r="E4429" t="str">
        <f>"30665636028948"</f>
        <v>30665636028948</v>
      </c>
      <c r="F4429" s="8">
        <v>813</v>
      </c>
      <c r="G4429" s="8">
        <v>4624</v>
      </c>
      <c r="H4429" s="8">
        <v>3534</v>
      </c>
      <c r="I4429" s="8">
        <v>3142</v>
      </c>
    </row>
    <row r="4430" spans="1:9" x14ac:dyDescent="0.2">
      <c r="A4430" t="s">
        <v>994</v>
      </c>
      <c r="B4430" t="s">
        <v>1021</v>
      </c>
      <c r="C4430" t="str">
        <f t="shared" si="217"/>
        <v>30665630000000</v>
      </c>
      <c r="D4430" t="s">
        <v>5961</v>
      </c>
      <c r="E4430" t="str">
        <f>"30665636028930"</f>
        <v>30665636028930</v>
      </c>
      <c r="F4430" s="8">
        <v>679</v>
      </c>
      <c r="G4430" s="8">
        <v>4695</v>
      </c>
      <c r="H4430" s="8">
        <v>3534</v>
      </c>
      <c r="I4430" s="8">
        <v>3142</v>
      </c>
    </row>
    <row r="4431" spans="1:9" x14ac:dyDescent="0.2">
      <c r="A4431" t="s">
        <v>994</v>
      </c>
      <c r="B4431" t="s">
        <v>1021</v>
      </c>
      <c r="C4431" t="str">
        <f t="shared" si="217"/>
        <v>30665630000000</v>
      </c>
      <c r="D4431" t="s">
        <v>5962</v>
      </c>
      <c r="E4431" t="str">
        <f>"30665636028963"</f>
        <v>30665636028963</v>
      </c>
      <c r="F4431" s="8">
        <v>608</v>
      </c>
      <c r="G4431" s="8">
        <v>4733</v>
      </c>
      <c r="H4431" s="8">
        <v>3534</v>
      </c>
      <c r="I4431" s="8">
        <v>3142</v>
      </c>
    </row>
    <row r="4432" spans="1:9" x14ac:dyDescent="0.2">
      <c r="A4432" t="s">
        <v>994</v>
      </c>
      <c r="B4432" t="s">
        <v>1021</v>
      </c>
      <c r="C4432" t="str">
        <f t="shared" si="217"/>
        <v>30665630000000</v>
      </c>
      <c r="D4432" t="s">
        <v>2824</v>
      </c>
      <c r="E4432" t="str">
        <f>"30665636028997"</f>
        <v>30665636028997</v>
      </c>
      <c r="F4432" s="8">
        <v>366</v>
      </c>
      <c r="G4432" s="8">
        <v>4916</v>
      </c>
      <c r="H4432" s="8">
        <v>3534</v>
      </c>
      <c r="I4432" s="8">
        <v>3142</v>
      </c>
    </row>
    <row r="4433" spans="1:9" x14ac:dyDescent="0.2">
      <c r="A4433" t="s">
        <v>994</v>
      </c>
      <c r="B4433" t="s">
        <v>1022</v>
      </c>
      <c r="C4433" t="str">
        <f>"30665550000000"</f>
        <v>30665550000000</v>
      </c>
      <c r="D4433" t="s">
        <v>5963</v>
      </c>
      <c r="E4433" t="str">
        <f>"30665556028906"</f>
        <v>30665556028906</v>
      </c>
      <c r="F4433" s="8">
        <v>576</v>
      </c>
      <c r="G4433" s="8">
        <v>16084</v>
      </c>
      <c r="H4433" s="8">
        <v>890</v>
      </c>
      <c r="I4433" s="8">
        <v>11277</v>
      </c>
    </row>
    <row r="4434" spans="1:9" x14ac:dyDescent="0.2">
      <c r="A4434" t="s">
        <v>994</v>
      </c>
      <c r="B4434" t="s">
        <v>1022</v>
      </c>
      <c r="C4434" t="str">
        <f>"30665550000000"</f>
        <v>30665550000000</v>
      </c>
      <c r="D4434" t="s">
        <v>5964</v>
      </c>
      <c r="E4434" t="str">
        <f>"30665556028922"</f>
        <v>30665556028922</v>
      </c>
      <c r="F4434" s="8">
        <v>380</v>
      </c>
      <c r="G4434" s="8">
        <v>13915</v>
      </c>
      <c r="H4434" s="8">
        <v>896</v>
      </c>
      <c r="I4434" s="8">
        <v>11039</v>
      </c>
    </row>
    <row r="4435" spans="1:9" x14ac:dyDescent="0.2">
      <c r="A4435" t="s">
        <v>994</v>
      </c>
      <c r="B4435" t="s">
        <v>1022</v>
      </c>
      <c r="C4435" t="str">
        <f>"30665550000000"</f>
        <v>30665550000000</v>
      </c>
      <c r="D4435" t="s">
        <v>5965</v>
      </c>
      <c r="E4435" t="str">
        <f>"30665553033206"</f>
        <v>30665553033206</v>
      </c>
      <c r="F4435" s="8">
        <v>380</v>
      </c>
      <c r="G4435" s="8">
        <v>13538</v>
      </c>
      <c r="H4435" s="8">
        <v>647</v>
      </c>
      <c r="I4435" s="8">
        <v>8137</v>
      </c>
    </row>
    <row r="4436" spans="1:9" x14ac:dyDescent="0.2">
      <c r="A4436" t="s">
        <v>994</v>
      </c>
      <c r="B4436" t="s">
        <v>1022</v>
      </c>
      <c r="C4436" t="str">
        <f>"30665550000000"</f>
        <v>30665550000000</v>
      </c>
      <c r="D4436" t="s">
        <v>5966</v>
      </c>
      <c r="E4436" t="str">
        <f>"30665556028914"</f>
        <v>30665556028914</v>
      </c>
      <c r="F4436" s="8">
        <v>404</v>
      </c>
      <c r="G4436" s="8">
        <v>12735</v>
      </c>
      <c r="H4436" s="8">
        <v>625</v>
      </c>
      <c r="I4436" s="8">
        <v>8279</v>
      </c>
    </row>
    <row r="4437" spans="1:9" x14ac:dyDescent="0.2">
      <c r="A4437" t="s">
        <v>994</v>
      </c>
      <c r="B4437" t="s">
        <v>1023</v>
      </c>
      <c r="C4437" t="str">
        <f t="shared" ref="C4437:C4445" si="218">"30739240000000"</f>
        <v>30739240000000</v>
      </c>
      <c r="D4437" t="s">
        <v>5967</v>
      </c>
      <c r="E4437" t="str">
        <f>"30739246030514"</f>
        <v>30739246030514</v>
      </c>
      <c r="F4437" s="8">
        <v>0</v>
      </c>
      <c r="G4437" s="8">
        <v>9205</v>
      </c>
      <c r="H4437" s="8">
        <v>591</v>
      </c>
      <c r="I4437" s="8">
        <v>3432</v>
      </c>
    </row>
    <row r="4438" spans="1:9" x14ac:dyDescent="0.2">
      <c r="A4438" t="s">
        <v>994</v>
      </c>
      <c r="B4438" t="s">
        <v>1023</v>
      </c>
      <c r="C4438" t="str">
        <f t="shared" si="218"/>
        <v>30739240000000</v>
      </c>
      <c r="D4438" t="s">
        <v>5968</v>
      </c>
      <c r="E4438" t="str">
        <f>"30739246029060"</f>
        <v>30739246029060</v>
      </c>
      <c r="F4438" s="8">
        <v>147</v>
      </c>
      <c r="G4438" s="8">
        <v>8267</v>
      </c>
      <c r="H4438" s="8">
        <v>591</v>
      </c>
      <c r="I4438" s="8">
        <v>3432</v>
      </c>
    </row>
    <row r="4439" spans="1:9" x14ac:dyDescent="0.2">
      <c r="A4439" t="s">
        <v>994</v>
      </c>
      <c r="B4439" t="s">
        <v>1023</v>
      </c>
      <c r="C4439" t="str">
        <f t="shared" si="218"/>
        <v>30739240000000</v>
      </c>
      <c r="D4439" t="s">
        <v>5969</v>
      </c>
      <c r="E4439" t="str">
        <f>"30739246029086"</f>
        <v>30739246029086</v>
      </c>
      <c r="F4439" s="8">
        <v>0</v>
      </c>
      <c r="G4439" s="8">
        <v>8119</v>
      </c>
      <c r="H4439" s="8">
        <v>591</v>
      </c>
      <c r="I4439" s="8">
        <v>3432</v>
      </c>
    </row>
    <row r="4440" spans="1:9" x14ac:dyDescent="0.2">
      <c r="A4440" t="s">
        <v>994</v>
      </c>
      <c r="B4440" t="s">
        <v>1023</v>
      </c>
      <c r="C4440" t="str">
        <f t="shared" si="218"/>
        <v>30739240000000</v>
      </c>
      <c r="D4440" t="s">
        <v>5970</v>
      </c>
      <c r="E4440" t="str">
        <f>"30739246029045"</f>
        <v>30739246029045</v>
      </c>
      <c r="F4440" s="8">
        <v>0</v>
      </c>
      <c r="G4440" s="8">
        <v>8038</v>
      </c>
      <c r="H4440" s="8">
        <v>591</v>
      </c>
      <c r="I4440" s="8">
        <v>3432</v>
      </c>
    </row>
    <row r="4441" spans="1:9" x14ac:dyDescent="0.2">
      <c r="A4441" t="s">
        <v>994</v>
      </c>
      <c r="B4441" t="s">
        <v>1023</v>
      </c>
      <c r="C4441" t="str">
        <f t="shared" si="218"/>
        <v>30739240000000</v>
      </c>
      <c r="D4441" t="s">
        <v>5971</v>
      </c>
      <c r="E4441" t="str">
        <f>"30739243033917"</f>
        <v>30739243033917</v>
      </c>
      <c r="F4441" s="8">
        <v>15</v>
      </c>
      <c r="G4441" s="8">
        <v>7824</v>
      </c>
      <c r="H4441" s="8">
        <v>591</v>
      </c>
      <c r="I4441" s="8">
        <v>3432</v>
      </c>
    </row>
    <row r="4442" spans="1:9" x14ac:dyDescent="0.2">
      <c r="A4442" t="s">
        <v>994</v>
      </c>
      <c r="B4442" t="s">
        <v>1023</v>
      </c>
      <c r="C4442" t="str">
        <f t="shared" si="218"/>
        <v>30739240000000</v>
      </c>
      <c r="D4442" t="s">
        <v>5972</v>
      </c>
      <c r="E4442" t="str">
        <f>"30739246029052"</f>
        <v>30739246029052</v>
      </c>
      <c r="F4442" s="8">
        <v>100</v>
      </c>
      <c r="G4442" s="8">
        <v>7578</v>
      </c>
      <c r="H4442" s="8">
        <v>591</v>
      </c>
      <c r="I4442" s="8">
        <v>3432</v>
      </c>
    </row>
    <row r="4443" spans="1:9" x14ac:dyDescent="0.2">
      <c r="A4443" t="s">
        <v>994</v>
      </c>
      <c r="B4443" t="s">
        <v>1023</v>
      </c>
      <c r="C4443" t="str">
        <f t="shared" si="218"/>
        <v>30739240000000</v>
      </c>
      <c r="D4443" t="s">
        <v>5973</v>
      </c>
      <c r="E4443" t="str">
        <f>"30739246058879"</f>
        <v>30739246058879</v>
      </c>
      <c r="F4443" s="8">
        <v>0</v>
      </c>
      <c r="G4443" s="8">
        <v>7414</v>
      </c>
      <c r="H4443" s="8">
        <v>591</v>
      </c>
      <c r="I4443" s="8">
        <v>3432</v>
      </c>
    </row>
    <row r="4444" spans="1:9" x14ac:dyDescent="0.2">
      <c r="A4444" t="s">
        <v>994</v>
      </c>
      <c r="B4444" t="s">
        <v>1023</v>
      </c>
      <c r="C4444" t="str">
        <f t="shared" si="218"/>
        <v>30739240000000</v>
      </c>
      <c r="D4444" t="s">
        <v>5974</v>
      </c>
      <c r="E4444" t="str">
        <f>"30739246029078"</f>
        <v>30739246029078</v>
      </c>
      <c r="F4444" s="8">
        <v>0</v>
      </c>
      <c r="G4444" s="8">
        <v>7116</v>
      </c>
      <c r="H4444" s="8">
        <v>591</v>
      </c>
      <c r="I4444" s="8">
        <v>3432</v>
      </c>
    </row>
    <row r="4445" spans="1:9" x14ac:dyDescent="0.2">
      <c r="A4445" t="s">
        <v>994</v>
      </c>
      <c r="B4445" t="s">
        <v>1023</v>
      </c>
      <c r="C4445" t="str">
        <f t="shared" si="218"/>
        <v>30739240000000</v>
      </c>
      <c r="D4445" t="s">
        <v>5975</v>
      </c>
      <c r="E4445" t="str">
        <f>"30739246058853"</f>
        <v>30739246058853</v>
      </c>
      <c r="F4445" s="8">
        <v>0</v>
      </c>
      <c r="G4445" s="8">
        <v>6973</v>
      </c>
      <c r="H4445" s="8">
        <v>591</v>
      </c>
      <c r="I4445" s="8">
        <v>3432</v>
      </c>
    </row>
    <row r="4446" spans="1:9" x14ac:dyDescent="0.2">
      <c r="A4446" t="s">
        <v>994</v>
      </c>
      <c r="B4446" t="s">
        <v>1024</v>
      </c>
      <c r="C4446" t="str">
        <f t="shared" ref="C4446:C4451" si="219">"30647660000000"</f>
        <v>30647660000000</v>
      </c>
      <c r="D4446" t="s">
        <v>5976</v>
      </c>
      <c r="E4446" t="str">
        <f>"30647666020200"</f>
        <v>30647666020200</v>
      </c>
      <c r="F4446" s="8">
        <v>761</v>
      </c>
      <c r="G4446" s="8">
        <v>8366</v>
      </c>
      <c r="H4446" s="8">
        <v>451</v>
      </c>
      <c r="I4446" s="8">
        <v>2292</v>
      </c>
    </row>
    <row r="4447" spans="1:9" x14ac:dyDescent="0.2">
      <c r="A4447" t="s">
        <v>994</v>
      </c>
      <c r="B4447" t="s">
        <v>1024</v>
      </c>
      <c r="C4447" t="str">
        <f t="shared" si="219"/>
        <v>30647660000000</v>
      </c>
      <c r="D4447" t="s">
        <v>5977</v>
      </c>
      <c r="E4447" t="str">
        <f>"30647666020176"</f>
        <v>30647666020176</v>
      </c>
      <c r="F4447" s="8">
        <v>555</v>
      </c>
      <c r="G4447" s="8">
        <v>8103</v>
      </c>
      <c r="H4447" s="8">
        <v>451</v>
      </c>
      <c r="I4447" s="8">
        <v>2292</v>
      </c>
    </row>
    <row r="4448" spans="1:9" x14ac:dyDescent="0.2">
      <c r="A4448" t="s">
        <v>994</v>
      </c>
      <c r="B4448" t="s">
        <v>1024</v>
      </c>
      <c r="C4448" t="str">
        <f t="shared" si="219"/>
        <v>30647660000000</v>
      </c>
      <c r="D4448" t="s">
        <v>5978</v>
      </c>
      <c r="E4448" t="str">
        <f>"30647666020192"</f>
        <v>30647666020192</v>
      </c>
      <c r="F4448" s="8">
        <v>483</v>
      </c>
      <c r="G4448" s="8">
        <v>7635</v>
      </c>
      <c r="H4448" s="8">
        <v>451</v>
      </c>
      <c r="I4448" s="8">
        <v>2292</v>
      </c>
    </row>
    <row r="4449" spans="1:9" x14ac:dyDescent="0.2">
      <c r="A4449" t="s">
        <v>994</v>
      </c>
      <c r="B4449" t="s">
        <v>1024</v>
      </c>
      <c r="C4449" t="str">
        <f t="shared" si="219"/>
        <v>30647660000000</v>
      </c>
      <c r="D4449" t="s">
        <v>5979</v>
      </c>
      <c r="E4449" t="str">
        <f>"30647666020127"</f>
        <v>30647666020127</v>
      </c>
      <c r="F4449" s="8">
        <v>458</v>
      </c>
      <c r="G4449" s="8">
        <v>7007</v>
      </c>
      <c r="H4449" s="8">
        <v>451</v>
      </c>
      <c r="I4449" s="8">
        <v>2292</v>
      </c>
    </row>
    <row r="4450" spans="1:9" x14ac:dyDescent="0.2">
      <c r="A4450" t="s">
        <v>994</v>
      </c>
      <c r="B4450" t="s">
        <v>1024</v>
      </c>
      <c r="C4450" t="str">
        <f t="shared" si="219"/>
        <v>30647660000000</v>
      </c>
      <c r="D4450" t="s">
        <v>5980</v>
      </c>
      <c r="E4450" t="str">
        <f>"30647666020150"</f>
        <v>30647666020150</v>
      </c>
      <c r="F4450" s="8">
        <v>468</v>
      </c>
      <c r="G4450" s="8">
        <v>6816</v>
      </c>
      <c r="H4450" s="8">
        <v>451</v>
      </c>
      <c r="I4450" s="8">
        <v>2292</v>
      </c>
    </row>
    <row r="4451" spans="1:9" x14ac:dyDescent="0.2">
      <c r="A4451" t="s">
        <v>994</v>
      </c>
      <c r="B4451" t="s">
        <v>1024</v>
      </c>
      <c r="C4451" t="str">
        <f t="shared" si="219"/>
        <v>30647660000000</v>
      </c>
      <c r="D4451" t="s">
        <v>5981</v>
      </c>
      <c r="E4451" t="str">
        <f>"30647666020218"</f>
        <v>30647666020218</v>
      </c>
      <c r="F4451" s="8">
        <v>306</v>
      </c>
      <c r="G4451" s="8">
        <v>6429</v>
      </c>
      <c r="H4451" s="8">
        <v>451</v>
      </c>
      <c r="I4451" s="8">
        <v>2292</v>
      </c>
    </row>
    <row r="4452" spans="1:9" x14ac:dyDescent="0.2">
      <c r="A4452" t="s">
        <v>994</v>
      </c>
      <c r="B4452" t="s">
        <v>1025</v>
      </c>
      <c r="C4452" t="str">
        <f t="shared" ref="C4452:C4460" si="220">"30665890000000"</f>
        <v>30665890000000</v>
      </c>
      <c r="D4452" t="s">
        <v>5982</v>
      </c>
      <c r="E4452" t="str">
        <f>"30665896029128"</f>
        <v>30665896029128</v>
      </c>
      <c r="F4452" s="8">
        <v>1108</v>
      </c>
      <c r="G4452" s="8">
        <v>15803</v>
      </c>
      <c r="H4452" s="8">
        <v>298</v>
      </c>
      <c r="I4452" s="8">
        <v>3587</v>
      </c>
    </row>
    <row r="4453" spans="1:9" x14ac:dyDescent="0.2">
      <c r="A4453" t="s">
        <v>994</v>
      </c>
      <c r="B4453" t="s">
        <v>1025</v>
      </c>
      <c r="C4453" t="str">
        <f t="shared" si="220"/>
        <v>30665890000000</v>
      </c>
      <c r="D4453" t="s">
        <v>5983</v>
      </c>
      <c r="E4453" t="str">
        <f>"30665896029144"</f>
        <v>30665896029144</v>
      </c>
      <c r="F4453" s="8">
        <v>565</v>
      </c>
      <c r="G4453" s="8">
        <v>12004</v>
      </c>
      <c r="H4453" s="8">
        <v>298</v>
      </c>
      <c r="I4453" s="8">
        <v>3587</v>
      </c>
    </row>
    <row r="4454" spans="1:9" x14ac:dyDescent="0.2">
      <c r="A4454" t="s">
        <v>994</v>
      </c>
      <c r="B4454" t="s">
        <v>1025</v>
      </c>
      <c r="C4454" t="str">
        <f t="shared" si="220"/>
        <v>30665890000000</v>
      </c>
      <c r="D4454" t="s">
        <v>5984</v>
      </c>
      <c r="E4454" t="str">
        <f>"30665896029136"</f>
        <v>30665896029136</v>
      </c>
      <c r="F4454" s="8">
        <v>874</v>
      </c>
      <c r="G4454" s="8">
        <v>10561</v>
      </c>
      <c r="H4454" s="8">
        <v>298</v>
      </c>
      <c r="I4454" s="8">
        <v>3587</v>
      </c>
    </row>
    <row r="4455" spans="1:9" x14ac:dyDescent="0.2">
      <c r="A4455" t="s">
        <v>994</v>
      </c>
      <c r="B4455" t="s">
        <v>1025</v>
      </c>
      <c r="C4455" t="str">
        <f t="shared" si="220"/>
        <v>30665890000000</v>
      </c>
      <c r="D4455" t="s">
        <v>5985</v>
      </c>
      <c r="E4455" t="str">
        <f>"30665896029151"</f>
        <v>30665896029151</v>
      </c>
      <c r="F4455" s="8">
        <v>999</v>
      </c>
      <c r="G4455" s="8">
        <v>9966</v>
      </c>
      <c r="H4455" s="8">
        <v>298</v>
      </c>
      <c r="I4455" s="8">
        <v>3587</v>
      </c>
    </row>
    <row r="4456" spans="1:9" x14ac:dyDescent="0.2">
      <c r="A4456" t="s">
        <v>994</v>
      </c>
      <c r="B4456" t="s">
        <v>1025</v>
      </c>
      <c r="C4456" t="str">
        <f t="shared" si="220"/>
        <v>30665890000000</v>
      </c>
      <c r="D4456" t="s">
        <v>5986</v>
      </c>
      <c r="E4456" t="str">
        <f>"30665896029169"</f>
        <v>30665896029169</v>
      </c>
      <c r="F4456" s="8">
        <v>732</v>
      </c>
      <c r="G4456" s="8">
        <v>10205</v>
      </c>
      <c r="H4456" s="8">
        <v>298</v>
      </c>
      <c r="I4456" s="8">
        <v>3587</v>
      </c>
    </row>
    <row r="4457" spans="1:9" x14ac:dyDescent="0.2">
      <c r="A4457" t="s">
        <v>994</v>
      </c>
      <c r="B4457" t="s">
        <v>1025</v>
      </c>
      <c r="C4457" t="str">
        <f t="shared" si="220"/>
        <v>30665890000000</v>
      </c>
      <c r="D4457" t="s">
        <v>5987</v>
      </c>
      <c r="E4457" t="str">
        <f>"30665896029110"</f>
        <v>30665896029110</v>
      </c>
      <c r="F4457" s="8">
        <v>822</v>
      </c>
      <c r="G4457" s="8">
        <v>9994</v>
      </c>
      <c r="H4457" s="8">
        <v>298</v>
      </c>
      <c r="I4457" s="8">
        <v>3587</v>
      </c>
    </row>
    <row r="4458" spans="1:9" x14ac:dyDescent="0.2">
      <c r="A4458" t="s">
        <v>994</v>
      </c>
      <c r="B4458" t="s">
        <v>1025</v>
      </c>
      <c r="C4458" t="str">
        <f t="shared" si="220"/>
        <v>30665890000000</v>
      </c>
      <c r="D4458" t="s">
        <v>5988</v>
      </c>
      <c r="E4458" t="str">
        <f>"30665896029193"</f>
        <v>30665896029193</v>
      </c>
      <c r="F4458" s="8">
        <v>882</v>
      </c>
      <c r="G4458" s="8">
        <v>9790</v>
      </c>
      <c r="H4458" s="8">
        <v>298</v>
      </c>
      <c r="I4458" s="8">
        <v>3587</v>
      </c>
    </row>
    <row r="4459" spans="1:9" x14ac:dyDescent="0.2">
      <c r="A4459" t="s">
        <v>994</v>
      </c>
      <c r="B4459" t="s">
        <v>1025</v>
      </c>
      <c r="C4459" t="str">
        <f t="shared" si="220"/>
        <v>30665890000000</v>
      </c>
      <c r="D4459" t="s">
        <v>5989</v>
      </c>
      <c r="E4459" t="str">
        <f>"30665896029177"</f>
        <v>30665896029177</v>
      </c>
      <c r="F4459" s="8">
        <v>608</v>
      </c>
      <c r="G4459" s="8">
        <v>9304</v>
      </c>
      <c r="H4459" s="8">
        <v>298</v>
      </c>
      <c r="I4459" s="8">
        <v>3587</v>
      </c>
    </row>
    <row r="4460" spans="1:9" x14ac:dyDescent="0.2">
      <c r="A4460" t="s">
        <v>994</v>
      </c>
      <c r="B4460" t="s">
        <v>1025</v>
      </c>
      <c r="C4460" t="str">
        <f t="shared" si="220"/>
        <v>30665890000000</v>
      </c>
      <c r="D4460" t="s">
        <v>5990</v>
      </c>
      <c r="E4460" t="str">
        <f>"30665896029185"</f>
        <v>30665896029185</v>
      </c>
      <c r="F4460" s="8">
        <v>685</v>
      </c>
      <c r="G4460" s="8">
        <v>9005</v>
      </c>
      <c r="H4460" s="8">
        <v>298</v>
      </c>
      <c r="I4460" s="8">
        <v>3587</v>
      </c>
    </row>
    <row r="4461" spans="1:9" x14ac:dyDescent="0.2">
      <c r="A4461" t="s">
        <v>994</v>
      </c>
      <c r="B4461" t="s">
        <v>1027</v>
      </c>
      <c r="C4461" t="str">
        <f t="shared" ref="C4461:C4491" si="221">"30665970000000"</f>
        <v>30665970000000</v>
      </c>
      <c r="D4461" t="s">
        <v>5991</v>
      </c>
      <c r="E4461" t="str">
        <f>"30665973030186"</f>
        <v>30665973030186</v>
      </c>
      <c r="F4461" s="8">
        <v>1572</v>
      </c>
      <c r="G4461" s="8">
        <v>25391</v>
      </c>
      <c r="H4461" s="8">
        <v>1144</v>
      </c>
      <c r="I4461" s="8">
        <v>11051</v>
      </c>
    </row>
    <row r="4462" spans="1:9" x14ac:dyDescent="0.2">
      <c r="A4462" t="s">
        <v>994</v>
      </c>
      <c r="B4462" t="s">
        <v>1027</v>
      </c>
      <c r="C4462" t="str">
        <f t="shared" si="221"/>
        <v>30665970000000</v>
      </c>
      <c r="D4462" t="s">
        <v>5992</v>
      </c>
      <c r="E4462" t="str">
        <f>"30665973034907"</f>
        <v>30665973034907</v>
      </c>
      <c r="F4462" s="8">
        <v>327</v>
      </c>
      <c r="G4462" s="8">
        <v>15474</v>
      </c>
      <c r="H4462" s="8">
        <v>1386</v>
      </c>
      <c r="I4462" s="8">
        <v>13112</v>
      </c>
    </row>
    <row r="4463" spans="1:9" x14ac:dyDescent="0.2">
      <c r="A4463" t="s">
        <v>994</v>
      </c>
      <c r="B4463" t="s">
        <v>1027</v>
      </c>
      <c r="C4463" t="str">
        <f t="shared" si="221"/>
        <v>30665970000000</v>
      </c>
      <c r="D4463" t="s">
        <v>5993</v>
      </c>
      <c r="E4463" t="str">
        <f>"30665976029490"</f>
        <v>30665976029490</v>
      </c>
      <c r="F4463" s="8">
        <v>337</v>
      </c>
      <c r="G4463" s="8">
        <v>8615</v>
      </c>
      <c r="H4463" s="8">
        <v>1890</v>
      </c>
      <c r="I4463" s="8">
        <v>11934</v>
      </c>
    </row>
    <row r="4464" spans="1:9" x14ac:dyDescent="0.2">
      <c r="A4464" t="s">
        <v>994</v>
      </c>
      <c r="B4464" t="s">
        <v>1027</v>
      </c>
      <c r="C4464" t="str">
        <f t="shared" si="221"/>
        <v>30665970000000</v>
      </c>
      <c r="D4464" t="s">
        <v>3863</v>
      </c>
      <c r="E4464" t="str">
        <f>"30665976029219"</f>
        <v>30665976029219</v>
      </c>
      <c r="F4464" s="8">
        <v>215</v>
      </c>
      <c r="G4464" s="8">
        <v>9859</v>
      </c>
      <c r="H4464" s="8">
        <v>1409</v>
      </c>
      <c r="I4464" s="8">
        <v>11078</v>
      </c>
    </row>
    <row r="4465" spans="1:9" x14ac:dyDescent="0.2">
      <c r="A4465" t="s">
        <v>994</v>
      </c>
      <c r="B4465" t="s">
        <v>1027</v>
      </c>
      <c r="C4465" t="str">
        <f t="shared" si="221"/>
        <v>30665970000000</v>
      </c>
      <c r="D4465" t="s">
        <v>5994</v>
      </c>
      <c r="E4465" t="str">
        <f>"30665976029375"</f>
        <v>30665976029375</v>
      </c>
      <c r="F4465" s="8">
        <v>313</v>
      </c>
      <c r="G4465" s="8">
        <v>9581</v>
      </c>
      <c r="H4465" s="8">
        <v>2170</v>
      </c>
      <c r="I4465" s="8">
        <v>9921</v>
      </c>
    </row>
    <row r="4466" spans="1:9" x14ac:dyDescent="0.2">
      <c r="A4466" t="s">
        <v>994</v>
      </c>
      <c r="B4466" t="s">
        <v>1027</v>
      </c>
      <c r="C4466" t="str">
        <f t="shared" si="221"/>
        <v>30665970000000</v>
      </c>
      <c r="D4466" t="s">
        <v>5995</v>
      </c>
      <c r="E4466" t="str">
        <f>"30665976029334"</f>
        <v>30665976029334</v>
      </c>
      <c r="F4466" s="8">
        <v>252</v>
      </c>
      <c r="G4466" s="8">
        <v>10277</v>
      </c>
      <c r="H4466" s="8">
        <v>1322</v>
      </c>
      <c r="I4466" s="8">
        <v>9744</v>
      </c>
    </row>
    <row r="4467" spans="1:9" x14ac:dyDescent="0.2">
      <c r="A4467" t="s">
        <v>994</v>
      </c>
      <c r="B4467" t="s">
        <v>1027</v>
      </c>
      <c r="C4467" t="str">
        <f t="shared" si="221"/>
        <v>30665970000000</v>
      </c>
      <c r="D4467" t="s">
        <v>5996</v>
      </c>
      <c r="E4467" t="str">
        <f>"30665976089460"</f>
        <v>30665976089460</v>
      </c>
      <c r="F4467" s="8">
        <v>174</v>
      </c>
      <c r="G4467" s="8">
        <v>11758</v>
      </c>
      <c r="H4467" s="8">
        <v>1043</v>
      </c>
      <c r="I4467" s="8">
        <v>8491</v>
      </c>
    </row>
    <row r="4468" spans="1:9" x14ac:dyDescent="0.2">
      <c r="A4468" t="s">
        <v>994</v>
      </c>
      <c r="B4468" t="s">
        <v>1027</v>
      </c>
      <c r="C4468" t="str">
        <f t="shared" si="221"/>
        <v>30665970000000</v>
      </c>
      <c r="D4468" t="s">
        <v>5997</v>
      </c>
      <c r="E4468" t="str">
        <f>"30665976029458"</f>
        <v>30665976029458</v>
      </c>
      <c r="F4468" s="8">
        <v>320</v>
      </c>
      <c r="G4468" s="8">
        <v>8182</v>
      </c>
      <c r="H4468" s="8">
        <v>1835</v>
      </c>
      <c r="I4468" s="8">
        <v>10414</v>
      </c>
    </row>
    <row r="4469" spans="1:9" x14ac:dyDescent="0.2">
      <c r="A4469" t="s">
        <v>994</v>
      </c>
      <c r="B4469" t="s">
        <v>1027</v>
      </c>
      <c r="C4469" t="str">
        <f t="shared" si="221"/>
        <v>30665970000000</v>
      </c>
      <c r="D4469" t="s">
        <v>5998</v>
      </c>
      <c r="E4469" t="str">
        <f>"30665976029227"</f>
        <v>30665976029227</v>
      </c>
      <c r="F4469" s="8">
        <v>636</v>
      </c>
      <c r="G4469" s="8">
        <v>8033</v>
      </c>
      <c r="H4469" s="8">
        <v>1762</v>
      </c>
      <c r="I4469" s="8">
        <v>10094</v>
      </c>
    </row>
    <row r="4470" spans="1:9" x14ac:dyDescent="0.2">
      <c r="A4470" t="s">
        <v>994</v>
      </c>
      <c r="B4470" t="s">
        <v>1027</v>
      </c>
      <c r="C4470" t="str">
        <f t="shared" si="221"/>
        <v>30665970000000</v>
      </c>
      <c r="D4470" t="s">
        <v>4045</v>
      </c>
      <c r="E4470" t="str">
        <f>"30665976029516"</f>
        <v>30665976029516</v>
      </c>
      <c r="F4470" s="8">
        <v>688</v>
      </c>
      <c r="G4470" s="8">
        <v>8991</v>
      </c>
      <c r="H4470" s="8">
        <v>1961</v>
      </c>
      <c r="I4470" s="8">
        <v>8834</v>
      </c>
    </row>
    <row r="4471" spans="1:9" x14ac:dyDescent="0.2">
      <c r="A4471" t="s">
        <v>994</v>
      </c>
      <c r="B4471" t="s">
        <v>1027</v>
      </c>
      <c r="C4471" t="str">
        <f t="shared" si="221"/>
        <v>30665970000000</v>
      </c>
      <c r="D4471" t="s">
        <v>5999</v>
      </c>
      <c r="E4471" t="str">
        <f>"30665976029326"</f>
        <v>30665976029326</v>
      </c>
      <c r="F4471" s="8">
        <v>350</v>
      </c>
      <c r="G4471" s="8">
        <v>8058</v>
      </c>
      <c r="H4471" s="8">
        <v>1978</v>
      </c>
      <c r="I4471" s="8">
        <v>9800</v>
      </c>
    </row>
    <row r="4472" spans="1:9" x14ac:dyDescent="0.2">
      <c r="A4472" t="s">
        <v>994</v>
      </c>
      <c r="B4472" t="s">
        <v>1027</v>
      </c>
      <c r="C4472" t="str">
        <f t="shared" si="221"/>
        <v>30665970000000</v>
      </c>
      <c r="D4472" t="s">
        <v>2348</v>
      </c>
      <c r="E4472" t="str">
        <f>"30665976029524"</f>
        <v>30665976029524</v>
      </c>
      <c r="F4472" s="8">
        <v>417</v>
      </c>
      <c r="G4472" s="8">
        <v>8141</v>
      </c>
      <c r="H4472" s="8">
        <v>2168</v>
      </c>
      <c r="I4472" s="8">
        <v>9358</v>
      </c>
    </row>
    <row r="4473" spans="1:9" x14ac:dyDescent="0.2">
      <c r="A4473" t="s">
        <v>994</v>
      </c>
      <c r="B4473" t="s">
        <v>1027</v>
      </c>
      <c r="C4473" t="str">
        <f t="shared" si="221"/>
        <v>30665970000000</v>
      </c>
      <c r="D4473" t="s">
        <v>6000</v>
      </c>
      <c r="E4473" t="str">
        <f>"30665976029433"</f>
        <v>30665976029433</v>
      </c>
      <c r="F4473" s="8">
        <v>142</v>
      </c>
      <c r="G4473" s="8">
        <v>9204</v>
      </c>
      <c r="H4473" s="8">
        <v>1177</v>
      </c>
      <c r="I4473" s="8">
        <v>9478</v>
      </c>
    </row>
    <row r="4474" spans="1:9" x14ac:dyDescent="0.2">
      <c r="A4474" t="s">
        <v>994</v>
      </c>
      <c r="B4474" t="s">
        <v>1027</v>
      </c>
      <c r="C4474" t="str">
        <f t="shared" si="221"/>
        <v>30665970000000</v>
      </c>
      <c r="D4474" t="s">
        <v>5938</v>
      </c>
      <c r="E4474" t="str">
        <f>"30665976029300"</f>
        <v>30665976029300</v>
      </c>
      <c r="F4474" s="8">
        <v>401</v>
      </c>
      <c r="G4474" s="8">
        <v>8786</v>
      </c>
      <c r="H4474" s="8">
        <v>1877</v>
      </c>
      <c r="I4474" s="8">
        <v>8607</v>
      </c>
    </row>
    <row r="4475" spans="1:9" x14ac:dyDescent="0.2">
      <c r="A4475" t="s">
        <v>994</v>
      </c>
      <c r="B4475" t="s">
        <v>1027</v>
      </c>
      <c r="C4475" t="str">
        <f t="shared" si="221"/>
        <v>30665970000000</v>
      </c>
      <c r="D4475" t="s">
        <v>6001</v>
      </c>
      <c r="E4475" t="str">
        <f>"30665976029284"</f>
        <v>30665976029284</v>
      </c>
      <c r="F4475" s="8">
        <v>109</v>
      </c>
      <c r="G4475" s="8">
        <v>7753</v>
      </c>
      <c r="H4475" s="8">
        <v>1208</v>
      </c>
      <c r="I4475" s="8">
        <v>10288</v>
      </c>
    </row>
    <row r="4476" spans="1:9" x14ac:dyDescent="0.2">
      <c r="A4476" t="s">
        <v>994</v>
      </c>
      <c r="B4476" t="s">
        <v>1027</v>
      </c>
      <c r="C4476" t="str">
        <f t="shared" si="221"/>
        <v>30665970000000</v>
      </c>
      <c r="D4476" t="s">
        <v>6002</v>
      </c>
      <c r="E4476" t="str">
        <f>"30665976029409"</f>
        <v>30665976029409</v>
      </c>
      <c r="F4476" s="8">
        <v>85</v>
      </c>
      <c r="G4476" s="8">
        <v>8228</v>
      </c>
      <c r="H4476" s="8">
        <v>1609</v>
      </c>
      <c r="I4476" s="8">
        <v>9386</v>
      </c>
    </row>
    <row r="4477" spans="1:9" x14ac:dyDescent="0.2">
      <c r="A4477" t="s">
        <v>994</v>
      </c>
      <c r="B4477" t="s">
        <v>1027</v>
      </c>
      <c r="C4477" t="str">
        <f t="shared" si="221"/>
        <v>30665970000000</v>
      </c>
      <c r="D4477" t="s">
        <v>6003</v>
      </c>
      <c r="E4477" t="str">
        <f>"30665976029466"</f>
        <v>30665976029466</v>
      </c>
      <c r="F4477" s="8">
        <v>408</v>
      </c>
      <c r="G4477" s="8">
        <v>8621</v>
      </c>
      <c r="H4477" s="8">
        <v>2203</v>
      </c>
      <c r="I4477" s="8">
        <v>8068</v>
      </c>
    </row>
    <row r="4478" spans="1:9" x14ac:dyDescent="0.2">
      <c r="A4478" t="s">
        <v>994</v>
      </c>
      <c r="B4478" t="s">
        <v>1027</v>
      </c>
      <c r="C4478" t="str">
        <f t="shared" si="221"/>
        <v>30665970000000</v>
      </c>
      <c r="D4478" t="s">
        <v>6004</v>
      </c>
      <c r="E4478" t="str">
        <f>"30665973032000"</f>
        <v>30665973032000</v>
      </c>
      <c r="F4478" s="8">
        <v>233</v>
      </c>
      <c r="G4478" s="8">
        <v>7799</v>
      </c>
      <c r="H4478" s="8">
        <v>1094</v>
      </c>
      <c r="I4478" s="8">
        <v>10140</v>
      </c>
    </row>
    <row r="4479" spans="1:9" x14ac:dyDescent="0.2">
      <c r="A4479" t="s">
        <v>994</v>
      </c>
      <c r="B4479" t="s">
        <v>1027</v>
      </c>
      <c r="C4479" t="str">
        <f t="shared" si="221"/>
        <v>30665970000000</v>
      </c>
      <c r="D4479" t="s">
        <v>6005</v>
      </c>
      <c r="E4479" t="str">
        <f>"30665976068399"</f>
        <v>30665976068399</v>
      </c>
      <c r="F4479" s="8">
        <v>253</v>
      </c>
      <c r="G4479" s="8">
        <v>8267</v>
      </c>
      <c r="H4479" s="8">
        <v>1347</v>
      </c>
      <c r="I4479" s="8">
        <v>9371</v>
      </c>
    </row>
    <row r="4480" spans="1:9" x14ac:dyDescent="0.2">
      <c r="A4480" t="s">
        <v>994</v>
      </c>
      <c r="B4480" t="s">
        <v>1027</v>
      </c>
      <c r="C4480" t="str">
        <f t="shared" si="221"/>
        <v>30665970000000</v>
      </c>
      <c r="D4480" t="s">
        <v>3897</v>
      </c>
      <c r="E4480" t="str">
        <f>"30665976029268"</f>
        <v>30665976029268</v>
      </c>
      <c r="F4480" s="8">
        <v>105</v>
      </c>
      <c r="G4480" s="8">
        <v>9060</v>
      </c>
      <c r="H4480" s="8">
        <v>1549</v>
      </c>
      <c r="I4480" s="8">
        <v>8285</v>
      </c>
    </row>
    <row r="4481" spans="1:9" x14ac:dyDescent="0.2">
      <c r="A4481" t="s">
        <v>994</v>
      </c>
      <c r="B4481" t="s">
        <v>1027</v>
      </c>
      <c r="C4481" t="str">
        <f t="shared" si="221"/>
        <v>30665970000000</v>
      </c>
      <c r="D4481" t="s">
        <v>1994</v>
      </c>
      <c r="E4481" t="str">
        <f>"30665976029482"</f>
        <v>30665976029482</v>
      </c>
      <c r="F4481" s="8">
        <v>324</v>
      </c>
      <c r="G4481" s="8">
        <v>8364</v>
      </c>
      <c r="H4481" s="8">
        <v>1978</v>
      </c>
      <c r="I4481" s="8">
        <v>8279</v>
      </c>
    </row>
    <row r="4482" spans="1:9" x14ac:dyDescent="0.2">
      <c r="A4482" t="s">
        <v>994</v>
      </c>
      <c r="B4482" t="s">
        <v>1027</v>
      </c>
      <c r="C4482" t="str">
        <f t="shared" si="221"/>
        <v>30665970000000</v>
      </c>
      <c r="D4482" t="s">
        <v>6006</v>
      </c>
      <c r="E4482" t="str">
        <f>"30665976118236"</f>
        <v>30665976118236</v>
      </c>
      <c r="F4482" s="8">
        <v>274</v>
      </c>
      <c r="G4482" s="8">
        <v>9486</v>
      </c>
      <c r="H4482" s="8">
        <v>1084</v>
      </c>
      <c r="I4482" s="8">
        <v>7997</v>
      </c>
    </row>
    <row r="4483" spans="1:9" x14ac:dyDescent="0.2">
      <c r="A4483" t="s">
        <v>994</v>
      </c>
      <c r="B4483" t="s">
        <v>1027</v>
      </c>
      <c r="C4483" t="str">
        <f t="shared" si="221"/>
        <v>30665970000000</v>
      </c>
      <c r="D4483" t="s">
        <v>6007</v>
      </c>
      <c r="E4483" t="str">
        <f>"30665976029441"</f>
        <v>30665976029441</v>
      </c>
      <c r="F4483" s="8">
        <v>300</v>
      </c>
      <c r="G4483" s="8">
        <v>8971</v>
      </c>
      <c r="H4483" s="8">
        <v>1118</v>
      </c>
      <c r="I4483" s="8">
        <v>8398</v>
      </c>
    </row>
    <row r="4484" spans="1:9" x14ac:dyDescent="0.2">
      <c r="A4484" t="s">
        <v>994</v>
      </c>
      <c r="B4484" t="s">
        <v>1027</v>
      </c>
      <c r="C4484" t="str">
        <f t="shared" si="221"/>
        <v>30665970000000</v>
      </c>
      <c r="D4484" t="s">
        <v>6008</v>
      </c>
      <c r="E4484" t="str">
        <f>"30665976029391"</f>
        <v>30665976029391</v>
      </c>
      <c r="F4484" s="8">
        <v>200</v>
      </c>
      <c r="G4484" s="8">
        <v>9187</v>
      </c>
      <c r="H4484" s="8">
        <v>1104</v>
      </c>
      <c r="I4484" s="8">
        <v>8175</v>
      </c>
    </row>
    <row r="4485" spans="1:9" x14ac:dyDescent="0.2">
      <c r="A4485" t="s">
        <v>994</v>
      </c>
      <c r="B4485" t="s">
        <v>1027</v>
      </c>
      <c r="C4485" t="str">
        <f t="shared" si="221"/>
        <v>30665970000000</v>
      </c>
      <c r="D4485" t="s">
        <v>5354</v>
      </c>
      <c r="E4485" t="str">
        <f>"30665976107833"</f>
        <v>30665976107833</v>
      </c>
      <c r="F4485" s="8">
        <v>165</v>
      </c>
      <c r="G4485" s="8">
        <v>8857</v>
      </c>
      <c r="H4485" s="8">
        <v>1420</v>
      </c>
      <c r="I4485" s="8">
        <v>7735</v>
      </c>
    </row>
    <row r="4486" spans="1:9" x14ac:dyDescent="0.2">
      <c r="A4486" t="s">
        <v>994</v>
      </c>
      <c r="B4486" t="s">
        <v>1027</v>
      </c>
      <c r="C4486" t="str">
        <f t="shared" si="221"/>
        <v>30665970000000</v>
      </c>
      <c r="D4486" t="s">
        <v>6009</v>
      </c>
      <c r="E4486" t="str">
        <f>"30665973031853"</f>
        <v>30665973031853</v>
      </c>
      <c r="F4486" s="8">
        <v>155</v>
      </c>
      <c r="G4486" s="8">
        <v>7963</v>
      </c>
      <c r="H4486" s="8">
        <v>920</v>
      </c>
      <c r="I4486" s="8">
        <v>8958</v>
      </c>
    </row>
    <row r="4487" spans="1:9" x14ac:dyDescent="0.2">
      <c r="A4487" t="s">
        <v>994</v>
      </c>
      <c r="B4487" t="s">
        <v>1027</v>
      </c>
      <c r="C4487" t="str">
        <f t="shared" si="221"/>
        <v>30665970000000</v>
      </c>
      <c r="D4487" t="s">
        <v>6010</v>
      </c>
      <c r="E4487" t="str">
        <f>"30665976029359"</f>
        <v>30665976029359</v>
      </c>
      <c r="F4487" s="8">
        <v>172</v>
      </c>
      <c r="G4487" s="8">
        <v>7811</v>
      </c>
      <c r="H4487" s="8">
        <v>1230</v>
      </c>
      <c r="I4487" s="8">
        <v>8762</v>
      </c>
    </row>
    <row r="4488" spans="1:9" x14ac:dyDescent="0.2">
      <c r="A4488" t="s">
        <v>994</v>
      </c>
      <c r="B4488" t="s">
        <v>1027</v>
      </c>
      <c r="C4488" t="str">
        <f t="shared" si="221"/>
        <v>30665970000000</v>
      </c>
      <c r="D4488" t="s">
        <v>6011</v>
      </c>
      <c r="E4488" t="str">
        <f>"30665970111666"</f>
        <v>30665970111666</v>
      </c>
      <c r="F4488" s="8">
        <v>283</v>
      </c>
      <c r="G4488" s="8">
        <v>9409</v>
      </c>
      <c r="H4488" s="8">
        <v>574</v>
      </c>
      <c r="I4488" s="8">
        <v>6426</v>
      </c>
    </row>
    <row r="4489" spans="1:9" x14ac:dyDescent="0.2">
      <c r="A4489" t="s">
        <v>994</v>
      </c>
      <c r="B4489" t="s">
        <v>1027</v>
      </c>
      <c r="C4489" t="str">
        <f t="shared" si="221"/>
        <v>30665970000000</v>
      </c>
      <c r="D4489" t="s">
        <v>6012</v>
      </c>
      <c r="E4489" t="str">
        <f>"30665973031697"</f>
        <v>30665973031697</v>
      </c>
      <c r="F4489" s="8">
        <v>47</v>
      </c>
      <c r="G4489" s="8">
        <v>7654</v>
      </c>
      <c r="H4489" s="8">
        <v>730</v>
      </c>
      <c r="I4489" s="8">
        <v>8046</v>
      </c>
    </row>
    <row r="4490" spans="1:9" x14ac:dyDescent="0.2">
      <c r="A4490" t="s">
        <v>994</v>
      </c>
      <c r="B4490" t="s">
        <v>1027</v>
      </c>
      <c r="C4490" t="str">
        <f t="shared" si="221"/>
        <v>30665970000000</v>
      </c>
      <c r="D4490" t="s">
        <v>6013</v>
      </c>
      <c r="E4490" t="str">
        <f>"30665976029367"</f>
        <v>30665976029367</v>
      </c>
      <c r="F4490" s="8">
        <v>38</v>
      </c>
      <c r="G4490" s="8">
        <v>7474</v>
      </c>
      <c r="H4490" s="8">
        <v>885</v>
      </c>
      <c r="I4490" s="8">
        <v>7956</v>
      </c>
    </row>
    <row r="4491" spans="1:9" x14ac:dyDescent="0.2">
      <c r="A4491" t="s">
        <v>994</v>
      </c>
      <c r="B4491" t="s">
        <v>1027</v>
      </c>
      <c r="C4491" t="str">
        <f t="shared" si="221"/>
        <v>30665970000000</v>
      </c>
      <c r="D4491" t="s">
        <v>6014</v>
      </c>
      <c r="E4491" t="str">
        <f>"30665973035045"</f>
        <v>30665973035045</v>
      </c>
      <c r="F4491" s="8">
        <v>28</v>
      </c>
      <c r="G4491" s="8">
        <v>7200</v>
      </c>
      <c r="H4491" s="8">
        <v>690</v>
      </c>
      <c r="I4491" s="8">
        <v>7661</v>
      </c>
    </row>
    <row r="4492" spans="1:9" x14ac:dyDescent="0.2">
      <c r="A4492" t="s">
        <v>994</v>
      </c>
      <c r="B4492" t="s">
        <v>1030</v>
      </c>
      <c r="C4492" t="str">
        <f t="shared" ref="C4492:C4505" si="222">"30666130000000"</f>
        <v>30666130000000</v>
      </c>
      <c r="D4492" t="s">
        <v>6015</v>
      </c>
      <c r="E4492" t="str">
        <f>"30666136029557"</f>
        <v>30666136029557</v>
      </c>
      <c r="F4492" s="8">
        <v>230</v>
      </c>
      <c r="G4492" s="8">
        <v>7018</v>
      </c>
      <c r="H4492" s="8">
        <v>1768</v>
      </c>
      <c r="I4492" s="8">
        <v>5522</v>
      </c>
    </row>
    <row r="4493" spans="1:9" x14ac:dyDescent="0.2">
      <c r="A4493" t="s">
        <v>994</v>
      </c>
      <c r="B4493" t="s">
        <v>1030</v>
      </c>
      <c r="C4493" t="str">
        <f t="shared" si="222"/>
        <v>30666130000000</v>
      </c>
      <c r="D4493" t="s">
        <v>5015</v>
      </c>
      <c r="E4493" t="str">
        <f>"30666136029730"</f>
        <v>30666136029730</v>
      </c>
      <c r="F4493" s="8">
        <v>261</v>
      </c>
      <c r="G4493" s="8">
        <v>6845</v>
      </c>
      <c r="H4493" s="8">
        <v>1768</v>
      </c>
      <c r="I4493" s="8">
        <v>5522</v>
      </c>
    </row>
    <row r="4494" spans="1:9" x14ac:dyDescent="0.2">
      <c r="A4494" t="s">
        <v>994</v>
      </c>
      <c r="B4494" t="s">
        <v>1030</v>
      </c>
      <c r="C4494" t="str">
        <f t="shared" si="222"/>
        <v>30666130000000</v>
      </c>
      <c r="D4494" t="s">
        <v>6016</v>
      </c>
      <c r="E4494" t="str">
        <f>"30666136029656"</f>
        <v>30666136029656</v>
      </c>
      <c r="F4494" s="8">
        <v>238</v>
      </c>
      <c r="G4494" s="8">
        <v>5872</v>
      </c>
      <c r="H4494" s="8">
        <v>1768</v>
      </c>
      <c r="I4494" s="8">
        <v>5758</v>
      </c>
    </row>
    <row r="4495" spans="1:9" x14ac:dyDescent="0.2">
      <c r="A4495" t="s">
        <v>994</v>
      </c>
      <c r="B4495" t="s">
        <v>1030</v>
      </c>
      <c r="C4495" t="str">
        <f t="shared" si="222"/>
        <v>30666130000000</v>
      </c>
      <c r="D4495" t="s">
        <v>6017</v>
      </c>
      <c r="E4495" t="str">
        <f>"30666136029722"</f>
        <v>30666136029722</v>
      </c>
      <c r="F4495" s="8">
        <v>1</v>
      </c>
      <c r="G4495" s="8">
        <v>6412</v>
      </c>
      <c r="H4495" s="8">
        <v>1696</v>
      </c>
      <c r="I4495" s="8">
        <v>5522</v>
      </c>
    </row>
    <row r="4496" spans="1:9" x14ac:dyDescent="0.2">
      <c r="A4496" t="s">
        <v>994</v>
      </c>
      <c r="B4496" t="s">
        <v>1030</v>
      </c>
      <c r="C4496" t="str">
        <f t="shared" si="222"/>
        <v>30666130000000</v>
      </c>
      <c r="D4496" t="s">
        <v>6018</v>
      </c>
      <c r="E4496" t="str">
        <f>"30666136029607"</f>
        <v>30666136029607</v>
      </c>
      <c r="F4496" s="8">
        <v>1</v>
      </c>
      <c r="G4496" s="8">
        <v>6356</v>
      </c>
      <c r="H4496" s="8">
        <v>1696</v>
      </c>
      <c r="I4496" s="8">
        <v>5522</v>
      </c>
    </row>
    <row r="4497" spans="1:9" x14ac:dyDescent="0.2">
      <c r="A4497" t="s">
        <v>994</v>
      </c>
      <c r="B4497" t="s">
        <v>1030</v>
      </c>
      <c r="C4497" t="str">
        <f t="shared" si="222"/>
        <v>30666130000000</v>
      </c>
      <c r="D4497" t="s">
        <v>6019</v>
      </c>
      <c r="E4497" t="str">
        <f>"30666136029581"</f>
        <v>30666136029581</v>
      </c>
      <c r="F4497" s="8">
        <v>1</v>
      </c>
      <c r="G4497" s="8">
        <v>6182</v>
      </c>
      <c r="H4497" s="8">
        <v>1696</v>
      </c>
      <c r="I4497" s="8">
        <v>5522</v>
      </c>
    </row>
    <row r="4498" spans="1:9" x14ac:dyDescent="0.2">
      <c r="A4498" t="s">
        <v>994</v>
      </c>
      <c r="B4498" t="s">
        <v>1030</v>
      </c>
      <c r="C4498" t="str">
        <f t="shared" si="222"/>
        <v>30666130000000</v>
      </c>
      <c r="D4498" t="s">
        <v>6020</v>
      </c>
      <c r="E4498" t="str">
        <f>"30666136029615"</f>
        <v>30666136029615</v>
      </c>
      <c r="F4498" s="8">
        <v>190</v>
      </c>
      <c r="G4498" s="8">
        <v>5791</v>
      </c>
      <c r="H4498" s="8">
        <v>1768</v>
      </c>
      <c r="I4498" s="8">
        <v>5522</v>
      </c>
    </row>
    <row r="4499" spans="1:9" x14ac:dyDescent="0.2">
      <c r="A4499" t="s">
        <v>994</v>
      </c>
      <c r="B4499" t="s">
        <v>1030</v>
      </c>
      <c r="C4499" t="str">
        <f t="shared" si="222"/>
        <v>30666130000000</v>
      </c>
      <c r="D4499" t="s">
        <v>6021</v>
      </c>
      <c r="E4499" t="str">
        <f>"30666136029698"</f>
        <v>30666136029698</v>
      </c>
      <c r="F4499" s="8">
        <v>149</v>
      </c>
      <c r="G4499" s="8">
        <v>5787</v>
      </c>
      <c r="H4499" s="8">
        <v>1768</v>
      </c>
      <c r="I4499" s="8">
        <v>5534</v>
      </c>
    </row>
    <row r="4500" spans="1:9" x14ac:dyDescent="0.2">
      <c r="A4500" t="s">
        <v>994</v>
      </c>
      <c r="B4500" t="s">
        <v>1030</v>
      </c>
      <c r="C4500" t="str">
        <f t="shared" si="222"/>
        <v>30666130000000</v>
      </c>
      <c r="D4500" t="s">
        <v>2638</v>
      </c>
      <c r="E4500" t="str">
        <f>"30666136071104"</f>
        <v>30666136071104</v>
      </c>
      <c r="F4500" s="8">
        <v>124</v>
      </c>
      <c r="G4500" s="8">
        <v>5793</v>
      </c>
      <c r="H4500" s="8">
        <v>1768</v>
      </c>
      <c r="I4500" s="8">
        <v>5522</v>
      </c>
    </row>
    <row r="4501" spans="1:9" x14ac:dyDescent="0.2">
      <c r="A4501" t="s">
        <v>994</v>
      </c>
      <c r="B4501" t="s">
        <v>1030</v>
      </c>
      <c r="C4501" t="str">
        <f t="shared" si="222"/>
        <v>30666130000000</v>
      </c>
      <c r="D4501" t="s">
        <v>6022</v>
      </c>
      <c r="E4501" t="str">
        <f>"30666136068613"</f>
        <v>30666136068613</v>
      </c>
      <c r="F4501" s="8">
        <v>232</v>
      </c>
      <c r="G4501" s="8">
        <v>5575</v>
      </c>
      <c r="H4501" s="8">
        <v>1768</v>
      </c>
      <c r="I4501" s="8">
        <v>5534</v>
      </c>
    </row>
    <row r="4502" spans="1:9" x14ac:dyDescent="0.2">
      <c r="A4502" t="s">
        <v>994</v>
      </c>
      <c r="B4502" t="s">
        <v>1030</v>
      </c>
      <c r="C4502" t="str">
        <f t="shared" si="222"/>
        <v>30666130000000</v>
      </c>
      <c r="D4502" t="s">
        <v>6023</v>
      </c>
      <c r="E4502" t="str">
        <f>"30666136029706"</f>
        <v>30666136029706</v>
      </c>
      <c r="F4502" s="8">
        <v>194</v>
      </c>
      <c r="G4502" s="8">
        <v>5613</v>
      </c>
      <c r="H4502" s="8">
        <v>1768</v>
      </c>
      <c r="I4502" s="8">
        <v>5522</v>
      </c>
    </row>
    <row r="4503" spans="1:9" x14ac:dyDescent="0.2">
      <c r="A4503" t="s">
        <v>994</v>
      </c>
      <c r="B4503" t="s">
        <v>1030</v>
      </c>
      <c r="C4503" t="str">
        <f t="shared" si="222"/>
        <v>30666130000000</v>
      </c>
      <c r="D4503" t="s">
        <v>6024</v>
      </c>
      <c r="E4503" t="str">
        <f>"30666136029631"</f>
        <v>30666136029631</v>
      </c>
      <c r="F4503" s="8">
        <v>0</v>
      </c>
      <c r="G4503" s="8">
        <v>5841</v>
      </c>
      <c r="H4503" s="8">
        <v>1696</v>
      </c>
      <c r="I4503" s="8">
        <v>5534</v>
      </c>
    </row>
    <row r="4504" spans="1:9" x14ac:dyDescent="0.2">
      <c r="A4504" t="s">
        <v>994</v>
      </c>
      <c r="B4504" t="s">
        <v>1030</v>
      </c>
      <c r="C4504" t="str">
        <f t="shared" si="222"/>
        <v>30666130000000</v>
      </c>
      <c r="D4504" t="s">
        <v>6025</v>
      </c>
      <c r="E4504" t="str">
        <f>"30666136029540"</f>
        <v>30666136029540</v>
      </c>
      <c r="F4504" s="8">
        <v>1</v>
      </c>
      <c r="G4504" s="8">
        <v>5831</v>
      </c>
      <c r="H4504" s="8">
        <v>1696</v>
      </c>
      <c r="I4504" s="8">
        <v>5522</v>
      </c>
    </row>
    <row r="4505" spans="1:9" x14ac:dyDescent="0.2">
      <c r="A4505" t="s">
        <v>994</v>
      </c>
      <c r="B4505" t="s">
        <v>1030</v>
      </c>
      <c r="C4505" t="str">
        <f t="shared" si="222"/>
        <v>30666130000000</v>
      </c>
      <c r="D4505" t="s">
        <v>6026</v>
      </c>
      <c r="E4505" t="str">
        <f>"30666136066849"</f>
        <v>30666136066849</v>
      </c>
      <c r="F4505" s="8">
        <v>0</v>
      </c>
      <c r="G4505" s="8">
        <v>4912</v>
      </c>
      <c r="H4505" s="8">
        <v>1696</v>
      </c>
      <c r="I4505" s="8">
        <v>5534</v>
      </c>
    </row>
    <row r="4506" spans="1:9" x14ac:dyDescent="0.2">
      <c r="A4506" t="s">
        <v>994</v>
      </c>
      <c r="B4506" t="s">
        <v>1035</v>
      </c>
      <c r="C4506" t="str">
        <f>"30103060000000"</f>
        <v>30103060000000</v>
      </c>
      <c r="D4506" t="s">
        <v>6027</v>
      </c>
      <c r="E4506" t="str">
        <f>"30103066069553"</f>
        <v>30103066069553</v>
      </c>
      <c r="F4506" s="8">
        <v>4520</v>
      </c>
      <c r="G4506" s="8">
        <v>87081</v>
      </c>
      <c r="H4506" s="8">
        <v>0</v>
      </c>
      <c r="I4506" s="8">
        <v>3504</v>
      </c>
    </row>
    <row r="4507" spans="1:9" x14ac:dyDescent="0.2">
      <c r="A4507" t="s">
        <v>994</v>
      </c>
      <c r="B4507" t="s">
        <v>1035</v>
      </c>
      <c r="C4507" t="str">
        <f>"30103060000000"</f>
        <v>30103060000000</v>
      </c>
      <c r="D4507" t="s">
        <v>6028</v>
      </c>
      <c r="E4507" t="str">
        <f>"30103063030426"</f>
        <v>30103063030426</v>
      </c>
      <c r="F4507" s="8">
        <v>4218</v>
      </c>
      <c r="G4507" s="8">
        <v>53935</v>
      </c>
      <c r="H4507" s="8">
        <v>0</v>
      </c>
      <c r="I4507" s="8">
        <v>3504</v>
      </c>
    </row>
    <row r="4508" spans="1:9" x14ac:dyDescent="0.2">
      <c r="A4508" t="s">
        <v>994</v>
      </c>
      <c r="B4508" t="s">
        <v>1035</v>
      </c>
      <c r="C4508" t="str">
        <f>"30103060000000"</f>
        <v>30103060000000</v>
      </c>
      <c r="D4508" t="s">
        <v>6029</v>
      </c>
      <c r="E4508" t="str">
        <f>"30103063030764"</f>
        <v>30103063030764</v>
      </c>
      <c r="F4508" s="8">
        <v>4218</v>
      </c>
      <c r="G4508" s="8">
        <v>32686</v>
      </c>
      <c r="H4508" s="8">
        <v>0</v>
      </c>
      <c r="I4508" s="8">
        <v>3504</v>
      </c>
    </row>
    <row r="4509" spans="1:9" x14ac:dyDescent="0.2">
      <c r="A4509" t="s">
        <v>994</v>
      </c>
      <c r="B4509" t="s">
        <v>1035</v>
      </c>
      <c r="C4509" t="str">
        <f>"30103060000000"</f>
        <v>30103060000000</v>
      </c>
      <c r="D4509" t="s">
        <v>6030</v>
      </c>
      <c r="E4509" t="str">
        <f>"30103060132910"</f>
        <v>30103060132910</v>
      </c>
      <c r="F4509" s="8">
        <v>4303</v>
      </c>
      <c r="G4509" s="8">
        <v>20370</v>
      </c>
      <c r="H4509" s="8">
        <v>0</v>
      </c>
      <c r="I4509" s="8">
        <v>3504</v>
      </c>
    </row>
    <row r="4510" spans="1:9" x14ac:dyDescent="0.2">
      <c r="A4510" t="s">
        <v>994</v>
      </c>
      <c r="B4510" t="s">
        <v>1035</v>
      </c>
      <c r="C4510" t="str">
        <f>"30103060000000"</f>
        <v>30103060000000</v>
      </c>
      <c r="D4510" t="s">
        <v>6031</v>
      </c>
      <c r="E4510" t="str">
        <f>"30103063030632"</f>
        <v>30103063030632</v>
      </c>
      <c r="F4510" s="8">
        <v>4218</v>
      </c>
      <c r="G4510" s="8">
        <v>17032</v>
      </c>
      <c r="H4510" s="8">
        <v>0</v>
      </c>
      <c r="I4510" s="8">
        <v>3504</v>
      </c>
    </row>
    <row r="4511" spans="1:9" x14ac:dyDescent="0.2">
      <c r="A4511" t="s">
        <v>994</v>
      </c>
      <c r="B4511" t="s">
        <v>1038</v>
      </c>
      <c r="C4511" t="str">
        <f t="shared" ref="C4511:C4551" si="223">"30666210000000"</f>
        <v>30666210000000</v>
      </c>
      <c r="D4511" t="s">
        <v>6032</v>
      </c>
      <c r="E4511" t="str">
        <f>"30666216029920"</f>
        <v>30666216029920</v>
      </c>
      <c r="F4511" s="8">
        <v>2856</v>
      </c>
      <c r="G4511" s="8">
        <v>13215</v>
      </c>
      <c r="H4511" s="8">
        <v>1103</v>
      </c>
      <c r="I4511" s="8">
        <v>6278</v>
      </c>
    </row>
    <row r="4512" spans="1:9" x14ac:dyDescent="0.2">
      <c r="A4512" t="s">
        <v>994</v>
      </c>
      <c r="B4512" t="s">
        <v>1038</v>
      </c>
      <c r="C4512" t="str">
        <f t="shared" si="223"/>
        <v>30666210000000</v>
      </c>
      <c r="D4512" t="s">
        <v>6033</v>
      </c>
      <c r="E4512" t="str">
        <f>"30666210114769"</f>
        <v>30666210114769</v>
      </c>
      <c r="F4512" s="8">
        <v>1136</v>
      </c>
      <c r="G4512" s="8">
        <v>11096</v>
      </c>
      <c r="H4512" s="8">
        <v>1103</v>
      </c>
      <c r="I4512" s="8">
        <v>6278</v>
      </c>
    </row>
    <row r="4513" spans="1:9" x14ac:dyDescent="0.2">
      <c r="A4513" t="s">
        <v>994</v>
      </c>
      <c r="B4513" t="s">
        <v>1038</v>
      </c>
      <c r="C4513" t="str">
        <f t="shared" si="223"/>
        <v>30666210000000</v>
      </c>
      <c r="D4513" t="s">
        <v>6034</v>
      </c>
      <c r="E4513" t="str">
        <f>"30666210140293"</f>
        <v>30666210140293</v>
      </c>
      <c r="F4513" s="8">
        <v>0</v>
      </c>
      <c r="G4513" s="8">
        <v>8851</v>
      </c>
      <c r="H4513" s="8">
        <v>1103</v>
      </c>
      <c r="I4513" s="8">
        <v>6278</v>
      </c>
    </row>
    <row r="4514" spans="1:9" x14ac:dyDescent="0.2">
      <c r="A4514" t="s">
        <v>994</v>
      </c>
      <c r="B4514" t="s">
        <v>1038</v>
      </c>
      <c r="C4514" t="str">
        <f t="shared" si="223"/>
        <v>30666210000000</v>
      </c>
      <c r="D4514" t="s">
        <v>6035</v>
      </c>
      <c r="E4514" t="str">
        <f>"30666213035748"</f>
        <v>30666213035748</v>
      </c>
      <c r="F4514" s="8">
        <v>0</v>
      </c>
      <c r="G4514" s="8">
        <v>8718</v>
      </c>
      <c r="H4514" s="8">
        <v>1103</v>
      </c>
      <c r="I4514" s="8">
        <v>6278</v>
      </c>
    </row>
    <row r="4515" spans="1:9" x14ac:dyDescent="0.2">
      <c r="A4515" t="s">
        <v>994</v>
      </c>
      <c r="B4515" t="s">
        <v>1038</v>
      </c>
      <c r="C4515" t="str">
        <f t="shared" si="223"/>
        <v>30666210000000</v>
      </c>
      <c r="D4515" t="s">
        <v>6036</v>
      </c>
      <c r="E4515" t="str">
        <f>"30666216029771"</f>
        <v>30666216029771</v>
      </c>
      <c r="F4515" s="8">
        <v>283</v>
      </c>
      <c r="G4515" s="8">
        <v>6013</v>
      </c>
      <c r="H4515" s="8">
        <v>1103</v>
      </c>
      <c r="I4515" s="8">
        <v>6278</v>
      </c>
    </row>
    <row r="4516" spans="1:9" x14ac:dyDescent="0.2">
      <c r="A4516" t="s">
        <v>994</v>
      </c>
      <c r="B4516" t="s">
        <v>1038</v>
      </c>
      <c r="C4516" t="str">
        <f t="shared" si="223"/>
        <v>30666210000000</v>
      </c>
      <c r="D4516" t="s">
        <v>6037</v>
      </c>
      <c r="E4516" t="str">
        <f>"30666216061725"</f>
        <v>30666216061725</v>
      </c>
      <c r="F4516" s="8">
        <v>194</v>
      </c>
      <c r="G4516" s="8">
        <v>5796</v>
      </c>
      <c r="H4516" s="8">
        <v>1103</v>
      </c>
      <c r="I4516" s="8">
        <v>6278</v>
      </c>
    </row>
    <row r="4517" spans="1:9" x14ac:dyDescent="0.2">
      <c r="A4517" t="s">
        <v>994</v>
      </c>
      <c r="B4517" t="s">
        <v>1038</v>
      </c>
      <c r="C4517" t="str">
        <f t="shared" si="223"/>
        <v>30666210000000</v>
      </c>
      <c r="D4517" t="s">
        <v>6038</v>
      </c>
      <c r="E4517" t="str">
        <f>"30666213035409"</f>
        <v>30666213035409</v>
      </c>
      <c r="F4517" s="8">
        <v>290</v>
      </c>
      <c r="G4517" s="8">
        <v>5347</v>
      </c>
      <c r="H4517" s="8">
        <v>1103</v>
      </c>
      <c r="I4517" s="8">
        <v>6278</v>
      </c>
    </row>
    <row r="4518" spans="1:9" x14ac:dyDescent="0.2">
      <c r="A4518" t="s">
        <v>994</v>
      </c>
      <c r="B4518" t="s">
        <v>1038</v>
      </c>
      <c r="C4518" t="str">
        <f t="shared" si="223"/>
        <v>30666210000000</v>
      </c>
      <c r="D4518" t="s">
        <v>6039</v>
      </c>
      <c r="E4518" t="str">
        <f>"30666210118174"</f>
        <v>30666210118174</v>
      </c>
      <c r="F4518" s="8">
        <v>731</v>
      </c>
      <c r="G4518" s="8">
        <v>4883</v>
      </c>
      <c r="H4518" s="8">
        <v>1103</v>
      </c>
      <c r="I4518" s="8">
        <v>6278</v>
      </c>
    </row>
    <row r="4519" spans="1:9" x14ac:dyDescent="0.2">
      <c r="A4519" t="s">
        <v>994</v>
      </c>
      <c r="B4519" t="s">
        <v>1038</v>
      </c>
      <c r="C4519" t="str">
        <f t="shared" si="223"/>
        <v>30666210000000</v>
      </c>
      <c r="D4519" t="s">
        <v>6040</v>
      </c>
      <c r="E4519" t="str">
        <f>"30666216029805"</f>
        <v>30666216029805</v>
      </c>
      <c r="F4519" s="8">
        <v>254</v>
      </c>
      <c r="G4519" s="8">
        <v>5323</v>
      </c>
      <c r="H4519" s="8">
        <v>1103</v>
      </c>
      <c r="I4519" s="8">
        <v>6278</v>
      </c>
    </row>
    <row r="4520" spans="1:9" x14ac:dyDescent="0.2">
      <c r="A4520" t="s">
        <v>994</v>
      </c>
      <c r="B4520" t="s">
        <v>1038</v>
      </c>
      <c r="C4520" t="str">
        <f t="shared" si="223"/>
        <v>30666210000000</v>
      </c>
      <c r="D4520" t="s">
        <v>6041</v>
      </c>
      <c r="E4520" t="str">
        <f>"30666216029862"</f>
        <v>30666216029862</v>
      </c>
      <c r="F4520" s="8">
        <v>0</v>
      </c>
      <c r="G4520" s="8">
        <v>5511</v>
      </c>
      <c r="H4520" s="8">
        <v>1103</v>
      </c>
      <c r="I4520" s="8">
        <v>6278</v>
      </c>
    </row>
    <row r="4521" spans="1:9" x14ac:dyDescent="0.2">
      <c r="A4521" t="s">
        <v>994</v>
      </c>
      <c r="B4521" t="s">
        <v>1038</v>
      </c>
      <c r="C4521" t="str">
        <f t="shared" si="223"/>
        <v>30666210000000</v>
      </c>
      <c r="D4521" t="s">
        <v>6042</v>
      </c>
      <c r="E4521" t="str">
        <f>"30666216058945"</f>
        <v>30666216058945</v>
      </c>
      <c r="F4521" s="8">
        <v>0</v>
      </c>
      <c r="G4521" s="8">
        <v>5475</v>
      </c>
      <c r="H4521" s="8">
        <v>1103</v>
      </c>
      <c r="I4521" s="8">
        <v>6278</v>
      </c>
    </row>
    <row r="4522" spans="1:9" x14ac:dyDescent="0.2">
      <c r="A4522" t="s">
        <v>994</v>
      </c>
      <c r="B4522" t="s">
        <v>1038</v>
      </c>
      <c r="C4522" t="str">
        <f t="shared" si="223"/>
        <v>30666210000000</v>
      </c>
      <c r="D4522" t="s">
        <v>6043</v>
      </c>
      <c r="E4522" t="str">
        <f>"30666216061733"</f>
        <v>30666216061733</v>
      </c>
      <c r="F4522" s="8">
        <v>313</v>
      </c>
      <c r="G4522" s="8">
        <v>5147</v>
      </c>
      <c r="H4522" s="8">
        <v>1103</v>
      </c>
      <c r="I4522" s="8">
        <v>6278</v>
      </c>
    </row>
    <row r="4523" spans="1:9" x14ac:dyDescent="0.2">
      <c r="A4523" t="s">
        <v>994</v>
      </c>
      <c r="B4523" t="s">
        <v>1038</v>
      </c>
      <c r="C4523" t="str">
        <f t="shared" si="223"/>
        <v>30666210000000</v>
      </c>
      <c r="D4523" t="s">
        <v>5306</v>
      </c>
      <c r="E4523" t="str">
        <f>"30666216029870"</f>
        <v>30666216029870</v>
      </c>
      <c r="F4523" s="8">
        <v>0</v>
      </c>
      <c r="G4523" s="8">
        <v>5448</v>
      </c>
      <c r="H4523" s="8">
        <v>1103</v>
      </c>
      <c r="I4523" s="8">
        <v>6278</v>
      </c>
    </row>
    <row r="4524" spans="1:9" x14ac:dyDescent="0.2">
      <c r="A4524" t="s">
        <v>994</v>
      </c>
      <c r="B4524" t="s">
        <v>1038</v>
      </c>
      <c r="C4524" t="str">
        <f t="shared" si="223"/>
        <v>30666210000000</v>
      </c>
      <c r="D4524" t="s">
        <v>6044</v>
      </c>
      <c r="E4524" t="str">
        <f>"30666216071112"</f>
        <v>30666216071112</v>
      </c>
      <c r="F4524" s="8">
        <v>0</v>
      </c>
      <c r="G4524" s="8">
        <v>5375</v>
      </c>
      <c r="H4524" s="8">
        <v>1103</v>
      </c>
      <c r="I4524" s="8">
        <v>6278</v>
      </c>
    </row>
    <row r="4525" spans="1:9" x14ac:dyDescent="0.2">
      <c r="A4525" t="s">
        <v>994</v>
      </c>
      <c r="B4525" t="s">
        <v>1038</v>
      </c>
      <c r="C4525" t="str">
        <f t="shared" si="223"/>
        <v>30666210000000</v>
      </c>
      <c r="D4525" t="s">
        <v>6045</v>
      </c>
      <c r="E4525" t="str">
        <f>"30666216116586"</f>
        <v>30666216116586</v>
      </c>
      <c r="F4525" s="8">
        <v>0</v>
      </c>
      <c r="G4525" s="8">
        <v>5361</v>
      </c>
      <c r="H4525" s="8">
        <v>1103</v>
      </c>
      <c r="I4525" s="8">
        <v>6278</v>
      </c>
    </row>
    <row r="4526" spans="1:9" x14ac:dyDescent="0.2">
      <c r="A4526" t="s">
        <v>994</v>
      </c>
      <c r="B4526" t="s">
        <v>1038</v>
      </c>
      <c r="C4526" t="str">
        <f t="shared" si="223"/>
        <v>30666210000000</v>
      </c>
      <c r="D4526" t="s">
        <v>6046</v>
      </c>
      <c r="E4526" t="str">
        <f>"30666216029797"</f>
        <v>30666216029797</v>
      </c>
      <c r="F4526" s="8">
        <v>0</v>
      </c>
      <c r="G4526" s="8">
        <v>5332</v>
      </c>
      <c r="H4526" s="8">
        <v>1103</v>
      </c>
      <c r="I4526" s="8">
        <v>6278</v>
      </c>
    </row>
    <row r="4527" spans="1:9" x14ac:dyDescent="0.2">
      <c r="A4527" t="s">
        <v>994</v>
      </c>
      <c r="B4527" t="s">
        <v>1038</v>
      </c>
      <c r="C4527" t="str">
        <f t="shared" si="223"/>
        <v>30666210000000</v>
      </c>
      <c r="D4527" t="s">
        <v>6047</v>
      </c>
      <c r="E4527" t="str">
        <f>"30666216029763"</f>
        <v>30666216029763</v>
      </c>
      <c r="F4527" s="8">
        <v>0</v>
      </c>
      <c r="G4527" s="8">
        <v>5315</v>
      </c>
      <c r="H4527" s="8">
        <v>1103</v>
      </c>
      <c r="I4527" s="8">
        <v>6278</v>
      </c>
    </row>
    <row r="4528" spans="1:9" x14ac:dyDescent="0.2">
      <c r="A4528" t="s">
        <v>994</v>
      </c>
      <c r="B4528" t="s">
        <v>1038</v>
      </c>
      <c r="C4528" t="str">
        <f t="shared" si="223"/>
        <v>30666210000000</v>
      </c>
      <c r="D4528" t="s">
        <v>6048</v>
      </c>
      <c r="E4528" t="str">
        <f>"30666216029979"</f>
        <v>30666216029979</v>
      </c>
      <c r="F4528" s="8">
        <v>0</v>
      </c>
      <c r="G4528" s="8">
        <v>5292</v>
      </c>
      <c r="H4528" s="8">
        <v>1103</v>
      </c>
      <c r="I4528" s="8">
        <v>6278</v>
      </c>
    </row>
    <row r="4529" spans="1:9" x14ac:dyDescent="0.2">
      <c r="A4529" t="s">
        <v>994</v>
      </c>
      <c r="B4529" t="s">
        <v>1038</v>
      </c>
      <c r="C4529" t="str">
        <f t="shared" si="223"/>
        <v>30666210000000</v>
      </c>
      <c r="D4529" t="s">
        <v>6049</v>
      </c>
      <c r="E4529" t="str">
        <f>"30666216029987"</f>
        <v>30666216029987</v>
      </c>
      <c r="F4529" s="8">
        <v>188</v>
      </c>
      <c r="G4529" s="8">
        <v>5086</v>
      </c>
      <c r="H4529" s="8">
        <v>1103</v>
      </c>
      <c r="I4529" s="8">
        <v>6278</v>
      </c>
    </row>
    <row r="4530" spans="1:9" x14ac:dyDescent="0.2">
      <c r="A4530" t="s">
        <v>994</v>
      </c>
      <c r="B4530" t="s">
        <v>1038</v>
      </c>
      <c r="C4530" t="str">
        <f t="shared" si="223"/>
        <v>30666210000000</v>
      </c>
      <c r="D4530" t="s">
        <v>6050</v>
      </c>
      <c r="E4530" t="str">
        <f>"30666216029821"</f>
        <v>30666216029821</v>
      </c>
      <c r="F4530" s="8">
        <v>132</v>
      </c>
      <c r="G4530" s="8">
        <v>5098</v>
      </c>
      <c r="H4530" s="8">
        <v>1103</v>
      </c>
      <c r="I4530" s="8">
        <v>6278</v>
      </c>
    </row>
    <row r="4531" spans="1:9" x14ac:dyDescent="0.2">
      <c r="A4531" t="s">
        <v>994</v>
      </c>
      <c r="B4531" t="s">
        <v>1038</v>
      </c>
      <c r="C4531" t="str">
        <f t="shared" si="223"/>
        <v>30666210000000</v>
      </c>
      <c r="D4531" t="s">
        <v>6051</v>
      </c>
      <c r="E4531" t="str">
        <f>"30666216029748"</f>
        <v>30666216029748</v>
      </c>
      <c r="F4531" s="8">
        <v>248</v>
      </c>
      <c r="G4531" s="8">
        <v>4961</v>
      </c>
      <c r="H4531" s="8">
        <v>1103</v>
      </c>
      <c r="I4531" s="8">
        <v>6278</v>
      </c>
    </row>
    <row r="4532" spans="1:9" x14ac:dyDescent="0.2">
      <c r="A4532" t="s">
        <v>994</v>
      </c>
      <c r="B4532" t="s">
        <v>1038</v>
      </c>
      <c r="C4532" t="str">
        <f t="shared" si="223"/>
        <v>30666210000000</v>
      </c>
      <c r="D4532" t="s">
        <v>6052</v>
      </c>
      <c r="E4532" t="str">
        <f>"30666213031952"</f>
        <v>30666213031952</v>
      </c>
      <c r="F4532" s="8">
        <v>0</v>
      </c>
      <c r="G4532" s="8">
        <v>5208</v>
      </c>
      <c r="H4532" s="8">
        <v>1103</v>
      </c>
      <c r="I4532" s="8">
        <v>6278</v>
      </c>
    </row>
    <row r="4533" spans="1:9" x14ac:dyDescent="0.2">
      <c r="A4533" t="s">
        <v>994</v>
      </c>
      <c r="B4533" t="s">
        <v>1038</v>
      </c>
      <c r="C4533" t="str">
        <f t="shared" si="223"/>
        <v>30666210000000</v>
      </c>
      <c r="D4533" t="s">
        <v>6053</v>
      </c>
      <c r="E4533" t="str">
        <f>"30666216029789"</f>
        <v>30666216029789</v>
      </c>
      <c r="F4533" s="8">
        <v>222</v>
      </c>
      <c r="G4533" s="8">
        <v>4962</v>
      </c>
      <c r="H4533" s="8">
        <v>1103</v>
      </c>
      <c r="I4533" s="8">
        <v>6278</v>
      </c>
    </row>
    <row r="4534" spans="1:9" x14ac:dyDescent="0.2">
      <c r="A4534" t="s">
        <v>994</v>
      </c>
      <c r="B4534" t="s">
        <v>1038</v>
      </c>
      <c r="C4534" t="str">
        <f t="shared" si="223"/>
        <v>30666210000000</v>
      </c>
      <c r="D4534" t="s">
        <v>6054</v>
      </c>
      <c r="E4534" t="str">
        <f>"30666216029961"</f>
        <v>30666216029961</v>
      </c>
      <c r="F4534" s="8">
        <v>255</v>
      </c>
      <c r="G4534" s="8">
        <v>4905</v>
      </c>
      <c r="H4534" s="8">
        <v>1103</v>
      </c>
      <c r="I4534" s="8">
        <v>6278</v>
      </c>
    </row>
    <row r="4535" spans="1:9" x14ac:dyDescent="0.2">
      <c r="A4535" t="s">
        <v>994</v>
      </c>
      <c r="B4535" t="s">
        <v>1038</v>
      </c>
      <c r="C4535" t="str">
        <f t="shared" si="223"/>
        <v>30666210000000</v>
      </c>
      <c r="D4535" t="s">
        <v>6055</v>
      </c>
      <c r="E4535" t="str">
        <f>"30666216029896"</f>
        <v>30666216029896</v>
      </c>
      <c r="F4535" s="8">
        <v>0</v>
      </c>
      <c r="G4535" s="8">
        <v>5148</v>
      </c>
      <c r="H4535" s="8">
        <v>1103</v>
      </c>
      <c r="I4535" s="8">
        <v>6278</v>
      </c>
    </row>
    <row r="4536" spans="1:9" x14ac:dyDescent="0.2">
      <c r="A4536" t="s">
        <v>994</v>
      </c>
      <c r="B4536" t="s">
        <v>1038</v>
      </c>
      <c r="C4536" t="str">
        <f t="shared" si="223"/>
        <v>30666210000000</v>
      </c>
      <c r="D4536" t="s">
        <v>6056</v>
      </c>
      <c r="E4536" t="str">
        <f>"30666216029854"</f>
        <v>30666216029854</v>
      </c>
      <c r="F4536" s="8">
        <v>230</v>
      </c>
      <c r="G4536" s="8">
        <v>4915</v>
      </c>
      <c r="H4536" s="8">
        <v>1103</v>
      </c>
      <c r="I4536" s="8">
        <v>6278</v>
      </c>
    </row>
    <row r="4537" spans="1:9" x14ac:dyDescent="0.2">
      <c r="A4537" t="s">
        <v>994</v>
      </c>
      <c r="B4537" t="s">
        <v>1038</v>
      </c>
      <c r="C4537" t="str">
        <f t="shared" si="223"/>
        <v>30666210000000</v>
      </c>
      <c r="D4537" t="s">
        <v>2591</v>
      </c>
      <c r="E4537" t="str">
        <f>"30666216029755"</f>
        <v>30666216029755</v>
      </c>
      <c r="F4537" s="8">
        <v>205</v>
      </c>
      <c r="G4537" s="8">
        <v>4939</v>
      </c>
      <c r="H4537" s="8">
        <v>1103</v>
      </c>
      <c r="I4537" s="8">
        <v>6278</v>
      </c>
    </row>
    <row r="4538" spans="1:9" x14ac:dyDescent="0.2">
      <c r="A4538" t="s">
        <v>994</v>
      </c>
      <c r="B4538" t="s">
        <v>1038</v>
      </c>
      <c r="C4538" t="str">
        <f t="shared" si="223"/>
        <v>30666210000000</v>
      </c>
      <c r="D4538" t="s">
        <v>6057</v>
      </c>
      <c r="E4538" t="str">
        <f>"30666213038098"</f>
        <v>30666213038098</v>
      </c>
      <c r="F4538" s="8">
        <v>42</v>
      </c>
      <c r="G4538" s="8">
        <v>5098</v>
      </c>
      <c r="H4538" s="8">
        <v>1103</v>
      </c>
      <c r="I4538" s="8">
        <v>6278</v>
      </c>
    </row>
    <row r="4539" spans="1:9" x14ac:dyDescent="0.2">
      <c r="A4539" t="s">
        <v>994</v>
      </c>
      <c r="B4539" t="s">
        <v>1038</v>
      </c>
      <c r="C4539" t="str">
        <f t="shared" si="223"/>
        <v>30666210000000</v>
      </c>
      <c r="D4539" t="s">
        <v>6058</v>
      </c>
      <c r="E4539" t="str">
        <f>"30666216058937"</f>
        <v>30666216058937</v>
      </c>
      <c r="F4539" s="8">
        <v>0</v>
      </c>
      <c r="G4539" s="8">
        <v>5077</v>
      </c>
      <c r="H4539" s="8">
        <v>1103</v>
      </c>
      <c r="I4539" s="8">
        <v>6278</v>
      </c>
    </row>
    <row r="4540" spans="1:9" x14ac:dyDescent="0.2">
      <c r="A4540" t="s">
        <v>994</v>
      </c>
      <c r="B4540" t="s">
        <v>1038</v>
      </c>
      <c r="C4540" t="str">
        <f t="shared" si="223"/>
        <v>30666210000000</v>
      </c>
      <c r="D4540" t="s">
        <v>6059</v>
      </c>
      <c r="E4540" t="str">
        <f>"30666216029888"</f>
        <v>30666216029888</v>
      </c>
      <c r="F4540" s="8">
        <v>157</v>
      </c>
      <c r="G4540" s="8">
        <v>4884</v>
      </c>
      <c r="H4540" s="8">
        <v>1103</v>
      </c>
      <c r="I4540" s="8">
        <v>6278</v>
      </c>
    </row>
    <row r="4541" spans="1:9" x14ac:dyDescent="0.2">
      <c r="A4541" t="s">
        <v>994</v>
      </c>
      <c r="B4541" t="s">
        <v>1038</v>
      </c>
      <c r="C4541" t="str">
        <f t="shared" si="223"/>
        <v>30666210000000</v>
      </c>
      <c r="D4541" t="s">
        <v>5207</v>
      </c>
      <c r="E4541" t="str">
        <f>"30666213030046"</f>
        <v>30666213030046</v>
      </c>
      <c r="F4541" s="8">
        <v>0</v>
      </c>
      <c r="G4541" s="8">
        <v>5037</v>
      </c>
      <c r="H4541" s="8">
        <v>1103</v>
      </c>
      <c r="I4541" s="8">
        <v>6278</v>
      </c>
    </row>
    <row r="4542" spans="1:9" x14ac:dyDescent="0.2">
      <c r="A4542" t="s">
        <v>994</v>
      </c>
      <c r="B4542" t="s">
        <v>1038</v>
      </c>
      <c r="C4542" t="str">
        <f t="shared" si="223"/>
        <v>30666210000000</v>
      </c>
      <c r="D4542" t="s">
        <v>3717</v>
      </c>
      <c r="E4542" t="str">
        <f>"30666216029953"</f>
        <v>30666216029953</v>
      </c>
      <c r="F4542" s="8">
        <v>236</v>
      </c>
      <c r="G4542" s="8">
        <v>4764</v>
      </c>
      <c r="H4542" s="8">
        <v>1103</v>
      </c>
      <c r="I4542" s="8">
        <v>6278</v>
      </c>
    </row>
    <row r="4543" spans="1:9" x14ac:dyDescent="0.2">
      <c r="A4543" t="s">
        <v>994</v>
      </c>
      <c r="B4543" t="s">
        <v>1038</v>
      </c>
      <c r="C4543" t="str">
        <f t="shared" si="223"/>
        <v>30666210000000</v>
      </c>
      <c r="D4543" t="s">
        <v>6060</v>
      </c>
      <c r="E4543" t="str">
        <f>"30666216114565"</f>
        <v>30666216114565</v>
      </c>
      <c r="F4543" s="8">
        <v>0</v>
      </c>
      <c r="G4543" s="8">
        <v>4976</v>
      </c>
      <c r="H4543" s="8">
        <v>1103</v>
      </c>
      <c r="I4543" s="8">
        <v>6278</v>
      </c>
    </row>
    <row r="4544" spans="1:9" x14ac:dyDescent="0.2">
      <c r="A4544" t="s">
        <v>994</v>
      </c>
      <c r="B4544" t="s">
        <v>1038</v>
      </c>
      <c r="C4544" t="str">
        <f t="shared" si="223"/>
        <v>30666210000000</v>
      </c>
      <c r="D4544" t="s">
        <v>6061</v>
      </c>
      <c r="E4544" t="str">
        <f>"30666216029938"</f>
        <v>30666216029938</v>
      </c>
      <c r="F4544" s="8">
        <v>0</v>
      </c>
      <c r="G4544" s="8">
        <v>4897</v>
      </c>
      <c r="H4544" s="8">
        <v>1103</v>
      </c>
      <c r="I4544" s="8">
        <v>6278</v>
      </c>
    </row>
    <row r="4545" spans="1:9" x14ac:dyDescent="0.2">
      <c r="A4545" t="s">
        <v>994</v>
      </c>
      <c r="B4545" t="s">
        <v>1038</v>
      </c>
      <c r="C4545" t="str">
        <f t="shared" si="223"/>
        <v>30666210000000</v>
      </c>
      <c r="D4545" t="s">
        <v>6062</v>
      </c>
      <c r="E4545" t="str">
        <f>"30666216071120"</f>
        <v>30666216071120</v>
      </c>
      <c r="F4545" s="8">
        <v>0</v>
      </c>
      <c r="G4545" s="8">
        <v>4869</v>
      </c>
      <c r="H4545" s="8">
        <v>1103</v>
      </c>
      <c r="I4545" s="8">
        <v>6278</v>
      </c>
    </row>
    <row r="4546" spans="1:9" x14ac:dyDescent="0.2">
      <c r="A4546" t="s">
        <v>994</v>
      </c>
      <c r="B4546" t="s">
        <v>1038</v>
      </c>
      <c r="C4546" t="str">
        <f t="shared" si="223"/>
        <v>30666210000000</v>
      </c>
      <c r="D4546" t="s">
        <v>6063</v>
      </c>
      <c r="E4546" t="str">
        <f>"30666216107767"</f>
        <v>30666216107767</v>
      </c>
      <c r="F4546" s="8">
        <v>0</v>
      </c>
      <c r="G4546" s="8">
        <v>4724</v>
      </c>
      <c r="H4546" s="8">
        <v>1103</v>
      </c>
      <c r="I4546" s="8">
        <v>6278</v>
      </c>
    </row>
    <row r="4547" spans="1:9" x14ac:dyDescent="0.2">
      <c r="A4547" t="s">
        <v>994</v>
      </c>
      <c r="B4547" t="s">
        <v>1038</v>
      </c>
      <c r="C4547" t="str">
        <f t="shared" si="223"/>
        <v>30666210000000</v>
      </c>
      <c r="D4547" t="s">
        <v>6064</v>
      </c>
      <c r="E4547" t="str">
        <f>"30666216097364"</f>
        <v>30666216097364</v>
      </c>
      <c r="F4547" s="8">
        <v>0</v>
      </c>
      <c r="G4547" s="8">
        <v>4664</v>
      </c>
      <c r="H4547" s="8">
        <v>1103</v>
      </c>
      <c r="I4547" s="8">
        <v>6278</v>
      </c>
    </row>
    <row r="4548" spans="1:9" x14ac:dyDescent="0.2">
      <c r="A4548" t="s">
        <v>994</v>
      </c>
      <c r="B4548" t="s">
        <v>1038</v>
      </c>
      <c r="C4548" t="str">
        <f t="shared" si="223"/>
        <v>30666210000000</v>
      </c>
      <c r="D4548" t="s">
        <v>6065</v>
      </c>
      <c r="E4548" t="str">
        <f>"30666216029912"</f>
        <v>30666216029912</v>
      </c>
      <c r="F4548" s="8">
        <v>167</v>
      </c>
      <c r="G4548" s="8">
        <v>4362</v>
      </c>
      <c r="H4548" s="8">
        <v>1103</v>
      </c>
      <c r="I4548" s="8">
        <v>6278</v>
      </c>
    </row>
    <row r="4549" spans="1:9" x14ac:dyDescent="0.2">
      <c r="A4549" t="s">
        <v>994</v>
      </c>
      <c r="B4549" t="s">
        <v>1038</v>
      </c>
      <c r="C4549" t="str">
        <f t="shared" si="223"/>
        <v>30666210000000</v>
      </c>
      <c r="D4549" t="s">
        <v>3783</v>
      </c>
      <c r="E4549" t="str">
        <f>"30666216096333"</f>
        <v>30666216096333</v>
      </c>
      <c r="F4549" s="8">
        <v>0</v>
      </c>
      <c r="G4549" s="8">
        <v>4316</v>
      </c>
      <c r="H4549" s="8">
        <v>1103</v>
      </c>
      <c r="I4549" s="8">
        <v>6278</v>
      </c>
    </row>
    <row r="4550" spans="1:9" x14ac:dyDescent="0.2">
      <c r="A4550" t="s">
        <v>994</v>
      </c>
      <c r="B4550" t="s">
        <v>1038</v>
      </c>
      <c r="C4550" t="str">
        <f t="shared" si="223"/>
        <v>30666210000000</v>
      </c>
      <c r="D4550" t="s">
        <v>6066</v>
      </c>
      <c r="E4550" t="str">
        <f>"30666216094874"</f>
        <v>30666216094874</v>
      </c>
      <c r="F4550" s="8">
        <v>403</v>
      </c>
      <c r="G4550" s="8">
        <v>7677</v>
      </c>
      <c r="H4550" s="8">
        <v>0</v>
      </c>
      <c r="I4550" s="8">
        <v>0</v>
      </c>
    </row>
    <row r="4551" spans="1:9" x14ac:dyDescent="0.2">
      <c r="A4551" t="s">
        <v>994</v>
      </c>
      <c r="B4551" t="s">
        <v>1038</v>
      </c>
      <c r="C4551" t="str">
        <f t="shared" si="223"/>
        <v>30666210000000</v>
      </c>
      <c r="D4551" t="s">
        <v>6067</v>
      </c>
      <c r="E4551" t="str">
        <f>"30666210102814"</f>
        <v>30666210102814</v>
      </c>
      <c r="F4551" s="8" t="s">
        <v>30</v>
      </c>
      <c r="G4551" s="8" t="s">
        <v>30</v>
      </c>
      <c r="H4551" s="8" t="s">
        <v>30</v>
      </c>
      <c r="I4551" s="8" t="s">
        <v>30</v>
      </c>
    </row>
    <row r="4552" spans="1:9" x14ac:dyDescent="0.2">
      <c r="A4552" t="s">
        <v>994</v>
      </c>
      <c r="B4552" t="s">
        <v>1042</v>
      </c>
      <c r="C4552" t="str">
        <f t="shared" ref="C4552:C4585" si="224">"30666470000000"</f>
        <v>30666470000000</v>
      </c>
      <c r="D4552" t="s">
        <v>6068</v>
      </c>
      <c r="E4552" t="str">
        <f>"30666476089478"</f>
        <v>30666476089478</v>
      </c>
      <c r="F4552" s="8">
        <v>1553</v>
      </c>
      <c r="G4552" s="8">
        <v>17380</v>
      </c>
      <c r="H4552" s="8">
        <v>1265</v>
      </c>
      <c r="I4552" s="8">
        <v>5690</v>
      </c>
    </row>
    <row r="4553" spans="1:9" x14ac:dyDescent="0.2">
      <c r="A4553" t="s">
        <v>994</v>
      </c>
      <c r="B4553" t="s">
        <v>1042</v>
      </c>
      <c r="C4553" t="str">
        <f t="shared" si="224"/>
        <v>30666470000000</v>
      </c>
      <c r="D4553" t="s">
        <v>6069</v>
      </c>
      <c r="E4553" t="str">
        <f>"30666473031945"</f>
        <v>30666473031945</v>
      </c>
      <c r="F4553" s="8">
        <v>1259</v>
      </c>
      <c r="G4553" s="8">
        <v>15467</v>
      </c>
      <c r="H4553" s="8">
        <v>1427</v>
      </c>
      <c r="I4553" s="8">
        <v>5690</v>
      </c>
    </row>
    <row r="4554" spans="1:9" x14ac:dyDescent="0.2">
      <c r="A4554" t="s">
        <v>994</v>
      </c>
      <c r="B4554" t="s">
        <v>1042</v>
      </c>
      <c r="C4554" t="str">
        <f t="shared" si="224"/>
        <v>30666470000000</v>
      </c>
      <c r="D4554" t="s">
        <v>6070</v>
      </c>
      <c r="E4554" t="str">
        <f>"30666476030936"</f>
        <v>30666476030936</v>
      </c>
      <c r="F4554" s="8">
        <v>0</v>
      </c>
      <c r="G4554" s="8">
        <v>9593</v>
      </c>
      <c r="H4554" s="8">
        <v>1265</v>
      </c>
      <c r="I4554" s="8">
        <v>5690</v>
      </c>
    </row>
    <row r="4555" spans="1:9" x14ac:dyDescent="0.2">
      <c r="A4555" t="s">
        <v>994</v>
      </c>
      <c r="B4555" t="s">
        <v>1042</v>
      </c>
      <c r="C4555" t="str">
        <f t="shared" si="224"/>
        <v>30666470000000</v>
      </c>
      <c r="D4555" t="s">
        <v>6044</v>
      </c>
      <c r="E4555" t="str">
        <f>"30666476095160"</f>
        <v>30666476095160</v>
      </c>
      <c r="F4555" s="8">
        <v>45</v>
      </c>
      <c r="G4555" s="8">
        <v>8855</v>
      </c>
      <c r="H4555" s="8">
        <v>1265</v>
      </c>
      <c r="I4555" s="8">
        <v>5690</v>
      </c>
    </row>
    <row r="4556" spans="1:9" x14ac:dyDescent="0.2">
      <c r="A4556" t="s">
        <v>994</v>
      </c>
      <c r="B4556" t="s">
        <v>1042</v>
      </c>
      <c r="C4556" t="str">
        <f t="shared" si="224"/>
        <v>30666470000000</v>
      </c>
      <c r="D4556" t="s">
        <v>6071</v>
      </c>
      <c r="E4556" t="str">
        <f>"30666476030084"</f>
        <v>30666476030084</v>
      </c>
      <c r="F4556" s="8">
        <v>309</v>
      </c>
      <c r="G4556" s="8">
        <v>8237</v>
      </c>
      <c r="H4556" s="8">
        <v>1427</v>
      </c>
      <c r="I4556" s="8">
        <v>5690</v>
      </c>
    </row>
    <row r="4557" spans="1:9" x14ac:dyDescent="0.2">
      <c r="A4557" t="s">
        <v>994</v>
      </c>
      <c r="B4557" t="s">
        <v>1042</v>
      </c>
      <c r="C4557" t="str">
        <f t="shared" si="224"/>
        <v>30666470000000</v>
      </c>
      <c r="D4557" t="s">
        <v>6072</v>
      </c>
      <c r="E4557" t="str">
        <f>"30666473030053"</f>
        <v>30666473030053</v>
      </c>
      <c r="F4557" s="8">
        <v>20</v>
      </c>
      <c r="G4557" s="8">
        <v>8526</v>
      </c>
      <c r="H4557" s="8">
        <v>1265</v>
      </c>
      <c r="I4557" s="8">
        <v>5690</v>
      </c>
    </row>
    <row r="4558" spans="1:9" x14ac:dyDescent="0.2">
      <c r="A4558" t="s">
        <v>994</v>
      </c>
      <c r="B4558" t="s">
        <v>1042</v>
      </c>
      <c r="C4558" t="str">
        <f t="shared" si="224"/>
        <v>30666470000000</v>
      </c>
      <c r="D4558" t="s">
        <v>6073</v>
      </c>
      <c r="E4558" t="str">
        <f>"30666476030001"</f>
        <v>30666476030001</v>
      </c>
      <c r="F4558" s="8">
        <v>140</v>
      </c>
      <c r="G4558" s="8">
        <v>8223</v>
      </c>
      <c r="H4558" s="8">
        <v>1265</v>
      </c>
      <c r="I4558" s="8">
        <v>5690</v>
      </c>
    </row>
    <row r="4559" spans="1:9" x14ac:dyDescent="0.2">
      <c r="A4559" t="s">
        <v>994</v>
      </c>
      <c r="B4559" t="s">
        <v>1042</v>
      </c>
      <c r="C4559" t="str">
        <f t="shared" si="224"/>
        <v>30666470000000</v>
      </c>
      <c r="D4559" t="s">
        <v>6074</v>
      </c>
      <c r="E4559" t="str">
        <f>"30666470102897"</f>
        <v>30666470102897</v>
      </c>
      <c r="F4559" s="8">
        <v>295</v>
      </c>
      <c r="G4559" s="8">
        <v>7799</v>
      </c>
      <c r="H4559" s="8">
        <v>1427</v>
      </c>
      <c r="I4559" s="8">
        <v>5690</v>
      </c>
    </row>
    <row r="4560" spans="1:9" x14ac:dyDescent="0.2">
      <c r="A4560" t="s">
        <v>994</v>
      </c>
      <c r="B4560" t="s">
        <v>1042</v>
      </c>
      <c r="C4560" t="str">
        <f t="shared" si="224"/>
        <v>30666470000000</v>
      </c>
      <c r="D4560" t="s">
        <v>6075</v>
      </c>
      <c r="E4560" t="str">
        <f>"30666476097018"</f>
        <v>30666476097018</v>
      </c>
      <c r="F4560" s="8">
        <v>218</v>
      </c>
      <c r="G4560" s="8">
        <v>7494</v>
      </c>
      <c r="H4560" s="8">
        <v>1427</v>
      </c>
      <c r="I4560" s="8">
        <v>5690</v>
      </c>
    </row>
    <row r="4561" spans="1:9" x14ac:dyDescent="0.2">
      <c r="A4561" t="s">
        <v>994</v>
      </c>
      <c r="B4561" t="s">
        <v>1042</v>
      </c>
      <c r="C4561" t="str">
        <f t="shared" si="224"/>
        <v>30666470000000</v>
      </c>
      <c r="D4561" t="s">
        <v>6076</v>
      </c>
      <c r="E4561" t="str">
        <f>"30666470119404"</f>
        <v>30666470119404</v>
      </c>
      <c r="F4561" s="8">
        <v>36</v>
      </c>
      <c r="G4561" s="8">
        <v>7781</v>
      </c>
      <c r="H4561" s="8">
        <v>1265</v>
      </c>
      <c r="I4561" s="8">
        <v>5690</v>
      </c>
    </row>
    <row r="4562" spans="1:9" x14ac:dyDescent="0.2">
      <c r="A4562" t="s">
        <v>994</v>
      </c>
      <c r="B4562" t="s">
        <v>1042</v>
      </c>
      <c r="C4562" t="str">
        <f t="shared" si="224"/>
        <v>30666470000000</v>
      </c>
      <c r="D4562" t="s">
        <v>6077</v>
      </c>
      <c r="E4562" t="str">
        <f>"30666476030951"</f>
        <v>30666476030951</v>
      </c>
      <c r="F4562" s="8">
        <v>0</v>
      </c>
      <c r="G4562" s="8">
        <v>7799</v>
      </c>
      <c r="H4562" s="8">
        <v>1265</v>
      </c>
      <c r="I4562" s="8">
        <v>5690</v>
      </c>
    </row>
    <row r="4563" spans="1:9" x14ac:dyDescent="0.2">
      <c r="A4563" t="s">
        <v>994</v>
      </c>
      <c r="B4563" t="s">
        <v>1042</v>
      </c>
      <c r="C4563" t="str">
        <f t="shared" si="224"/>
        <v>30666470000000</v>
      </c>
      <c r="D4563" t="s">
        <v>6078</v>
      </c>
      <c r="E4563" t="str">
        <f>"30666476085633"</f>
        <v>30666476085633</v>
      </c>
      <c r="F4563" s="8">
        <v>264</v>
      </c>
      <c r="G4563" s="8">
        <v>7193</v>
      </c>
      <c r="H4563" s="8">
        <v>1427</v>
      </c>
      <c r="I4563" s="8">
        <v>5690</v>
      </c>
    </row>
    <row r="4564" spans="1:9" x14ac:dyDescent="0.2">
      <c r="A4564" t="s">
        <v>994</v>
      </c>
      <c r="B4564" t="s">
        <v>1042</v>
      </c>
      <c r="C4564" t="str">
        <f t="shared" si="224"/>
        <v>30666470000000</v>
      </c>
      <c r="D4564" t="s">
        <v>2783</v>
      </c>
      <c r="E4564" t="str">
        <f>"30666470109678"</f>
        <v>30666470109678</v>
      </c>
      <c r="F4564" s="8">
        <v>136</v>
      </c>
      <c r="G4564" s="8">
        <v>7464</v>
      </c>
      <c r="H4564" s="8">
        <v>1265</v>
      </c>
      <c r="I4564" s="8">
        <v>5690</v>
      </c>
    </row>
    <row r="4565" spans="1:9" x14ac:dyDescent="0.2">
      <c r="A4565" t="s">
        <v>994</v>
      </c>
      <c r="B4565" t="s">
        <v>1042</v>
      </c>
      <c r="C4565" t="str">
        <f t="shared" si="224"/>
        <v>30666470000000</v>
      </c>
      <c r="D4565" t="s">
        <v>6079</v>
      </c>
      <c r="E4565" t="str">
        <f>"30666476030050"</f>
        <v>30666476030050</v>
      </c>
      <c r="F4565" s="8">
        <v>203</v>
      </c>
      <c r="G4565" s="8">
        <v>7104</v>
      </c>
      <c r="H4565" s="8">
        <v>1427</v>
      </c>
      <c r="I4565" s="8">
        <v>5690</v>
      </c>
    </row>
    <row r="4566" spans="1:9" x14ac:dyDescent="0.2">
      <c r="A4566" t="s">
        <v>994</v>
      </c>
      <c r="B4566" t="s">
        <v>1042</v>
      </c>
      <c r="C4566" t="str">
        <f t="shared" si="224"/>
        <v>30666470000000</v>
      </c>
      <c r="D4566" t="s">
        <v>6080</v>
      </c>
      <c r="E4566" t="str">
        <f>"30666476097000"</f>
        <v>30666476097000</v>
      </c>
      <c r="F4566" s="8">
        <v>0</v>
      </c>
      <c r="G4566" s="8">
        <v>7390</v>
      </c>
      <c r="H4566" s="8">
        <v>1265</v>
      </c>
      <c r="I4566" s="8">
        <v>5690</v>
      </c>
    </row>
    <row r="4567" spans="1:9" x14ac:dyDescent="0.2">
      <c r="A4567" t="s">
        <v>994</v>
      </c>
      <c r="B4567" t="s">
        <v>1042</v>
      </c>
      <c r="C4567" t="str">
        <f t="shared" si="224"/>
        <v>30666470000000</v>
      </c>
      <c r="D4567" t="s">
        <v>6081</v>
      </c>
      <c r="E4567" t="str">
        <f>"30666476029995"</f>
        <v>30666476029995</v>
      </c>
      <c r="F4567" s="8">
        <v>3</v>
      </c>
      <c r="G4567" s="8">
        <v>7357</v>
      </c>
      <c r="H4567" s="8">
        <v>1265</v>
      </c>
      <c r="I4567" s="8">
        <v>5690</v>
      </c>
    </row>
    <row r="4568" spans="1:9" x14ac:dyDescent="0.2">
      <c r="A4568" t="s">
        <v>994</v>
      </c>
      <c r="B4568" t="s">
        <v>1042</v>
      </c>
      <c r="C4568" t="str">
        <f t="shared" si="224"/>
        <v>30666470000000</v>
      </c>
      <c r="D4568" t="s">
        <v>6082</v>
      </c>
      <c r="E4568" t="str">
        <f>"30666476030969"</f>
        <v>30666476030969</v>
      </c>
      <c r="F4568" s="8">
        <v>131</v>
      </c>
      <c r="G4568" s="8">
        <v>7204</v>
      </c>
      <c r="H4568" s="8">
        <v>1265</v>
      </c>
      <c r="I4568" s="8">
        <v>5690</v>
      </c>
    </row>
    <row r="4569" spans="1:9" x14ac:dyDescent="0.2">
      <c r="A4569" t="s">
        <v>994</v>
      </c>
      <c r="B4569" t="s">
        <v>1042</v>
      </c>
      <c r="C4569" t="str">
        <f t="shared" si="224"/>
        <v>30666470000000</v>
      </c>
      <c r="D4569" t="s">
        <v>6083</v>
      </c>
      <c r="E4569" t="str">
        <f>"30666476068621"</f>
        <v>30666476068621</v>
      </c>
      <c r="F4569" s="8">
        <v>0</v>
      </c>
      <c r="G4569" s="8">
        <v>7207</v>
      </c>
      <c r="H4569" s="8">
        <v>1265</v>
      </c>
      <c r="I4569" s="8">
        <v>5690</v>
      </c>
    </row>
    <row r="4570" spans="1:9" x14ac:dyDescent="0.2">
      <c r="A4570" t="s">
        <v>994</v>
      </c>
      <c r="B4570" t="s">
        <v>1042</v>
      </c>
      <c r="C4570" t="str">
        <f t="shared" si="224"/>
        <v>30666470000000</v>
      </c>
      <c r="D4570" t="s">
        <v>2754</v>
      </c>
      <c r="E4570" t="str">
        <f>"30666473031929"</f>
        <v>30666473031929</v>
      </c>
      <c r="F4570" s="8">
        <v>47</v>
      </c>
      <c r="G4570" s="8">
        <v>7130</v>
      </c>
      <c r="H4570" s="8">
        <v>1265</v>
      </c>
      <c r="I4570" s="8">
        <v>5690</v>
      </c>
    </row>
    <row r="4571" spans="1:9" x14ac:dyDescent="0.2">
      <c r="A4571" t="s">
        <v>994</v>
      </c>
      <c r="B4571" t="s">
        <v>1042</v>
      </c>
      <c r="C4571" t="str">
        <f t="shared" si="224"/>
        <v>30666470000000</v>
      </c>
      <c r="D4571" t="s">
        <v>6084</v>
      </c>
      <c r="E4571" t="str">
        <f>"30666476109102"</f>
        <v>30666476109102</v>
      </c>
      <c r="F4571" s="8">
        <v>4</v>
      </c>
      <c r="G4571" s="8">
        <v>7092</v>
      </c>
      <c r="H4571" s="8">
        <v>1265</v>
      </c>
      <c r="I4571" s="8">
        <v>5690</v>
      </c>
    </row>
    <row r="4572" spans="1:9" x14ac:dyDescent="0.2">
      <c r="A4572" t="s">
        <v>994</v>
      </c>
      <c r="B4572" t="s">
        <v>1042</v>
      </c>
      <c r="C4572" t="str">
        <f t="shared" si="224"/>
        <v>30666470000000</v>
      </c>
      <c r="D4572" t="s">
        <v>6085</v>
      </c>
      <c r="E4572" t="str">
        <f>"30666476030100"</f>
        <v>30666476030100</v>
      </c>
      <c r="F4572" s="8">
        <v>0</v>
      </c>
      <c r="G4572" s="8">
        <v>7050</v>
      </c>
      <c r="H4572" s="8">
        <v>1265</v>
      </c>
      <c r="I4572" s="8">
        <v>5690</v>
      </c>
    </row>
    <row r="4573" spans="1:9" x14ac:dyDescent="0.2">
      <c r="A4573" t="s">
        <v>994</v>
      </c>
      <c r="B4573" t="s">
        <v>1042</v>
      </c>
      <c r="C4573" t="str">
        <f t="shared" si="224"/>
        <v>30666470000000</v>
      </c>
      <c r="D4573" t="s">
        <v>2575</v>
      </c>
      <c r="E4573" t="str">
        <f>"30666476030076"</f>
        <v>30666476030076</v>
      </c>
      <c r="F4573" s="8">
        <v>212</v>
      </c>
      <c r="G4573" s="8">
        <v>6646</v>
      </c>
      <c r="H4573" s="8">
        <v>1427</v>
      </c>
      <c r="I4573" s="8">
        <v>5690</v>
      </c>
    </row>
    <row r="4574" spans="1:9" x14ac:dyDescent="0.2">
      <c r="A4574" t="s">
        <v>994</v>
      </c>
      <c r="B4574" t="s">
        <v>1042</v>
      </c>
      <c r="C4574" t="str">
        <f t="shared" si="224"/>
        <v>30666470000000</v>
      </c>
      <c r="D4574" t="s">
        <v>5203</v>
      </c>
      <c r="E4574" t="str">
        <f>"30666473038023"</f>
        <v>30666473038023</v>
      </c>
      <c r="F4574" s="8">
        <v>0</v>
      </c>
      <c r="G4574" s="8">
        <v>6843</v>
      </c>
      <c r="H4574" s="8">
        <v>1265</v>
      </c>
      <c r="I4574" s="8">
        <v>5690</v>
      </c>
    </row>
    <row r="4575" spans="1:9" x14ac:dyDescent="0.2">
      <c r="A4575" t="s">
        <v>994</v>
      </c>
      <c r="B4575" t="s">
        <v>1042</v>
      </c>
      <c r="C4575" t="str">
        <f t="shared" si="224"/>
        <v>30666470000000</v>
      </c>
      <c r="D4575" t="s">
        <v>6086</v>
      </c>
      <c r="E4575" t="str">
        <f>"30666476030019"</f>
        <v>30666476030019</v>
      </c>
      <c r="F4575" s="8">
        <v>0</v>
      </c>
      <c r="G4575" s="8">
        <v>6825</v>
      </c>
      <c r="H4575" s="8">
        <v>1265</v>
      </c>
      <c r="I4575" s="8">
        <v>5690</v>
      </c>
    </row>
    <row r="4576" spans="1:9" x14ac:dyDescent="0.2">
      <c r="A4576" t="s">
        <v>994</v>
      </c>
      <c r="B4576" t="s">
        <v>1042</v>
      </c>
      <c r="C4576" t="str">
        <f t="shared" si="224"/>
        <v>30666470000000</v>
      </c>
      <c r="D4576" t="s">
        <v>6087</v>
      </c>
      <c r="E4576" t="str">
        <f>"30666476030027"</f>
        <v>30666476030027</v>
      </c>
      <c r="F4576" s="8">
        <v>18</v>
      </c>
      <c r="G4576" s="8">
        <v>6782</v>
      </c>
      <c r="H4576" s="8">
        <v>1265</v>
      </c>
      <c r="I4576" s="8">
        <v>5690</v>
      </c>
    </row>
    <row r="4577" spans="1:9" x14ac:dyDescent="0.2">
      <c r="A4577" t="s">
        <v>994</v>
      </c>
      <c r="B4577" t="s">
        <v>1042</v>
      </c>
      <c r="C4577" t="str">
        <f t="shared" si="224"/>
        <v>30666470000000</v>
      </c>
      <c r="D4577" t="s">
        <v>6088</v>
      </c>
      <c r="E4577" t="str">
        <f>"30666476106009"</f>
        <v>30666476106009</v>
      </c>
      <c r="F4577" s="8">
        <v>5</v>
      </c>
      <c r="G4577" s="8">
        <v>6723</v>
      </c>
      <c r="H4577" s="8">
        <v>1265</v>
      </c>
      <c r="I4577" s="8">
        <v>5690</v>
      </c>
    </row>
    <row r="4578" spans="1:9" x14ac:dyDescent="0.2">
      <c r="A4578" t="s">
        <v>994</v>
      </c>
      <c r="B4578" t="s">
        <v>1042</v>
      </c>
      <c r="C4578" t="str">
        <f t="shared" si="224"/>
        <v>30666470000000</v>
      </c>
      <c r="D4578" t="s">
        <v>6089</v>
      </c>
      <c r="E4578" t="str">
        <f>"30666470116525"</f>
        <v>30666470116525</v>
      </c>
      <c r="F4578" s="8">
        <v>157</v>
      </c>
      <c r="G4578" s="8">
        <v>6182</v>
      </c>
      <c r="H4578" s="8">
        <v>1427</v>
      </c>
      <c r="I4578" s="8">
        <v>5690</v>
      </c>
    </row>
    <row r="4579" spans="1:9" x14ac:dyDescent="0.2">
      <c r="A4579" t="s">
        <v>994</v>
      </c>
      <c r="B4579" t="s">
        <v>1042</v>
      </c>
      <c r="C4579" t="str">
        <f t="shared" si="224"/>
        <v>30666470000000</v>
      </c>
      <c r="D4579" t="s">
        <v>6090</v>
      </c>
      <c r="E4579" t="str">
        <f>"30666476030035"</f>
        <v>30666476030035</v>
      </c>
      <c r="F4579" s="8">
        <v>0</v>
      </c>
      <c r="G4579" s="8">
        <v>6403</v>
      </c>
      <c r="H4579" s="8">
        <v>1265</v>
      </c>
      <c r="I4579" s="8">
        <v>5690</v>
      </c>
    </row>
    <row r="4580" spans="1:9" x14ac:dyDescent="0.2">
      <c r="A4580" t="s">
        <v>994</v>
      </c>
      <c r="B4580" t="s">
        <v>1042</v>
      </c>
      <c r="C4580" t="str">
        <f t="shared" si="224"/>
        <v>30666470000000</v>
      </c>
      <c r="D4580" t="s">
        <v>2680</v>
      </c>
      <c r="E4580" t="str">
        <f>"30666476071146"</f>
        <v>30666476071146</v>
      </c>
      <c r="F4580" s="8">
        <v>9</v>
      </c>
      <c r="G4580" s="8">
        <v>6343</v>
      </c>
      <c r="H4580" s="8">
        <v>1265</v>
      </c>
      <c r="I4580" s="8">
        <v>5690</v>
      </c>
    </row>
    <row r="4581" spans="1:9" x14ac:dyDescent="0.2">
      <c r="A4581" t="s">
        <v>994</v>
      </c>
      <c r="B4581" t="s">
        <v>1042</v>
      </c>
      <c r="C4581" t="str">
        <f t="shared" si="224"/>
        <v>30666470000000</v>
      </c>
      <c r="D4581" t="s">
        <v>2824</v>
      </c>
      <c r="E4581" t="str">
        <f>"30666476030092"</f>
        <v>30666476030092</v>
      </c>
      <c r="F4581" s="8">
        <v>22</v>
      </c>
      <c r="G4581" s="8">
        <v>6051</v>
      </c>
      <c r="H4581" s="8">
        <v>1265</v>
      </c>
      <c r="I4581" s="8">
        <v>5690</v>
      </c>
    </row>
    <row r="4582" spans="1:9" x14ac:dyDescent="0.2">
      <c r="A4582" t="s">
        <v>994</v>
      </c>
      <c r="B4582" t="s">
        <v>1042</v>
      </c>
      <c r="C4582" t="str">
        <f t="shared" si="224"/>
        <v>30666470000000</v>
      </c>
      <c r="D4582" t="s">
        <v>6091</v>
      </c>
      <c r="E4582" t="str">
        <f>"30666476030043"</f>
        <v>30666476030043</v>
      </c>
      <c r="F4582" s="8">
        <v>119</v>
      </c>
      <c r="G4582" s="8">
        <v>5613</v>
      </c>
      <c r="H4582" s="8">
        <v>1427</v>
      </c>
      <c r="I4582" s="8">
        <v>5690</v>
      </c>
    </row>
    <row r="4583" spans="1:9" x14ac:dyDescent="0.2">
      <c r="A4583" t="s">
        <v>994</v>
      </c>
      <c r="B4583" t="s">
        <v>1042</v>
      </c>
      <c r="C4583" t="str">
        <f t="shared" si="224"/>
        <v>30666470000000</v>
      </c>
      <c r="D4583" t="s">
        <v>2313</v>
      </c>
      <c r="E4583" t="str">
        <f>"30666476085641"</f>
        <v>30666476085641</v>
      </c>
      <c r="F4583" s="8">
        <v>65</v>
      </c>
      <c r="G4583" s="8">
        <v>5804</v>
      </c>
      <c r="H4583" s="8">
        <v>1265</v>
      </c>
      <c r="I4583" s="8">
        <v>5690</v>
      </c>
    </row>
    <row r="4584" spans="1:9" x14ac:dyDescent="0.2">
      <c r="A4584" t="s">
        <v>994</v>
      </c>
      <c r="B4584" t="s">
        <v>1042</v>
      </c>
      <c r="C4584" t="str">
        <f t="shared" si="224"/>
        <v>30666470000000</v>
      </c>
      <c r="D4584" t="s">
        <v>6092</v>
      </c>
      <c r="E4584" t="str">
        <f>"30666473030483"</f>
        <v>30666473030483</v>
      </c>
      <c r="F4584" s="8">
        <v>2335</v>
      </c>
      <c r="G4584" s="8">
        <v>1324</v>
      </c>
      <c r="H4584" s="8">
        <v>1265</v>
      </c>
      <c r="I4584" s="8">
        <v>5690</v>
      </c>
    </row>
    <row r="4585" spans="1:9" x14ac:dyDescent="0.2">
      <c r="A4585" t="s">
        <v>994</v>
      </c>
      <c r="B4585" t="s">
        <v>1042</v>
      </c>
      <c r="C4585" t="str">
        <f t="shared" si="224"/>
        <v>30666470000000</v>
      </c>
      <c r="D4585" t="s">
        <v>6093</v>
      </c>
      <c r="E4585" t="str">
        <f>"30666476119556"</f>
        <v>30666476119556</v>
      </c>
      <c r="F4585" s="8">
        <v>881</v>
      </c>
      <c r="G4585" s="8">
        <v>2347</v>
      </c>
      <c r="H4585" s="8">
        <v>1265</v>
      </c>
      <c r="I4585" s="8">
        <v>5690</v>
      </c>
    </row>
    <row r="4586" spans="1:9" x14ac:dyDescent="0.2">
      <c r="A4586" t="s">
        <v>994</v>
      </c>
      <c r="B4586" t="s">
        <v>1043</v>
      </c>
      <c r="C4586" t="str">
        <f t="shared" ref="C4586:C4619" si="225">"30736350000000"</f>
        <v>30736350000000</v>
      </c>
      <c r="D4586" t="s">
        <v>6094</v>
      </c>
      <c r="E4586" t="str">
        <f>"30736356089510"</f>
        <v>30736356089510</v>
      </c>
      <c r="F4586" s="8">
        <v>4042</v>
      </c>
      <c r="G4586" s="8">
        <v>29978</v>
      </c>
      <c r="H4586" s="8">
        <v>1143</v>
      </c>
      <c r="I4586" s="8">
        <v>6388</v>
      </c>
    </row>
    <row r="4587" spans="1:9" x14ac:dyDescent="0.2">
      <c r="A4587" t="s">
        <v>994</v>
      </c>
      <c r="B4587" t="s">
        <v>1043</v>
      </c>
      <c r="C4587" t="str">
        <f t="shared" si="225"/>
        <v>30736350000000</v>
      </c>
      <c r="D4587" t="s">
        <v>6095</v>
      </c>
      <c r="E4587" t="str">
        <f>"30736353030079"</f>
        <v>30736353030079</v>
      </c>
      <c r="F4587" s="8">
        <v>0</v>
      </c>
      <c r="G4587" s="8">
        <v>13364</v>
      </c>
      <c r="H4587" s="8">
        <v>1143</v>
      </c>
      <c r="I4587" s="8">
        <v>6388</v>
      </c>
    </row>
    <row r="4588" spans="1:9" x14ac:dyDescent="0.2">
      <c r="A4588" t="s">
        <v>994</v>
      </c>
      <c r="B4588" t="s">
        <v>1043</v>
      </c>
      <c r="C4588" t="str">
        <f t="shared" si="225"/>
        <v>30736350000000</v>
      </c>
      <c r="D4588" t="s">
        <v>6096</v>
      </c>
      <c r="E4588" t="str">
        <f>"30736356030530"</f>
        <v>30736356030530</v>
      </c>
      <c r="F4588" s="8">
        <v>8</v>
      </c>
      <c r="G4588" s="8">
        <v>11833</v>
      </c>
      <c r="H4588" s="8">
        <v>1143</v>
      </c>
      <c r="I4588" s="8">
        <v>6388</v>
      </c>
    </row>
    <row r="4589" spans="1:9" x14ac:dyDescent="0.2">
      <c r="A4589" t="s">
        <v>994</v>
      </c>
      <c r="B4589" t="s">
        <v>1043</v>
      </c>
      <c r="C4589" t="str">
        <f t="shared" si="225"/>
        <v>30736350000000</v>
      </c>
      <c r="D4589" t="s">
        <v>6097</v>
      </c>
      <c r="E4589" t="str">
        <f>"30736356030159"</f>
        <v>30736356030159</v>
      </c>
      <c r="F4589" s="8">
        <v>640</v>
      </c>
      <c r="G4589" s="8">
        <v>9615</v>
      </c>
      <c r="H4589" s="8">
        <v>1143</v>
      </c>
      <c r="I4589" s="8">
        <v>6388</v>
      </c>
    </row>
    <row r="4590" spans="1:9" x14ac:dyDescent="0.2">
      <c r="A4590" t="s">
        <v>994</v>
      </c>
      <c r="B4590" t="s">
        <v>1043</v>
      </c>
      <c r="C4590" t="str">
        <f t="shared" si="225"/>
        <v>30736350000000</v>
      </c>
      <c r="D4590" t="s">
        <v>6098</v>
      </c>
      <c r="E4590" t="str">
        <f>"30736356068639"</f>
        <v>30736356068639</v>
      </c>
      <c r="F4590" s="8">
        <v>0</v>
      </c>
      <c r="G4590" s="8">
        <v>10102</v>
      </c>
      <c r="H4590" s="8">
        <v>1143</v>
      </c>
      <c r="I4590" s="8">
        <v>6388</v>
      </c>
    </row>
    <row r="4591" spans="1:9" x14ac:dyDescent="0.2">
      <c r="A4591" t="s">
        <v>994</v>
      </c>
      <c r="B4591" t="s">
        <v>1043</v>
      </c>
      <c r="C4591" t="str">
        <f t="shared" si="225"/>
        <v>30736350000000</v>
      </c>
      <c r="D4591" t="s">
        <v>2977</v>
      </c>
      <c r="E4591" t="str">
        <f>"30736356094676"</f>
        <v>30736356094676</v>
      </c>
      <c r="F4591" s="8">
        <v>580</v>
      </c>
      <c r="G4591" s="8">
        <v>9508</v>
      </c>
      <c r="H4591" s="8">
        <v>1143</v>
      </c>
      <c r="I4591" s="8">
        <v>6388</v>
      </c>
    </row>
    <row r="4592" spans="1:9" x14ac:dyDescent="0.2">
      <c r="A4592" t="s">
        <v>994</v>
      </c>
      <c r="B4592" t="s">
        <v>1043</v>
      </c>
      <c r="C4592" t="str">
        <f t="shared" si="225"/>
        <v>30736350000000</v>
      </c>
      <c r="D4592" t="s">
        <v>6099</v>
      </c>
      <c r="E4592" t="str">
        <f>"30736356030175"</f>
        <v>30736356030175</v>
      </c>
      <c r="F4592" s="8">
        <v>994</v>
      </c>
      <c r="G4592" s="8">
        <v>8889</v>
      </c>
      <c r="H4592" s="8">
        <v>1143</v>
      </c>
      <c r="I4592" s="8">
        <v>6388</v>
      </c>
    </row>
    <row r="4593" spans="1:9" x14ac:dyDescent="0.2">
      <c r="A4593" t="s">
        <v>994</v>
      </c>
      <c r="B4593" t="s">
        <v>1043</v>
      </c>
      <c r="C4593" t="str">
        <f t="shared" si="225"/>
        <v>30736350000000</v>
      </c>
      <c r="D4593" t="s">
        <v>2664</v>
      </c>
      <c r="E4593" t="str">
        <f>"30736356089494"</f>
        <v>30736356089494</v>
      </c>
      <c r="F4593" s="8">
        <v>4</v>
      </c>
      <c r="G4593" s="8">
        <v>8979</v>
      </c>
      <c r="H4593" s="8">
        <v>1143</v>
      </c>
      <c r="I4593" s="8">
        <v>6388</v>
      </c>
    </row>
    <row r="4594" spans="1:9" x14ac:dyDescent="0.2">
      <c r="A4594" t="s">
        <v>994</v>
      </c>
      <c r="B4594" t="s">
        <v>1043</v>
      </c>
      <c r="C4594" t="str">
        <f t="shared" si="225"/>
        <v>30736350000000</v>
      </c>
      <c r="D4594" t="s">
        <v>6100</v>
      </c>
      <c r="E4594" t="str">
        <f>"30736356089502"</f>
        <v>30736356089502</v>
      </c>
      <c r="F4594" s="8">
        <v>384</v>
      </c>
      <c r="G4594" s="8">
        <v>7727</v>
      </c>
      <c r="H4594" s="8">
        <v>1143</v>
      </c>
      <c r="I4594" s="8">
        <v>6388</v>
      </c>
    </row>
    <row r="4595" spans="1:9" x14ac:dyDescent="0.2">
      <c r="A4595" t="s">
        <v>994</v>
      </c>
      <c r="B4595" t="s">
        <v>1043</v>
      </c>
      <c r="C4595" t="str">
        <f t="shared" si="225"/>
        <v>30736350000000</v>
      </c>
      <c r="D4595" t="s">
        <v>2904</v>
      </c>
      <c r="E4595" t="str">
        <f>"30736356112452"</f>
        <v>30736356112452</v>
      </c>
      <c r="F4595" s="8">
        <v>0</v>
      </c>
      <c r="G4595" s="8">
        <v>7580</v>
      </c>
      <c r="H4595" s="8">
        <v>1143</v>
      </c>
      <c r="I4595" s="8">
        <v>6388</v>
      </c>
    </row>
    <row r="4596" spans="1:9" x14ac:dyDescent="0.2">
      <c r="A4596" t="s">
        <v>994</v>
      </c>
      <c r="B4596" t="s">
        <v>1043</v>
      </c>
      <c r="C4596" t="str">
        <f t="shared" si="225"/>
        <v>30736350000000</v>
      </c>
      <c r="D4596" t="s">
        <v>6101</v>
      </c>
      <c r="E4596" t="str">
        <f>"30736353030244"</f>
        <v>30736353030244</v>
      </c>
      <c r="F4596" s="8">
        <v>1</v>
      </c>
      <c r="G4596" s="8">
        <v>7547</v>
      </c>
      <c r="H4596" s="8">
        <v>1143</v>
      </c>
      <c r="I4596" s="8">
        <v>6388</v>
      </c>
    </row>
    <row r="4597" spans="1:9" x14ac:dyDescent="0.2">
      <c r="A4597" t="s">
        <v>994</v>
      </c>
      <c r="B4597" t="s">
        <v>1043</v>
      </c>
      <c r="C4597" t="str">
        <f t="shared" si="225"/>
        <v>30736350000000</v>
      </c>
      <c r="D4597" t="s">
        <v>6102</v>
      </c>
      <c r="E4597" t="str">
        <f>"30736353034956"</f>
        <v>30736353034956</v>
      </c>
      <c r="F4597" s="8">
        <v>1</v>
      </c>
      <c r="G4597" s="8">
        <v>7317</v>
      </c>
      <c r="H4597" s="8">
        <v>1143</v>
      </c>
      <c r="I4597" s="8">
        <v>6388</v>
      </c>
    </row>
    <row r="4598" spans="1:9" x14ac:dyDescent="0.2">
      <c r="A4598" t="s">
        <v>994</v>
      </c>
      <c r="B4598" t="s">
        <v>1043</v>
      </c>
      <c r="C4598" t="str">
        <f t="shared" si="225"/>
        <v>30736350000000</v>
      </c>
      <c r="D4598" t="s">
        <v>6103</v>
      </c>
      <c r="E4598" t="str">
        <f>"30736356071161"</f>
        <v>30736356071161</v>
      </c>
      <c r="F4598" s="8">
        <v>277</v>
      </c>
      <c r="G4598" s="8">
        <v>6625</v>
      </c>
      <c r="H4598" s="8">
        <v>1143</v>
      </c>
      <c r="I4598" s="8">
        <v>6388</v>
      </c>
    </row>
    <row r="4599" spans="1:9" x14ac:dyDescent="0.2">
      <c r="A4599" t="s">
        <v>994</v>
      </c>
      <c r="B4599" t="s">
        <v>1043</v>
      </c>
      <c r="C4599" t="str">
        <f t="shared" si="225"/>
        <v>30736350000000</v>
      </c>
      <c r="D4599" t="s">
        <v>6104</v>
      </c>
      <c r="E4599" t="str">
        <f>"30736353030061"</f>
        <v>30736353030061</v>
      </c>
      <c r="F4599" s="8">
        <v>1</v>
      </c>
      <c r="G4599" s="8">
        <v>6875</v>
      </c>
      <c r="H4599" s="8">
        <v>1143</v>
      </c>
      <c r="I4599" s="8">
        <v>6388</v>
      </c>
    </row>
    <row r="4600" spans="1:9" x14ac:dyDescent="0.2">
      <c r="A4600" t="s">
        <v>994</v>
      </c>
      <c r="B4600" t="s">
        <v>1043</v>
      </c>
      <c r="C4600" t="str">
        <f t="shared" si="225"/>
        <v>30736350000000</v>
      </c>
      <c r="D4600" t="s">
        <v>6105</v>
      </c>
      <c r="E4600" t="str">
        <f>"30736356066872"</f>
        <v>30736356066872</v>
      </c>
      <c r="F4600" s="8">
        <v>2</v>
      </c>
      <c r="G4600" s="8">
        <v>6827</v>
      </c>
      <c r="H4600" s="8">
        <v>1143</v>
      </c>
      <c r="I4600" s="8">
        <v>6388</v>
      </c>
    </row>
    <row r="4601" spans="1:9" x14ac:dyDescent="0.2">
      <c r="A4601" t="s">
        <v>994</v>
      </c>
      <c r="B4601" t="s">
        <v>1043</v>
      </c>
      <c r="C4601" t="str">
        <f t="shared" si="225"/>
        <v>30736350000000</v>
      </c>
      <c r="D4601" t="s">
        <v>6106</v>
      </c>
      <c r="E4601" t="str">
        <f>"30736353030392"</f>
        <v>30736353030392</v>
      </c>
      <c r="F4601" s="8">
        <v>0</v>
      </c>
      <c r="G4601" s="8">
        <v>6753</v>
      </c>
      <c r="H4601" s="8">
        <v>1143</v>
      </c>
      <c r="I4601" s="8">
        <v>6388</v>
      </c>
    </row>
    <row r="4602" spans="1:9" x14ac:dyDescent="0.2">
      <c r="A4602" t="s">
        <v>994</v>
      </c>
      <c r="B4602" t="s">
        <v>1043</v>
      </c>
      <c r="C4602" t="str">
        <f t="shared" si="225"/>
        <v>30736350000000</v>
      </c>
      <c r="D4602" t="s">
        <v>6107</v>
      </c>
      <c r="E4602" t="str">
        <f>"30736356030142"</f>
        <v>30736356030142</v>
      </c>
      <c r="F4602" s="8">
        <v>1</v>
      </c>
      <c r="G4602" s="8">
        <v>6726</v>
      </c>
      <c r="H4602" s="8">
        <v>1143</v>
      </c>
      <c r="I4602" s="8">
        <v>6388</v>
      </c>
    </row>
    <row r="4603" spans="1:9" x14ac:dyDescent="0.2">
      <c r="A4603" t="s">
        <v>994</v>
      </c>
      <c r="B4603" t="s">
        <v>1043</v>
      </c>
      <c r="C4603" t="str">
        <f t="shared" si="225"/>
        <v>30736350000000</v>
      </c>
      <c r="D4603" t="s">
        <v>6108</v>
      </c>
      <c r="E4603" t="str">
        <f>"30736353030509"</f>
        <v>30736353030509</v>
      </c>
      <c r="F4603" s="8">
        <v>561</v>
      </c>
      <c r="G4603" s="8">
        <v>5944</v>
      </c>
      <c r="H4603" s="8">
        <v>1143</v>
      </c>
      <c r="I4603" s="8">
        <v>6388</v>
      </c>
    </row>
    <row r="4604" spans="1:9" x14ac:dyDescent="0.2">
      <c r="A4604" t="s">
        <v>994</v>
      </c>
      <c r="B4604" t="s">
        <v>1043</v>
      </c>
      <c r="C4604" t="str">
        <f t="shared" si="225"/>
        <v>30736350000000</v>
      </c>
      <c r="D4604" t="s">
        <v>6109</v>
      </c>
      <c r="E4604" t="str">
        <f>"30736356111561"</f>
        <v>30736356111561</v>
      </c>
      <c r="F4604" s="8">
        <v>0</v>
      </c>
      <c r="G4604" s="8">
        <v>6416</v>
      </c>
      <c r="H4604" s="8">
        <v>1143</v>
      </c>
      <c r="I4604" s="8">
        <v>6388</v>
      </c>
    </row>
    <row r="4605" spans="1:9" x14ac:dyDescent="0.2">
      <c r="A4605" t="s">
        <v>994</v>
      </c>
      <c r="B4605" t="s">
        <v>1043</v>
      </c>
      <c r="C4605" t="str">
        <f t="shared" si="225"/>
        <v>30736350000000</v>
      </c>
      <c r="D4605" t="s">
        <v>6110</v>
      </c>
      <c r="E4605" t="str">
        <f>"30736356095145"</f>
        <v>30736356095145</v>
      </c>
      <c r="F4605" s="8">
        <v>1</v>
      </c>
      <c r="G4605" s="8">
        <v>6389</v>
      </c>
      <c r="H4605" s="8">
        <v>1143</v>
      </c>
      <c r="I4605" s="8">
        <v>6388</v>
      </c>
    </row>
    <row r="4606" spans="1:9" x14ac:dyDescent="0.2">
      <c r="A4606" t="s">
        <v>994</v>
      </c>
      <c r="B4606" t="s">
        <v>1043</v>
      </c>
      <c r="C4606" t="str">
        <f t="shared" si="225"/>
        <v>30736350000000</v>
      </c>
      <c r="D4606" t="s">
        <v>6111</v>
      </c>
      <c r="E4606" t="str">
        <f>"30736356071153"</f>
        <v>30736356071153</v>
      </c>
      <c r="F4606" s="8">
        <v>1</v>
      </c>
      <c r="G4606" s="8">
        <v>6246</v>
      </c>
      <c r="H4606" s="8">
        <v>1143</v>
      </c>
      <c r="I4606" s="8">
        <v>6388</v>
      </c>
    </row>
    <row r="4607" spans="1:9" x14ac:dyDescent="0.2">
      <c r="A4607" t="s">
        <v>994</v>
      </c>
      <c r="B4607" t="s">
        <v>1043</v>
      </c>
      <c r="C4607" t="str">
        <f t="shared" si="225"/>
        <v>30736350000000</v>
      </c>
      <c r="D4607" t="s">
        <v>6112</v>
      </c>
      <c r="E4607" t="str">
        <f>"30736356101059"</f>
        <v>30736356101059</v>
      </c>
      <c r="F4607" s="8">
        <v>0</v>
      </c>
      <c r="G4607" s="8">
        <v>6234</v>
      </c>
      <c r="H4607" s="8">
        <v>1143</v>
      </c>
      <c r="I4607" s="8">
        <v>6388</v>
      </c>
    </row>
    <row r="4608" spans="1:9" x14ac:dyDescent="0.2">
      <c r="A4608" t="s">
        <v>994</v>
      </c>
      <c r="B4608" t="s">
        <v>1043</v>
      </c>
      <c r="C4608" t="str">
        <f t="shared" si="225"/>
        <v>30736350000000</v>
      </c>
      <c r="D4608" t="s">
        <v>6113</v>
      </c>
      <c r="E4608" t="str">
        <f>"30736356085336"</f>
        <v>30736356085336</v>
      </c>
      <c r="F4608" s="8">
        <v>2</v>
      </c>
      <c r="G4608" s="8">
        <v>6186</v>
      </c>
      <c r="H4608" s="8">
        <v>1143</v>
      </c>
      <c r="I4608" s="8">
        <v>6388</v>
      </c>
    </row>
    <row r="4609" spans="1:9" x14ac:dyDescent="0.2">
      <c r="A4609" t="s">
        <v>994</v>
      </c>
      <c r="B4609" t="s">
        <v>1043</v>
      </c>
      <c r="C4609" t="str">
        <f t="shared" si="225"/>
        <v>30736350000000</v>
      </c>
      <c r="D4609" t="s">
        <v>6114</v>
      </c>
      <c r="E4609" t="str">
        <f>"30736356112577"</f>
        <v>30736356112577</v>
      </c>
      <c r="F4609" s="8">
        <v>1</v>
      </c>
      <c r="G4609" s="8">
        <v>6184</v>
      </c>
      <c r="H4609" s="8">
        <v>1143</v>
      </c>
      <c r="I4609" s="8">
        <v>6388</v>
      </c>
    </row>
    <row r="4610" spans="1:9" x14ac:dyDescent="0.2">
      <c r="A4610" t="s">
        <v>994</v>
      </c>
      <c r="B4610" t="s">
        <v>1043</v>
      </c>
      <c r="C4610" t="str">
        <f t="shared" si="225"/>
        <v>30736350000000</v>
      </c>
      <c r="D4610" t="s">
        <v>6115</v>
      </c>
      <c r="E4610" t="str">
        <f>"30736356094668"</f>
        <v>30736356094668</v>
      </c>
      <c r="F4610" s="8">
        <v>178</v>
      </c>
      <c r="G4610" s="8">
        <v>6002</v>
      </c>
      <c r="H4610" s="8">
        <v>1143</v>
      </c>
      <c r="I4610" s="8">
        <v>6388</v>
      </c>
    </row>
    <row r="4611" spans="1:9" x14ac:dyDescent="0.2">
      <c r="A4611" t="s">
        <v>994</v>
      </c>
      <c r="B4611" t="s">
        <v>1043</v>
      </c>
      <c r="C4611" t="str">
        <f t="shared" si="225"/>
        <v>30736350000000</v>
      </c>
      <c r="D4611" t="s">
        <v>6116</v>
      </c>
      <c r="E4611" t="str">
        <f>"30736356114888"</f>
        <v>30736356114888</v>
      </c>
      <c r="F4611" s="8">
        <v>1</v>
      </c>
      <c r="G4611" s="8">
        <v>6091</v>
      </c>
      <c r="H4611" s="8">
        <v>1143</v>
      </c>
      <c r="I4611" s="8">
        <v>6388</v>
      </c>
    </row>
    <row r="4612" spans="1:9" x14ac:dyDescent="0.2">
      <c r="A4612" t="s">
        <v>994</v>
      </c>
      <c r="B4612" t="s">
        <v>1043</v>
      </c>
      <c r="C4612" t="str">
        <f t="shared" si="225"/>
        <v>30736350000000</v>
      </c>
      <c r="D4612" t="s">
        <v>6117</v>
      </c>
      <c r="E4612" t="str">
        <f>"30736356085351"</f>
        <v>30736356085351</v>
      </c>
      <c r="F4612" s="8">
        <v>201</v>
      </c>
      <c r="G4612" s="8">
        <v>5881</v>
      </c>
      <c r="H4612" s="8">
        <v>1143</v>
      </c>
      <c r="I4612" s="8">
        <v>6388</v>
      </c>
    </row>
    <row r="4613" spans="1:9" x14ac:dyDescent="0.2">
      <c r="A4613" t="s">
        <v>994</v>
      </c>
      <c r="B4613" t="s">
        <v>1043</v>
      </c>
      <c r="C4613" t="str">
        <f t="shared" si="225"/>
        <v>30736350000000</v>
      </c>
      <c r="D4613" t="s">
        <v>6118</v>
      </c>
      <c r="E4613" t="str">
        <f>"30736356096044"</f>
        <v>30736356096044</v>
      </c>
      <c r="F4613" s="8">
        <v>0</v>
      </c>
      <c r="G4613" s="8">
        <v>6076</v>
      </c>
      <c r="H4613" s="8">
        <v>1143</v>
      </c>
      <c r="I4613" s="8">
        <v>6388</v>
      </c>
    </row>
    <row r="4614" spans="1:9" x14ac:dyDescent="0.2">
      <c r="A4614" t="s">
        <v>994</v>
      </c>
      <c r="B4614" t="s">
        <v>1043</v>
      </c>
      <c r="C4614" t="str">
        <f t="shared" si="225"/>
        <v>30736350000000</v>
      </c>
      <c r="D4614" t="s">
        <v>2786</v>
      </c>
      <c r="E4614" t="str">
        <f>"30736356110845"</f>
        <v>30736356110845</v>
      </c>
      <c r="F4614" s="8">
        <v>0</v>
      </c>
      <c r="G4614" s="8">
        <v>5980</v>
      </c>
      <c r="H4614" s="8">
        <v>1143</v>
      </c>
      <c r="I4614" s="8">
        <v>6388</v>
      </c>
    </row>
    <row r="4615" spans="1:9" x14ac:dyDescent="0.2">
      <c r="A4615" t="s">
        <v>994</v>
      </c>
      <c r="B4615" t="s">
        <v>1043</v>
      </c>
      <c r="C4615" t="str">
        <f t="shared" si="225"/>
        <v>30736350000000</v>
      </c>
      <c r="D4615" t="s">
        <v>6119</v>
      </c>
      <c r="E4615" t="str">
        <f>"30736356110936"</f>
        <v>30736356110936</v>
      </c>
      <c r="F4615" s="8">
        <v>0</v>
      </c>
      <c r="G4615" s="8">
        <v>5939</v>
      </c>
      <c r="H4615" s="8">
        <v>1143</v>
      </c>
      <c r="I4615" s="8">
        <v>6388</v>
      </c>
    </row>
    <row r="4616" spans="1:9" x14ac:dyDescent="0.2">
      <c r="A4616" t="s">
        <v>994</v>
      </c>
      <c r="B4616" t="s">
        <v>1043</v>
      </c>
      <c r="C4616" t="str">
        <f t="shared" si="225"/>
        <v>30736350000000</v>
      </c>
      <c r="D4616" t="s">
        <v>6120</v>
      </c>
      <c r="E4616" t="str">
        <f>"30736356109540"</f>
        <v>30736356109540</v>
      </c>
      <c r="F4616" s="8">
        <v>209</v>
      </c>
      <c r="G4616" s="8">
        <v>5704</v>
      </c>
      <c r="H4616" s="8">
        <v>1143</v>
      </c>
      <c r="I4616" s="8">
        <v>6388</v>
      </c>
    </row>
    <row r="4617" spans="1:9" x14ac:dyDescent="0.2">
      <c r="A4617" t="s">
        <v>994</v>
      </c>
      <c r="B4617" t="s">
        <v>1043</v>
      </c>
      <c r="C4617" t="str">
        <f t="shared" si="225"/>
        <v>30736350000000</v>
      </c>
      <c r="D4617" t="s">
        <v>6121</v>
      </c>
      <c r="E4617" t="str">
        <f>"30736356097372"</f>
        <v>30736356097372</v>
      </c>
      <c r="F4617" s="8">
        <v>1</v>
      </c>
      <c r="G4617" s="8">
        <v>5803</v>
      </c>
      <c r="H4617" s="8">
        <v>1143</v>
      </c>
      <c r="I4617" s="8">
        <v>6388</v>
      </c>
    </row>
    <row r="4618" spans="1:9" x14ac:dyDescent="0.2">
      <c r="A4618" t="s">
        <v>994</v>
      </c>
      <c r="B4618" t="s">
        <v>1043</v>
      </c>
      <c r="C4618" t="str">
        <f t="shared" si="225"/>
        <v>30736350000000</v>
      </c>
      <c r="D4618" t="s">
        <v>6122</v>
      </c>
      <c r="E4618" t="str">
        <f>"30736356030183"</f>
        <v>30736356030183</v>
      </c>
      <c r="F4618" s="8">
        <v>283</v>
      </c>
      <c r="G4618" s="8">
        <v>5120</v>
      </c>
      <c r="H4618" s="8">
        <v>1143</v>
      </c>
      <c r="I4618" s="8">
        <v>6388</v>
      </c>
    </row>
    <row r="4619" spans="1:9" x14ac:dyDescent="0.2">
      <c r="A4619" t="s">
        <v>994</v>
      </c>
      <c r="B4619" t="s">
        <v>1043</v>
      </c>
      <c r="C4619" t="str">
        <f t="shared" si="225"/>
        <v>30736350000000</v>
      </c>
      <c r="D4619" t="s">
        <v>6123</v>
      </c>
      <c r="E4619" t="str">
        <f>"30736356106926"</f>
        <v>30736356106926</v>
      </c>
      <c r="F4619" s="8">
        <v>1</v>
      </c>
      <c r="G4619" s="8">
        <v>5092</v>
      </c>
      <c r="H4619" s="8">
        <v>1143</v>
      </c>
      <c r="I4619" s="8">
        <v>6388</v>
      </c>
    </row>
    <row r="4620" spans="1:9" x14ac:dyDescent="0.2">
      <c r="A4620" t="s">
        <v>994</v>
      </c>
      <c r="B4620" t="s">
        <v>1045</v>
      </c>
      <c r="C4620" t="str">
        <f t="shared" ref="C4620:C4651" si="226">"30666700000000"</f>
        <v>30666700000000</v>
      </c>
      <c r="D4620" t="s">
        <v>6124</v>
      </c>
      <c r="E4620" t="str">
        <f>"30666706114631"</f>
        <v>30666706114631</v>
      </c>
      <c r="F4620" s="8">
        <v>611</v>
      </c>
      <c r="G4620" s="8">
        <v>16534</v>
      </c>
      <c r="H4620" s="8">
        <v>1183</v>
      </c>
      <c r="I4620" s="8">
        <v>4946</v>
      </c>
    </row>
    <row r="4621" spans="1:9" x14ac:dyDescent="0.2">
      <c r="A4621" t="s">
        <v>994</v>
      </c>
      <c r="B4621" t="s">
        <v>1045</v>
      </c>
      <c r="C4621" t="str">
        <f t="shared" si="226"/>
        <v>30666700000000</v>
      </c>
      <c r="D4621" t="s">
        <v>6054</v>
      </c>
      <c r="E4621" t="str">
        <f>"30666706071195"</f>
        <v>30666706071195</v>
      </c>
      <c r="F4621" s="8">
        <v>2400</v>
      </c>
      <c r="G4621" s="8">
        <v>13016</v>
      </c>
      <c r="H4621" s="8">
        <v>1301</v>
      </c>
      <c r="I4621" s="8">
        <v>5469</v>
      </c>
    </row>
    <row r="4622" spans="1:9" x14ac:dyDescent="0.2">
      <c r="A4622" t="s">
        <v>994</v>
      </c>
      <c r="B4622" t="s">
        <v>1045</v>
      </c>
      <c r="C4622" t="str">
        <f t="shared" si="226"/>
        <v>30666700000000</v>
      </c>
      <c r="D4622" t="s">
        <v>6125</v>
      </c>
      <c r="E4622" t="str">
        <f>"30666706115133"</f>
        <v>30666706115133</v>
      </c>
      <c r="F4622" s="8">
        <v>78</v>
      </c>
      <c r="G4622" s="8">
        <v>14370</v>
      </c>
      <c r="H4622" s="8">
        <v>1178</v>
      </c>
      <c r="I4622" s="8">
        <v>4926</v>
      </c>
    </row>
    <row r="4623" spans="1:9" x14ac:dyDescent="0.2">
      <c r="A4623" t="s">
        <v>994</v>
      </c>
      <c r="B4623" t="s">
        <v>1045</v>
      </c>
      <c r="C4623" t="str">
        <f t="shared" si="226"/>
        <v>30666700000000</v>
      </c>
      <c r="D4623" t="s">
        <v>6126</v>
      </c>
      <c r="E4623" t="str">
        <f>"30666700135897"</f>
        <v>30666700135897</v>
      </c>
      <c r="F4623" s="8">
        <v>1122</v>
      </c>
      <c r="G4623" s="8">
        <v>11440</v>
      </c>
      <c r="H4623" s="8">
        <v>1169</v>
      </c>
      <c r="I4623" s="8">
        <v>4670</v>
      </c>
    </row>
    <row r="4624" spans="1:9" x14ac:dyDescent="0.2">
      <c r="A4624" t="s">
        <v>994</v>
      </c>
      <c r="B4624" t="s">
        <v>1045</v>
      </c>
      <c r="C4624" t="str">
        <f t="shared" si="226"/>
        <v>30666700000000</v>
      </c>
      <c r="D4624" t="s">
        <v>2286</v>
      </c>
      <c r="E4624" t="str">
        <f>"30666706030274"</f>
        <v>30666706030274</v>
      </c>
      <c r="F4624" s="8">
        <v>921</v>
      </c>
      <c r="G4624" s="8">
        <v>10627</v>
      </c>
      <c r="H4624" s="8">
        <v>1269</v>
      </c>
      <c r="I4624" s="8">
        <v>5504</v>
      </c>
    </row>
    <row r="4625" spans="1:9" x14ac:dyDescent="0.2">
      <c r="A4625" t="s">
        <v>994</v>
      </c>
      <c r="B4625" t="s">
        <v>1045</v>
      </c>
      <c r="C4625" t="str">
        <f t="shared" si="226"/>
        <v>30666700000000</v>
      </c>
      <c r="D4625" t="s">
        <v>6127</v>
      </c>
      <c r="E4625" t="str">
        <f>"30666703034998"</f>
        <v>30666703034998</v>
      </c>
      <c r="F4625" s="8">
        <v>617</v>
      </c>
      <c r="G4625" s="8">
        <v>10612</v>
      </c>
      <c r="H4625" s="8">
        <v>1276</v>
      </c>
      <c r="I4625" s="8">
        <v>5654</v>
      </c>
    </row>
    <row r="4626" spans="1:9" x14ac:dyDescent="0.2">
      <c r="A4626" t="s">
        <v>994</v>
      </c>
      <c r="B4626" t="s">
        <v>1045</v>
      </c>
      <c r="C4626" t="str">
        <f t="shared" si="226"/>
        <v>30666700000000</v>
      </c>
      <c r="D4626" t="s">
        <v>6128</v>
      </c>
      <c r="E4626" t="str">
        <f>"30666706106165"</f>
        <v>30666706106165</v>
      </c>
      <c r="F4626" s="8">
        <v>1396</v>
      </c>
      <c r="G4626" s="8">
        <v>10092</v>
      </c>
      <c r="H4626" s="8">
        <v>1200</v>
      </c>
      <c r="I4626" s="8">
        <v>5015</v>
      </c>
    </row>
    <row r="4627" spans="1:9" x14ac:dyDescent="0.2">
      <c r="A4627" t="s">
        <v>994</v>
      </c>
      <c r="B4627" t="s">
        <v>1045</v>
      </c>
      <c r="C4627" t="str">
        <f t="shared" si="226"/>
        <v>30666700000000</v>
      </c>
      <c r="D4627" t="s">
        <v>5998</v>
      </c>
      <c r="E4627" t="str">
        <f>"30666706030209"</f>
        <v>30666706030209</v>
      </c>
      <c r="F4627" s="8">
        <v>965</v>
      </c>
      <c r="G4627" s="8">
        <v>9842</v>
      </c>
      <c r="H4627" s="8">
        <v>1191</v>
      </c>
      <c r="I4627" s="8">
        <v>4904</v>
      </c>
    </row>
    <row r="4628" spans="1:9" x14ac:dyDescent="0.2">
      <c r="A4628" t="s">
        <v>994</v>
      </c>
      <c r="B4628" t="s">
        <v>1045</v>
      </c>
      <c r="C4628" t="str">
        <f t="shared" si="226"/>
        <v>30666700000000</v>
      </c>
      <c r="D4628" t="s">
        <v>2094</v>
      </c>
      <c r="E4628" t="str">
        <f>"30666706030431"</f>
        <v>30666706030431</v>
      </c>
      <c r="F4628" s="8">
        <v>865</v>
      </c>
      <c r="G4628" s="8">
        <v>9156</v>
      </c>
      <c r="H4628" s="8">
        <v>1232</v>
      </c>
      <c r="I4628" s="8">
        <v>5266</v>
      </c>
    </row>
    <row r="4629" spans="1:9" x14ac:dyDescent="0.2">
      <c r="A4629" t="s">
        <v>994</v>
      </c>
      <c r="B4629" t="s">
        <v>1045</v>
      </c>
      <c r="C4629" t="str">
        <f t="shared" si="226"/>
        <v>30666700000000</v>
      </c>
      <c r="D4629" t="s">
        <v>232</v>
      </c>
      <c r="E4629" t="str">
        <f>"30666706030357"</f>
        <v>30666706030357</v>
      </c>
      <c r="F4629" s="8">
        <v>702</v>
      </c>
      <c r="G4629" s="8">
        <v>9154</v>
      </c>
      <c r="H4629" s="8">
        <v>1221</v>
      </c>
      <c r="I4629" s="8">
        <v>5286</v>
      </c>
    </row>
    <row r="4630" spans="1:9" x14ac:dyDescent="0.2">
      <c r="A4630" t="s">
        <v>994</v>
      </c>
      <c r="B4630" t="s">
        <v>1045</v>
      </c>
      <c r="C4630" t="str">
        <f t="shared" si="226"/>
        <v>30666700000000</v>
      </c>
      <c r="D4630" t="s">
        <v>6129</v>
      </c>
      <c r="E4630" t="str">
        <f>"30666706061758"</f>
        <v>30666706061758</v>
      </c>
      <c r="F4630" s="8">
        <v>1024</v>
      </c>
      <c r="G4630" s="8">
        <v>8598</v>
      </c>
      <c r="H4630" s="8">
        <v>1246</v>
      </c>
      <c r="I4630" s="8">
        <v>5393</v>
      </c>
    </row>
    <row r="4631" spans="1:9" x14ac:dyDescent="0.2">
      <c r="A4631" t="s">
        <v>994</v>
      </c>
      <c r="B4631" t="s">
        <v>1045</v>
      </c>
      <c r="C4631" t="str">
        <f t="shared" si="226"/>
        <v>30666700000000</v>
      </c>
      <c r="D4631" t="s">
        <v>6130</v>
      </c>
      <c r="E4631" t="str">
        <f>"30666706030415"</f>
        <v>30666706030415</v>
      </c>
      <c r="F4631" s="8">
        <v>477</v>
      </c>
      <c r="G4631" s="8">
        <v>9419</v>
      </c>
      <c r="H4631" s="8">
        <v>1203</v>
      </c>
      <c r="I4631" s="8">
        <v>5067</v>
      </c>
    </row>
    <row r="4632" spans="1:9" x14ac:dyDescent="0.2">
      <c r="A4632" t="s">
        <v>994</v>
      </c>
      <c r="B4632" t="s">
        <v>1045</v>
      </c>
      <c r="C4632" t="str">
        <f t="shared" si="226"/>
        <v>30666700000000</v>
      </c>
      <c r="D4632" t="s">
        <v>6131</v>
      </c>
      <c r="E4632" t="str">
        <f>"30666706030241"</f>
        <v>30666706030241</v>
      </c>
      <c r="F4632" s="8">
        <v>927</v>
      </c>
      <c r="G4632" s="8">
        <v>8689</v>
      </c>
      <c r="H4632" s="8">
        <v>1223</v>
      </c>
      <c r="I4632" s="8">
        <v>5215</v>
      </c>
    </row>
    <row r="4633" spans="1:9" x14ac:dyDescent="0.2">
      <c r="A4633" t="s">
        <v>994</v>
      </c>
      <c r="B4633" t="s">
        <v>1045</v>
      </c>
      <c r="C4633" t="str">
        <f t="shared" si="226"/>
        <v>30666700000000</v>
      </c>
      <c r="D4633" t="s">
        <v>2921</v>
      </c>
      <c r="E4633" t="str">
        <f>"30666706030316"</f>
        <v>30666706030316</v>
      </c>
      <c r="F4633" s="8">
        <v>783</v>
      </c>
      <c r="G4633" s="8">
        <v>8842</v>
      </c>
      <c r="H4633" s="8">
        <v>1209</v>
      </c>
      <c r="I4633" s="8">
        <v>5143</v>
      </c>
    </row>
    <row r="4634" spans="1:9" x14ac:dyDescent="0.2">
      <c r="A4634" t="s">
        <v>994</v>
      </c>
      <c r="B4634" t="s">
        <v>1045</v>
      </c>
      <c r="C4634" t="str">
        <f t="shared" si="226"/>
        <v>30666700000000</v>
      </c>
      <c r="D4634" t="s">
        <v>6132</v>
      </c>
      <c r="E4634" t="str">
        <f>"30666706115836"</f>
        <v>30666706115836</v>
      </c>
      <c r="F4634" s="8">
        <v>1212</v>
      </c>
      <c r="G4634" s="8">
        <v>8484</v>
      </c>
      <c r="H4634" s="8">
        <v>1145</v>
      </c>
      <c r="I4634" s="8">
        <v>5086</v>
      </c>
    </row>
    <row r="4635" spans="1:9" x14ac:dyDescent="0.2">
      <c r="A4635" t="s">
        <v>994</v>
      </c>
      <c r="B4635" t="s">
        <v>1045</v>
      </c>
      <c r="C4635" t="str">
        <f t="shared" si="226"/>
        <v>30666700000000</v>
      </c>
      <c r="D4635" t="s">
        <v>2500</v>
      </c>
      <c r="E4635" t="str">
        <f>"30666706030266"</f>
        <v>30666706030266</v>
      </c>
      <c r="F4635" s="8">
        <v>473</v>
      </c>
      <c r="G4635" s="8">
        <v>9242</v>
      </c>
      <c r="H4635" s="8">
        <v>1191</v>
      </c>
      <c r="I4635" s="8">
        <v>4993</v>
      </c>
    </row>
    <row r="4636" spans="1:9" x14ac:dyDescent="0.2">
      <c r="A4636" t="s">
        <v>994</v>
      </c>
      <c r="B4636" t="s">
        <v>1045</v>
      </c>
      <c r="C4636" t="str">
        <f t="shared" si="226"/>
        <v>30666700000000</v>
      </c>
      <c r="D4636" t="s">
        <v>3269</v>
      </c>
      <c r="E4636" t="str">
        <f>"30666703030475"</f>
        <v>30666703030475</v>
      </c>
      <c r="F4636" s="8">
        <v>535</v>
      </c>
      <c r="G4636" s="8">
        <v>9552</v>
      </c>
      <c r="H4636" s="8">
        <v>1128</v>
      </c>
      <c r="I4636" s="8">
        <v>4500</v>
      </c>
    </row>
    <row r="4637" spans="1:9" x14ac:dyDescent="0.2">
      <c r="A4637" t="s">
        <v>994</v>
      </c>
      <c r="B4637" t="s">
        <v>1045</v>
      </c>
      <c r="C4637" t="str">
        <f t="shared" si="226"/>
        <v>30666700000000</v>
      </c>
      <c r="D4637" t="s">
        <v>6133</v>
      </c>
      <c r="E4637" t="str">
        <f>"30666703035821"</f>
        <v>30666703035821</v>
      </c>
      <c r="F4637" s="8">
        <v>1014</v>
      </c>
      <c r="G4637" s="8">
        <v>8429</v>
      </c>
      <c r="H4637" s="8">
        <v>1196</v>
      </c>
      <c r="I4637" s="8">
        <v>5064</v>
      </c>
    </row>
    <row r="4638" spans="1:9" x14ac:dyDescent="0.2">
      <c r="A4638" t="s">
        <v>994</v>
      </c>
      <c r="B4638" t="s">
        <v>1045</v>
      </c>
      <c r="C4638" t="str">
        <f t="shared" si="226"/>
        <v>30666700000000</v>
      </c>
      <c r="D4638" t="s">
        <v>3050</v>
      </c>
      <c r="E4638" t="str">
        <f>"30666706030217"</f>
        <v>30666706030217</v>
      </c>
      <c r="F4638" s="8">
        <v>604</v>
      </c>
      <c r="G4638" s="8">
        <v>8720</v>
      </c>
      <c r="H4638" s="8">
        <v>1190</v>
      </c>
      <c r="I4638" s="8">
        <v>5017</v>
      </c>
    </row>
    <row r="4639" spans="1:9" x14ac:dyDescent="0.2">
      <c r="A4639" t="s">
        <v>994</v>
      </c>
      <c r="B4639" t="s">
        <v>1045</v>
      </c>
      <c r="C4639" t="str">
        <f t="shared" si="226"/>
        <v>30666700000000</v>
      </c>
      <c r="D4639" t="s">
        <v>2348</v>
      </c>
      <c r="E4639" t="str">
        <f>"30666706030449"</f>
        <v>30666706030449</v>
      </c>
      <c r="F4639" s="8">
        <v>612</v>
      </c>
      <c r="G4639" s="8">
        <v>8789</v>
      </c>
      <c r="H4639" s="8">
        <v>1186</v>
      </c>
      <c r="I4639" s="8">
        <v>4912</v>
      </c>
    </row>
    <row r="4640" spans="1:9" x14ac:dyDescent="0.2">
      <c r="A4640" t="s">
        <v>994</v>
      </c>
      <c r="B4640" t="s">
        <v>1045</v>
      </c>
      <c r="C4640" t="str">
        <f t="shared" si="226"/>
        <v>30666700000000</v>
      </c>
      <c r="D4640" t="s">
        <v>6134</v>
      </c>
      <c r="E4640" t="str">
        <f>"30666706030399"</f>
        <v>30666706030399</v>
      </c>
      <c r="F4640" s="8">
        <v>405</v>
      </c>
      <c r="G4640" s="8">
        <v>8811</v>
      </c>
      <c r="H4640" s="8">
        <v>1193</v>
      </c>
      <c r="I4640" s="8">
        <v>5041</v>
      </c>
    </row>
    <row r="4641" spans="1:9" x14ac:dyDescent="0.2">
      <c r="A4641" t="s">
        <v>994</v>
      </c>
      <c r="B4641" t="s">
        <v>1045</v>
      </c>
      <c r="C4641" t="str">
        <f t="shared" si="226"/>
        <v>30666700000000</v>
      </c>
      <c r="D4641" t="s">
        <v>2716</v>
      </c>
      <c r="E4641" t="str">
        <f>"30666703030608"</f>
        <v>30666703030608</v>
      </c>
      <c r="F4641" s="8">
        <v>299</v>
      </c>
      <c r="G4641" s="8">
        <v>8023</v>
      </c>
      <c r="H4641" s="8">
        <v>1274</v>
      </c>
      <c r="I4641" s="8">
        <v>5852</v>
      </c>
    </row>
    <row r="4642" spans="1:9" x14ac:dyDescent="0.2">
      <c r="A4642" t="s">
        <v>994</v>
      </c>
      <c r="B4642" t="s">
        <v>1045</v>
      </c>
      <c r="C4642" t="str">
        <f t="shared" si="226"/>
        <v>30666700000000</v>
      </c>
      <c r="D4642" t="s">
        <v>6135</v>
      </c>
      <c r="E4642" t="str">
        <f>"30666706030225"</f>
        <v>30666706030225</v>
      </c>
      <c r="F4642" s="8">
        <v>706</v>
      </c>
      <c r="G4642" s="8">
        <v>8511</v>
      </c>
      <c r="H4642" s="8">
        <v>1190</v>
      </c>
      <c r="I4642" s="8">
        <v>5023</v>
      </c>
    </row>
    <row r="4643" spans="1:9" x14ac:dyDescent="0.2">
      <c r="A4643" t="s">
        <v>994</v>
      </c>
      <c r="B4643" t="s">
        <v>1045</v>
      </c>
      <c r="C4643" t="str">
        <f t="shared" si="226"/>
        <v>30666700000000</v>
      </c>
      <c r="D4643" t="s">
        <v>1194</v>
      </c>
      <c r="E4643" t="str">
        <f>"30666706030282"</f>
        <v>30666706030282</v>
      </c>
      <c r="F4643" s="8">
        <v>959</v>
      </c>
      <c r="G4643" s="8">
        <v>8508</v>
      </c>
      <c r="H4643" s="8">
        <v>1160</v>
      </c>
      <c r="I4643" s="8">
        <v>4758</v>
      </c>
    </row>
    <row r="4644" spans="1:9" x14ac:dyDescent="0.2">
      <c r="A4644" t="s">
        <v>994</v>
      </c>
      <c r="B4644" t="s">
        <v>1045</v>
      </c>
      <c r="C4644" t="str">
        <f t="shared" si="226"/>
        <v>30666700000000</v>
      </c>
      <c r="D4644" t="s">
        <v>3586</v>
      </c>
      <c r="E4644" t="str">
        <f>"30666703030491"</f>
        <v>30666703030491</v>
      </c>
      <c r="F4644" s="8">
        <v>601</v>
      </c>
      <c r="G4644" s="8">
        <v>8497</v>
      </c>
      <c r="H4644" s="8">
        <v>1195</v>
      </c>
      <c r="I4644" s="8">
        <v>5035</v>
      </c>
    </row>
    <row r="4645" spans="1:9" x14ac:dyDescent="0.2">
      <c r="A4645" t="s">
        <v>994</v>
      </c>
      <c r="B4645" t="s">
        <v>1045</v>
      </c>
      <c r="C4645" t="str">
        <f t="shared" si="226"/>
        <v>30666700000000</v>
      </c>
      <c r="D4645" t="s">
        <v>2244</v>
      </c>
      <c r="E4645" t="str">
        <f>"30666706107692"</f>
        <v>30666706107692</v>
      </c>
      <c r="F4645" s="8">
        <v>521</v>
      </c>
      <c r="G4645" s="8">
        <v>8651</v>
      </c>
      <c r="H4645" s="8">
        <v>1183</v>
      </c>
      <c r="I4645" s="8">
        <v>4907</v>
      </c>
    </row>
    <row r="4646" spans="1:9" x14ac:dyDescent="0.2">
      <c r="A4646" t="s">
        <v>994</v>
      </c>
      <c r="B4646" t="s">
        <v>1045</v>
      </c>
      <c r="C4646" t="str">
        <f t="shared" si="226"/>
        <v>30666700000000</v>
      </c>
      <c r="D4646" t="s">
        <v>6136</v>
      </c>
      <c r="E4646" t="str">
        <f>"30666706109904"</f>
        <v>30666706109904</v>
      </c>
      <c r="F4646" s="8">
        <v>522</v>
      </c>
      <c r="G4646" s="8">
        <v>8297</v>
      </c>
      <c r="H4646" s="8">
        <v>1196</v>
      </c>
      <c r="I4646" s="8">
        <v>5060</v>
      </c>
    </row>
    <row r="4647" spans="1:9" x14ac:dyDescent="0.2">
      <c r="A4647" t="s">
        <v>994</v>
      </c>
      <c r="B4647" t="s">
        <v>1045</v>
      </c>
      <c r="C4647" t="str">
        <f t="shared" si="226"/>
        <v>30666700000000</v>
      </c>
      <c r="D4647" t="s">
        <v>6137</v>
      </c>
      <c r="E4647" t="str">
        <f>"30666706110175"</f>
        <v>30666706110175</v>
      </c>
      <c r="F4647" s="8">
        <v>498</v>
      </c>
      <c r="G4647" s="8">
        <v>8681</v>
      </c>
      <c r="H4647" s="8">
        <v>1139</v>
      </c>
      <c r="I4647" s="8">
        <v>4604</v>
      </c>
    </row>
    <row r="4648" spans="1:9" x14ac:dyDescent="0.2">
      <c r="A4648" t="s">
        <v>994</v>
      </c>
      <c r="B4648" t="s">
        <v>1045</v>
      </c>
      <c r="C4648" t="str">
        <f t="shared" si="226"/>
        <v>30666700000000</v>
      </c>
      <c r="D4648" t="s">
        <v>1894</v>
      </c>
      <c r="E4648" t="str">
        <f>"30666706095152"</f>
        <v>30666706095152</v>
      </c>
      <c r="F4648" s="8">
        <v>429</v>
      </c>
      <c r="G4648" s="8">
        <v>8357</v>
      </c>
      <c r="H4648" s="8">
        <v>1180</v>
      </c>
      <c r="I4648" s="8">
        <v>4941</v>
      </c>
    </row>
    <row r="4649" spans="1:9" x14ac:dyDescent="0.2">
      <c r="A4649" t="s">
        <v>994</v>
      </c>
      <c r="B4649" t="s">
        <v>1045</v>
      </c>
      <c r="C4649" t="str">
        <f t="shared" si="226"/>
        <v>30666700000000</v>
      </c>
      <c r="D4649" t="s">
        <v>3863</v>
      </c>
      <c r="E4649" t="str">
        <f>"30666706030308"</f>
        <v>30666706030308</v>
      </c>
      <c r="F4649" s="8">
        <v>724</v>
      </c>
      <c r="G4649" s="8">
        <v>7853</v>
      </c>
      <c r="H4649" s="8">
        <v>1193</v>
      </c>
      <c r="I4649" s="8">
        <v>5052</v>
      </c>
    </row>
    <row r="4650" spans="1:9" x14ac:dyDescent="0.2">
      <c r="A4650" t="s">
        <v>994</v>
      </c>
      <c r="B4650" t="s">
        <v>1045</v>
      </c>
      <c r="C4650" t="str">
        <f t="shared" si="226"/>
        <v>30666700000000</v>
      </c>
      <c r="D4650" t="s">
        <v>6138</v>
      </c>
      <c r="E4650" t="str">
        <f>"30666706030332"</f>
        <v>30666706030332</v>
      </c>
      <c r="F4650" s="8">
        <v>510</v>
      </c>
      <c r="G4650" s="8">
        <v>8313</v>
      </c>
      <c r="H4650" s="8">
        <v>1158</v>
      </c>
      <c r="I4650" s="8">
        <v>4781</v>
      </c>
    </row>
    <row r="4651" spans="1:9" x14ac:dyDescent="0.2">
      <c r="A4651" t="s">
        <v>994</v>
      </c>
      <c r="B4651" t="s">
        <v>1045</v>
      </c>
      <c r="C4651" t="str">
        <f t="shared" si="226"/>
        <v>30666700000000</v>
      </c>
      <c r="D4651" t="s">
        <v>6139</v>
      </c>
      <c r="E4651" t="str">
        <f>"30666706030233"</f>
        <v>30666706030233</v>
      </c>
      <c r="F4651" s="8">
        <v>446</v>
      </c>
      <c r="G4651" s="8">
        <v>8272</v>
      </c>
      <c r="H4651" s="8">
        <v>1162</v>
      </c>
      <c r="I4651" s="8">
        <v>4801</v>
      </c>
    </row>
    <row r="4652" spans="1:9" x14ac:dyDescent="0.2">
      <c r="A4652" t="s">
        <v>994</v>
      </c>
      <c r="B4652" t="s">
        <v>1045</v>
      </c>
      <c r="C4652" t="str">
        <f t="shared" ref="C4652:C4671" si="227">"30666700000000"</f>
        <v>30666700000000</v>
      </c>
      <c r="D4652" t="s">
        <v>6140</v>
      </c>
      <c r="E4652" t="str">
        <f>"30666700116582"</f>
        <v>30666700116582</v>
      </c>
      <c r="F4652" s="8">
        <v>451</v>
      </c>
      <c r="G4652" s="8">
        <v>8158</v>
      </c>
      <c r="H4652" s="8">
        <v>1158</v>
      </c>
      <c r="I4652" s="8">
        <v>4842</v>
      </c>
    </row>
    <row r="4653" spans="1:9" x14ac:dyDescent="0.2">
      <c r="A4653" t="s">
        <v>994</v>
      </c>
      <c r="B4653" t="s">
        <v>1045</v>
      </c>
      <c r="C4653" t="str">
        <f t="shared" si="227"/>
        <v>30666700000000</v>
      </c>
      <c r="D4653" t="s">
        <v>3172</v>
      </c>
      <c r="E4653" t="str">
        <f>"30666706113377"</f>
        <v>30666706113377</v>
      </c>
      <c r="F4653" s="8">
        <v>515</v>
      </c>
      <c r="G4653" s="8">
        <v>8069</v>
      </c>
      <c r="H4653" s="8">
        <v>1162</v>
      </c>
      <c r="I4653" s="8">
        <v>4824</v>
      </c>
    </row>
    <row r="4654" spans="1:9" x14ac:dyDescent="0.2">
      <c r="A4654" t="s">
        <v>994</v>
      </c>
      <c r="B4654" t="s">
        <v>1045</v>
      </c>
      <c r="C4654" t="str">
        <f t="shared" si="227"/>
        <v>30666700000000</v>
      </c>
      <c r="D4654" t="s">
        <v>280</v>
      </c>
      <c r="E4654" t="str">
        <f>"30666706108484"</f>
        <v>30666706108484</v>
      </c>
      <c r="F4654" s="8">
        <v>278</v>
      </c>
      <c r="G4654" s="8">
        <v>8294</v>
      </c>
      <c r="H4654" s="8">
        <v>1144</v>
      </c>
      <c r="I4654" s="8">
        <v>4771</v>
      </c>
    </row>
    <row r="4655" spans="1:9" x14ac:dyDescent="0.2">
      <c r="A4655" t="s">
        <v>994</v>
      </c>
      <c r="B4655" t="s">
        <v>1045</v>
      </c>
      <c r="C4655" t="str">
        <f t="shared" si="227"/>
        <v>30666700000000</v>
      </c>
      <c r="D4655" t="s">
        <v>3877</v>
      </c>
      <c r="E4655" t="str">
        <f>"30666706030365"</f>
        <v>30666706030365</v>
      </c>
      <c r="F4655" s="8">
        <v>840</v>
      </c>
      <c r="G4655" s="8">
        <v>7623</v>
      </c>
      <c r="H4655" s="8">
        <v>1161</v>
      </c>
      <c r="I4655" s="8">
        <v>4813</v>
      </c>
    </row>
    <row r="4656" spans="1:9" x14ac:dyDescent="0.2">
      <c r="A4656" t="s">
        <v>994</v>
      </c>
      <c r="B4656" t="s">
        <v>1045</v>
      </c>
      <c r="C4656" t="str">
        <f t="shared" si="227"/>
        <v>30666700000000</v>
      </c>
      <c r="D4656" t="s">
        <v>6141</v>
      </c>
      <c r="E4656" t="str">
        <f>"30666706061741"</f>
        <v>30666706061741</v>
      </c>
      <c r="F4656" s="8">
        <v>412</v>
      </c>
      <c r="G4656" s="8">
        <v>7962</v>
      </c>
      <c r="H4656" s="8">
        <v>1156</v>
      </c>
      <c r="I4656" s="8">
        <v>4809</v>
      </c>
    </row>
    <row r="4657" spans="1:9" x14ac:dyDescent="0.2">
      <c r="A4657" t="s">
        <v>994</v>
      </c>
      <c r="B4657" t="s">
        <v>1045</v>
      </c>
      <c r="C4657" t="str">
        <f t="shared" si="227"/>
        <v>30666700000000</v>
      </c>
      <c r="D4657" t="s">
        <v>6142</v>
      </c>
      <c r="E4657" t="str">
        <f>"30666706098552"</f>
        <v>30666706098552</v>
      </c>
      <c r="F4657" s="8">
        <v>469</v>
      </c>
      <c r="G4657" s="8">
        <v>7919</v>
      </c>
      <c r="H4657" s="8">
        <v>1146</v>
      </c>
      <c r="I4657" s="8">
        <v>4748</v>
      </c>
    </row>
    <row r="4658" spans="1:9" x14ac:dyDescent="0.2">
      <c r="A4658" t="s">
        <v>994</v>
      </c>
      <c r="B4658" t="s">
        <v>1045</v>
      </c>
      <c r="C4658" t="str">
        <f t="shared" si="227"/>
        <v>30666700000000</v>
      </c>
      <c r="D4658" t="s">
        <v>2344</v>
      </c>
      <c r="E4658" t="str">
        <f>"30666706030324"</f>
        <v>30666706030324</v>
      </c>
      <c r="F4658" s="8">
        <v>551</v>
      </c>
      <c r="G4658" s="8">
        <v>7731</v>
      </c>
      <c r="H4658" s="8">
        <v>1111</v>
      </c>
      <c r="I4658" s="8">
        <v>4505</v>
      </c>
    </row>
    <row r="4659" spans="1:9" x14ac:dyDescent="0.2">
      <c r="A4659" t="s">
        <v>994</v>
      </c>
      <c r="B4659" t="s">
        <v>1045</v>
      </c>
      <c r="C4659" t="str">
        <f t="shared" si="227"/>
        <v>30666700000000</v>
      </c>
      <c r="D4659" t="s">
        <v>3266</v>
      </c>
      <c r="E4659" t="str">
        <f>"30666703036456"</f>
        <v>30666703036456</v>
      </c>
      <c r="F4659" s="8">
        <v>524</v>
      </c>
      <c r="G4659" s="8">
        <v>6956</v>
      </c>
      <c r="H4659" s="8">
        <v>1186</v>
      </c>
      <c r="I4659" s="8">
        <v>5007</v>
      </c>
    </row>
    <row r="4660" spans="1:9" x14ac:dyDescent="0.2">
      <c r="A4660" t="s">
        <v>994</v>
      </c>
      <c r="B4660" t="s">
        <v>1045</v>
      </c>
      <c r="C4660" t="str">
        <f t="shared" si="227"/>
        <v>30666700000000</v>
      </c>
      <c r="D4660" t="s">
        <v>6143</v>
      </c>
      <c r="E4660" t="str">
        <f>"30666706030407"</f>
        <v>30666706030407</v>
      </c>
      <c r="F4660" s="8">
        <v>468</v>
      </c>
      <c r="G4660" s="8">
        <v>7545</v>
      </c>
      <c r="H4660" s="8">
        <v>1109</v>
      </c>
      <c r="I4660" s="8">
        <v>4460</v>
      </c>
    </row>
    <row r="4661" spans="1:9" x14ac:dyDescent="0.2">
      <c r="A4661" t="s">
        <v>994</v>
      </c>
      <c r="B4661" t="s">
        <v>1045</v>
      </c>
      <c r="C4661" t="str">
        <f t="shared" si="227"/>
        <v>30666700000000</v>
      </c>
      <c r="D4661" t="s">
        <v>6144</v>
      </c>
      <c r="E4661" t="str">
        <f>"30666706110183"</f>
        <v>30666706110183</v>
      </c>
      <c r="F4661" s="8">
        <v>381</v>
      </c>
      <c r="G4661" s="8">
        <v>7630</v>
      </c>
      <c r="H4661" s="8">
        <v>1100</v>
      </c>
      <c r="I4661" s="8">
        <v>4407</v>
      </c>
    </row>
    <row r="4662" spans="1:9" x14ac:dyDescent="0.2">
      <c r="A4662" t="s">
        <v>994</v>
      </c>
      <c r="B4662" t="s">
        <v>1045</v>
      </c>
      <c r="C4662" t="str">
        <f t="shared" si="227"/>
        <v>30666700000000</v>
      </c>
      <c r="D4662" t="s">
        <v>6145</v>
      </c>
      <c r="E4662" t="str">
        <f>"30666706058986"</f>
        <v>30666706058986</v>
      </c>
      <c r="F4662" s="8">
        <v>509</v>
      </c>
      <c r="G4662" s="8">
        <v>6937</v>
      </c>
      <c r="H4662" s="8">
        <v>1163</v>
      </c>
      <c r="I4662" s="8">
        <v>4853</v>
      </c>
    </row>
    <row r="4663" spans="1:9" x14ac:dyDescent="0.2">
      <c r="A4663" t="s">
        <v>994</v>
      </c>
      <c r="B4663" t="s">
        <v>1045</v>
      </c>
      <c r="C4663" t="str">
        <f t="shared" si="227"/>
        <v>30666700000000</v>
      </c>
      <c r="D4663" t="s">
        <v>6146</v>
      </c>
      <c r="E4663" t="str">
        <f>"30666700114736"</f>
        <v>30666700114736</v>
      </c>
      <c r="F4663" s="8">
        <v>480</v>
      </c>
      <c r="G4663" s="8">
        <v>6843</v>
      </c>
      <c r="H4663" s="8">
        <v>1155</v>
      </c>
      <c r="I4663" s="8">
        <v>4832</v>
      </c>
    </row>
    <row r="4664" spans="1:9" x14ac:dyDescent="0.2">
      <c r="A4664" t="s">
        <v>994</v>
      </c>
      <c r="B4664" t="s">
        <v>1045</v>
      </c>
      <c r="C4664" t="str">
        <f t="shared" si="227"/>
        <v>30666700000000</v>
      </c>
      <c r="D4664" t="s">
        <v>6147</v>
      </c>
      <c r="E4664" t="str">
        <f>"30666703036357"</f>
        <v>30666703036357</v>
      </c>
      <c r="F4664" s="8">
        <v>516</v>
      </c>
      <c r="G4664" s="8">
        <v>6571</v>
      </c>
      <c r="H4664" s="8">
        <v>1161</v>
      </c>
      <c r="I4664" s="8">
        <v>4867</v>
      </c>
    </row>
    <row r="4665" spans="1:9" x14ac:dyDescent="0.2">
      <c r="A4665" t="s">
        <v>994</v>
      </c>
      <c r="B4665" t="s">
        <v>1045</v>
      </c>
      <c r="C4665" t="str">
        <f t="shared" si="227"/>
        <v>30666700000000</v>
      </c>
      <c r="D4665" t="s">
        <v>6148</v>
      </c>
      <c r="E4665" t="str">
        <f>"30666706099816"</f>
        <v>30666706099816</v>
      </c>
      <c r="F4665" s="8">
        <v>405</v>
      </c>
      <c r="G4665" s="8">
        <v>6960</v>
      </c>
      <c r="H4665" s="8">
        <v>1096</v>
      </c>
      <c r="I4665" s="8">
        <v>4367</v>
      </c>
    </row>
    <row r="4666" spans="1:9" x14ac:dyDescent="0.2">
      <c r="A4666" t="s">
        <v>994</v>
      </c>
      <c r="B4666" t="s">
        <v>1045</v>
      </c>
      <c r="C4666" t="str">
        <f t="shared" si="227"/>
        <v>30666700000000</v>
      </c>
      <c r="D4666" t="s">
        <v>6149</v>
      </c>
      <c r="E4666" t="str">
        <f>"30666700108365"</f>
        <v>30666700108365</v>
      </c>
      <c r="F4666" s="8">
        <v>181</v>
      </c>
      <c r="G4666" s="8">
        <v>6684</v>
      </c>
      <c r="H4666" s="8">
        <v>1146</v>
      </c>
      <c r="I4666" s="8">
        <v>4764</v>
      </c>
    </row>
    <row r="4667" spans="1:9" x14ac:dyDescent="0.2">
      <c r="A4667" t="s">
        <v>994</v>
      </c>
      <c r="B4667" t="s">
        <v>1045</v>
      </c>
      <c r="C4667" t="str">
        <f t="shared" si="227"/>
        <v>30666700000000</v>
      </c>
      <c r="D4667" t="s">
        <v>6150</v>
      </c>
      <c r="E4667" t="str">
        <f>"30666706117899"</f>
        <v>30666706117899</v>
      </c>
      <c r="F4667" s="8">
        <v>389</v>
      </c>
      <c r="G4667" s="8">
        <v>6360</v>
      </c>
      <c r="H4667" s="8">
        <v>1148</v>
      </c>
      <c r="I4667" s="8">
        <v>4820</v>
      </c>
    </row>
    <row r="4668" spans="1:9" x14ac:dyDescent="0.2">
      <c r="A4668" t="s">
        <v>994</v>
      </c>
      <c r="B4668" t="s">
        <v>1045</v>
      </c>
      <c r="C4668" t="str">
        <f t="shared" si="227"/>
        <v>30666700000000</v>
      </c>
      <c r="D4668" t="s">
        <v>6151</v>
      </c>
      <c r="E4668" t="str">
        <f>"30666706116917"</f>
        <v>30666706116917</v>
      </c>
      <c r="F4668" s="8">
        <v>286</v>
      </c>
      <c r="G4668" s="8">
        <v>6768</v>
      </c>
      <c r="H4668" s="8">
        <v>1102</v>
      </c>
      <c r="I4668" s="8">
        <v>4446</v>
      </c>
    </row>
    <row r="4669" spans="1:9" x14ac:dyDescent="0.2">
      <c r="A4669" t="s">
        <v>994</v>
      </c>
      <c r="B4669" t="s">
        <v>1045</v>
      </c>
      <c r="C4669" t="str">
        <f t="shared" si="227"/>
        <v>30666700000000</v>
      </c>
      <c r="D4669" t="s">
        <v>6152</v>
      </c>
      <c r="E4669" t="str">
        <f>"30666706102826"</f>
        <v>30666706102826</v>
      </c>
      <c r="F4669" s="8">
        <v>321</v>
      </c>
      <c r="G4669" s="8">
        <v>6833</v>
      </c>
      <c r="H4669" s="8">
        <v>1077</v>
      </c>
      <c r="I4669" s="8">
        <v>4292</v>
      </c>
    </row>
    <row r="4670" spans="1:9" x14ac:dyDescent="0.2">
      <c r="A4670" t="s">
        <v>994</v>
      </c>
      <c r="B4670" t="s">
        <v>1045</v>
      </c>
      <c r="C4670" t="str">
        <f t="shared" si="227"/>
        <v>30666700000000</v>
      </c>
      <c r="D4670" t="s">
        <v>6153</v>
      </c>
      <c r="E4670" t="str">
        <f>"30666706115588"</f>
        <v>30666706115588</v>
      </c>
      <c r="F4670" s="8">
        <v>168</v>
      </c>
      <c r="G4670" s="8">
        <v>6136</v>
      </c>
      <c r="H4670" s="8">
        <v>1096</v>
      </c>
      <c r="I4670" s="8">
        <v>4451</v>
      </c>
    </row>
    <row r="4671" spans="1:9" x14ac:dyDescent="0.2">
      <c r="A4671" t="s">
        <v>994</v>
      </c>
      <c r="B4671" t="s">
        <v>1045</v>
      </c>
      <c r="C4671" t="str">
        <f t="shared" si="227"/>
        <v>30666700000000</v>
      </c>
      <c r="D4671" t="s">
        <v>6154</v>
      </c>
      <c r="E4671" t="str">
        <f>"30666700108373"</f>
        <v>30666700108373</v>
      </c>
      <c r="F4671" s="8">
        <v>373</v>
      </c>
      <c r="G4671" s="8">
        <v>3929</v>
      </c>
      <c r="H4671" s="8">
        <v>1117</v>
      </c>
      <c r="I4671" s="8">
        <v>4525</v>
      </c>
    </row>
    <row r="4672" spans="1:9" x14ac:dyDescent="0.2">
      <c r="A4672" t="s">
        <v>994</v>
      </c>
      <c r="B4672" t="s">
        <v>1047</v>
      </c>
      <c r="C4672" t="str">
        <f>"30666960000000"</f>
        <v>30666960000000</v>
      </c>
      <c r="D4672" t="s">
        <v>3565</v>
      </c>
      <c r="E4672" t="str">
        <f>"30666966030456"</f>
        <v>30666966030456</v>
      </c>
      <c r="F4672" s="8">
        <v>616</v>
      </c>
      <c r="G4672" s="8">
        <v>7265</v>
      </c>
      <c r="H4672" s="8">
        <v>1919</v>
      </c>
      <c r="I4672" s="8">
        <v>4753</v>
      </c>
    </row>
    <row r="4673" spans="1:9" x14ac:dyDescent="0.2">
      <c r="A4673" t="s">
        <v>994</v>
      </c>
      <c r="B4673" t="s">
        <v>1047</v>
      </c>
      <c r="C4673" t="str">
        <f>"30666960000000"</f>
        <v>30666960000000</v>
      </c>
      <c r="D4673" t="s">
        <v>6155</v>
      </c>
      <c r="E4673" t="str">
        <f>"30666966030464"</f>
        <v>30666966030464</v>
      </c>
      <c r="F4673" s="8">
        <v>1078</v>
      </c>
      <c r="G4673" s="8">
        <v>6396</v>
      </c>
      <c r="H4673" s="8">
        <v>1918</v>
      </c>
      <c r="I4673" s="8">
        <v>4750</v>
      </c>
    </row>
    <row r="4674" spans="1:9" x14ac:dyDescent="0.2">
      <c r="A4674" t="s">
        <v>994</v>
      </c>
      <c r="B4674" t="s">
        <v>1047</v>
      </c>
      <c r="C4674" t="str">
        <f>"30666960000000"</f>
        <v>30666960000000</v>
      </c>
      <c r="D4674" t="s">
        <v>6156</v>
      </c>
      <c r="E4674" t="str">
        <f>"30666966030472"</f>
        <v>30666966030472</v>
      </c>
      <c r="F4674" s="8">
        <v>526</v>
      </c>
      <c r="G4674" s="8">
        <v>6643</v>
      </c>
      <c r="H4674" s="8">
        <v>1918</v>
      </c>
      <c r="I4674" s="8">
        <v>4750</v>
      </c>
    </row>
    <row r="4675" spans="1:9" x14ac:dyDescent="0.2">
      <c r="A4675" t="s">
        <v>994</v>
      </c>
      <c r="B4675" t="s">
        <v>1047</v>
      </c>
      <c r="C4675" t="str">
        <f>"30666960000000"</f>
        <v>30666960000000</v>
      </c>
      <c r="D4675" t="s">
        <v>6157</v>
      </c>
      <c r="E4675" t="str">
        <f>"30666966030506"</f>
        <v>30666966030506</v>
      </c>
      <c r="F4675" s="8">
        <v>1063</v>
      </c>
      <c r="G4675" s="8">
        <v>5143</v>
      </c>
      <c r="H4675" s="8">
        <v>1918</v>
      </c>
      <c r="I4675" s="8">
        <v>4750</v>
      </c>
    </row>
    <row r="4676" spans="1:9" x14ac:dyDescent="0.2">
      <c r="A4676" t="s">
        <v>994</v>
      </c>
      <c r="B4676" t="s">
        <v>1052</v>
      </c>
      <c r="C4676" t="str">
        <f t="shared" ref="C4676:C4703" si="228">"30736430000000"</f>
        <v>30736430000000</v>
      </c>
      <c r="D4676" t="s">
        <v>6158</v>
      </c>
      <c r="E4676" t="str">
        <f>"30736433032919"</f>
        <v>30736433032919</v>
      </c>
      <c r="F4676" s="8">
        <v>285</v>
      </c>
      <c r="G4676" s="8">
        <v>10642</v>
      </c>
      <c r="H4676" s="8">
        <v>1162</v>
      </c>
      <c r="I4676" s="8">
        <v>4395</v>
      </c>
    </row>
    <row r="4677" spans="1:9" x14ac:dyDescent="0.2">
      <c r="A4677" t="s">
        <v>994</v>
      </c>
      <c r="B4677" t="s">
        <v>1052</v>
      </c>
      <c r="C4677" t="str">
        <f t="shared" si="228"/>
        <v>30736430000000</v>
      </c>
      <c r="D4677" t="s">
        <v>6159</v>
      </c>
      <c r="E4677" t="str">
        <f>"30736436030688"</f>
        <v>30736436030688</v>
      </c>
      <c r="F4677" s="8">
        <v>411</v>
      </c>
      <c r="G4677" s="8">
        <v>6957</v>
      </c>
      <c r="H4677" s="8">
        <v>1162</v>
      </c>
      <c r="I4677" s="8">
        <v>4395</v>
      </c>
    </row>
    <row r="4678" spans="1:9" x14ac:dyDescent="0.2">
      <c r="A4678" t="s">
        <v>994</v>
      </c>
      <c r="B4678" t="s">
        <v>1052</v>
      </c>
      <c r="C4678" t="str">
        <f t="shared" si="228"/>
        <v>30736430000000</v>
      </c>
      <c r="D4678" t="s">
        <v>6160</v>
      </c>
      <c r="E4678" t="str">
        <f>"30736436030613"</f>
        <v>30736436030613</v>
      </c>
      <c r="F4678" s="8">
        <v>416</v>
      </c>
      <c r="G4678" s="8">
        <v>6568</v>
      </c>
      <c r="H4678" s="8">
        <v>1162</v>
      </c>
      <c r="I4678" s="8">
        <v>4395</v>
      </c>
    </row>
    <row r="4679" spans="1:9" x14ac:dyDescent="0.2">
      <c r="A4679" t="s">
        <v>994</v>
      </c>
      <c r="B4679" t="s">
        <v>1052</v>
      </c>
      <c r="C4679" t="str">
        <f t="shared" si="228"/>
        <v>30736430000000</v>
      </c>
      <c r="D4679" t="s">
        <v>6161</v>
      </c>
      <c r="E4679" t="str">
        <f>"30736430139774"</f>
        <v>30736430139774</v>
      </c>
      <c r="F4679" s="8">
        <v>74</v>
      </c>
      <c r="G4679" s="8">
        <v>6780</v>
      </c>
      <c r="H4679" s="8">
        <v>1162</v>
      </c>
      <c r="I4679" s="8">
        <v>4395</v>
      </c>
    </row>
    <row r="4680" spans="1:9" x14ac:dyDescent="0.2">
      <c r="A4680" t="s">
        <v>994</v>
      </c>
      <c r="B4680" t="s">
        <v>1052</v>
      </c>
      <c r="C4680" t="str">
        <f t="shared" si="228"/>
        <v>30736430000000</v>
      </c>
      <c r="D4680" t="s">
        <v>6162</v>
      </c>
      <c r="E4680" t="str">
        <f>"30736436030555"</f>
        <v>30736436030555</v>
      </c>
      <c r="F4680" s="8">
        <v>471</v>
      </c>
      <c r="G4680" s="8">
        <v>6359</v>
      </c>
      <c r="H4680" s="8">
        <v>1162</v>
      </c>
      <c r="I4680" s="8">
        <v>4395</v>
      </c>
    </row>
    <row r="4681" spans="1:9" x14ac:dyDescent="0.2">
      <c r="A4681" t="s">
        <v>994</v>
      </c>
      <c r="B4681" t="s">
        <v>1052</v>
      </c>
      <c r="C4681" t="str">
        <f t="shared" si="228"/>
        <v>30736430000000</v>
      </c>
      <c r="D4681" t="s">
        <v>6163</v>
      </c>
      <c r="E4681" t="str">
        <f>"30736436030605"</f>
        <v>30736436030605</v>
      </c>
      <c r="F4681" s="8">
        <v>284</v>
      </c>
      <c r="G4681" s="8">
        <v>6462</v>
      </c>
      <c r="H4681" s="8">
        <v>1162</v>
      </c>
      <c r="I4681" s="8">
        <v>4395</v>
      </c>
    </row>
    <row r="4682" spans="1:9" x14ac:dyDescent="0.2">
      <c r="A4682" t="s">
        <v>994</v>
      </c>
      <c r="B4682" t="s">
        <v>1052</v>
      </c>
      <c r="C4682" t="str">
        <f t="shared" si="228"/>
        <v>30736430000000</v>
      </c>
      <c r="D4682" t="s">
        <v>6164</v>
      </c>
      <c r="E4682" t="str">
        <f>"30736436066898"</f>
        <v>30736436066898</v>
      </c>
      <c r="F4682" s="8">
        <v>442</v>
      </c>
      <c r="G4682" s="8">
        <v>6218</v>
      </c>
      <c r="H4682" s="8">
        <v>1162</v>
      </c>
      <c r="I4682" s="8">
        <v>4395</v>
      </c>
    </row>
    <row r="4683" spans="1:9" x14ac:dyDescent="0.2">
      <c r="A4683" t="s">
        <v>994</v>
      </c>
      <c r="B4683" t="s">
        <v>1052</v>
      </c>
      <c r="C4683" t="str">
        <f t="shared" si="228"/>
        <v>30736430000000</v>
      </c>
      <c r="D4683" t="s">
        <v>2331</v>
      </c>
      <c r="E4683" t="str">
        <f>"30736433032109"</f>
        <v>30736433032109</v>
      </c>
      <c r="F4683" s="8">
        <v>35</v>
      </c>
      <c r="G4683" s="8">
        <v>6523</v>
      </c>
      <c r="H4683" s="8">
        <v>1162</v>
      </c>
      <c r="I4683" s="8">
        <v>4395</v>
      </c>
    </row>
    <row r="4684" spans="1:9" x14ac:dyDescent="0.2">
      <c r="A4684" t="s">
        <v>994</v>
      </c>
      <c r="B4684" t="s">
        <v>1052</v>
      </c>
      <c r="C4684" t="str">
        <f t="shared" si="228"/>
        <v>30736430000000</v>
      </c>
      <c r="D4684" t="s">
        <v>6165</v>
      </c>
      <c r="E4684" t="str">
        <f>"30736436030662"</f>
        <v>30736436030662</v>
      </c>
      <c r="F4684" s="8">
        <v>31</v>
      </c>
      <c r="G4684" s="8">
        <v>6462</v>
      </c>
      <c r="H4684" s="8">
        <v>1162</v>
      </c>
      <c r="I4684" s="8">
        <v>4395</v>
      </c>
    </row>
    <row r="4685" spans="1:9" x14ac:dyDescent="0.2">
      <c r="A4685" t="s">
        <v>994</v>
      </c>
      <c r="B4685" t="s">
        <v>1052</v>
      </c>
      <c r="C4685" t="str">
        <f t="shared" si="228"/>
        <v>30736430000000</v>
      </c>
      <c r="D4685" t="s">
        <v>6166</v>
      </c>
      <c r="E4685" t="str">
        <f>"30736436030589"</f>
        <v>30736436030589</v>
      </c>
      <c r="F4685" s="8">
        <v>425</v>
      </c>
      <c r="G4685" s="8">
        <v>6027</v>
      </c>
      <c r="H4685" s="8">
        <v>1162</v>
      </c>
      <c r="I4685" s="8">
        <v>4395</v>
      </c>
    </row>
    <row r="4686" spans="1:9" x14ac:dyDescent="0.2">
      <c r="A4686" t="s">
        <v>994</v>
      </c>
      <c r="B4686" t="s">
        <v>1052</v>
      </c>
      <c r="C4686" t="str">
        <f t="shared" si="228"/>
        <v>30736430000000</v>
      </c>
      <c r="D4686" t="s">
        <v>6167</v>
      </c>
      <c r="E4686" t="str">
        <f>"30736433037553"</f>
        <v>30736433037553</v>
      </c>
      <c r="F4686" s="8">
        <v>289</v>
      </c>
      <c r="G4686" s="8">
        <v>6063</v>
      </c>
      <c r="H4686" s="8">
        <v>1162</v>
      </c>
      <c r="I4686" s="8">
        <v>4395</v>
      </c>
    </row>
    <row r="4687" spans="1:9" x14ac:dyDescent="0.2">
      <c r="A4687" t="s">
        <v>994</v>
      </c>
      <c r="B4687" t="s">
        <v>1052</v>
      </c>
      <c r="C4687" t="str">
        <f t="shared" si="228"/>
        <v>30736430000000</v>
      </c>
      <c r="D4687" t="s">
        <v>6168</v>
      </c>
      <c r="E4687" t="str">
        <f>"30736436030696"</f>
        <v>30736436030696</v>
      </c>
      <c r="F4687" s="8">
        <v>31</v>
      </c>
      <c r="G4687" s="8">
        <v>6304</v>
      </c>
      <c r="H4687" s="8">
        <v>1162</v>
      </c>
      <c r="I4687" s="8">
        <v>4395</v>
      </c>
    </row>
    <row r="4688" spans="1:9" x14ac:dyDescent="0.2">
      <c r="A4688" t="s">
        <v>994</v>
      </c>
      <c r="B4688" t="s">
        <v>1052</v>
      </c>
      <c r="C4688" t="str">
        <f t="shared" si="228"/>
        <v>30736430000000</v>
      </c>
      <c r="D4688" t="s">
        <v>6169</v>
      </c>
      <c r="E4688" t="str">
        <f>"30736436118764"</f>
        <v>30736436118764</v>
      </c>
      <c r="F4688" s="8">
        <v>40</v>
      </c>
      <c r="G4688" s="8">
        <v>6281</v>
      </c>
      <c r="H4688" s="8">
        <v>1162</v>
      </c>
      <c r="I4688" s="8">
        <v>4395</v>
      </c>
    </row>
    <row r="4689" spans="1:9" x14ac:dyDescent="0.2">
      <c r="A4689" t="s">
        <v>994</v>
      </c>
      <c r="B4689" t="s">
        <v>1052</v>
      </c>
      <c r="C4689" t="str">
        <f t="shared" si="228"/>
        <v>30736430000000</v>
      </c>
      <c r="D4689" t="s">
        <v>2517</v>
      </c>
      <c r="E4689" t="str">
        <f>"30736436030639"</f>
        <v>30736436030639</v>
      </c>
      <c r="F4689" s="8">
        <v>275</v>
      </c>
      <c r="G4689" s="8">
        <v>5932</v>
      </c>
      <c r="H4689" s="8">
        <v>1162</v>
      </c>
      <c r="I4689" s="8">
        <v>4395</v>
      </c>
    </row>
    <row r="4690" spans="1:9" x14ac:dyDescent="0.2">
      <c r="A4690" t="s">
        <v>994</v>
      </c>
      <c r="B4690" t="s">
        <v>1052</v>
      </c>
      <c r="C4690" t="str">
        <f t="shared" si="228"/>
        <v>30736430000000</v>
      </c>
      <c r="D4690" t="s">
        <v>6170</v>
      </c>
      <c r="E4690" t="str">
        <f>"30736436113054"</f>
        <v>30736436113054</v>
      </c>
      <c r="F4690" s="8">
        <v>34</v>
      </c>
      <c r="G4690" s="8">
        <v>6008</v>
      </c>
      <c r="H4690" s="8">
        <v>1162</v>
      </c>
      <c r="I4690" s="8">
        <v>4395</v>
      </c>
    </row>
    <row r="4691" spans="1:9" x14ac:dyDescent="0.2">
      <c r="A4691" t="s">
        <v>994</v>
      </c>
      <c r="B4691" t="s">
        <v>1052</v>
      </c>
      <c r="C4691" t="str">
        <f t="shared" si="228"/>
        <v>30736430000000</v>
      </c>
      <c r="D4691" t="s">
        <v>6171</v>
      </c>
      <c r="E4691" t="str">
        <f>"30736436030704"</f>
        <v>30736436030704</v>
      </c>
      <c r="F4691" s="8">
        <v>251</v>
      </c>
      <c r="G4691" s="8">
        <v>5772</v>
      </c>
      <c r="H4691" s="8">
        <v>1162</v>
      </c>
      <c r="I4691" s="8">
        <v>4395</v>
      </c>
    </row>
    <row r="4692" spans="1:9" x14ac:dyDescent="0.2">
      <c r="A4692" t="s">
        <v>994</v>
      </c>
      <c r="B4692" t="s">
        <v>1052</v>
      </c>
      <c r="C4692" t="str">
        <f t="shared" si="228"/>
        <v>30736430000000</v>
      </c>
      <c r="D4692" t="s">
        <v>6172</v>
      </c>
      <c r="E4692" t="str">
        <f>"30736430102889"</f>
        <v>30736430102889</v>
      </c>
      <c r="F4692" s="8">
        <v>39</v>
      </c>
      <c r="G4692" s="8">
        <v>5976</v>
      </c>
      <c r="H4692" s="8">
        <v>1162</v>
      </c>
      <c r="I4692" s="8">
        <v>4395</v>
      </c>
    </row>
    <row r="4693" spans="1:9" x14ac:dyDescent="0.2">
      <c r="A4693" t="s">
        <v>994</v>
      </c>
      <c r="B4693" t="s">
        <v>1052</v>
      </c>
      <c r="C4693" t="str">
        <f t="shared" si="228"/>
        <v>30736430000000</v>
      </c>
      <c r="D4693" t="s">
        <v>3474</v>
      </c>
      <c r="E4693" t="str">
        <f>"30736436116305"</f>
        <v>30736436116305</v>
      </c>
      <c r="F4693" s="8">
        <v>36</v>
      </c>
      <c r="G4693" s="8">
        <v>5975</v>
      </c>
      <c r="H4693" s="8">
        <v>1162</v>
      </c>
      <c r="I4693" s="8">
        <v>4395</v>
      </c>
    </row>
    <row r="4694" spans="1:9" x14ac:dyDescent="0.2">
      <c r="A4694" t="s">
        <v>994</v>
      </c>
      <c r="B4694" t="s">
        <v>1052</v>
      </c>
      <c r="C4694" t="str">
        <f t="shared" si="228"/>
        <v>30736430000000</v>
      </c>
      <c r="D4694" t="s">
        <v>6173</v>
      </c>
      <c r="E4694" t="str">
        <f>"30736436114482"</f>
        <v>30736436114482</v>
      </c>
      <c r="F4694" s="8">
        <v>39</v>
      </c>
      <c r="G4694" s="8">
        <v>5925</v>
      </c>
      <c r="H4694" s="8">
        <v>1162</v>
      </c>
      <c r="I4694" s="8">
        <v>4395</v>
      </c>
    </row>
    <row r="4695" spans="1:9" x14ac:dyDescent="0.2">
      <c r="A4695" t="s">
        <v>994</v>
      </c>
      <c r="B4695" t="s">
        <v>1052</v>
      </c>
      <c r="C4695" t="str">
        <f t="shared" si="228"/>
        <v>30736430000000</v>
      </c>
      <c r="D4695" t="s">
        <v>5029</v>
      </c>
      <c r="E4695" t="str">
        <f>"30736436030548"</f>
        <v>30736436030548</v>
      </c>
      <c r="F4695" s="8">
        <v>28</v>
      </c>
      <c r="G4695" s="8">
        <v>5933</v>
      </c>
      <c r="H4695" s="8">
        <v>1162</v>
      </c>
      <c r="I4695" s="8">
        <v>4395</v>
      </c>
    </row>
    <row r="4696" spans="1:9" x14ac:dyDescent="0.2">
      <c r="A4696" t="s">
        <v>994</v>
      </c>
      <c r="B4696" t="s">
        <v>1052</v>
      </c>
      <c r="C4696" t="str">
        <f t="shared" si="228"/>
        <v>30736430000000</v>
      </c>
      <c r="D4696" t="s">
        <v>6174</v>
      </c>
      <c r="E4696" t="str">
        <f>"30736430102871"</f>
        <v>30736430102871</v>
      </c>
      <c r="F4696" s="8">
        <v>12</v>
      </c>
      <c r="G4696" s="8">
        <v>5835</v>
      </c>
      <c r="H4696" s="8">
        <v>1162</v>
      </c>
      <c r="I4696" s="8">
        <v>4395</v>
      </c>
    </row>
    <row r="4697" spans="1:9" x14ac:dyDescent="0.2">
      <c r="A4697" t="s">
        <v>994</v>
      </c>
      <c r="B4697" t="s">
        <v>1052</v>
      </c>
      <c r="C4697" t="str">
        <f t="shared" si="228"/>
        <v>30736430000000</v>
      </c>
      <c r="D4697" t="s">
        <v>6175</v>
      </c>
      <c r="E4697" t="str">
        <f>"30736436118772"</f>
        <v>30736436118772</v>
      </c>
      <c r="F4697" s="8">
        <v>34</v>
      </c>
      <c r="G4697" s="8">
        <v>5790</v>
      </c>
      <c r="H4697" s="8">
        <v>1162</v>
      </c>
      <c r="I4697" s="8">
        <v>4395</v>
      </c>
    </row>
    <row r="4698" spans="1:9" x14ac:dyDescent="0.2">
      <c r="A4698" t="s">
        <v>994</v>
      </c>
      <c r="B4698" t="s">
        <v>1052</v>
      </c>
      <c r="C4698" t="str">
        <f t="shared" si="228"/>
        <v>30736430000000</v>
      </c>
      <c r="D4698" t="s">
        <v>5877</v>
      </c>
      <c r="E4698" t="str">
        <f>"30736430133488"</f>
        <v>30736430133488</v>
      </c>
      <c r="F4698" s="8">
        <v>36</v>
      </c>
      <c r="G4698" s="8">
        <v>5787</v>
      </c>
      <c r="H4698" s="8">
        <v>1162</v>
      </c>
      <c r="I4698" s="8">
        <v>4395</v>
      </c>
    </row>
    <row r="4699" spans="1:9" x14ac:dyDescent="0.2">
      <c r="A4699" t="s">
        <v>994</v>
      </c>
      <c r="B4699" t="s">
        <v>1052</v>
      </c>
      <c r="C4699" t="str">
        <f t="shared" si="228"/>
        <v>30736430000000</v>
      </c>
      <c r="D4699" t="s">
        <v>6176</v>
      </c>
      <c r="E4699" t="str">
        <f>"30736436030571"</f>
        <v>30736436030571</v>
      </c>
      <c r="F4699" s="8">
        <v>245</v>
      </c>
      <c r="G4699" s="8">
        <v>5557</v>
      </c>
      <c r="H4699" s="8">
        <v>1162</v>
      </c>
      <c r="I4699" s="8">
        <v>4395</v>
      </c>
    </row>
    <row r="4700" spans="1:9" x14ac:dyDescent="0.2">
      <c r="A4700" t="s">
        <v>994</v>
      </c>
      <c r="B4700" t="s">
        <v>1052</v>
      </c>
      <c r="C4700" t="str">
        <f t="shared" si="228"/>
        <v>30736430000000</v>
      </c>
      <c r="D4700" t="s">
        <v>6177</v>
      </c>
      <c r="E4700" t="str">
        <f>"30736436085377"</f>
        <v>30736436085377</v>
      </c>
      <c r="F4700" s="8">
        <v>202</v>
      </c>
      <c r="G4700" s="8">
        <v>5476</v>
      </c>
      <c r="H4700" s="8">
        <v>1162</v>
      </c>
      <c r="I4700" s="8">
        <v>4395</v>
      </c>
    </row>
    <row r="4701" spans="1:9" x14ac:dyDescent="0.2">
      <c r="A4701" t="s">
        <v>994</v>
      </c>
      <c r="B4701" t="s">
        <v>1052</v>
      </c>
      <c r="C4701" t="str">
        <f t="shared" si="228"/>
        <v>30736430000000</v>
      </c>
      <c r="D4701" t="s">
        <v>6178</v>
      </c>
      <c r="E4701" t="str">
        <f>"30736436030621"</f>
        <v>30736436030621</v>
      </c>
      <c r="F4701" s="8">
        <v>37</v>
      </c>
      <c r="G4701" s="8">
        <v>5623</v>
      </c>
      <c r="H4701" s="8">
        <v>1162</v>
      </c>
      <c r="I4701" s="8">
        <v>4395</v>
      </c>
    </row>
    <row r="4702" spans="1:9" x14ac:dyDescent="0.2">
      <c r="A4702" t="s">
        <v>994</v>
      </c>
      <c r="B4702" t="s">
        <v>1052</v>
      </c>
      <c r="C4702" t="str">
        <f t="shared" si="228"/>
        <v>30736430000000</v>
      </c>
      <c r="D4702" t="s">
        <v>6179</v>
      </c>
      <c r="E4702" t="str">
        <f>"30736430121152"</f>
        <v>30736430121152</v>
      </c>
      <c r="F4702" s="8">
        <v>38</v>
      </c>
      <c r="G4702" s="8">
        <v>5461</v>
      </c>
      <c r="H4702" s="8">
        <v>1162</v>
      </c>
      <c r="I4702" s="8">
        <v>4395</v>
      </c>
    </row>
    <row r="4703" spans="1:9" x14ac:dyDescent="0.2">
      <c r="A4703" t="s">
        <v>994</v>
      </c>
      <c r="B4703" t="s">
        <v>1052</v>
      </c>
      <c r="C4703" t="str">
        <f t="shared" si="228"/>
        <v>30736430000000</v>
      </c>
      <c r="D4703" t="s">
        <v>6180</v>
      </c>
      <c r="E4703" t="str">
        <f>"30736433030590"</f>
        <v>30736433030590</v>
      </c>
      <c r="F4703" s="8">
        <v>35</v>
      </c>
      <c r="G4703" s="8">
        <v>4932</v>
      </c>
      <c r="H4703" s="8">
        <v>1162</v>
      </c>
      <c r="I4703" s="8">
        <v>4395</v>
      </c>
    </row>
    <row r="4704" spans="1:9" x14ac:dyDescent="0.2">
      <c r="A4704" t="s">
        <v>994</v>
      </c>
      <c r="B4704" t="s">
        <v>1057</v>
      </c>
      <c r="C4704" t="str">
        <f t="shared" ref="C4704:C4719" si="229">"30667460000000"</f>
        <v>30667460000000</v>
      </c>
      <c r="D4704" t="s">
        <v>6181</v>
      </c>
      <c r="E4704" t="str">
        <f>"30667466030787"</f>
        <v>30667466030787</v>
      </c>
      <c r="F4704" s="8">
        <v>568</v>
      </c>
      <c r="G4704" s="8">
        <v>7788</v>
      </c>
      <c r="H4704" s="8">
        <v>1419</v>
      </c>
      <c r="I4704" s="8">
        <v>4719</v>
      </c>
    </row>
    <row r="4705" spans="1:9" x14ac:dyDescent="0.2">
      <c r="A4705" t="s">
        <v>994</v>
      </c>
      <c r="B4705" t="s">
        <v>1057</v>
      </c>
      <c r="C4705" t="str">
        <f t="shared" si="229"/>
        <v>30667460000000</v>
      </c>
      <c r="D4705" t="s">
        <v>6182</v>
      </c>
      <c r="E4705" t="str">
        <f>"30667466030860"</f>
        <v>30667466030860</v>
      </c>
      <c r="F4705" s="8">
        <v>594</v>
      </c>
      <c r="G4705" s="8">
        <v>7231</v>
      </c>
      <c r="H4705" s="8">
        <v>1419</v>
      </c>
      <c r="I4705" s="8">
        <v>4719</v>
      </c>
    </row>
    <row r="4706" spans="1:9" x14ac:dyDescent="0.2">
      <c r="A4706" t="s">
        <v>994</v>
      </c>
      <c r="B4706" t="s">
        <v>1057</v>
      </c>
      <c r="C4706" t="str">
        <f t="shared" si="229"/>
        <v>30667460000000</v>
      </c>
      <c r="D4706" t="s">
        <v>6183</v>
      </c>
      <c r="E4706" t="str">
        <f>"30667466030753"</f>
        <v>30667466030753</v>
      </c>
      <c r="F4706" s="8">
        <v>610</v>
      </c>
      <c r="G4706" s="8">
        <v>7066</v>
      </c>
      <c r="H4706" s="8">
        <v>1419</v>
      </c>
      <c r="I4706" s="8">
        <v>4719</v>
      </c>
    </row>
    <row r="4707" spans="1:9" x14ac:dyDescent="0.2">
      <c r="A4707" t="s">
        <v>994</v>
      </c>
      <c r="B4707" t="s">
        <v>1057</v>
      </c>
      <c r="C4707" t="str">
        <f t="shared" si="229"/>
        <v>30667460000000</v>
      </c>
      <c r="D4707" t="s">
        <v>2300</v>
      </c>
      <c r="E4707" t="str">
        <f>"30667466030886"</f>
        <v>30667466030886</v>
      </c>
      <c r="F4707" s="8">
        <v>332</v>
      </c>
      <c r="G4707" s="8">
        <v>7316</v>
      </c>
      <c r="H4707" s="8">
        <v>1419</v>
      </c>
      <c r="I4707" s="8">
        <v>4719</v>
      </c>
    </row>
    <row r="4708" spans="1:9" x14ac:dyDescent="0.2">
      <c r="A4708" t="s">
        <v>994</v>
      </c>
      <c r="B4708" t="s">
        <v>1057</v>
      </c>
      <c r="C4708" t="str">
        <f t="shared" si="229"/>
        <v>30667460000000</v>
      </c>
      <c r="D4708" t="s">
        <v>6184</v>
      </c>
      <c r="E4708" t="str">
        <f>"30667466030811"</f>
        <v>30667466030811</v>
      </c>
      <c r="F4708" s="8">
        <v>410</v>
      </c>
      <c r="G4708" s="8">
        <v>7171</v>
      </c>
      <c r="H4708" s="8">
        <v>1419</v>
      </c>
      <c r="I4708" s="8">
        <v>4719</v>
      </c>
    </row>
    <row r="4709" spans="1:9" x14ac:dyDescent="0.2">
      <c r="A4709" t="s">
        <v>994</v>
      </c>
      <c r="B4709" t="s">
        <v>1057</v>
      </c>
      <c r="C4709" t="str">
        <f t="shared" si="229"/>
        <v>30667460000000</v>
      </c>
      <c r="D4709" t="s">
        <v>6185</v>
      </c>
      <c r="E4709" t="str">
        <f>"30667466030720"</f>
        <v>30667466030720</v>
      </c>
      <c r="F4709" s="8">
        <v>346</v>
      </c>
      <c r="G4709" s="8">
        <v>7098</v>
      </c>
      <c r="H4709" s="8">
        <v>1419</v>
      </c>
      <c r="I4709" s="8">
        <v>4719</v>
      </c>
    </row>
    <row r="4710" spans="1:9" x14ac:dyDescent="0.2">
      <c r="A4710" t="s">
        <v>994</v>
      </c>
      <c r="B4710" t="s">
        <v>1057</v>
      </c>
      <c r="C4710" t="str">
        <f t="shared" si="229"/>
        <v>30667460000000</v>
      </c>
      <c r="D4710" t="s">
        <v>6186</v>
      </c>
      <c r="E4710" t="str">
        <f>"30667466030837"</f>
        <v>30667466030837</v>
      </c>
      <c r="F4710" s="8">
        <v>506</v>
      </c>
      <c r="G4710" s="8">
        <v>6701</v>
      </c>
      <c r="H4710" s="8">
        <v>1419</v>
      </c>
      <c r="I4710" s="8">
        <v>4719</v>
      </c>
    </row>
    <row r="4711" spans="1:9" x14ac:dyDescent="0.2">
      <c r="A4711" t="s">
        <v>994</v>
      </c>
      <c r="B4711" t="s">
        <v>1057</v>
      </c>
      <c r="C4711" t="str">
        <f t="shared" si="229"/>
        <v>30667460000000</v>
      </c>
      <c r="D4711" t="s">
        <v>6187</v>
      </c>
      <c r="E4711" t="str">
        <f>"30667466030852"</f>
        <v>30667466030852</v>
      </c>
      <c r="F4711" s="8">
        <v>410</v>
      </c>
      <c r="G4711" s="8">
        <v>6755</v>
      </c>
      <c r="H4711" s="8">
        <v>1419</v>
      </c>
      <c r="I4711" s="8">
        <v>4719</v>
      </c>
    </row>
    <row r="4712" spans="1:9" x14ac:dyDescent="0.2">
      <c r="A4712" t="s">
        <v>994</v>
      </c>
      <c r="B4712" t="s">
        <v>1057</v>
      </c>
      <c r="C4712" t="str">
        <f t="shared" si="229"/>
        <v>30667460000000</v>
      </c>
      <c r="D4712" t="s">
        <v>6188</v>
      </c>
      <c r="E4712" t="str">
        <f>"30667466030878"</f>
        <v>30667466030878</v>
      </c>
      <c r="F4712" s="8">
        <v>835</v>
      </c>
      <c r="G4712" s="8">
        <v>6279</v>
      </c>
      <c r="H4712" s="8">
        <v>1419</v>
      </c>
      <c r="I4712" s="8">
        <v>4719</v>
      </c>
    </row>
    <row r="4713" spans="1:9" x14ac:dyDescent="0.2">
      <c r="A4713" t="s">
        <v>994</v>
      </c>
      <c r="B4713" t="s">
        <v>1057</v>
      </c>
      <c r="C4713" t="str">
        <f t="shared" si="229"/>
        <v>30667460000000</v>
      </c>
      <c r="D4713" t="s">
        <v>6189</v>
      </c>
      <c r="E4713" t="str">
        <f>"30667466030738"</f>
        <v>30667466030738</v>
      </c>
      <c r="F4713" s="8">
        <v>360</v>
      </c>
      <c r="G4713" s="8">
        <v>6691</v>
      </c>
      <c r="H4713" s="8">
        <v>1419</v>
      </c>
      <c r="I4713" s="8">
        <v>4719</v>
      </c>
    </row>
    <row r="4714" spans="1:9" x14ac:dyDescent="0.2">
      <c r="A4714" t="s">
        <v>994</v>
      </c>
      <c r="B4714" t="s">
        <v>1057</v>
      </c>
      <c r="C4714" t="str">
        <f t="shared" si="229"/>
        <v>30667460000000</v>
      </c>
      <c r="D4714" t="s">
        <v>4924</v>
      </c>
      <c r="E4714" t="str">
        <f>"30667466030761"</f>
        <v>30667466030761</v>
      </c>
      <c r="F4714" s="8">
        <v>338</v>
      </c>
      <c r="G4714" s="8">
        <v>6664</v>
      </c>
      <c r="H4714" s="8">
        <v>1419</v>
      </c>
      <c r="I4714" s="8">
        <v>4719</v>
      </c>
    </row>
    <row r="4715" spans="1:9" x14ac:dyDescent="0.2">
      <c r="A4715" t="s">
        <v>994</v>
      </c>
      <c r="B4715" t="s">
        <v>1057</v>
      </c>
      <c r="C4715" t="str">
        <f t="shared" si="229"/>
        <v>30667460000000</v>
      </c>
      <c r="D4715" t="s">
        <v>6190</v>
      </c>
      <c r="E4715" t="str">
        <f>"30667460119925"</f>
        <v>30667460119925</v>
      </c>
      <c r="F4715" s="8">
        <v>381</v>
      </c>
      <c r="G4715" s="8">
        <v>6511</v>
      </c>
      <c r="H4715" s="8">
        <v>1419</v>
      </c>
      <c r="I4715" s="8">
        <v>4719</v>
      </c>
    </row>
    <row r="4716" spans="1:9" x14ac:dyDescent="0.2">
      <c r="A4716" t="s">
        <v>994</v>
      </c>
      <c r="B4716" t="s">
        <v>1057</v>
      </c>
      <c r="C4716" t="str">
        <f t="shared" si="229"/>
        <v>30667460000000</v>
      </c>
      <c r="D4716" t="s">
        <v>6191</v>
      </c>
      <c r="E4716" t="str">
        <f>"30667466030829"</f>
        <v>30667466030829</v>
      </c>
      <c r="F4716" s="8">
        <v>315</v>
      </c>
      <c r="G4716" s="8">
        <v>6436</v>
      </c>
      <c r="H4716" s="8">
        <v>1419</v>
      </c>
      <c r="I4716" s="8">
        <v>4719</v>
      </c>
    </row>
    <row r="4717" spans="1:9" x14ac:dyDescent="0.2">
      <c r="A4717" t="s">
        <v>994</v>
      </c>
      <c r="B4717" t="s">
        <v>1057</v>
      </c>
      <c r="C4717" t="str">
        <f t="shared" si="229"/>
        <v>30667460000000</v>
      </c>
      <c r="D4717" t="s">
        <v>3731</v>
      </c>
      <c r="E4717" t="str">
        <f>"30667466030795"</f>
        <v>30667466030795</v>
      </c>
      <c r="F4717" s="8">
        <v>449</v>
      </c>
      <c r="G4717" s="8">
        <v>6215</v>
      </c>
      <c r="H4717" s="8">
        <v>1419</v>
      </c>
      <c r="I4717" s="8">
        <v>4719</v>
      </c>
    </row>
    <row r="4718" spans="1:9" x14ac:dyDescent="0.2">
      <c r="A4718" t="s">
        <v>994</v>
      </c>
      <c r="B4718" t="s">
        <v>1057</v>
      </c>
      <c r="C4718" t="str">
        <f t="shared" si="229"/>
        <v>30667460000000</v>
      </c>
      <c r="D4718" t="s">
        <v>6192</v>
      </c>
      <c r="E4718" t="str">
        <f>"30667466030928"</f>
        <v>30667466030928</v>
      </c>
      <c r="F4718" s="8">
        <v>486</v>
      </c>
      <c r="G4718" s="8">
        <v>5749</v>
      </c>
      <c r="H4718" s="8">
        <v>1419</v>
      </c>
      <c r="I4718" s="8">
        <v>4719</v>
      </c>
    </row>
    <row r="4719" spans="1:9" x14ac:dyDescent="0.2">
      <c r="A4719" t="s">
        <v>994</v>
      </c>
      <c r="B4719" t="s">
        <v>1057</v>
      </c>
      <c r="C4719" t="str">
        <f t="shared" si="229"/>
        <v>30667460000000</v>
      </c>
      <c r="D4719" t="s">
        <v>6193</v>
      </c>
      <c r="E4719" t="str">
        <f>"30667466030712"</f>
        <v>30667466030712</v>
      </c>
      <c r="F4719" s="8">
        <v>560</v>
      </c>
      <c r="G4719" s="8">
        <v>5606</v>
      </c>
      <c r="H4719" s="8">
        <v>1419</v>
      </c>
      <c r="I4719" s="8">
        <v>4719</v>
      </c>
    </row>
    <row r="4720" spans="1:9" x14ac:dyDescent="0.2">
      <c r="A4720" t="s">
        <v>1058</v>
      </c>
      <c r="B4720" t="s">
        <v>1059</v>
      </c>
      <c r="C4720" t="str">
        <f>"31667610000000"</f>
        <v>31667610000000</v>
      </c>
      <c r="D4720" t="s">
        <v>6194</v>
      </c>
      <c r="E4720" t="str">
        <f>"31667616031009"</f>
        <v>31667616031009</v>
      </c>
      <c r="F4720" s="8">
        <v>681</v>
      </c>
      <c r="G4720" s="8">
        <v>6714</v>
      </c>
      <c r="H4720" s="8">
        <v>0</v>
      </c>
      <c r="I4720" s="8">
        <v>872</v>
      </c>
    </row>
    <row r="4721" spans="1:9" x14ac:dyDescent="0.2">
      <c r="A4721" t="s">
        <v>1058</v>
      </c>
      <c r="B4721" t="s">
        <v>1060</v>
      </c>
      <c r="C4721" t="str">
        <f>"31667790000000"</f>
        <v>31667790000000</v>
      </c>
      <c r="D4721" t="s">
        <v>6195</v>
      </c>
      <c r="E4721" t="str">
        <f>"31667796031017"</f>
        <v>31667796031017</v>
      </c>
      <c r="F4721" s="8">
        <v>1478</v>
      </c>
      <c r="G4721" s="8">
        <v>10188</v>
      </c>
      <c r="H4721" s="8">
        <v>0</v>
      </c>
      <c r="I4721" s="8">
        <v>0</v>
      </c>
    </row>
    <row r="4722" spans="1:9" x14ac:dyDescent="0.2">
      <c r="A4722" t="s">
        <v>1058</v>
      </c>
      <c r="B4722" t="s">
        <v>1061</v>
      </c>
      <c r="C4722" t="str">
        <f>"31667870000000"</f>
        <v>31667870000000</v>
      </c>
      <c r="D4722" t="s">
        <v>6196</v>
      </c>
      <c r="E4722" t="str">
        <f>"31667870126664"</f>
        <v>31667870126664</v>
      </c>
      <c r="F4722" s="8">
        <v>1226</v>
      </c>
      <c r="G4722" s="8">
        <v>8988</v>
      </c>
      <c r="H4722" s="8">
        <v>772</v>
      </c>
      <c r="I4722" s="8">
        <v>3476</v>
      </c>
    </row>
    <row r="4723" spans="1:9" x14ac:dyDescent="0.2">
      <c r="A4723" t="s">
        <v>1058</v>
      </c>
      <c r="B4723" t="s">
        <v>1061</v>
      </c>
      <c r="C4723" t="str">
        <f>"31667870000000"</f>
        <v>31667870000000</v>
      </c>
      <c r="D4723" t="s">
        <v>6197</v>
      </c>
      <c r="E4723" t="str">
        <f>"31667876031058"</f>
        <v>31667876031058</v>
      </c>
      <c r="F4723" s="8">
        <v>2213</v>
      </c>
      <c r="G4723" s="8">
        <v>7288</v>
      </c>
      <c r="H4723" s="8">
        <v>772</v>
      </c>
      <c r="I4723" s="8">
        <v>3476</v>
      </c>
    </row>
    <row r="4724" spans="1:9" x14ac:dyDescent="0.2">
      <c r="A4724" t="s">
        <v>1058</v>
      </c>
      <c r="B4724" t="s">
        <v>1061</v>
      </c>
      <c r="C4724" t="str">
        <f>"31667870000000"</f>
        <v>31667870000000</v>
      </c>
      <c r="D4724" t="s">
        <v>6198</v>
      </c>
      <c r="E4724" t="str">
        <f>"31667876112700"</f>
        <v>31667876112700</v>
      </c>
      <c r="F4724" s="8">
        <v>948</v>
      </c>
      <c r="G4724" s="8">
        <v>7637</v>
      </c>
      <c r="H4724" s="8">
        <v>772</v>
      </c>
      <c r="I4724" s="8">
        <v>3476</v>
      </c>
    </row>
    <row r="4725" spans="1:9" x14ac:dyDescent="0.2">
      <c r="A4725" t="s">
        <v>1058</v>
      </c>
      <c r="B4725" t="s">
        <v>1061</v>
      </c>
      <c r="C4725" t="str">
        <f>"31667870000000"</f>
        <v>31667870000000</v>
      </c>
      <c r="D4725" t="s">
        <v>6199</v>
      </c>
      <c r="E4725" t="str">
        <f>"31667876031033"</f>
        <v>31667876031033</v>
      </c>
      <c r="F4725" s="8">
        <v>728</v>
      </c>
      <c r="G4725" s="8">
        <v>7456</v>
      </c>
      <c r="H4725" s="8">
        <v>772</v>
      </c>
      <c r="I4725" s="8">
        <v>3476</v>
      </c>
    </row>
    <row r="4726" spans="1:9" x14ac:dyDescent="0.2">
      <c r="A4726" t="s">
        <v>1058</v>
      </c>
      <c r="B4726" t="s">
        <v>1061</v>
      </c>
      <c r="C4726" t="str">
        <f>"31667870000000"</f>
        <v>31667870000000</v>
      </c>
      <c r="D4726" t="s">
        <v>6200</v>
      </c>
      <c r="E4726" t="str">
        <f>"31667876109680"</f>
        <v>31667876109680</v>
      </c>
      <c r="F4726" s="8">
        <v>667</v>
      </c>
      <c r="G4726" s="8">
        <v>7125</v>
      </c>
      <c r="H4726" s="8">
        <v>772</v>
      </c>
      <c r="I4726" s="8">
        <v>3476</v>
      </c>
    </row>
    <row r="4727" spans="1:9" x14ac:dyDescent="0.2">
      <c r="A4727" t="s">
        <v>1058</v>
      </c>
      <c r="B4727" t="s">
        <v>1062</v>
      </c>
      <c r="C4727" t="str">
        <f>"31667950000000"</f>
        <v>31667950000000</v>
      </c>
      <c r="D4727" t="s">
        <v>1062</v>
      </c>
      <c r="E4727" t="str">
        <f>"31667956031066"</f>
        <v>31667956031066</v>
      </c>
      <c r="F4727" s="8">
        <v>1871</v>
      </c>
      <c r="G4727" s="8">
        <v>10186</v>
      </c>
      <c r="H4727" s="8">
        <v>0</v>
      </c>
      <c r="I4727" s="8">
        <v>0</v>
      </c>
    </row>
    <row r="4728" spans="1:9" x14ac:dyDescent="0.2">
      <c r="A4728" t="s">
        <v>1058</v>
      </c>
      <c r="B4728" t="s">
        <v>1064</v>
      </c>
      <c r="C4728" t="str">
        <f t="shared" ref="C4728:C4737" si="230">"31668030000000"</f>
        <v>31668030000000</v>
      </c>
      <c r="D4728" t="s">
        <v>6201</v>
      </c>
      <c r="E4728" t="str">
        <f>"31668030129080"</f>
        <v>31668030129080</v>
      </c>
      <c r="F4728" s="8">
        <v>651</v>
      </c>
      <c r="G4728" s="8">
        <v>9913</v>
      </c>
      <c r="H4728" s="8">
        <v>426</v>
      </c>
      <c r="I4728" s="8">
        <v>2022</v>
      </c>
    </row>
    <row r="4729" spans="1:9" x14ac:dyDescent="0.2">
      <c r="A4729" t="s">
        <v>1058</v>
      </c>
      <c r="B4729" t="s">
        <v>1064</v>
      </c>
      <c r="C4729" t="str">
        <f t="shared" si="230"/>
        <v>31668030000000</v>
      </c>
      <c r="D4729" t="s">
        <v>6202</v>
      </c>
      <c r="E4729" t="str">
        <f>"31668036112403"</f>
        <v>31668036112403</v>
      </c>
      <c r="F4729" s="8">
        <v>856</v>
      </c>
      <c r="G4729" s="8">
        <v>8787</v>
      </c>
      <c r="H4729" s="8">
        <v>426</v>
      </c>
      <c r="I4729" s="8">
        <v>2022</v>
      </c>
    </row>
    <row r="4730" spans="1:9" x14ac:dyDescent="0.2">
      <c r="A4730" t="s">
        <v>1058</v>
      </c>
      <c r="B4730" t="s">
        <v>1064</v>
      </c>
      <c r="C4730" t="str">
        <f t="shared" si="230"/>
        <v>31668030000000</v>
      </c>
      <c r="D4730" t="s">
        <v>6203</v>
      </c>
      <c r="E4730" t="str">
        <f>"31668036108963"</f>
        <v>31668036108963</v>
      </c>
      <c r="F4730" s="8">
        <v>690</v>
      </c>
      <c r="G4730" s="8">
        <v>8925</v>
      </c>
      <c r="H4730" s="8">
        <v>426</v>
      </c>
      <c r="I4730" s="8">
        <v>2022</v>
      </c>
    </row>
    <row r="4731" spans="1:9" x14ac:dyDescent="0.2">
      <c r="A4731" t="s">
        <v>1058</v>
      </c>
      <c r="B4731" t="s">
        <v>1064</v>
      </c>
      <c r="C4731" t="str">
        <f t="shared" si="230"/>
        <v>31668030000000</v>
      </c>
      <c r="D4731" t="s">
        <v>6204</v>
      </c>
      <c r="E4731" t="str">
        <f>"31668036115596"</f>
        <v>31668036115596</v>
      </c>
      <c r="F4731" s="8">
        <v>706</v>
      </c>
      <c r="G4731" s="8">
        <v>8378</v>
      </c>
      <c r="H4731" s="8">
        <v>426</v>
      </c>
      <c r="I4731" s="8">
        <v>2022</v>
      </c>
    </row>
    <row r="4732" spans="1:9" x14ac:dyDescent="0.2">
      <c r="A4732" t="s">
        <v>1058</v>
      </c>
      <c r="B4732" t="s">
        <v>1064</v>
      </c>
      <c r="C4732" t="str">
        <f t="shared" si="230"/>
        <v>31668030000000</v>
      </c>
      <c r="D4732" t="s">
        <v>5658</v>
      </c>
      <c r="E4732" t="str">
        <f>"31668036115604"</f>
        <v>31668036115604</v>
      </c>
      <c r="F4732" s="8">
        <v>1181</v>
      </c>
      <c r="G4732" s="8">
        <v>7880</v>
      </c>
      <c r="H4732" s="8">
        <v>426</v>
      </c>
      <c r="I4732" s="8">
        <v>2022</v>
      </c>
    </row>
    <row r="4733" spans="1:9" x14ac:dyDescent="0.2">
      <c r="A4733" t="s">
        <v>1058</v>
      </c>
      <c r="B4733" t="s">
        <v>1064</v>
      </c>
      <c r="C4733" t="str">
        <f t="shared" si="230"/>
        <v>31668030000000</v>
      </c>
      <c r="D4733" t="s">
        <v>6205</v>
      </c>
      <c r="E4733" t="str">
        <f>"31668036109862"</f>
        <v>31668036109862</v>
      </c>
      <c r="F4733" s="8">
        <v>639</v>
      </c>
      <c r="G4733" s="8">
        <v>7932</v>
      </c>
      <c r="H4733" s="8">
        <v>426</v>
      </c>
      <c r="I4733" s="8">
        <v>2022</v>
      </c>
    </row>
    <row r="4734" spans="1:9" x14ac:dyDescent="0.2">
      <c r="A4734" t="s">
        <v>1058</v>
      </c>
      <c r="B4734" t="s">
        <v>1064</v>
      </c>
      <c r="C4734" t="str">
        <f t="shared" si="230"/>
        <v>31668030000000</v>
      </c>
      <c r="D4734" t="s">
        <v>6206</v>
      </c>
      <c r="E4734" t="str">
        <f>"31668030111104"</f>
        <v>31668030111104</v>
      </c>
      <c r="F4734" s="8">
        <v>806</v>
      </c>
      <c r="G4734" s="8">
        <v>7753</v>
      </c>
      <c r="H4734" s="8">
        <v>426</v>
      </c>
      <c r="I4734" s="8">
        <v>2022</v>
      </c>
    </row>
    <row r="4735" spans="1:9" x14ac:dyDescent="0.2">
      <c r="A4735" t="s">
        <v>1058</v>
      </c>
      <c r="B4735" t="s">
        <v>1064</v>
      </c>
      <c r="C4735" t="str">
        <f t="shared" si="230"/>
        <v>31668030000000</v>
      </c>
      <c r="D4735" t="s">
        <v>6207</v>
      </c>
      <c r="E4735" t="str">
        <f>"31668036112072"</f>
        <v>31668036112072</v>
      </c>
      <c r="F4735" s="8">
        <v>482</v>
      </c>
      <c r="G4735" s="8">
        <v>7872</v>
      </c>
      <c r="H4735" s="8">
        <v>426</v>
      </c>
      <c r="I4735" s="8">
        <v>2022</v>
      </c>
    </row>
    <row r="4736" spans="1:9" x14ac:dyDescent="0.2">
      <c r="A4736" t="s">
        <v>1058</v>
      </c>
      <c r="B4736" t="s">
        <v>1064</v>
      </c>
      <c r="C4736" t="str">
        <f t="shared" si="230"/>
        <v>31668030000000</v>
      </c>
      <c r="D4736" t="s">
        <v>6208</v>
      </c>
      <c r="E4736" t="str">
        <f>"31668036119887"</f>
        <v>31668036119887</v>
      </c>
      <c r="F4736" s="8">
        <v>129</v>
      </c>
      <c r="G4736" s="8">
        <v>8038</v>
      </c>
      <c r="H4736" s="8">
        <v>426</v>
      </c>
      <c r="I4736" s="8">
        <v>2022</v>
      </c>
    </row>
    <row r="4737" spans="1:9" x14ac:dyDescent="0.2">
      <c r="A4737" t="s">
        <v>1058</v>
      </c>
      <c r="B4737" t="s">
        <v>1064</v>
      </c>
      <c r="C4737" t="str">
        <f t="shared" si="230"/>
        <v>31668030000000</v>
      </c>
      <c r="D4737" t="s">
        <v>6209</v>
      </c>
      <c r="E4737" t="str">
        <f>"31668030140301"</f>
        <v>31668030140301</v>
      </c>
      <c r="F4737" s="8">
        <v>2722</v>
      </c>
      <c r="G4737" s="8">
        <v>2028</v>
      </c>
      <c r="H4737" s="8">
        <v>426</v>
      </c>
      <c r="I4737" s="8">
        <v>2022</v>
      </c>
    </row>
    <row r="4738" spans="1:9" x14ac:dyDescent="0.2">
      <c r="A4738" t="s">
        <v>1058</v>
      </c>
      <c r="B4738" t="s">
        <v>1065</v>
      </c>
      <c r="C4738" t="str">
        <f t="shared" ref="C4738:C4744" si="231">"31668290000000"</f>
        <v>31668290000000</v>
      </c>
      <c r="D4738" t="s">
        <v>6210</v>
      </c>
      <c r="E4738" t="str">
        <f>"31668296109029"</f>
        <v>31668296109029</v>
      </c>
      <c r="F4738" s="8">
        <v>432</v>
      </c>
      <c r="G4738" s="8">
        <v>8172</v>
      </c>
      <c r="H4738" s="8">
        <v>463</v>
      </c>
      <c r="I4738" s="8">
        <v>1811</v>
      </c>
    </row>
    <row r="4739" spans="1:9" x14ac:dyDescent="0.2">
      <c r="A4739" t="s">
        <v>1058</v>
      </c>
      <c r="B4739" t="s">
        <v>1065</v>
      </c>
      <c r="C4739" t="str">
        <f t="shared" si="231"/>
        <v>31668290000000</v>
      </c>
      <c r="D4739" t="s">
        <v>6211</v>
      </c>
      <c r="E4739" t="str">
        <f>"31668296101778"</f>
        <v>31668296101778</v>
      </c>
      <c r="F4739" s="8">
        <v>303</v>
      </c>
      <c r="G4739" s="8">
        <v>8192</v>
      </c>
      <c r="H4739" s="8">
        <v>463</v>
      </c>
      <c r="I4739" s="8">
        <v>1811</v>
      </c>
    </row>
    <row r="4740" spans="1:9" x14ac:dyDescent="0.2">
      <c r="A4740" t="s">
        <v>1058</v>
      </c>
      <c r="B4740" t="s">
        <v>1065</v>
      </c>
      <c r="C4740" t="str">
        <f t="shared" si="231"/>
        <v>31668290000000</v>
      </c>
      <c r="D4740" t="s">
        <v>6212</v>
      </c>
      <c r="E4740" t="str">
        <f>"31668296031108"</f>
        <v>31668296031108</v>
      </c>
      <c r="F4740" s="8">
        <v>296</v>
      </c>
      <c r="G4740" s="8">
        <v>7676</v>
      </c>
      <c r="H4740" s="8">
        <v>463</v>
      </c>
      <c r="I4740" s="8">
        <v>1811</v>
      </c>
    </row>
    <row r="4741" spans="1:9" x14ac:dyDescent="0.2">
      <c r="A4741" t="s">
        <v>1058</v>
      </c>
      <c r="B4741" t="s">
        <v>1065</v>
      </c>
      <c r="C4741" t="str">
        <f t="shared" si="231"/>
        <v>31668290000000</v>
      </c>
      <c r="D4741" t="s">
        <v>5883</v>
      </c>
      <c r="E4741" t="str">
        <f>"31668296116230"</f>
        <v>31668296116230</v>
      </c>
      <c r="F4741" s="8">
        <v>463</v>
      </c>
      <c r="G4741" s="8">
        <v>7170</v>
      </c>
      <c r="H4741" s="8">
        <v>463</v>
      </c>
      <c r="I4741" s="8">
        <v>1811</v>
      </c>
    </row>
    <row r="4742" spans="1:9" x14ac:dyDescent="0.2">
      <c r="A4742" t="s">
        <v>1058</v>
      </c>
      <c r="B4742" t="s">
        <v>1065</v>
      </c>
      <c r="C4742" t="str">
        <f t="shared" si="231"/>
        <v>31668290000000</v>
      </c>
      <c r="D4742" t="s">
        <v>6213</v>
      </c>
      <c r="E4742" t="str">
        <f>"31668296113443"</f>
        <v>31668296113443</v>
      </c>
      <c r="F4742" s="8">
        <v>463</v>
      </c>
      <c r="G4742" s="8">
        <v>6770</v>
      </c>
      <c r="H4742" s="8">
        <v>463</v>
      </c>
      <c r="I4742" s="8">
        <v>1811</v>
      </c>
    </row>
    <row r="4743" spans="1:9" x14ac:dyDescent="0.2">
      <c r="A4743" t="s">
        <v>1058</v>
      </c>
      <c r="B4743" t="s">
        <v>1065</v>
      </c>
      <c r="C4743" t="str">
        <f t="shared" si="231"/>
        <v>31668290000000</v>
      </c>
      <c r="D4743" t="s">
        <v>6214</v>
      </c>
      <c r="E4743" t="str">
        <f>"31668296113971"</f>
        <v>31668296113971</v>
      </c>
      <c r="F4743" s="8">
        <v>359</v>
      </c>
      <c r="G4743" s="8">
        <v>6844</v>
      </c>
      <c r="H4743" s="8">
        <v>463</v>
      </c>
      <c r="I4743" s="8">
        <v>1811</v>
      </c>
    </row>
    <row r="4744" spans="1:9" x14ac:dyDescent="0.2">
      <c r="A4744" t="s">
        <v>1058</v>
      </c>
      <c r="B4744" t="s">
        <v>1065</v>
      </c>
      <c r="C4744" t="str">
        <f t="shared" si="231"/>
        <v>31668290000000</v>
      </c>
      <c r="D4744" t="s">
        <v>6215</v>
      </c>
      <c r="E4744" t="str">
        <f>"31668296111702"</f>
        <v>31668296111702</v>
      </c>
      <c r="F4744" s="8">
        <v>398</v>
      </c>
      <c r="G4744" s="8">
        <v>6398</v>
      </c>
      <c r="H4744" s="8">
        <v>463</v>
      </c>
      <c r="I4744" s="8">
        <v>1811</v>
      </c>
    </row>
    <row r="4745" spans="1:9" x14ac:dyDescent="0.2">
      <c r="A4745" t="s">
        <v>1058</v>
      </c>
      <c r="B4745" t="s">
        <v>1066</v>
      </c>
      <c r="C4745" t="str">
        <f>"31668370000000"</f>
        <v>31668370000000</v>
      </c>
      <c r="D4745" t="s">
        <v>6216</v>
      </c>
      <c r="E4745" t="str">
        <f>"31668376031116"</f>
        <v>31668376031116</v>
      </c>
      <c r="F4745" s="8">
        <v>2052</v>
      </c>
      <c r="G4745" s="8">
        <v>11661</v>
      </c>
      <c r="H4745" s="8">
        <v>0</v>
      </c>
      <c r="I4745" s="8">
        <v>0</v>
      </c>
    </row>
    <row r="4746" spans="1:9" x14ac:dyDescent="0.2">
      <c r="A4746" t="s">
        <v>1058</v>
      </c>
      <c r="B4746" t="s">
        <v>1072</v>
      </c>
      <c r="C4746" t="str">
        <f t="shared" ref="C4746:C4752" si="232">"31668450000000"</f>
        <v>31668450000000</v>
      </c>
      <c r="D4746" t="s">
        <v>6217</v>
      </c>
      <c r="E4746" t="str">
        <f>"31668456031165"</f>
        <v>31668456031165</v>
      </c>
      <c r="F4746" s="8">
        <v>344</v>
      </c>
      <c r="G4746" s="8">
        <v>8690</v>
      </c>
      <c r="H4746" s="8">
        <v>735</v>
      </c>
      <c r="I4746" s="8">
        <v>1868</v>
      </c>
    </row>
    <row r="4747" spans="1:9" x14ac:dyDescent="0.2">
      <c r="A4747" t="s">
        <v>1058</v>
      </c>
      <c r="B4747" t="s">
        <v>1072</v>
      </c>
      <c r="C4747" t="str">
        <f t="shared" si="232"/>
        <v>31668450000000</v>
      </c>
      <c r="D4747" t="s">
        <v>6218</v>
      </c>
      <c r="E4747" t="str">
        <f>"31668456031173"</f>
        <v>31668456031173</v>
      </c>
      <c r="F4747" s="8">
        <v>127</v>
      </c>
      <c r="G4747" s="8">
        <v>6931</v>
      </c>
      <c r="H4747" s="8">
        <v>735</v>
      </c>
      <c r="I4747" s="8">
        <v>1868</v>
      </c>
    </row>
    <row r="4748" spans="1:9" x14ac:dyDescent="0.2">
      <c r="A4748" t="s">
        <v>1058</v>
      </c>
      <c r="B4748" t="s">
        <v>1072</v>
      </c>
      <c r="C4748" t="str">
        <f t="shared" si="232"/>
        <v>31668450000000</v>
      </c>
      <c r="D4748" t="s">
        <v>1894</v>
      </c>
      <c r="E4748" t="str">
        <f>"31668456031124"</f>
        <v>31668456031124</v>
      </c>
      <c r="F4748" s="8">
        <v>360</v>
      </c>
      <c r="G4748" s="8">
        <v>6481</v>
      </c>
      <c r="H4748" s="8">
        <v>735</v>
      </c>
      <c r="I4748" s="8">
        <v>1868</v>
      </c>
    </row>
    <row r="4749" spans="1:9" x14ac:dyDescent="0.2">
      <c r="A4749" t="s">
        <v>1058</v>
      </c>
      <c r="B4749" t="s">
        <v>1072</v>
      </c>
      <c r="C4749" t="str">
        <f t="shared" si="232"/>
        <v>31668450000000</v>
      </c>
      <c r="D4749" t="s">
        <v>6219</v>
      </c>
      <c r="E4749" t="str">
        <f>"31668456031132"</f>
        <v>31668456031132</v>
      </c>
      <c r="F4749" s="8">
        <v>360</v>
      </c>
      <c r="G4749" s="8">
        <v>6295</v>
      </c>
      <c r="H4749" s="8">
        <v>735</v>
      </c>
      <c r="I4749" s="8">
        <v>1868</v>
      </c>
    </row>
    <row r="4750" spans="1:9" x14ac:dyDescent="0.2">
      <c r="A4750" t="s">
        <v>1058</v>
      </c>
      <c r="B4750" t="s">
        <v>1072</v>
      </c>
      <c r="C4750" t="str">
        <f t="shared" si="232"/>
        <v>31668450000000</v>
      </c>
      <c r="D4750" t="s">
        <v>6220</v>
      </c>
      <c r="E4750" t="str">
        <f>"31668456117824"</f>
        <v>31668456117824</v>
      </c>
      <c r="F4750" s="8">
        <v>344</v>
      </c>
      <c r="G4750" s="8">
        <v>6243</v>
      </c>
      <c r="H4750" s="8">
        <v>735</v>
      </c>
      <c r="I4750" s="8">
        <v>1868</v>
      </c>
    </row>
    <row r="4751" spans="1:9" x14ac:dyDescent="0.2">
      <c r="A4751" t="s">
        <v>1058</v>
      </c>
      <c r="B4751" t="s">
        <v>1072</v>
      </c>
      <c r="C4751" t="str">
        <f t="shared" si="232"/>
        <v>31668450000000</v>
      </c>
      <c r="D4751" t="s">
        <v>6221</v>
      </c>
      <c r="E4751" t="str">
        <f>"31668456031140"</f>
        <v>31668456031140</v>
      </c>
      <c r="F4751" s="8">
        <v>305</v>
      </c>
      <c r="G4751" s="8">
        <v>5981</v>
      </c>
      <c r="H4751" s="8">
        <v>735</v>
      </c>
      <c r="I4751" s="8">
        <v>1868</v>
      </c>
    </row>
    <row r="4752" spans="1:9" x14ac:dyDescent="0.2">
      <c r="A4752" t="s">
        <v>1058</v>
      </c>
      <c r="B4752" t="s">
        <v>1072</v>
      </c>
      <c r="C4752" t="str">
        <f t="shared" si="232"/>
        <v>31668450000000</v>
      </c>
      <c r="D4752" t="s">
        <v>6222</v>
      </c>
      <c r="E4752" t="str">
        <f>"31668450117150"</f>
        <v>31668450117150</v>
      </c>
      <c r="F4752" s="8">
        <v>194</v>
      </c>
      <c r="G4752" s="8">
        <v>7049</v>
      </c>
      <c r="H4752" s="8">
        <v>0</v>
      </c>
      <c r="I4752" s="8">
        <v>0</v>
      </c>
    </row>
    <row r="4753" spans="1:9" x14ac:dyDescent="0.2">
      <c r="A4753" t="s">
        <v>1058</v>
      </c>
      <c r="B4753" t="s">
        <v>1074</v>
      </c>
      <c r="C4753" t="str">
        <f>"31668520000000"</f>
        <v>31668520000000</v>
      </c>
      <c r="D4753" t="s">
        <v>6223</v>
      </c>
      <c r="E4753" t="str">
        <f>"31668520109827"</f>
        <v>31668520109827</v>
      </c>
      <c r="F4753" s="8">
        <v>946</v>
      </c>
      <c r="G4753" s="8">
        <v>8847</v>
      </c>
      <c r="H4753" s="8">
        <v>120</v>
      </c>
      <c r="I4753" s="8">
        <v>2621</v>
      </c>
    </row>
    <row r="4754" spans="1:9" x14ac:dyDescent="0.2">
      <c r="A4754" t="s">
        <v>1058</v>
      </c>
      <c r="B4754" t="s">
        <v>1074</v>
      </c>
      <c r="C4754" t="str">
        <f>"31668520000000"</f>
        <v>31668520000000</v>
      </c>
      <c r="D4754" t="s">
        <v>1074</v>
      </c>
      <c r="E4754" t="str">
        <f>"31668526031157"</f>
        <v>31668526031157</v>
      </c>
      <c r="F4754" s="8">
        <v>946</v>
      </c>
      <c r="G4754" s="8">
        <v>8847</v>
      </c>
      <c r="H4754" s="8">
        <v>120</v>
      </c>
      <c r="I4754" s="8">
        <v>2621</v>
      </c>
    </row>
    <row r="4755" spans="1:9" x14ac:dyDescent="0.2">
      <c r="A4755" t="s">
        <v>1058</v>
      </c>
      <c r="B4755" t="s">
        <v>1076</v>
      </c>
      <c r="C4755" t="str">
        <f>"31103140000000"</f>
        <v>31103140000000</v>
      </c>
      <c r="D4755" t="s">
        <v>6224</v>
      </c>
      <c r="E4755" t="str">
        <f>"31103140113399"</f>
        <v>31103140113399</v>
      </c>
      <c r="F4755" s="8">
        <v>3754</v>
      </c>
      <c r="G4755" s="8">
        <v>205501</v>
      </c>
      <c r="H4755" s="8">
        <v>137</v>
      </c>
      <c r="I4755" s="8">
        <v>30446</v>
      </c>
    </row>
    <row r="4756" spans="1:9" x14ac:dyDescent="0.2">
      <c r="A4756" t="s">
        <v>1058</v>
      </c>
      <c r="B4756" t="s">
        <v>1076</v>
      </c>
      <c r="C4756" t="str">
        <f>"31103140000000"</f>
        <v>31103140000000</v>
      </c>
      <c r="D4756" t="s">
        <v>6225</v>
      </c>
      <c r="E4756" t="str">
        <f>"31103143130101"</f>
        <v>31103143130101</v>
      </c>
      <c r="F4756" s="8">
        <v>39698</v>
      </c>
      <c r="G4756" s="8">
        <v>130185</v>
      </c>
      <c r="H4756" s="8">
        <v>93</v>
      </c>
      <c r="I4756" s="8">
        <v>24521</v>
      </c>
    </row>
    <row r="4757" spans="1:9" x14ac:dyDescent="0.2">
      <c r="A4757" t="s">
        <v>1058</v>
      </c>
      <c r="B4757" t="s">
        <v>1076</v>
      </c>
      <c r="C4757" t="str">
        <f>"31103140000000"</f>
        <v>31103140000000</v>
      </c>
      <c r="D4757" t="s">
        <v>6226</v>
      </c>
      <c r="E4757" t="str">
        <f>"31103146069322"</f>
        <v>31103146069322</v>
      </c>
      <c r="F4757" s="8">
        <v>3754</v>
      </c>
      <c r="G4757" s="8">
        <v>143189</v>
      </c>
      <c r="H4757" s="8">
        <v>155</v>
      </c>
      <c r="I4757" s="8">
        <v>23684</v>
      </c>
    </row>
    <row r="4758" spans="1:9" x14ac:dyDescent="0.2">
      <c r="A4758" t="s">
        <v>1058</v>
      </c>
      <c r="B4758" t="s">
        <v>1076</v>
      </c>
      <c r="C4758" t="str">
        <f>"31103140000000"</f>
        <v>31103140000000</v>
      </c>
      <c r="D4758" t="s">
        <v>6227</v>
      </c>
      <c r="E4758" t="str">
        <f>"31103143130259"</f>
        <v>31103143130259</v>
      </c>
      <c r="F4758" s="8">
        <v>22843</v>
      </c>
      <c r="G4758" s="8">
        <v>34417</v>
      </c>
      <c r="H4758" s="8">
        <v>39</v>
      </c>
      <c r="I4758" s="8">
        <v>8304</v>
      </c>
    </row>
    <row r="4759" spans="1:9" x14ac:dyDescent="0.2">
      <c r="A4759" t="s">
        <v>1058</v>
      </c>
      <c r="B4759" t="s">
        <v>1076</v>
      </c>
      <c r="C4759" t="str">
        <f>"31103140000000"</f>
        <v>31103140000000</v>
      </c>
      <c r="D4759" t="s">
        <v>6228</v>
      </c>
      <c r="E4759" t="str">
        <f>"31103140126904"</f>
        <v>31103140126904</v>
      </c>
      <c r="F4759" s="8">
        <v>1887</v>
      </c>
      <c r="G4759" s="8">
        <v>12701</v>
      </c>
      <c r="H4759" s="8">
        <v>18</v>
      </c>
      <c r="I4759" s="8">
        <v>2160</v>
      </c>
    </row>
    <row r="4760" spans="1:9" x14ac:dyDescent="0.2">
      <c r="A4760" t="s">
        <v>1058</v>
      </c>
      <c r="B4760" t="s">
        <v>1077</v>
      </c>
      <c r="C4760" t="str">
        <f>"31668860000000"</f>
        <v>31668860000000</v>
      </c>
      <c r="D4760" t="s">
        <v>6229</v>
      </c>
      <c r="E4760" t="str">
        <f>"31668866111694"</f>
        <v>31668866111694</v>
      </c>
      <c r="F4760" s="8">
        <v>1195</v>
      </c>
      <c r="G4760" s="8">
        <v>7376</v>
      </c>
      <c r="H4760" s="8">
        <v>170</v>
      </c>
      <c r="I4760" s="8">
        <v>4240</v>
      </c>
    </row>
    <row r="4761" spans="1:9" x14ac:dyDescent="0.2">
      <c r="A4761" t="s">
        <v>1058</v>
      </c>
      <c r="B4761" t="s">
        <v>1077</v>
      </c>
      <c r="C4761" t="str">
        <f>"31668860000000"</f>
        <v>31668860000000</v>
      </c>
      <c r="D4761" t="s">
        <v>6230</v>
      </c>
      <c r="E4761" t="str">
        <f>"31668866031199"</f>
        <v>31668866031199</v>
      </c>
      <c r="F4761" s="8">
        <v>838</v>
      </c>
      <c r="G4761" s="8">
        <v>6248</v>
      </c>
      <c r="H4761" s="8">
        <v>170</v>
      </c>
      <c r="I4761" s="8">
        <v>4243</v>
      </c>
    </row>
    <row r="4762" spans="1:9" x14ac:dyDescent="0.2">
      <c r="A4762" t="s">
        <v>1058</v>
      </c>
      <c r="B4762" t="s">
        <v>1078</v>
      </c>
      <c r="C4762" t="str">
        <f t="shared" ref="C4762:C4767" si="233">"31668940000000"</f>
        <v>31668940000000</v>
      </c>
      <c r="D4762" t="s">
        <v>6231</v>
      </c>
      <c r="E4762" t="str">
        <f>"31668940102293"</f>
        <v>31668940102293</v>
      </c>
      <c r="F4762" s="8">
        <v>1318</v>
      </c>
      <c r="G4762" s="8">
        <v>13096</v>
      </c>
      <c r="H4762" s="8">
        <v>739</v>
      </c>
      <c r="I4762" s="8">
        <v>5849</v>
      </c>
    </row>
    <row r="4763" spans="1:9" x14ac:dyDescent="0.2">
      <c r="A4763" t="s">
        <v>1058</v>
      </c>
      <c r="B4763" t="s">
        <v>1078</v>
      </c>
      <c r="C4763" t="str">
        <f t="shared" si="233"/>
        <v>31668940000000</v>
      </c>
      <c r="D4763" t="s">
        <v>6232</v>
      </c>
      <c r="E4763" t="str">
        <f>"31668943131687"</f>
        <v>31668943131687</v>
      </c>
      <c r="F4763" s="8">
        <v>1386</v>
      </c>
      <c r="G4763" s="8">
        <v>11968</v>
      </c>
      <c r="H4763" s="8">
        <v>777</v>
      </c>
      <c r="I4763" s="8">
        <v>5345</v>
      </c>
    </row>
    <row r="4764" spans="1:9" x14ac:dyDescent="0.2">
      <c r="A4764" t="s">
        <v>1058</v>
      </c>
      <c r="B4764" t="s">
        <v>1078</v>
      </c>
      <c r="C4764" t="str">
        <f t="shared" si="233"/>
        <v>31668940000000</v>
      </c>
      <c r="D4764" t="s">
        <v>6233</v>
      </c>
      <c r="E4764" t="str">
        <f>"31668943131851"</f>
        <v>31668943131851</v>
      </c>
      <c r="F4764" s="8">
        <v>881</v>
      </c>
      <c r="G4764" s="8">
        <v>9512</v>
      </c>
      <c r="H4764" s="8">
        <v>494</v>
      </c>
      <c r="I4764" s="8">
        <v>4248</v>
      </c>
    </row>
    <row r="4765" spans="1:9" x14ac:dyDescent="0.2">
      <c r="A4765" t="s">
        <v>1058</v>
      </c>
      <c r="B4765" t="s">
        <v>1078</v>
      </c>
      <c r="C4765" t="str">
        <f t="shared" si="233"/>
        <v>31668940000000</v>
      </c>
      <c r="D4765" t="s">
        <v>6234</v>
      </c>
      <c r="E4765" t="str">
        <f>"31668943135704"</f>
        <v>31668943135704</v>
      </c>
      <c r="F4765" s="8">
        <v>727</v>
      </c>
      <c r="G4765" s="8">
        <v>7963</v>
      </c>
      <c r="H4765" s="8">
        <v>408</v>
      </c>
      <c r="I4765" s="8">
        <v>3556</v>
      </c>
    </row>
    <row r="4766" spans="1:9" x14ac:dyDescent="0.2">
      <c r="A4766" t="s">
        <v>1058</v>
      </c>
      <c r="B4766" t="s">
        <v>1078</v>
      </c>
      <c r="C4766" t="str">
        <f t="shared" si="233"/>
        <v>31668940000000</v>
      </c>
      <c r="D4766" t="s">
        <v>6235</v>
      </c>
      <c r="E4766" t="str">
        <f>"31668943132453"</f>
        <v>31668943132453</v>
      </c>
      <c r="F4766" s="8">
        <v>417</v>
      </c>
      <c r="G4766" s="8">
        <v>7225</v>
      </c>
      <c r="H4766" s="8">
        <v>233</v>
      </c>
      <c r="I4766" s="8">
        <v>3227</v>
      </c>
    </row>
    <row r="4767" spans="1:9" x14ac:dyDescent="0.2">
      <c r="A4767" t="s">
        <v>1058</v>
      </c>
      <c r="B4767" t="s">
        <v>1078</v>
      </c>
      <c r="C4767" t="str">
        <f t="shared" si="233"/>
        <v>31668940000000</v>
      </c>
      <c r="D4767" t="s">
        <v>6236</v>
      </c>
      <c r="E4767" t="str">
        <f>"31668940138081"</f>
        <v>31668940138081</v>
      </c>
      <c r="F4767" s="8">
        <v>71</v>
      </c>
      <c r="G4767" s="8">
        <v>10853</v>
      </c>
      <c r="H4767" s="8">
        <v>0</v>
      </c>
      <c r="I4767" s="8">
        <v>0</v>
      </c>
    </row>
    <row r="4768" spans="1:9" x14ac:dyDescent="0.2">
      <c r="A4768" t="s">
        <v>1058</v>
      </c>
      <c r="B4768" t="s">
        <v>1082</v>
      </c>
      <c r="C4768" t="str">
        <f t="shared" ref="C4768:C4784" si="234">"31750850000000"</f>
        <v>31750850000000</v>
      </c>
      <c r="D4768" t="s">
        <v>6237</v>
      </c>
      <c r="E4768" t="str">
        <f>"31750850108050"</f>
        <v>31750850108050</v>
      </c>
      <c r="F4768" s="8">
        <v>6</v>
      </c>
      <c r="G4768" s="8">
        <v>24812</v>
      </c>
      <c r="H4768" s="8">
        <v>693</v>
      </c>
      <c r="I4768" s="8">
        <v>3031</v>
      </c>
    </row>
    <row r="4769" spans="1:9" x14ac:dyDescent="0.2">
      <c r="A4769" t="s">
        <v>1058</v>
      </c>
      <c r="B4769" t="s">
        <v>1082</v>
      </c>
      <c r="C4769" t="str">
        <f t="shared" si="234"/>
        <v>31750850000000</v>
      </c>
      <c r="D4769" t="s">
        <v>6238</v>
      </c>
      <c r="E4769" t="str">
        <f>"31750853130200"</f>
        <v>31750853130200</v>
      </c>
      <c r="F4769" s="8">
        <v>2239</v>
      </c>
      <c r="G4769" s="8">
        <v>14912</v>
      </c>
      <c r="H4769" s="8">
        <v>693</v>
      </c>
      <c r="I4769" s="8">
        <v>3031</v>
      </c>
    </row>
    <row r="4770" spans="1:9" x14ac:dyDescent="0.2">
      <c r="A4770" t="s">
        <v>1058</v>
      </c>
      <c r="B4770" t="s">
        <v>1082</v>
      </c>
      <c r="C4770" t="str">
        <f t="shared" si="234"/>
        <v>31750850000000</v>
      </c>
      <c r="D4770" t="s">
        <v>6239</v>
      </c>
      <c r="E4770" t="str">
        <f>"31750853130150"</f>
        <v>31750853130150</v>
      </c>
      <c r="F4770" s="8">
        <v>4</v>
      </c>
      <c r="G4770" s="8">
        <v>14106</v>
      </c>
      <c r="H4770" s="8">
        <v>693</v>
      </c>
      <c r="I4770" s="8">
        <v>3031</v>
      </c>
    </row>
    <row r="4771" spans="1:9" x14ac:dyDescent="0.2">
      <c r="A4771" t="s">
        <v>1058</v>
      </c>
      <c r="B4771" t="s">
        <v>1082</v>
      </c>
      <c r="C4771" t="str">
        <f t="shared" si="234"/>
        <v>31750850000000</v>
      </c>
      <c r="D4771" t="s">
        <v>6240</v>
      </c>
      <c r="E4771" t="str">
        <f>"31750856031207"</f>
        <v>31750856031207</v>
      </c>
      <c r="F4771" s="8">
        <v>380</v>
      </c>
      <c r="G4771" s="8">
        <v>8899</v>
      </c>
      <c r="H4771" s="8">
        <v>693</v>
      </c>
      <c r="I4771" s="8">
        <v>3031</v>
      </c>
    </row>
    <row r="4772" spans="1:9" x14ac:dyDescent="0.2">
      <c r="A4772" t="s">
        <v>1058</v>
      </c>
      <c r="B4772" t="s">
        <v>1082</v>
      </c>
      <c r="C4772" t="str">
        <f t="shared" si="234"/>
        <v>31750850000000</v>
      </c>
      <c r="D4772" t="s">
        <v>6241</v>
      </c>
      <c r="E4772" t="str">
        <f>"31750856110647"</f>
        <v>31750856110647</v>
      </c>
      <c r="F4772" s="8">
        <v>401</v>
      </c>
      <c r="G4772" s="8">
        <v>8207</v>
      </c>
      <c r="H4772" s="8">
        <v>693</v>
      </c>
      <c r="I4772" s="8">
        <v>3031</v>
      </c>
    </row>
    <row r="4773" spans="1:9" x14ac:dyDescent="0.2">
      <c r="A4773" t="s">
        <v>1058</v>
      </c>
      <c r="B4773" t="s">
        <v>1082</v>
      </c>
      <c r="C4773" t="str">
        <f t="shared" si="234"/>
        <v>31750850000000</v>
      </c>
      <c r="D4773" t="s">
        <v>6242</v>
      </c>
      <c r="E4773" t="str">
        <f>"31750856111975"</f>
        <v>31750856111975</v>
      </c>
      <c r="F4773" s="8">
        <v>409</v>
      </c>
      <c r="G4773" s="8">
        <v>8118</v>
      </c>
      <c r="H4773" s="8">
        <v>693</v>
      </c>
      <c r="I4773" s="8">
        <v>3031</v>
      </c>
    </row>
    <row r="4774" spans="1:9" x14ac:dyDescent="0.2">
      <c r="A4774" t="s">
        <v>1058</v>
      </c>
      <c r="B4774" t="s">
        <v>1082</v>
      </c>
      <c r="C4774" t="str">
        <f t="shared" si="234"/>
        <v>31750850000000</v>
      </c>
      <c r="D4774" t="s">
        <v>6243</v>
      </c>
      <c r="E4774" t="str">
        <f>"31750856109870"</f>
        <v>31750856109870</v>
      </c>
      <c r="F4774" s="8">
        <v>282</v>
      </c>
      <c r="G4774" s="8">
        <v>7936</v>
      </c>
      <c r="H4774" s="8">
        <v>693</v>
      </c>
      <c r="I4774" s="8">
        <v>3031</v>
      </c>
    </row>
    <row r="4775" spans="1:9" x14ac:dyDescent="0.2">
      <c r="A4775" t="s">
        <v>1058</v>
      </c>
      <c r="B4775" t="s">
        <v>1082</v>
      </c>
      <c r="C4775" t="str">
        <f t="shared" si="234"/>
        <v>31750850000000</v>
      </c>
      <c r="D4775" t="s">
        <v>6021</v>
      </c>
      <c r="E4775" t="str">
        <f>"31750856100903"</f>
        <v>31750856100903</v>
      </c>
      <c r="F4775" s="8">
        <v>392</v>
      </c>
      <c r="G4775" s="8">
        <v>7726</v>
      </c>
      <c r="H4775" s="8">
        <v>693</v>
      </c>
      <c r="I4775" s="8">
        <v>3031</v>
      </c>
    </row>
    <row r="4776" spans="1:9" x14ac:dyDescent="0.2">
      <c r="A4776" t="s">
        <v>1058</v>
      </c>
      <c r="B4776" t="s">
        <v>1082</v>
      </c>
      <c r="C4776" t="str">
        <f t="shared" si="234"/>
        <v>31750850000000</v>
      </c>
      <c r="D4776" t="s">
        <v>6197</v>
      </c>
      <c r="E4776" t="str">
        <f>"31750856119853"</f>
        <v>31750856119853</v>
      </c>
      <c r="F4776" s="8">
        <v>119</v>
      </c>
      <c r="G4776" s="8">
        <v>7801</v>
      </c>
      <c r="H4776" s="8">
        <v>693</v>
      </c>
      <c r="I4776" s="8">
        <v>3031</v>
      </c>
    </row>
    <row r="4777" spans="1:9" x14ac:dyDescent="0.2">
      <c r="A4777" t="s">
        <v>1058</v>
      </c>
      <c r="B4777" t="s">
        <v>1082</v>
      </c>
      <c r="C4777" t="str">
        <f t="shared" si="234"/>
        <v>31750850000000</v>
      </c>
      <c r="D4777" t="s">
        <v>6244</v>
      </c>
      <c r="E4777" t="str">
        <f>"31750856031215"</f>
        <v>31750856031215</v>
      </c>
      <c r="F4777" s="8">
        <v>231</v>
      </c>
      <c r="G4777" s="8">
        <v>7334</v>
      </c>
      <c r="H4777" s="8">
        <v>693</v>
      </c>
      <c r="I4777" s="8">
        <v>3031</v>
      </c>
    </row>
    <row r="4778" spans="1:9" x14ac:dyDescent="0.2">
      <c r="A4778" t="s">
        <v>1058</v>
      </c>
      <c r="B4778" t="s">
        <v>1082</v>
      </c>
      <c r="C4778" t="str">
        <f t="shared" si="234"/>
        <v>31750850000000</v>
      </c>
      <c r="D4778" t="s">
        <v>2777</v>
      </c>
      <c r="E4778" t="str">
        <f>"31750856118533"</f>
        <v>31750856118533</v>
      </c>
      <c r="F4778" s="8">
        <v>57</v>
      </c>
      <c r="G4778" s="8">
        <v>7475</v>
      </c>
      <c r="H4778" s="8">
        <v>693</v>
      </c>
      <c r="I4778" s="8">
        <v>3031</v>
      </c>
    </row>
    <row r="4779" spans="1:9" x14ac:dyDescent="0.2">
      <c r="A4779" t="s">
        <v>1058</v>
      </c>
      <c r="B4779" t="s">
        <v>1082</v>
      </c>
      <c r="C4779" t="str">
        <f t="shared" si="234"/>
        <v>31750850000000</v>
      </c>
      <c r="D4779" t="s">
        <v>6245</v>
      </c>
      <c r="E4779" t="str">
        <f>"31750850108084"</f>
        <v>31750850108084</v>
      </c>
      <c r="F4779" s="8">
        <v>492</v>
      </c>
      <c r="G4779" s="8">
        <v>7009</v>
      </c>
      <c r="H4779" s="8">
        <v>693</v>
      </c>
      <c r="I4779" s="8">
        <v>3031</v>
      </c>
    </row>
    <row r="4780" spans="1:9" x14ac:dyDescent="0.2">
      <c r="A4780" t="s">
        <v>1058</v>
      </c>
      <c r="B4780" t="s">
        <v>1082</v>
      </c>
      <c r="C4780" t="str">
        <f t="shared" si="234"/>
        <v>31750850000000</v>
      </c>
      <c r="D4780" t="s">
        <v>6246</v>
      </c>
      <c r="E4780" t="str">
        <f>"31750856116057"</f>
        <v>31750856116057</v>
      </c>
      <c r="F4780" s="8">
        <v>164</v>
      </c>
      <c r="G4780" s="8">
        <v>7239</v>
      </c>
      <c r="H4780" s="8">
        <v>693</v>
      </c>
      <c r="I4780" s="8">
        <v>3031</v>
      </c>
    </row>
    <row r="4781" spans="1:9" x14ac:dyDescent="0.2">
      <c r="A4781" t="s">
        <v>1058</v>
      </c>
      <c r="B4781" t="s">
        <v>1082</v>
      </c>
      <c r="C4781" t="str">
        <f t="shared" si="234"/>
        <v>31750850000000</v>
      </c>
      <c r="D4781" t="s">
        <v>2328</v>
      </c>
      <c r="E4781" t="str">
        <f>"31750856118517"</f>
        <v>31750856118517</v>
      </c>
      <c r="F4781" s="8">
        <v>64</v>
      </c>
      <c r="G4781" s="8">
        <v>7046</v>
      </c>
      <c r="H4781" s="8">
        <v>693</v>
      </c>
      <c r="I4781" s="8">
        <v>3031</v>
      </c>
    </row>
    <row r="4782" spans="1:9" x14ac:dyDescent="0.2">
      <c r="A4782" t="s">
        <v>1058</v>
      </c>
      <c r="B4782" t="s">
        <v>1082</v>
      </c>
      <c r="C4782" t="str">
        <f t="shared" si="234"/>
        <v>31750850000000</v>
      </c>
      <c r="D4782" t="s">
        <v>6247</v>
      </c>
      <c r="E4782" t="str">
        <f>"31750850121244"</f>
        <v>31750850121244</v>
      </c>
      <c r="F4782" s="8">
        <v>152</v>
      </c>
      <c r="G4782" s="8">
        <v>6874</v>
      </c>
      <c r="H4782" s="8">
        <v>693</v>
      </c>
      <c r="I4782" s="8">
        <v>3031</v>
      </c>
    </row>
    <row r="4783" spans="1:9" x14ac:dyDescent="0.2">
      <c r="A4783" t="s">
        <v>1058</v>
      </c>
      <c r="B4783" t="s">
        <v>1082</v>
      </c>
      <c r="C4783" t="str">
        <f t="shared" si="234"/>
        <v>31750850000000</v>
      </c>
      <c r="D4783" t="s">
        <v>6248</v>
      </c>
      <c r="E4783" t="str">
        <f>"31750853130218"</f>
        <v>31750853130218</v>
      </c>
      <c r="F4783" s="8">
        <v>166</v>
      </c>
      <c r="G4783" s="8">
        <v>6800</v>
      </c>
      <c r="H4783" s="8">
        <v>693</v>
      </c>
      <c r="I4783" s="8">
        <v>3031</v>
      </c>
    </row>
    <row r="4784" spans="1:9" x14ac:dyDescent="0.2">
      <c r="A4784" t="s">
        <v>1058</v>
      </c>
      <c r="B4784" t="s">
        <v>1082</v>
      </c>
      <c r="C4784" t="str">
        <f t="shared" si="234"/>
        <v>31750850000000</v>
      </c>
      <c r="D4784" t="s">
        <v>6249</v>
      </c>
      <c r="E4784" t="str">
        <f>"31750856115844"</f>
        <v>31750856115844</v>
      </c>
      <c r="F4784" s="8">
        <v>117</v>
      </c>
      <c r="G4784" s="8">
        <v>6744</v>
      </c>
      <c r="H4784" s="8">
        <v>693</v>
      </c>
      <c r="I4784" s="8">
        <v>3031</v>
      </c>
    </row>
    <row r="4785" spans="1:9" x14ac:dyDescent="0.2">
      <c r="A4785" t="s">
        <v>1058</v>
      </c>
      <c r="B4785" t="s">
        <v>1083</v>
      </c>
      <c r="C4785" t="str">
        <f t="shared" ref="C4785:C4804" si="235">"31669100000000"</f>
        <v>31669100000000</v>
      </c>
      <c r="D4785" t="s">
        <v>6250</v>
      </c>
      <c r="E4785" t="str">
        <f>"31669100139857"</f>
        <v>31669100139857</v>
      </c>
      <c r="F4785" s="8">
        <v>406</v>
      </c>
      <c r="G4785" s="8">
        <v>32590</v>
      </c>
      <c r="H4785" s="8">
        <v>1016</v>
      </c>
      <c r="I4785" s="8">
        <v>3594</v>
      </c>
    </row>
    <row r="4786" spans="1:9" x14ac:dyDescent="0.2">
      <c r="A4786" t="s">
        <v>1058</v>
      </c>
      <c r="B4786" t="s">
        <v>1083</v>
      </c>
      <c r="C4786" t="str">
        <f t="shared" si="235"/>
        <v>31669100000000</v>
      </c>
      <c r="D4786" t="s">
        <v>6251</v>
      </c>
      <c r="E4786" t="str">
        <f>"31669106031256"</f>
        <v>31669106031256</v>
      </c>
      <c r="F4786" s="8">
        <v>1678</v>
      </c>
      <c r="G4786" s="8">
        <v>7158</v>
      </c>
      <c r="H4786" s="8">
        <v>1016</v>
      </c>
      <c r="I4786" s="8">
        <v>3594</v>
      </c>
    </row>
    <row r="4787" spans="1:9" x14ac:dyDescent="0.2">
      <c r="A4787" t="s">
        <v>1058</v>
      </c>
      <c r="B4787" t="s">
        <v>1083</v>
      </c>
      <c r="C4787" t="str">
        <f t="shared" si="235"/>
        <v>31669100000000</v>
      </c>
      <c r="D4787" t="s">
        <v>6252</v>
      </c>
      <c r="E4787" t="str">
        <f>"31669106111959"</f>
        <v>31669106111959</v>
      </c>
      <c r="F4787" s="8">
        <v>720</v>
      </c>
      <c r="G4787" s="8">
        <v>7209</v>
      </c>
      <c r="H4787" s="8">
        <v>1016</v>
      </c>
      <c r="I4787" s="8">
        <v>3594</v>
      </c>
    </row>
    <row r="4788" spans="1:9" x14ac:dyDescent="0.2">
      <c r="A4788" t="s">
        <v>1058</v>
      </c>
      <c r="B4788" t="s">
        <v>1083</v>
      </c>
      <c r="C4788" t="str">
        <f t="shared" si="235"/>
        <v>31669100000000</v>
      </c>
      <c r="D4788" t="s">
        <v>6253</v>
      </c>
      <c r="E4788" t="str">
        <f>"31669106109482"</f>
        <v>31669106109482</v>
      </c>
      <c r="F4788" s="8">
        <v>820</v>
      </c>
      <c r="G4788" s="8">
        <v>7000</v>
      </c>
      <c r="H4788" s="8">
        <v>1016</v>
      </c>
      <c r="I4788" s="8">
        <v>3594</v>
      </c>
    </row>
    <row r="4789" spans="1:9" x14ac:dyDescent="0.2">
      <c r="A4789" t="s">
        <v>1058</v>
      </c>
      <c r="B4789" t="s">
        <v>1083</v>
      </c>
      <c r="C4789" t="str">
        <f t="shared" si="235"/>
        <v>31669100000000</v>
      </c>
      <c r="D4789" t="s">
        <v>6254</v>
      </c>
      <c r="E4789" t="str">
        <f>"31669106031280"</f>
        <v>31669106031280</v>
      </c>
      <c r="F4789" s="8">
        <v>1640</v>
      </c>
      <c r="G4789" s="8">
        <v>6106</v>
      </c>
      <c r="H4789" s="8">
        <v>1016</v>
      </c>
      <c r="I4789" s="8">
        <v>3594</v>
      </c>
    </row>
    <row r="4790" spans="1:9" x14ac:dyDescent="0.2">
      <c r="A4790" t="s">
        <v>1058</v>
      </c>
      <c r="B4790" t="s">
        <v>1083</v>
      </c>
      <c r="C4790" t="str">
        <f t="shared" si="235"/>
        <v>31669100000000</v>
      </c>
      <c r="D4790" t="s">
        <v>3653</v>
      </c>
      <c r="E4790" t="str">
        <f>"31669100102798"</f>
        <v>31669100102798</v>
      </c>
      <c r="F4790" s="8">
        <v>931</v>
      </c>
      <c r="G4790" s="8">
        <v>6740</v>
      </c>
      <c r="H4790" s="8">
        <v>1016</v>
      </c>
      <c r="I4790" s="8">
        <v>3594</v>
      </c>
    </row>
    <row r="4791" spans="1:9" x14ac:dyDescent="0.2">
      <c r="A4791" t="s">
        <v>1058</v>
      </c>
      <c r="B4791" t="s">
        <v>1083</v>
      </c>
      <c r="C4791" t="str">
        <f t="shared" si="235"/>
        <v>31669100000000</v>
      </c>
      <c r="D4791" t="s">
        <v>6255</v>
      </c>
      <c r="E4791" t="str">
        <f>"31669100102806"</f>
        <v>31669100102806</v>
      </c>
      <c r="F4791" s="8">
        <v>1279</v>
      </c>
      <c r="G4791" s="8">
        <v>6034</v>
      </c>
      <c r="H4791" s="8">
        <v>1016</v>
      </c>
      <c r="I4791" s="8">
        <v>3594</v>
      </c>
    </row>
    <row r="4792" spans="1:9" x14ac:dyDescent="0.2">
      <c r="A4792" t="s">
        <v>1058</v>
      </c>
      <c r="B4792" t="s">
        <v>1083</v>
      </c>
      <c r="C4792" t="str">
        <f t="shared" si="235"/>
        <v>31669100000000</v>
      </c>
      <c r="D4792" t="s">
        <v>6256</v>
      </c>
      <c r="E4792" t="str">
        <f>"31669106031249"</f>
        <v>31669106031249</v>
      </c>
      <c r="F4792" s="8">
        <v>443</v>
      </c>
      <c r="G4792" s="8">
        <v>6780</v>
      </c>
      <c r="H4792" s="8">
        <v>1016</v>
      </c>
      <c r="I4792" s="8">
        <v>3594</v>
      </c>
    </row>
    <row r="4793" spans="1:9" x14ac:dyDescent="0.2">
      <c r="A4793" t="s">
        <v>1058</v>
      </c>
      <c r="B4793" t="s">
        <v>1083</v>
      </c>
      <c r="C4793" t="str">
        <f t="shared" si="235"/>
        <v>31669100000000</v>
      </c>
      <c r="D4793" t="s">
        <v>6257</v>
      </c>
      <c r="E4793" t="str">
        <f>"31669106117790"</f>
        <v>31669106117790</v>
      </c>
      <c r="F4793" s="8">
        <v>356</v>
      </c>
      <c r="G4793" s="8">
        <v>6658</v>
      </c>
      <c r="H4793" s="8">
        <v>1016</v>
      </c>
      <c r="I4793" s="8">
        <v>3594</v>
      </c>
    </row>
    <row r="4794" spans="1:9" x14ac:dyDescent="0.2">
      <c r="A4794" t="s">
        <v>1058</v>
      </c>
      <c r="B4794" t="s">
        <v>1083</v>
      </c>
      <c r="C4794" t="str">
        <f t="shared" si="235"/>
        <v>31669100000000</v>
      </c>
      <c r="D4794" t="s">
        <v>6258</v>
      </c>
      <c r="E4794" t="str">
        <f>"31669106111967"</f>
        <v>31669106111967</v>
      </c>
      <c r="F4794" s="8">
        <v>439</v>
      </c>
      <c r="G4794" s="8">
        <v>6405</v>
      </c>
      <c r="H4794" s="8">
        <v>1016</v>
      </c>
      <c r="I4794" s="8">
        <v>3594</v>
      </c>
    </row>
    <row r="4795" spans="1:9" x14ac:dyDescent="0.2">
      <c r="A4795" t="s">
        <v>1058</v>
      </c>
      <c r="B4795" t="s">
        <v>1083</v>
      </c>
      <c r="C4795" t="str">
        <f t="shared" si="235"/>
        <v>31669100000000</v>
      </c>
      <c r="D4795" t="s">
        <v>6259</v>
      </c>
      <c r="E4795" t="str">
        <f>"31669106116099"</f>
        <v>31669106116099</v>
      </c>
      <c r="F4795" s="8">
        <v>256</v>
      </c>
      <c r="G4795" s="8">
        <v>6403</v>
      </c>
      <c r="H4795" s="8">
        <v>1016</v>
      </c>
      <c r="I4795" s="8">
        <v>3594</v>
      </c>
    </row>
    <row r="4796" spans="1:9" x14ac:dyDescent="0.2">
      <c r="A4796" t="s">
        <v>1058</v>
      </c>
      <c r="B4796" t="s">
        <v>1083</v>
      </c>
      <c r="C4796" t="str">
        <f t="shared" si="235"/>
        <v>31669100000000</v>
      </c>
      <c r="D4796" t="s">
        <v>6260</v>
      </c>
      <c r="E4796" t="str">
        <f>"31669106031223"</f>
        <v>31669106031223</v>
      </c>
      <c r="F4796" s="8">
        <v>911</v>
      </c>
      <c r="G4796" s="8">
        <v>5576</v>
      </c>
      <c r="H4796" s="8">
        <v>1016</v>
      </c>
      <c r="I4796" s="8">
        <v>3594</v>
      </c>
    </row>
    <row r="4797" spans="1:9" x14ac:dyDescent="0.2">
      <c r="A4797" t="s">
        <v>1058</v>
      </c>
      <c r="B4797" t="s">
        <v>1083</v>
      </c>
      <c r="C4797" t="str">
        <f t="shared" si="235"/>
        <v>31669100000000</v>
      </c>
      <c r="D4797" t="s">
        <v>6261</v>
      </c>
      <c r="E4797" t="str">
        <f>"31669103130234"</f>
        <v>31669103130234</v>
      </c>
      <c r="F4797" s="8">
        <v>653</v>
      </c>
      <c r="G4797" s="8">
        <v>5777</v>
      </c>
      <c r="H4797" s="8">
        <v>1016</v>
      </c>
      <c r="I4797" s="8">
        <v>3594</v>
      </c>
    </row>
    <row r="4798" spans="1:9" x14ac:dyDescent="0.2">
      <c r="A4798" t="s">
        <v>1058</v>
      </c>
      <c r="B4798" t="s">
        <v>1083</v>
      </c>
      <c r="C4798" t="str">
        <f t="shared" si="235"/>
        <v>31669100000000</v>
      </c>
      <c r="D4798" t="s">
        <v>6262</v>
      </c>
      <c r="E4798" t="str">
        <f>"31669106106108"</f>
        <v>31669106106108</v>
      </c>
      <c r="F4798" s="8">
        <v>403</v>
      </c>
      <c r="G4798" s="8">
        <v>5885</v>
      </c>
      <c r="H4798" s="8">
        <v>1016</v>
      </c>
      <c r="I4798" s="8">
        <v>3594</v>
      </c>
    </row>
    <row r="4799" spans="1:9" x14ac:dyDescent="0.2">
      <c r="A4799" t="s">
        <v>1058</v>
      </c>
      <c r="B4799" t="s">
        <v>1083</v>
      </c>
      <c r="C4799" t="str">
        <f t="shared" si="235"/>
        <v>31669100000000</v>
      </c>
      <c r="D4799" t="s">
        <v>6263</v>
      </c>
      <c r="E4799" t="str">
        <f>"31669106031231"</f>
        <v>31669106031231</v>
      </c>
      <c r="F4799" s="8">
        <v>534</v>
      </c>
      <c r="G4799" s="8">
        <v>5637</v>
      </c>
      <c r="H4799" s="8">
        <v>1016</v>
      </c>
      <c r="I4799" s="8">
        <v>3594</v>
      </c>
    </row>
    <row r="4800" spans="1:9" x14ac:dyDescent="0.2">
      <c r="A4800" t="s">
        <v>1058</v>
      </c>
      <c r="B4800" t="s">
        <v>1083</v>
      </c>
      <c r="C4800" t="str">
        <f t="shared" si="235"/>
        <v>31669100000000</v>
      </c>
      <c r="D4800" t="s">
        <v>6264</v>
      </c>
      <c r="E4800" t="str">
        <f>"31669100127639"</f>
        <v>31669100127639</v>
      </c>
      <c r="F4800" s="8">
        <v>465</v>
      </c>
      <c r="G4800" s="8">
        <v>5532</v>
      </c>
      <c r="H4800" s="8">
        <v>1016</v>
      </c>
      <c r="I4800" s="8">
        <v>3594</v>
      </c>
    </row>
    <row r="4801" spans="1:9" x14ac:dyDescent="0.2">
      <c r="A4801" t="s">
        <v>1058</v>
      </c>
      <c r="B4801" t="s">
        <v>1083</v>
      </c>
      <c r="C4801" t="str">
        <f t="shared" si="235"/>
        <v>31669100000000</v>
      </c>
      <c r="D4801" t="s">
        <v>6265</v>
      </c>
      <c r="E4801" t="str">
        <f>"31669103130242"</f>
        <v>31669103130242</v>
      </c>
      <c r="F4801" s="8">
        <v>461</v>
      </c>
      <c r="G4801" s="8">
        <v>5159</v>
      </c>
      <c r="H4801" s="8">
        <v>1016</v>
      </c>
      <c r="I4801" s="8">
        <v>3594</v>
      </c>
    </row>
    <row r="4802" spans="1:9" x14ac:dyDescent="0.2">
      <c r="A4802" t="s">
        <v>1058</v>
      </c>
      <c r="B4802" t="s">
        <v>1083</v>
      </c>
      <c r="C4802" t="str">
        <f t="shared" si="235"/>
        <v>31669100000000</v>
      </c>
      <c r="D4802" t="s">
        <v>1719</v>
      </c>
      <c r="E4802" t="str">
        <f>"31669100116624"</f>
        <v>31669100116624</v>
      </c>
      <c r="F4802" s="8">
        <v>310</v>
      </c>
      <c r="G4802" s="8">
        <v>5120</v>
      </c>
      <c r="H4802" s="8">
        <v>1016</v>
      </c>
      <c r="I4802" s="8">
        <v>3594</v>
      </c>
    </row>
    <row r="4803" spans="1:9" x14ac:dyDescent="0.2">
      <c r="A4803" t="s">
        <v>1058</v>
      </c>
      <c r="B4803" t="s">
        <v>1083</v>
      </c>
      <c r="C4803" t="str">
        <f t="shared" si="235"/>
        <v>31669100000000</v>
      </c>
      <c r="D4803" t="s">
        <v>6266</v>
      </c>
      <c r="E4803" t="str">
        <f>"31669100125740"</f>
        <v>31669100125740</v>
      </c>
      <c r="F4803" s="8">
        <v>289</v>
      </c>
      <c r="G4803" s="8">
        <v>5063</v>
      </c>
      <c r="H4803" s="8">
        <v>1016</v>
      </c>
      <c r="I4803" s="8">
        <v>3594</v>
      </c>
    </row>
    <row r="4804" spans="1:9" x14ac:dyDescent="0.2">
      <c r="A4804" t="s">
        <v>1058</v>
      </c>
      <c r="B4804" t="s">
        <v>1083</v>
      </c>
      <c r="C4804" t="str">
        <f t="shared" si="235"/>
        <v>31669100000000</v>
      </c>
      <c r="D4804" t="s">
        <v>6267</v>
      </c>
      <c r="E4804" t="str">
        <f>"31669100135178"</f>
        <v>31669100135178</v>
      </c>
      <c r="F4804" s="8">
        <v>220</v>
      </c>
      <c r="G4804" s="8">
        <v>4547</v>
      </c>
      <c r="H4804" s="8">
        <v>1016</v>
      </c>
      <c r="I4804" s="8">
        <v>3594</v>
      </c>
    </row>
    <row r="4805" spans="1:9" x14ac:dyDescent="0.2">
      <c r="A4805" t="s">
        <v>1058</v>
      </c>
      <c r="B4805" t="s">
        <v>1084</v>
      </c>
      <c r="C4805" t="str">
        <f t="shared" ref="C4805:C4812" si="236">"31669280000000"</f>
        <v>31669280000000</v>
      </c>
      <c r="D4805" t="s">
        <v>6268</v>
      </c>
      <c r="E4805" t="str">
        <f>"31669283130309"</f>
        <v>31669283130309</v>
      </c>
      <c r="F4805" s="8">
        <v>1531</v>
      </c>
      <c r="G4805" s="8">
        <v>17626</v>
      </c>
      <c r="H4805" s="8">
        <v>715</v>
      </c>
      <c r="I4805" s="8">
        <v>3159</v>
      </c>
    </row>
    <row r="4806" spans="1:9" x14ac:dyDescent="0.2">
      <c r="A4806" t="s">
        <v>1058</v>
      </c>
      <c r="B4806" t="s">
        <v>1084</v>
      </c>
      <c r="C4806" t="str">
        <f t="shared" si="236"/>
        <v>31669280000000</v>
      </c>
      <c r="D4806" t="s">
        <v>6269</v>
      </c>
      <c r="E4806" t="str">
        <f>"31669280139840"</f>
        <v>31669280139840</v>
      </c>
      <c r="F4806" s="8">
        <v>437</v>
      </c>
      <c r="G4806" s="8">
        <v>14635</v>
      </c>
      <c r="H4806" s="8">
        <v>751</v>
      </c>
      <c r="I4806" s="8">
        <v>3485</v>
      </c>
    </row>
    <row r="4807" spans="1:9" x14ac:dyDescent="0.2">
      <c r="A4807" t="s">
        <v>1058</v>
      </c>
      <c r="B4807" t="s">
        <v>1084</v>
      </c>
      <c r="C4807" t="str">
        <f t="shared" si="236"/>
        <v>31669280000000</v>
      </c>
      <c r="D4807" t="s">
        <v>3585</v>
      </c>
      <c r="E4807" t="str">
        <f>"31669283130119"</f>
        <v>31669283130119</v>
      </c>
      <c r="F4807" s="8">
        <v>1587</v>
      </c>
      <c r="G4807" s="8">
        <v>12375</v>
      </c>
      <c r="H4807" s="8">
        <v>685</v>
      </c>
      <c r="I4807" s="8">
        <v>2880</v>
      </c>
    </row>
    <row r="4808" spans="1:9" x14ac:dyDescent="0.2">
      <c r="A4808" t="s">
        <v>1058</v>
      </c>
      <c r="B4808" t="s">
        <v>1084</v>
      </c>
      <c r="C4808" t="str">
        <f t="shared" si="236"/>
        <v>31669280000000</v>
      </c>
      <c r="D4808" t="s">
        <v>6270</v>
      </c>
      <c r="E4808" t="str">
        <f>"31669283136504"</f>
        <v>31669283136504</v>
      </c>
      <c r="F4808" s="8">
        <v>489</v>
      </c>
      <c r="G4808" s="8">
        <v>7744</v>
      </c>
      <c r="H4808" s="8">
        <v>694</v>
      </c>
      <c r="I4808" s="8">
        <v>2963</v>
      </c>
    </row>
    <row r="4809" spans="1:9" x14ac:dyDescent="0.2">
      <c r="A4809" t="s">
        <v>1058</v>
      </c>
      <c r="B4809" t="s">
        <v>1084</v>
      </c>
      <c r="C4809" t="str">
        <f t="shared" si="236"/>
        <v>31669280000000</v>
      </c>
      <c r="D4809" t="s">
        <v>6271</v>
      </c>
      <c r="E4809" t="str">
        <f>"31669283135308"</f>
        <v>31669283135308</v>
      </c>
      <c r="F4809" s="8">
        <v>367</v>
      </c>
      <c r="G4809" s="8">
        <v>7735</v>
      </c>
      <c r="H4809" s="8">
        <v>688</v>
      </c>
      <c r="I4809" s="8">
        <v>2908</v>
      </c>
    </row>
    <row r="4810" spans="1:9" x14ac:dyDescent="0.2">
      <c r="A4810" t="s">
        <v>1058</v>
      </c>
      <c r="B4810" t="s">
        <v>1084</v>
      </c>
      <c r="C4810" t="str">
        <f t="shared" si="236"/>
        <v>31669280000000</v>
      </c>
      <c r="D4810" t="s">
        <v>6272</v>
      </c>
      <c r="E4810" t="str">
        <f>"31669283130184"</f>
        <v>31669283130184</v>
      </c>
      <c r="F4810" s="8">
        <v>320</v>
      </c>
      <c r="G4810" s="8">
        <v>7605</v>
      </c>
      <c r="H4810" s="8">
        <v>690</v>
      </c>
      <c r="I4810" s="8">
        <v>2928</v>
      </c>
    </row>
    <row r="4811" spans="1:9" x14ac:dyDescent="0.2">
      <c r="A4811" t="s">
        <v>1058</v>
      </c>
      <c r="B4811" t="s">
        <v>1084</v>
      </c>
      <c r="C4811" t="str">
        <f t="shared" si="236"/>
        <v>31669280000000</v>
      </c>
      <c r="D4811" t="s">
        <v>6273</v>
      </c>
      <c r="E4811" t="str">
        <f>"31669283130176"</f>
        <v>31669283130176</v>
      </c>
      <c r="F4811" s="8">
        <v>342</v>
      </c>
      <c r="G4811" s="8">
        <v>7192</v>
      </c>
      <c r="H4811" s="8">
        <v>686</v>
      </c>
      <c r="I4811" s="8">
        <v>2898</v>
      </c>
    </row>
    <row r="4812" spans="1:9" x14ac:dyDescent="0.2">
      <c r="A4812" t="s">
        <v>1058</v>
      </c>
      <c r="B4812" t="s">
        <v>1084</v>
      </c>
      <c r="C4812" t="str">
        <f t="shared" si="236"/>
        <v>31669280000000</v>
      </c>
      <c r="D4812" t="s">
        <v>6274</v>
      </c>
      <c r="E4812" t="str">
        <f>"31669280116459"</f>
        <v>31669280116459</v>
      </c>
      <c r="F4812" s="8">
        <v>523</v>
      </c>
      <c r="G4812" s="8">
        <v>6948</v>
      </c>
      <c r="H4812" s="8">
        <v>690</v>
      </c>
      <c r="I4812" s="8">
        <v>2931</v>
      </c>
    </row>
    <row r="4813" spans="1:9" x14ac:dyDescent="0.2">
      <c r="A4813" t="s">
        <v>1058</v>
      </c>
      <c r="B4813" t="s">
        <v>1086</v>
      </c>
      <c r="C4813" t="str">
        <f t="shared" ref="C4813:C4823" si="237">"31669440000000"</f>
        <v>31669440000000</v>
      </c>
      <c r="D4813" t="s">
        <v>6275</v>
      </c>
      <c r="E4813" t="str">
        <f>"31669443130192"</f>
        <v>31669443130192</v>
      </c>
      <c r="F4813" s="8">
        <v>96</v>
      </c>
      <c r="G4813" s="8">
        <v>402143</v>
      </c>
      <c r="H4813" s="8">
        <v>958</v>
      </c>
      <c r="I4813" s="8">
        <v>7700</v>
      </c>
    </row>
    <row r="4814" spans="1:9" x14ac:dyDescent="0.2">
      <c r="A4814" t="s">
        <v>1058</v>
      </c>
      <c r="B4814" t="s">
        <v>1086</v>
      </c>
      <c r="C4814" t="str">
        <f t="shared" si="237"/>
        <v>31669440000000</v>
      </c>
      <c r="D4814" t="s">
        <v>5518</v>
      </c>
      <c r="E4814" t="str">
        <f>"31669443130077"</f>
        <v>31669443130077</v>
      </c>
      <c r="F4814" s="8">
        <v>283</v>
      </c>
      <c r="G4814" s="8">
        <v>49856</v>
      </c>
      <c r="H4814" s="8">
        <v>958</v>
      </c>
      <c r="I4814" s="8">
        <v>7629</v>
      </c>
    </row>
    <row r="4815" spans="1:9" x14ac:dyDescent="0.2">
      <c r="A4815" t="s">
        <v>1058</v>
      </c>
      <c r="B4815" t="s">
        <v>1086</v>
      </c>
      <c r="C4815" t="str">
        <f t="shared" si="237"/>
        <v>31669440000000</v>
      </c>
      <c r="D4815" t="s">
        <v>6276</v>
      </c>
      <c r="E4815" t="str">
        <f>"31669446031298"</f>
        <v>31669446031298</v>
      </c>
      <c r="F4815" s="8">
        <v>130</v>
      </c>
      <c r="G4815" s="8">
        <v>12917</v>
      </c>
      <c r="H4815" s="8">
        <v>958</v>
      </c>
      <c r="I4815" s="8">
        <v>7629</v>
      </c>
    </row>
    <row r="4816" spans="1:9" x14ac:dyDescent="0.2">
      <c r="A4816" t="s">
        <v>1058</v>
      </c>
      <c r="B4816" t="s">
        <v>1086</v>
      </c>
      <c r="C4816" t="str">
        <f t="shared" si="237"/>
        <v>31669440000000</v>
      </c>
      <c r="D4816" t="s">
        <v>6277</v>
      </c>
      <c r="E4816" t="str">
        <f>"31669446031314"</f>
        <v>31669446031314</v>
      </c>
      <c r="F4816" s="8">
        <v>130</v>
      </c>
      <c r="G4816" s="8">
        <v>10748</v>
      </c>
      <c r="H4816" s="8">
        <v>958</v>
      </c>
      <c r="I4816" s="8">
        <v>7629</v>
      </c>
    </row>
    <row r="4817" spans="1:9" x14ac:dyDescent="0.2">
      <c r="A4817" t="s">
        <v>1058</v>
      </c>
      <c r="B4817" t="s">
        <v>1086</v>
      </c>
      <c r="C4817" t="str">
        <f t="shared" si="237"/>
        <v>31669440000000</v>
      </c>
      <c r="D4817" t="s">
        <v>6278</v>
      </c>
      <c r="E4817" t="str">
        <f>"31669446031306"</f>
        <v>31669446031306</v>
      </c>
      <c r="F4817" s="8">
        <v>177</v>
      </c>
      <c r="G4817" s="8">
        <v>10404</v>
      </c>
      <c r="H4817" s="8">
        <v>958</v>
      </c>
      <c r="I4817" s="8">
        <v>7629</v>
      </c>
    </row>
    <row r="4818" spans="1:9" x14ac:dyDescent="0.2">
      <c r="A4818" t="s">
        <v>1058</v>
      </c>
      <c r="B4818" t="s">
        <v>1086</v>
      </c>
      <c r="C4818" t="str">
        <f t="shared" si="237"/>
        <v>31669440000000</v>
      </c>
      <c r="D4818" t="s">
        <v>6279</v>
      </c>
      <c r="E4818" t="str">
        <f>"31669446031322"</f>
        <v>31669446031322</v>
      </c>
      <c r="F4818" s="8">
        <v>276</v>
      </c>
      <c r="G4818" s="8">
        <v>9810</v>
      </c>
      <c r="H4818" s="8">
        <v>958</v>
      </c>
      <c r="I4818" s="8">
        <v>7629</v>
      </c>
    </row>
    <row r="4819" spans="1:9" x14ac:dyDescent="0.2">
      <c r="A4819" t="s">
        <v>1058</v>
      </c>
      <c r="B4819" t="s">
        <v>1086</v>
      </c>
      <c r="C4819" t="str">
        <f t="shared" si="237"/>
        <v>31669440000000</v>
      </c>
      <c r="D4819" t="s">
        <v>6280</v>
      </c>
      <c r="E4819" t="str">
        <f>"31669446113062"</f>
        <v>31669446113062</v>
      </c>
      <c r="F4819" s="8">
        <v>116</v>
      </c>
      <c r="G4819" s="8">
        <v>9316</v>
      </c>
      <c r="H4819" s="8">
        <v>958</v>
      </c>
      <c r="I4819" s="8">
        <v>7629</v>
      </c>
    </row>
    <row r="4820" spans="1:9" x14ac:dyDescent="0.2">
      <c r="A4820" t="s">
        <v>1058</v>
      </c>
      <c r="B4820" t="s">
        <v>1086</v>
      </c>
      <c r="C4820" t="str">
        <f t="shared" si="237"/>
        <v>31669440000000</v>
      </c>
      <c r="D4820" t="s">
        <v>6281</v>
      </c>
      <c r="E4820" t="str">
        <f>"31669443130010"</f>
        <v>31669443130010</v>
      </c>
      <c r="F4820" s="8">
        <v>137</v>
      </c>
      <c r="G4820" s="8">
        <v>8899</v>
      </c>
      <c r="H4820" s="8">
        <v>958</v>
      </c>
      <c r="I4820" s="8">
        <v>7700</v>
      </c>
    </row>
    <row r="4821" spans="1:9" x14ac:dyDescent="0.2">
      <c r="A4821" t="s">
        <v>1058</v>
      </c>
      <c r="B4821" t="s">
        <v>1086</v>
      </c>
      <c r="C4821" t="str">
        <f t="shared" si="237"/>
        <v>31669440000000</v>
      </c>
      <c r="D4821" t="s">
        <v>6282</v>
      </c>
      <c r="E4821" t="str">
        <f>"31669440106807"</f>
        <v>31669440106807</v>
      </c>
      <c r="F4821" s="8">
        <v>52</v>
      </c>
      <c r="G4821" s="8">
        <v>8611</v>
      </c>
      <c r="H4821" s="8">
        <v>958</v>
      </c>
      <c r="I4821" s="8">
        <v>7700</v>
      </c>
    </row>
    <row r="4822" spans="1:9" x14ac:dyDescent="0.2">
      <c r="A4822" t="s">
        <v>1058</v>
      </c>
      <c r="B4822" t="s">
        <v>1086</v>
      </c>
      <c r="C4822" t="str">
        <f t="shared" si="237"/>
        <v>31669440000000</v>
      </c>
      <c r="D4822" t="s">
        <v>6283</v>
      </c>
      <c r="E4822" t="str">
        <f>"31669446094502"</f>
        <v>31669446094502</v>
      </c>
      <c r="F4822" s="8">
        <v>129</v>
      </c>
      <c r="G4822" s="8">
        <v>8431</v>
      </c>
      <c r="H4822" s="8">
        <v>958</v>
      </c>
      <c r="I4822" s="8">
        <v>7700</v>
      </c>
    </row>
    <row r="4823" spans="1:9" x14ac:dyDescent="0.2">
      <c r="A4823" t="s">
        <v>1058</v>
      </c>
      <c r="B4823" t="s">
        <v>1086</v>
      </c>
      <c r="C4823" t="str">
        <f t="shared" si="237"/>
        <v>31669440000000</v>
      </c>
      <c r="D4823" t="s">
        <v>6284</v>
      </c>
      <c r="E4823" t="str">
        <f>"31669443138500"</f>
        <v>31669443138500</v>
      </c>
      <c r="F4823" s="8">
        <v>58</v>
      </c>
      <c r="G4823" s="8">
        <v>7254</v>
      </c>
      <c r="H4823" s="8">
        <v>958</v>
      </c>
      <c r="I4823" s="8">
        <v>7700</v>
      </c>
    </row>
    <row r="4824" spans="1:9" x14ac:dyDescent="0.2">
      <c r="A4824" t="s">
        <v>1058</v>
      </c>
      <c r="B4824" t="s">
        <v>1087</v>
      </c>
      <c r="C4824" t="str">
        <f t="shared" ref="C4824:C4836" si="238">"31669510000000"</f>
        <v>31669510000000</v>
      </c>
      <c r="D4824" t="s">
        <v>2992</v>
      </c>
      <c r="E4824" t="str">
        <f>"31669516031363"</f>
        <v>31669516031363</v>
      </c>
      <c r="F4824" s="8">
        <v>1302</v>
      </c>
      <c r="G4824" s="8">
        <v>13800</v>
      </c>
      <c r="H4824" s="8">
        <v>869</v>
      </c>
      <c r="I4824" s="8">
        <v>3323</v>
      </c>
    </row>
    <row r="4825" spans="1:9" x14ac:dyDescent="0.2">
      <c r="A4825" t="s">
        <v>1058</v>
      </c>
      <c r="B4825" t="s">
        <v>1087</v>
      </c>
      <c r="C4825" t="str">
        <f t="shared" si="238"/>
        <v>31669510000000</v>
      </c>
      <c r="D4825" t="s">
        <v>6285</v>
      </c>
      <c r="E4825" t="str">
        <f>"31669513130036"</f>
        <v>31669513130036</v>
      </c>
      <c r="F4825" s="8">
        <v>581</v>
      </c>
      <c r="G4825" s="8">
        <v>9809</v>
      </c>
      <c r="H4825" s="8">
        <v>869</v>
      </c>
      <c r="I4825" s="8">
        <v>3323</v>
      </c>
    </row>
    <row r="4826" spans="1:9" x14ac:dyDescent="0.2">
      <c r="A4826" t="s">
        <v>1058</v>
      </c>
      <c r="B4826" t="s">
        <v>1087</v>
      </c>
      <c r="C4826" t="str">
        <f t="shared" si="238"/>
        <v>31669510000000</v>
      </c>
      <c r="D4826" t="s">
        <v>4502</v>
      </c>
      <c r="E4826" t="str">
        <f>"31669516117493"</f>
        <v>31669516117493</v>
      </c>
      <c r="F4826" s="8">
        <v>942</v>
      </c>
      <c r="G4826" s="8">
        <v>8463</v>
      </c>
      <c r="H4826" s="8">
        <v>869</v>
      </c>
      <c r="I4826" s="8">
        <v>3323</v>
      </c>
    </row>
    <row r="4827" spans="1:9" x14ac:dyDescent="0.2">
      <c r="A4827" t="s">
        <v>1058</v>
      </c>
      <c r="B4827" t="s">
        <v>1087</v>
      </c>
      <c r="C4827" t="str">
        <f t="shared" si="238"/>
        <v>31669510000000</v>
      </c>
      <c r="D4827" t="s">
        <v>6286</v>
      </c>
      <c r="E4827" t="str">
        <f>"31669516098610"</f>
        <v>31669516098610</v>
      </c>
      <c r="F4827" s="8">
        <v>1040</v>
      </c>
      <c r="G4827" s="8">
        <v>8014</v>
      </c>
      <c r="H4827" s="8">
        <v>869</v>
      </c>
      <c r="I4827" s="8">
        <v>3323</v>
      </c>
    </row>
    <row r="4828" spans="1:9" x14ac:dyDescent="0.2">
      <c r="A4828" t="s">
        <v>1058</v>
      </c>
      <c r="B4828" t="s">
        <v>1087</v>
      </c>
      <c r="C4828" t="str">
        <f t="shared" si="238"/>
        <v>31669510000000</v>
      </c>
      <c r="D4828" t="s">
        <v>6287</v>
      </c>
      <c r="E4828" t="str">
        <f>"31669510108514"</f>
        <v>31669510108514</v>
      </c>
      <c r="F4828" s="8">
        <v>991</v>
      </c>
      <c r="G4828" s="8">
        <v>7806</v>
      </c>
      <c r="H4828" s="8">
        <v>869</v>
      </c>
      <c r="I4828" s="8">
        <v>3430</v>
      </c>
    </row>
    <row r="4829" spans="1:9" x14ac:dyDescent="0.2">
      <c r="A4829" t="s">
        <v>1058</v>
      </c>
      <c r="B4829" t="s">
        <v>1087</v>
      </c>
      <c r="C4829" t="str">
        <f t="shared" si="238"/>
        <v>31669510000000</v>
      </c>
      <c r="D4829" t="s">
        <v>6288</v>
      </c>
      <c r="E4829" t="str">
        <f>"31669516085252"</f>
        <v>31669516085252</v>
      </c>
      <c r="F4829" s="8">
        <v>889</v>
      </c>
      <c r="G4829" s="8">
        <v>8007</v>
      </c>
      <c r="H4829" s="8">
        <v>869</v>
      </c>
      <c r="I4829" s="8">
        <v>3323</v>
      </c>
    </row>
    <row r="4830" spans="1:9" x14ac:dyDescent="0.2">
      <c r="A4830" t="s">
        <v>1058</v>
      </c>
      <c r="B4830" t="s">
        <v>1087</v>
      </c>
      <c r="C4830" t="str">
        <f t="shared" si="238"/>
        <v>31669510000000</v>
      </c>
      <c r="D4830" t="s">
        <v>6289</v>
      </c>
      <c r="E4830" t="str">
        <f>"31669510113068"</f>
        <v>31669510113068</v>
      </c>
      <c r="F4830" s="8">
        <v>463</v>
      </c>
      <c r="G4830" s="8">
        <v>7427</v>
      </c>
      <c r="H4830" s="8">
        <v>869</v>
      </c>
      <c r="I4830" s="8">
        <v>3323</v>
      </c>
    </row>
    <row r="4831" spans="1:9" x14ac:dyDescent="0.2">
      <c r="A4831" t="s">
        <v>1058</v>
      </c>
      <c r="B4831" t="s">
        <v>1087</v>
      </c>
      <c r="C4831" t="str">
        <f t="shared" si="238"/>
        <v>31669510000000</v>
      </c>
      <c r="D4831" t="s">
        <v>6290</v>
      </c>
      <c r="E4831" t="str">
        <f>"31669510106443"</f>
        <v>31669510106443</v>
      </c>
      <c r="F4831" s="8">
        <v>546</v>
      </c>
      <c r="G4831" s="8">
        <v>7243</v>
      </c>
      <c r="H4831" s="8">
        <v>869</v>
      </c>
      <c r="I4831" s="8">
        <v>3323</v>
      </c>
    </row>
    <row r="4832" spans="1:9" x14ac:dyDescent="0.2">
      <c r="A4832" t="s">
        <v>1058</v>
      </c>
      <c r="B4832" t="s">
        <v>1087</v>
      </c>
      <c r="C4832" t="str">
        <f t="shared" si="238"/>
        <v>31669510000000</v>
      </c>
      <c r="D4832" t="s">
        <v>6291</v>
      </c>
      <c r="E4832" t="str">
        <f>"31669516108351"</f>
        <v>31669516108351</v>
      </c>
      <c r="F4832" s="8">
        <v>695</v>
      </c>
      <c r="G4832" s="8">
        <v>6883</v>
      </c>
      <c r="H4832" s="8">
        <v>869</v>
      </c>
      <c r="I4832" s="8">
        <v>3323</v>
      </c>
    </row>
    <row r="4833" spans="1:9" x14ac:dyDescent="0.2">
      <c r="A4833" t="s">
        <v>1058</v>
      </c>
      <c r="B4833" t="s">
        <v>1087</v>
      </c>
      <c r="C4833" t="str">
        <f t="shared" si="238"/>
        <v>31669510000000</v>
      </c>
      <c r="D4833" t="s">
        <v>6292</v>
      </c>
      <c r="E4833" t="str">
        <f>"31669510111385"</f>
        <v>31669510111385</v>
      </c>
      <c r="F4833" s="8">
        <v>615</v>
      </c>
      <c r="G4833" s="8">
        <v>6912</v>
      </c>
      <c r="H4833" s="8">
        <v>869</v>
      </c>
      <c r="I4833" s="8">
        <v>3323</v>
      </c>
    </row>
    <row r="4834" spans="1:9" x14ac:dyDescent="0.2">
      <c r="A4834" t="s">
        <v>1058</v>
      </c>
      <c r="B4834" t="s">
        <v>1087</v>
      </c>
      <c r="C4834" t="str">
        <f t="shared" si="238"/>
        <v>31669510000000</v>
      </c>
      <c r="D4834" t="s">
        <v>6293</v>
      </c>
      <c r="E4834" t="str">
        <f>"31669510139709"</f>
        <v>31669510139709</v>
      </c>
      <c r="F4834" s="8">
        <v>383</v>
      </c>
      <c r="G4834" s="8">
        <v>6587</v>
      </c>
      <c r="H4834" s="8">
        <v>869</v>
      </c>
      <c r="I4834" s="8">
        <v>3323</v>
      </c>
    </row>
    <row r="4835" spans="1:9" x14ac:dyDescent="0.2">
      <c r="A4835" t="s">
        <v>1058</v>
      </c>
      <c r="B4835" t="s">
        <v>1087</v>
      </c>
      <c r="C4835" t="str">
        <f t="shared" si="238"/>
        <v>31669510000000</v>
      </c>
      <c r="D4835" t="s">
        <v>6294</v>
      </c>
      <c r="E4835" t="str">
        <f>"31669513134657"</f>
        <v>31669513134657</v>
      </c>
      <c r="F4835" s="8">
        <v>459</v>
      </c>
      <c r="G4835" s="8">
        <v>6392</v>
      </c>
      <c r="H4835" s="8">
        <v>869</v>
      </c>
      <c r="I4835" s="8">
        <v>3323</v>
      </c>
    </row>
    <row r="4836" spans="1:9" x14ac:dyDescent="0.2">
      <c r="A4836" t="s">
        <v>1058</v>
      </c>
      <c r="B4836" t="s">
        <v>1087</v>
      </c>
      <c r="C4836" t="str">
        <f t="shared" si="238"/>
        <v>31669510000000</v>
      </c>
      <c r="D4836" t="s">
        <v>6295</v>
      </c>
      <c r="E4836" t="str">
        <f>"31669510139246"</f>
        <v>31669510139246</v>
      </c>
      <c r="F4836" s="8">
        <v>0</v>
      </c>
      <c r="G4836" s="8">
        <v>4698</v>
      </c>
      <c r="H4836" s="8">
        <v>869</v>
      </c>
      <c r="I4836" s="8">
        <v>3323</v>
      </c>
    </row>
    <row r="4837" spans="1:9" x14ac:dyDescent="0.2">
      <c r="A4837" t="s">
        <v>1089</v>
      </c>
      <c r="B4837" t="s">
        <v>1091</v>
      </c>
      <c r="C4837" t="str">
        <f>"32103220000000"</f>
        <v>32103220000000</v>
      </c>
      <c r="D4837" t="s">
        <v>6296</v>
      </c>
      <c r="E4837" t="str">
        <f>"32103220108001"</f>
        <v>32103220108001</v>
      </c>
      <c r="F4837" s="8">
        <v>0</v>
      </c>
      <c r="G4837" s="8">
        <v>101837</v>
      </c>
      <c r="H4837" s="8">
        <v>2983</v>
      </c>
      <c r="I4837" s="8">
        <v>245061</v>
      </c>
    </row>
    <row r="4838" spans="1:9" x14ac:dyDescent="0.2">
      <c r="A4838" t="s">
        <v>1089</v>
      </c>
      <c r="B4838" t="s">
        <v>1091</v>
      </c>
      <c r="C4838" t="str">
        <f>"32103220000000"</f>
        <v>32103220000000</v>
      </c>
      <c r="D4838" t="s">
        <v>6297</v>
      </c>
      <c r="E4838" t="str">
        <f>"32103220100057"</f>
        <v>32103220100057</v>
      </c>
      <c r="F4838" s="8">
        <v>0</v>
      </c>
      <c r="G4838" s="8">
        <v>12547</v>
      </c>
      <c r="H4838" s="8">
        <v>2983</v>
      </c>
      <c r="I4838" s="8">
        <v>103322</v>
      </c>
    </row>
    <row r="4839" spans="1:9" x14ac:dyDescent="0.2">
      <c r="A4839" t="s">
        <v>1089</v>
      </c>
      <c r="B4839" t="s">
        <v>1091</v>
      </c>
      <c r="C4839" t="str">
        <f>"32103220000000"</f>
        <v>32103220000000</v>
      </c>
      <c r="D4839" t="s">
        <v>6298</v>
      </c>
      <c r="E4839" t="str">
        <f>"32103226117360"</f>
        <v>32103226117360</v>
      </c>
      <c r="F4839" s="8">
        <v>0</v>
      </c>
      <c r="G4839" s="8">
        <v>33050</v>
      </c>
      <c r="H4839" s="8">
        <v>2983</v>
      </c>
      <c r="I4839" s="8">
        <v>71430</v>
      </c>
    </row>
    <row r="4840" spans="1:9" x14ac:dyDescent="0.2">
      <c r="A4840" t="s">
        <v>1089</v>
      </c>
      <c r="B4840" t="s">
        <v>1092</v>
      </c>
      <c r="C4840" t="str">
        <f t="shared" ref="C4840:C4849" si="239">"32669690000000"</f>
        <v>32669690000000</v>
      </c>
      <c r="D4840" t="s">
        <v>6299</v>
      </c>
      <c r="E4840" t="str">
        <f>"32669693230042"</f>
        <v>32669693230042</v>
      </c>
      <c r="F4840" s="8">
        <v>0</v>
      </c>
      <c r="G4840" s="8">
        <v>7515</v>
      </c>
      <c r="H4840" s="8">
        <v>8414</v>
      </c>
      <c r="I4840" s="8">
        <v>78901</v>
      </c>
    </row>
    <row r="4841" spans="1:9" x14ac:dyDescent="0.2">
      <c r="A4841" t="s">
        <v>1089</v>
      </c>
      <c r="B4841" t="s">
        <v>1092</v>
      </c>
      <c r="C4841" t="str">
        <f t="shared" si="239"/>
        <v>32669690000000</v>
      </c>
      <c r="D4841" t="s">
        <v>6300</v>
      </c>
      <c r="E4841" t="str">
        <f>"32669693230034"</f>
        <v>32669693230034</v>
      </c>
      <c r="F4841" s="8">
        <v>0</v>
      </c>
      <c r="G4841" s="8">
        <v>3148</v>
      </c>
      <c r="H4841" s="8">
        <v>9697</v>
      </c>
      <c r="I4841" s="8">
        <v>49644</v>
      </c>
    </row>
    <row r="4842" spans="1:9" x14ac:dyDescent="0.2">
      <c r="A4842" t="s">
        <v>1089</v>
      </c>
      <c r="B4842" t="s">
        <v>1092</v>
      </c>
      <c r="C4842" t="str">
        <f t="shared" si="239"/>
        <v>32669690000000</v>
      </c>
      <c r="D4842" t="s">
        <v>6301</v>
      </c>
      <c r="E4842" t="str">
        <f>"32669693233509"</f>
        <v>32669693233509</v>
      </c>
      <c r="F4842" s="8">
        <v>662</v>
      </c>
      <c r="G4842" s="8">
        <v>7637</v>
      </c>
      <c r="H4842" s="8">
        <v>1971</v>
      </c>
      <c r="I4842" s="8">
        <v>15599</v>
      </c>
    </row>
    <row r="4843" spans="1:9" x14ac:dyDescent="0.2">
      <c r="A4843" t="s">
        <v>1089</v>
      </c>
      <c r="B4843" t="s">
        <v>1092</v>
      </c>
      <c r="C4843" t="str">
        <f t="shared" si="239"/>
        <v>32669690000000</v>
      </c>
      <c r="D4843" t="s">
        <v>6302</v>
      </c>
      <c r="E4843" t="str">
        <f>"32669693232006"</f>
        <v>32669693232006</v>
      </c>
      <c r="F4843" s="8">
        <v>39</v>
      </c>
      <c r="G4843" s="8">
        <v>6350</v>
      </c>
      <c r="H4843" s="8">
        <v>1720</v>
      </c>
      <c r="I4843" s="8">
        <v>13032</v>
      </c>
    </row>
    <row r="4844" spans="1:9" x14ac:dyDescent="0.2">
      <c r="A4844" t="s">
        <v>1089</v>
      </c>
      <c r="B4844" t="s">
        <v>1092</v>
      </c>
      <c r="C4844" t="str">
        <f t="shared" si="239"/>
        <v>32669690000000</v>
      </c>
      <c r="D4844" t="s">
        <v>6303</v>
      </c>
      <c r="E4844" t="str">
        <f>"32669696031413"</f>
        <v>32669696031413</v>
      </c>
      <c r="F4844" s="8">
        <v>995</v>
      </c>
      <c r="G4844" s="8">
        <v>5496</v>
      </c>
      <c r="H4844" s="8">
        <v>1581</v>
      </c>
      <c r="I4844" s="8">
        <v>11363</v>
      </c>
    </row>
    <row r="4845" spans="1:9" x14ac:dyDescent="0.2">
      <c r="A4845" t="s">
        <v>1089</v>
      </c>
      <c r="B4845" t="s">
        <v>1092</v>
      </c>
      <c r="C4845" t="str">
        <f t="shared" si="239"/>
        <v>32669690000000</v>
      </c>
      <c r="D4845" t="s">
        <v>6304</v>
      </c>
      <c r="E4845" t="str">
        <f>"32669696110308"</f>
        <v>32669696110308</v>
      </c>
      <c r="F4845" s="8">
        <v>860</v>
      </c>
      <c r="G4845" s="8">
        <v>4774</v>
      </c>
      <c r="H4845" s="8">
        <v>1565</v>
      </c>
      <c r="I4845" s="8">
        <v>10068</v>
      </c>
    </row>
    <row r="4846" spans="1:9" x14ac:dyDescent="0.2">
      <c r="A4846" t="s">
        <v>1089</v>
      </c>
      <c r="B4846" t="s">
        <v>1092</v>
      </c>
      <c r="C4846" t="str">
        <f t="shared" si="239"/>
        <v>32669690000000</v>
      </c>
      <c r="D4846" t="s">
        <v>6305</v>
      </c>
      <c r="E4846" t="str">
        <f>"32669696031421"</f>
        <v>32669696031421</v>
      </c>
      <c r="F4846" s="8">
        <v>493</v>
      </c>
      <c r="G4846" s="8">
        <v>3900</v>
      </c>
      <c r="H4846" s="8">
        <v>1604</v>
      </c>
      <c r="I4846" s="8">
        <v>11174</v>
      </c>
    </row>
    <row r="4847" spans="1:9" x14ac:dyDescent="0.2">
      <c r="A4847" t="s">
        <v>1089</v>
      </c>
      <c r="B4847" t="s">
        <v>1092</v>
      </c>
      <c r="C4847" t="str">
        <f t="shared" si="239"/>
        <v>32669690000000</v>
      </c>
      <c r="D4847" t="s">
        <v>6306</v>
      </c>
      <c r="E4847" t="str">
        <f>"32669693236007"</f>
        <v>32669693236007</v>
      </c>
      <c r="F4847" s="8">
        <v>264</v>
      </c>
      <c r="G4847" s="8">
        <v>3817</v>
      </c>
      <c r="H4847" s="8">
        <v>1571</v>
      </c>
      <c r="I4847" s="8">
        <v>10958</v>
      </c>
    </row>
    <row r="4848" spans="1:9" x14ac:dyDescent="0.2">
      <c r="A4848" t="s">
        <v>1089</v>
      </c>
      <c r="B4848" t="s">
        <v>1092</v>
      </c>
      <c r="C4848" t="str">
        <f t="shared" si="239"/>
        <v>32669690000000</v>
      </c>
      <c r="D4848" t="s">
        <v>6307</v>
      </c>
      <c r="E4848" t="str">
        <f>"32669696031470"</f>
        <v>32669696031470</v>
      </c>
      <c r="F4848" s="8">
        <v>686</v>
      </c>
      <c r="G4848" s="8">
        <v>4216</v>
      </c>
      <c r="H4848" s="8">
        <v>1452</v>
      </c>
      <c r="I4848" s="8">
        <v>10248</v>
      </c>
    </row>
    <row r="4849" spans="1:9" x14ac:dyDescent="0.2">
      <c r="A4849" t="s">
        <v>1089</v>
      </c>
      <c r="B4849" t="s">
        <v>1092</v>
      </c>
      <c r="C4849" t="str">
        <f t="shared" si="239"/>
        <v>32669690000000</v>
      </c>
      <c r="D4849" t="s">
        <v>6308</v>
      </c>
      <c r="E4849" t="str">
        <f>"32669693235603"</f>
        <v>32669693235603</v>
      </c>
      <c r="F4849" s="8">
        <v>443</v>
      </c>
      <c r="G4849" s="8">
        <v>4395</v>
      </c>
      <c r="H4849" s="8">
        <v>1337</v>
      </c>
      <c r="I4849" s="8">
        <v>9784</v>
      </c>
    </row>
    <row r="4850" spans="1:9" x14ac:dyDescent="0.2">
      <c r="A4850" t="s">
        <v>1093</v>
      </c>
      <c r="B4850" t="s">
        <v>1094</v>
      </c>
      <c r="C4850" t="str">
        <f t="shared" ref="C4850:C4875" si="240">"33669770000000"</f>
        <v>33669770000000</v>
      </c>
      <c r="D4850" t="s">
        <v>6309</v>
      </c>
      <c r="E4850" t="str">
        <f>"33669773337128"</f>
        <v>33669773337128</v>
      </c>
      <c r="F4850" s="8">
        <v>181</v>
      </c>
      <c r="G4850" s="8">
        <v>14474</v>
      </c>
      <c r="H4850" s="8">
        <v>1844</v>
      </c>
      <c r="I4850" s="8">
        <v>3679</v>
      </c>
    </row>
    <row r="4851" spans="1:9" x14ac:dyDescent="0.2">
      <c r="A4851" t="s">
        <v>1093</v>
      </c>
      <c r="B4851" t="s">
        <v>1094</v>
      </c>
      <c r="C4851" t="str">
        <f t="shared" si="240"/>
        <v>33669770000000</v>
      </c>
      <c r="D4851" t="s">
        <v>6310</v>
      </c>
      <c r="E4851" t="str">
        <f>"33669770135061"</f>
        <v>33669770135061</v>
      </c>
      <c r="F4851" s="8">
        <v>301</v>
      </c>
      <c r="G4851" s="8">
        <v>13744</v>
      </c>
      <c r="H4851" s="8">
        <v>1844</v>
      </c>
      <c r="I4851" s="8">
        <v>3679</v>
      </c>
    </row>
    <row r="4852" spans="1:9" x14ac:dyDescent="0.2">
      <c r="A4852" t="s">
        <v>1093</v>
      </c>
      <c r="B4852" t="s">
        <v>1094</v>
      </c>
      <c r="C4852" t="str">
        <f t="shared" si="240"/>
        <v>33669770000000</v>
      </c>
      <c r="D4852" t="s">
        <v>6311</v>
      </c>
      <c r="E4852" t="str">
        <f>"33669776116339"</f>
        <v>33669776116339</v>
      </c>
      <c r="F4852" s="8">
        <v>560</v>
      </c>
      <c r="G4852" s="8">
        <v>9981</v>
      </c>
      <c r="H4852" s="8">
        <v>1844</v>
      </c>
      <c r="I4852" s="8">
        <v>3679</v>
      </c>
    </row>
    <row r="4853" spans="1:9" x14ac:dyDescent="0.2">
      <c r="A4853" t="s">
        <v>1093</v>
      </c>
      <c r="B4853" t="s">
        <v>1094</v>
      </c>
      <c r="C4853" t="str">
        <f t="shared" si="240"/>
        <v>33669770000000</v>
      </c>
      <c r="D4853" t="s">
        <v>2621</v>
      </c>
      <c r="E4853" t="str">
        <f>"33669776031538"</f>
        <v>33669776031538</v>
      </c>
      <c r="F4853" s="8">
        <v>723</v>
      </c>
      <c r="G4853" s="8">
        <v>9780</v>
      </c>
      <c r="H4853" s="8">
        <v>1844</v>
      </c>
      <c r="I4853" s="8">
        <v>3679</v>
      </c>
    </row>
    <row r="4854" spans="1:9" x14ac:dyDescent="0.2">
      <c r="A4854" t="s">
        <v>1093</v>
      </c>
      <c r="B4854" t="s">
        <v>1094</v>
      </c>
      <c r="C4854" t="str">
        <f t="shared" si="240"/>
        <v>33669770000000</v>
      </c>
      <c r="D4854" t="s">
        <v>6312</v>
      </c>
      <c r="E4854" t="str">
        <f>"33669776031520"</f>
        <v>33669776031520</v>
      </c>
      <c r="F4854" s="8">
        <v>972</v>
      </c>
      <c r="G4854" s="8">
        <v>9298</v>
      </c>
      <c r="H4854" s="8">
        <v>1844</v>
      </c>
      <c r="I4854" s="8">
        <v>3679</v>
      </c>
    </row>
    <row r="4855" spans="1:9" x14ac:dyDescent="0.2">
      <c r="A4855" t="s">
        <v>1093</v>
      </c>
      <c r="B4855" t="s">
        <v>1094</v>
      </c>
      <c r="C4855" t="str">
        <f t="shared" si="240"/>
        <v>33669770000000</v>
      </c>
      <c r="D4855" t="s">
        <v>6313</v>
      </c>
      <c r="E4855" t="str">
        <f>"33669776031553"</f>
        <v>33669776031553</v>
      </c>
      <c r="F4855" s="8">
        <v>730</v>
      </c>
      <c r="G4855" s="8">
        <v>9389</v>
      </c>
      <c r="H4855" s="8">
        <v>1844</v>
      </c>
      <c r="I4855" s="8">
        <v>3679</v>
      </c>
    </row>
    <row r="4856" spans="1:9" x14ac:dyDescent="0.2">
      <c r="A4856" t="s">
        <v>1093</v>
      </c>
      <c r="B4856" t="s">
        <v>1094</v>
      </c>
      <c r="C4856" t="str">
        <f t="shared" si="240"/>
        <v>33669770000000</v>
      </c>
      <c r="D4856" t="s">
        <v>6314</v>
      </c>
      <c r="E4856" t="str">
        <f>"33669773330008"</f>
        <v>33669773330008</v>
      </c>
      <c r="F4856" s="8">
        <v>329</v>
      </c>
      <c r="G4856" s="8">
        <v>9674</v>
      </c>
      <c r="H4856" s="8">
        <v>1844</v>
      </c>
      <c r="I4856" s="8">
        <v>3679</v>
      </c>
    </row>
    <row r="4857" spans="1:9" x14ac:dyDescent="0.2">
      <c r="A4857" t="s">
        <v>1093</v>
      </c>
      <c r="B4857" t="s">
        <v>1094</v>
      </c>
      <c r="C4857" t="str">
        <f t="shared" si="240"/>
        <v>33669770000000</v>
      </c>
      <c r="D4857" t="s">
        <v>6315</v>
      </c>
      <c r="E4857" t="str">
        <f>"33669773334299"</f>
        <v>33669773334299</v>
      </c>
      <c r="F4857" s="8">
        <v>324</v>
      </c>
      <c r="G4857" s="8">
        <v>9357</v>
      </c>
      <c r="H4857" s="8">
        <v>1844</v>
      </c>
      <c r="I4857" s="8">
        <v>3679</v>
      </c>
    </row>
    <row r="4858" spans="1:9" x14ac:dyDescent="0.2">
      <c r="A4858" t="s">
        <v>1093</v>
      </c>
      <c r="B4858" t="s">
        <v>1094</v>
      </c>
      <c r="C4858" t="str">
        <f t="shared" si="240"/>
        <v>33669770000000</v>
      </c>
      <c r="D4858" t="s">
        <v>6316</v>
      </c>
      <c r="E4858" t="str">
        <f>"33669776031512"</f>
        <v>33669776031512</v>
      </c>
      <c r="F4858" s="8">
        <v>394</v>
      </c>
      <c r="G4858" s="8">
        <v>9199</v>
      </c>
      <c r="H4858" s="8">
        <v>1844</v>
      </c>
      <c r="I4858" s="8">
        <v>3679</v>
      </c>
    </row>
    <row r="4859" spans="1:9" x14ac:dyDescent="0.2">
      <c r="A4859" t="s">
        <v>1093</v>
      </c>
      <c r="B4859" t="s">
        <v>1094</v>
      </c>
      <c r="C4859" t="str">
        <f t="shared" si="240"/>
        <v>33669770000000</v>
      </c>
      <c r="D4859" t="s">
        <v>6317</v>
      </c>
      <c r="E4859" t="str">
        <f>"33669770113597"</f>
        <v>33669770113597</v>
      </c>
      <c r="F4859" s="8">
        <v>657</v>
      </c>
      <c r="G4859" s="8">
        <v>8509</v>
      </c>
      <c r="H4859" s="8">
        <v>1844</v>
      </c>
      <c r="I4859" s="8">
        <v>3679</v>
      </c>
    </row>
    <row r="4860" spans="1:9" x14ac:dyDescent="0.2">
      <c r="A4860" t="s">
        <v>1093</v>
      </c>
      <c r="B4860" t="s">
        <v>1094</v>
      </c>
      <c r="C4860" t="str">
        <f t="shared" si="240"/>
        <v>33669770000000</v>
      </c>
      <c r="D4860" t="s">
        <v>6318</v>
      </c>
      <c r="E4860" t="str">
        <f>"33669776031504"</f>
        <v>33669776031504</v>
      </c>
      <c r="F4860" s="8">
        <v>358</v>
      </c>
      <c r="G4860" s="8">
        <v>8733</v>
      </c>
      <c r="H4860" s="8">
        <v>1844</v>
      </c>
      <c r="I4860" s="8">
        <v>3679</v>
      </c>
    </row>
    <row r="4861" spans="1:9" x14ac:dyDescent="0.2">
      <c r="A4861" t="s">
        <v>1093</v>
      </c>
      <c r="B4861" t="s">
        <v>1094</v>
      </c>
      <c r="C4861" t="str">
        <f t="shared" si="240"/>
        <v>33669770000000</v>
      </c>
      <c r="D4861" t="s">
        <v>6319</v>
      </c>
      <c r="E4861" t="str">
        <f>"33669776107304"</f>
        <v>33669776107304</v>
      </c>
      <c r="F4861" s="8">
        <v>409</v>
      </c>
      <c r="G4861" s="8">
        <v>8673</v>
      </c>
      <c r="H4861" s="8">
        <v>1844</v>
      </c>
      <c r="I4861" s="8">
        <v>3679</v>
      </c>
    </row>
    <row r="4862" spans="1:9" x14ac:dyDescent="0.2">
      <c r="A4862" t="s">
        <v>1093</v>
      </c>
      <c r="B4862" t="s">
        <v>1094</v>
      </c>
      <c r="C4862" t="str">
        <f t="shared" si="240"/>
        <v>33669770000000</v>
      </c>
      <c r="D4862" t="s">
        <v>6320</v>
      </c>
      <c r="E4862" t="str">
        <f>"33669776031546"</f>
        <v>33669776031546</v>
      </c>
      <c r="F4862" s="8">
        <v>849</v>
      </c>
      <c r="G4862" s="8">
        <v>8002</v>
      </c>
      <c r="H4862" s="8">
        <v>1844</v>
      </c>
      <c r="I4862" s="8">
        <v>3679</v>
      </c>
    </row>
    <row r="4863" spans="1:9" x14ac:dyDescent="0.2">
      <c r="A4863" t="s">
        <v>1093</v>
      </c>
      <c r="B4863" t="s">
        <v>1094</v>
      </c>
      <c r="C4863" t="str">
        <f t="shared" si="240"/>
        <v>33669770000000</v>
      </c>
      <c r="D4863" t="s">
        <v>6321</v>
      </c>
      <c r="E4863" t="str">
        <f>"33669776098156"</f>
        <v>33669776098156</v>
      </c>
      <c r="F4863" s="8">
        <v>487</v>
      </c>
      <c r="G4863" s="8">
        <v>8335</v>
      </c>
      <c r="H4863" s="8">
        <v>1844</v>
      </c>
      <c r="I4863" s="8">
        <v>3679</v>
      </c>
    </row>
    <row r="4864" spans="1:9" x14ac:dyDescent="0.2">
      <c r="A4864" t="s">
        <v>1093</v>
      </c>
      <c r="B4864" t="s">
        <v>1094</v>
      </c>
      <c r="C4864" t="str">
        <f t="shared" si="240"/>
        <v>33669770000000</v>
      </c>
      <c r="D4864" t="s">
        <v>2117</v>
      </c>
      <c r="E4864" t="str">
        <f>"33669776031595"</f>
        <v>33669776031595</v>
      </c>
      <c r="F4864" s="8">
        <v>370</v>
      </c>
      <c r="G4864" s="8">
        <v>8335</v>
      </c>
      <c r="H4864" s="8">
        <v>1844</v>
      </c>
      <c r="I4864" s="8">
        <v>3679</v>
      </c>
    </row>
    <row r="4865" spans="1:9" x14ac:dyDescent="0.2">
      <c r="A4865" t="s">
        <v>1093</v>
      </c>
      <c r="B4865" t="s">
        <v>1094</v>
      </c>
      <c r="C4865" t="str">
        <f t="shared" si="240"/>
        <v>33669770000000</v>
      </c>
      <c r="D4865" t="s">
        <v>6322</v>
      </c>
      <c r="E4865" t="str">
        <f>"33669770125732"</f>
        <v>33669770125732</v>
      </c>
      <c r="F4865" s="8">
        <v>182</v>
      </c>
      <c r="G4865" s="8">
        <v>8340</v>
      </c>
      <c r="H4865" s="8">
        <v>1844</v>
      </c>
      <c r="I4865" s="8">
        <v>3679</v>
      </c>
    </row>
    <row r="4866" spans="1:9" x14ac:dyDescent="0.2">
      <c r="A4866" t="s">
        <v>1093</v>
      </c>
      <c r="B4866" t="s">
        <v>1094</v>
      </c>
      <c r="C4866" t="str">
        <f t="shared" si="240"/>
        <v>33669770000000</v>
      </c>
      <c r="D4866" t="s">
        <v>6323</v>
      </c>
      <c r="E4866" t="str">
        <f>"33669776106074"</f>
        <v>33669776106074</v>
      </c>
      <c r="F4866" s="8">
        <v>72</v>
      </c>
      <c r="G4866" s="8">
        <v>8363</v>
      </c>
      <c r="H4866" s="8">
        <v>1844</v>
      </c>
      <c r="I4866" s="8">
        <v>3679</v>
      </c>
    </row>
    <row r="4867" spans="1:9" x14ac:dyDescent="0.2">
      <c r="A4867" t="s">
        <v>1093</v>
      </c>
      <c r="B4867" t="s">
        <v>1094</v>
      </c>
      <c r="C4867" t="str">
        <f t="shared" si="240"/>
        <v>33669770000000</v>
      </c>
      <c r="D4867" t="s">
        <v>6324</v>
      </c>
      <c r="E4867" t="str">
        <f>"33669776031496"</f>
        <v>33669776031496</v>
      </c>
      <c r="F4867" s="8">
        <v>440</v>
      </c>
      <c r="G4867" s="8">
        <v>7983</v>
      </c>
      <c r="H4867" s="8">
        <v>1844</v>
      </c>
      <c r="I4867" s="8">
        <v>3679</v>
      </c>
    </row>
    <row r="4868" spans="1:9" x14ac:dyDescent="0.2">
      <c r="A4868" t="s">
        <v>1093</v>
      </c>
      <c r="B4868" t="s">
        <v>1094</v>
      </c>
      <c r="C4868" t="str">
        <f t="shared" si="240"/>
        <v>33669770000000</v>
      </c>
      <c r="D4868" t="s">
        <v>6325</v>
      </c>
      <c r="E4868" t="str">
        <f>"33669776031587"</f>
        <v>33669776031587</v>
      </c>
      <c r="F4868" s="8">
        <v>493</v>
      </c>
      <c r="G4868" s="8">
        <v>7908</v>
      </c>
      <c r="H4868" s="8">
        <v>1844</v>
      </c>
      <c r="I4868" s="8">
        <v>3679</v>
      </c>
    </row>
    <row r="4869" spans="1:9" x14ac:dyDescent="0.2">
      <c r="A4869" t="s">
        <v>1093</v>
      </c>
      <c r="B4869" t="s">
        <v>1094</v>
      </c>
      <c r="C4869" t="str">
        <f t="shared" si="240"/>
        <v>33669770000000</v>
      </c>
      <c r="D4869" t="s">
        <v>3278</v>
      </c>
      <c r="E4869" t="str">
        <f>"33669776031579"</f>
        <v>33669776031579</v>
      </c>
      <c r="F4869" s="8">
        <v>497</v>
      </c>
      <c r="G4869" s="8">
        <v>7728</v>
      </c>
      <c r="H4869" s="8">
        <v>1844</v>
      </c>
      <c r="I4869" s="8">
        <v>3679</v>
      </c>
    </row>
    <row r="4870" spans="1:9" x14ac:dyDescent="0.2">
      <c r="A4870" t="s">
        <v>1093</v>
      </c>
      <c r="B4870" t="s">
        <v>1094</v>
      </c>
      <c r="C4870" t="str">
        <f t="shared" si="240"/>
        <v>33669770000000</v>
      </c>
      <c r="D4870" t="s">
        <v>6326</v>
      </c>
      <c r="E4870" t="str">
        <f>"33669776120109"</f>
        <v>33669776120109</v>
      </c>
      <c r="F4870" s="8">
        <v>229</v>
      </c>
      <c r="G4870" s="8">
        <v>7992</v>
      </c>
      <c r="H4870" s="8">
        <v>1844</v>
      </c>
      <c r="I4870" s="8">
        <v>3679</v>
      </c>
    </row>
    <row r="4871" spans="1:9" x14ac:dyDescent="0.2">
      <c r="A4871" t="s">
        <v>1093</v>
      </c>
      <c r="B4871" t="s">
        <v>1094</v>
      </c>
      <c r="C4871" t="str">
        <f t="shared" si="240"/>
        <v>33669770000000</v>
      </c>
      <c r="D4871" t="s">
        <v>6327</v>
      </c>
      <c r="E4871" t="str">
        <f>"33669770113605"</f>
        <v>33669770113605</v>
      </c>
      <c r="F4871" s="8">
        <v>103</v>
      </c>
      <c r="G4871" s="8">
        <v>7936</v>
      </c>
      <c r="H4871" s="8">
        <v>1844</v>
      </c>
      <c r="I4871" s="8">
        <v>3679</v>
      </c>
    </row>
    <row r="4872" spans="1:9" x14ac:dyDescent="0.2">
      <c r="A4872" t="s">
        <v>1093</v>
      </c>
      <c r="B4872" t="s">
        <v>1094</v>
      </c>
      <c r="C4872" t="str">
        <f t="shared" si="240"/>
        <v>33669770000000</v>
      </c>
      <c r="D4872" t="s">
        <v>2328</v>
      </c>
      <c r="E4872" t="str">
        <f>"33669776108104"</f>
        <v>33669776108104</v>
      </c>
      <c r="F4872" s="8">
        <v>360</v>
      </c>
      <c r="G4872" s="8">
        <v>7127</v>
      </c>
      <c r="H4872" s="8">
        <v>1844</v>
      </c>
      <c r="I4872" s="8">
        <v>3679</v>
      </c>
    </row>
    <row r="4873" spans="1:9" x14ac:dyDescent="0.2">
      <c r="A4873" t="s">
        <v>1093</v>
      </c>
      <c r="B4873" t="s">
        <v>1094</v>
      </c>
      <c r="C4873" t="str">
        <f t="shared" si="240"/>
        <v>33669770000000</v>
      </c>
      <c r="D4873" t="s">
        <v>6328</v>
      </c>
      <c r="E4873" t="str">
        <f>"33669770136143"</f>
        <v>33669770136143</v>
      </c>
      <c r="F4873" s="8" t="s">
        <v>30</v>
      </c>
      <c r="G4873" s="8" t="s">
        <v>30</v>
      </c>
      <c r="H4873" s="8" t="s">
        <v>30</v>
      </c>
      <c r="I4873" s="8" t="s">
        <v>30</v>
      </c>
    </row>
    <row r="4874" spans="1:9" x14ac:dyDescent="0.2">
      <c r="A4874" t="s">
        <v>1093</v>
      </c>
      <c r="B4874" t="s">
        <v>1094</v>
      </c>
      <c r="C4874" t="str">
        <f t="shared" si="240"/>
        <v>33669770000000</v>
      </c>
      <c r="D4874" t="s">
        <v>6329</v>
      </c>
      <c r="E4874" t="str">
        <f>"33669770134171"</f>
        <v>33669770134171</v>
      </c>
      <c r="F4874" s="8" t="s">
        <v>30</v>
      </c>
      <c r="G4874" s="8" t="s">
        <v>30</v>
      </c>
      <c r="H4874" s="8" t="s">
        <v>30</v>
      </c>
      <c r="I4874" s="8" t="s">
        <v>30</v>
      </c>
    </row>
    <row r="4875" spans="1:9" x14ac:dyDescent="0.2">
      <c r="A4875" t="s">
        <v>1093</v>
      </c>
      <c r="B4875" t="s">
        <v>1094</v>
      </c>
      <c r="C4875" t="str">
        <f t="shared" si="240"/>
        <v>33669770000000</v>
      </c>
      <c r="D4875" t="s">
        <v>6330</v>
      </c>
      <c r="E4875" t="str">
        <f>"33669770134189"</f>
        <v>33669770134189</v>
      </c>
      <c r="F4875" s="8" t="s">
        <v>30</v>
      </c>
      <c r="G4875" s="8" t="s">
        <v>30</v>
      </c>
      <c r="H4875" s="8" t="s">
        <v>30</v>
      </c>
      <c r="I4875" s="8" t="s">
        <v>30</v>
      </c>
    </row>
    <row r="4876" spans="1:9" x14ac:dyDescent="0.2">
      <c r="A4876" t="s">
        <v>1093</v>
      </c>
      <c r="B4876" t="s">
        <v>1095</v>
      </c>
      <c r="C4876" t="str">
        <f t="shared" ref="C4876:C4883" si="241">"33669850000000"</f>
        <v>33669850000000</v>
      </c>
      <c r="D4876" t="s">
        <v>6331</v>
      </c>
      <c r="E4876" t="str">
        <f>"33669853330222"</f>
        <v>33669853330222</v>
      </c>
      <c r="F4876" s="8">
        <v>1850</v>
      </c>
      <c r="G4876" s="8">
        <v>11489</v>
      </c>
      <c r="H4876" s="8">
        <v>881</v>
      </c>
      <c r="I4876" s="8">
        <v>12962</v>
      </c>
    </row>
    <row r="4877" spans="1:9" x14ac:dyDescent="0.2">
      <c r="A4877" t="s">
        <v>1093</v>
      </c>
      <c r="B4877" t="s">
        <v>1095</v>
      </c>
      <c r="C4877" t="str">
        <f t="shared" si="241"/>
        <v>33669850000000</v>
      </c>
      <c r="D4877" t="s">
        <v>6332</v>
      </c>
      <c r="E4877" t="str">
        <f>"33669853330974"</f>
        <v>33669853330974</v>
      </c>
      <c r="F4877" s="8">
        <v>466</v>
      </c>
      <c r="G4877" s="8">
        <v>7037</v>
      </c>
      <c r="H4877" s="8">
        <v>393</v>
      </c>
      <c r="I4877" s="8">
        <v>5785</v>
      </c>
    </row>
    <row r="4878" spans="1:9" x14ac:dyDescent="0.2">
      <c r="A4878" t="s">
        <v>1093</v>
      </c>
      <c r="B4878" t="s">
        <v>1095</v>
      </c>
      <c r="C4878" t="str">
        <f t="shared" si="241"/>
        <v>33669850000000</v>
      </c>
      <c r="D4878" t="s">
        <v>6333</v>
      </c>
      <c r="E4878" t="str">
        <f>"33669856031603"</f>
        <v>33669856031603</v>
      </c>
      <c r="F4878" s="8">
        <v>573</v>
      </c>
      <c r="G4878" s="8">
        <v>6306</v>
      </c>
      <c r="H4878" s="8">
        <v>426</v>
      </c>
      <c r="I4878" s="8">
        <v>6266</v>
      </c>
    </row>
    <row r="4879" spans="1:9" x14ac:dyDescent="0.2">
      <c r="A4879" t="s">
        <v>1093</v>
      </c>
      <c r="B4879" t="s">
        <v>1095</v>
      </c>
      <c r="C4879" t="str">
        <f t="shared" si="241"/>
        <v>33669850000000</v>
      </c>
      <c r="D4879" t="s">
        <v>6334</v>
      </c>
      <c r="E4879" t="str">
        <f>"33669856031637"</f>
        <v>33669856031637</v>
      </c>
      <c r="F4879" s="8">
        <v>535</v>
      </c>
      <c r="G4879" s="8">
        <v>5523</v>
      </c>
      <c r="H4879" s="8">
        <v>443</v>
      </c>
      <c r="I4879" s="8">
        <v>6521</v>
      </c>
    </row>
    <row r="4880" spans="1:9" x14ac:dyDescent="0.2">
      <c r="A4880" t="s">
        <v>1093</v>
      </c>
      <c r="B4880" t="s">
        <v>1095</v>
      </c>
      <c r="C4880" t="str">
        <f t="shared" si="241"/>
        <v>33669850000000</v>
      </c>
      <c r="D4880" t="s">
        <v>6335</v>
      </c>
      <c r="E4880" t="str">
        <f>"33669856112080"</f>
        <v>33669856112080</v>
      </c>
      <c r="F4880" s="8">
        <v>722</v>
      </c>
      <c r="G4880" s="8">
        <v>5858</v>
      </c>
      <c r="H4880" s="8">
        <v>395</v>
      </c>
      <c r="I4880" s="8">
        <v>5803</v>
      </c>
    </row>
    <row r="4881" spans="1:9" x14ac:dyDescent="0.2">
      <c r="A4881" t="s">
        <v>1093</v>
      </c>
      <c r="B4881" t="s">
        <v>1095</v>
      </c>
      <c r="C4881" t="str">
        <f t="shared" si="241"/>
        <v>33669850000000</v>
      </c>
      <c r="D4881" t="s">
        <v>6336</v>
      </c>
      <c r="E4881" t="str">
        <f>"33669853330214"</f>
        <v>33669853330214</v>
      </c>
      <c r="F4881" s="8">
        <v>501</v>
      </c>
      <c r="G4881" s="8">
        <v>5832</v>
      </c>
      <c r="H4881" s="8">
        <v>391</v>
      </c>
      <c r="I4881" s="8">
        <v>5749</v>
      </c>
    </row>
    <row r="4882" spans="1:9" x14ac:dyDescent="0.2">
      <c r="A4882" t="s">
        <v>1093</v>
      </c>
      <c r="B4882" t="s">
        <v>1095</v>
      </c>
      <c r="C4882" t="str">
        <f t="shared" si="241"/>
        <v>33669850000000</v>
      </c>
      <c r="D4882" t="s">
        <v>6337</v>
      </c>
      <c r="E4882" t="str">
        <f>"33669856031629"</f>
        <v>33669856031629</v>
      </c>
      <c r="F4882" s="8">
        <v>423</v>
      </c>
      <c r="G4882" s="8">
        <v>5258</v>
      </c>
      <c r="H4882" s="8">
        <v>331</v>
      </c>
      <c r="I4882" s="8">
        <v>4863</v>
      </c>
    </row>
    <row r="4883" spans="1:9" x14ac:dyDescent="0.2">
      <c r="A4883" t="s">
        <v>1093</v>
      </c>
      <c r="B4883" t="s">
        <v>1095</v>
      </c>
      <c r="C4883" t="str">
        <f t="shared" si="241"/>
        <v>33669850000000</v>
      </c>
      <c r="D4883" t="s">
        <v>1214</v>
      </c>
      <c r="E4883" t="str">
        <f>"33669856031611"</f>
        <v>33669856031611</v>
      </c>
      <c r="F4883" s="8">
        <v>504</v>
      </c>
      <c r="G4883" s="8">
        <v>5243</v>
      </c>
      <c r="H4883" s="8">
        <v>298</v>
      </c>
      <c r="I4883" s="8">
        <v>4388</v>
      </c>
    </row>
    <row r="4884" spans="1:9" x14ac:dyDescent="0.2">
      <c r="A4884" t="s">
        <v>1093</v>
      </c>
      <c r="B4884" t="s">
        <v>1096</v>
      </c>
      <c r="C4884" t="str">
        <f t="shared" ref="C4884:C4895" si="242">"33669930000000"</f>
        <v>33669930000000</v>
      </c>
      <c r="D4884" t="s">
        <v>6338</v>
      </c>
      <c r="E4884" t="str">
        <f>"33669933330842"</f>
        <v>33669933330842</v>
      </c>
      <c r="F4884" s="8">
        <v>675</v>
      </c>
      <c r="G4884" s="8">
        <v>11375</v>
      </c>
      <c r="H4884" s="8">
        <v>1090</v>
      </c>
      <c r="I4884" s="8">
        <v>3223</v>
      </c>
    </row>
    <row r="4885" spans="1:9" x14ac:dyDescent="0.2">
      <c r="A4885" t="s">
        <v>1093</v>
      </c>
      <c r="B4885" t="s">
        <v>1096</v>
      </c>
      <c r="C4885" t="str">
        <f t="shared" si="242"/>
        <v>33669930000000</v>
      </c>
      <c r="D4885" t="s">
        <v>6339</v>
      </c>
      <c r="E4885" t="str">
        <f>"33669936031660"</f>
        <v>33669936031660</v>
      </c>
      <c r="F4885" s="8">
        <v>694</v>
      </c>
      <c r="G4885" s="8">
        <v>9110</v>
      </c>
      <c r="H4885" s="8">
        <v>1090</v>
      </c>
      <c r="I4885" s="8">
        <v>3263</v>
      </c>
    </row>
    <row r="4886" spans="1:9" x14ac:dyDescent="0.2">
      <c r="A4886" t="s">
        <v>1093</v>
      </c>
      <c r="B4886" t="s">
        <v>1096</v>
      </c>
      <c r="C4886" t="str">
        <f t="shared" si="242"/>
        <v>33669930000000</v>
      </c>
      <c r="D4886" t="s">
        <v>6340</v>
      </c>
      <c r="E4886" t="str">
        <f>"33669930116947"</f>
        <v>33669930116947</v>
      </c>
      <c r="F4886" s="8">
        <v>253</v>
      </c>
      <c r="G4886" s="8">
        <v>8826</v>
      </c>
      <c r="H4886" s="8">
        <v>1090</v>
      </c>
      <c r="I4886" s="8">
        <v>3263</v>
      </c>
    </row>
    <row r="4887" spans="1:9" x14ac:dyDescent="0.2">
      <c r="A4887" t="s">
        <v>1093</v>
      </c>
      <c r="B4887" t="s">
        <v>1096</v>
      </c>
      <c r="C4887" t="str">
        <f t="shared" si="242"/>
        <v>33669930000000</v>
      </c>
      <c r="D4887" t="s">
        <v>5321</v>
      </c>
      <c r="E4887" t="str">
        <f>"33669930102749"</f>
        <v>33669930102749</v>
      </c>
      <c r="F4887" s="8">
        <v>627</v>
      </c>
      <c r="G4887" s="8">
        <v>7246</v>
      </c>
      <c r="H4887" s="8">
        <v>1090</v>
      </c>
      <c r="I4887" s="8">
        <v>3263</v>
      </c>
    </row>
    <row r="4888" spans="1:9" x14ac:dyDescent="0.2">
      <c r="A4888" t="s">
        <v>1093</v>
      </c>
      <c r="B4888" t="s">
        <v>1096</v>
      </c>
      <c r="C4888" t="str">
        <f t="shared" si="242"/>
        <v>33669930000000</v>
      </c>
      <c r="D4888" t="s">
        <v>6341</v>
      </c>
      <c r="E4888" t="str">
        <f>"33669933331089"</f>
        <v>33669933331089</v>
      </c>
      <c r="F4888" s="8">
        <v>436</v>
      </c>
      <c r="G4888" s="8">
        <v>7199</v>
      </c>
      <c r="H4888" s="8">
        <v>1090</v>
      </c>
      <c r="I4888" s="8">
        <v>3263</v>
      </c>
    </row>
    <row r="4889" spans="1:9" x14ac:dyDescent="0.2">
      <c r="A4889" t="s">
        <v>1093</v>
      </c>
      <c r="B4889" t="s">
        <v>1096</v>
      </c>
      <c r="C4889" t="str">
        <f t="shared" si="242"/>
        <v>33669930000000</v>
      </c>
      <c r="D4889" t="s">
        <v>3335</v>
      </c>
      <c r="E4889" t="str">
        <f>"33669936031652"</f>
        <v>33669936031652</v>
      </c>
      <c r="F4889" s="8">
        <v>194</v>
      </c>
      <c r="G4889" s="8">
        <v>6888</v>
      </c>
      <c r="H4889" s="8">
        <v>1090</v>
      </c>
      <c r="I4889" s="8">
        <v>3223</v>
      </c>
    </row>
    <row r="4890" spans="1:9" x14ac:dyDescent="0.2">
      <c r="A4890" t="s">
        <v>1093</v>
      </c>
      <c r="B4890" t="s">
        <v>1096</v>
      </c>
      <c r="C4890" t="str">
        <f t="shared" si="242"/>
        <v>33669930000000</v>
      </c>
      <c r="D4890" t="s">
        <v>6342</v>
      </c>
      <c r="E4890" t="str">
        <f>"33669933330479"</f>
        <v>33669933330479</v>
      </c>
      <c r="F4890" s="8">
        <v>449</v>
      </c>
      <c r="G4890" s="8">
        <v>6623</v>
      </c>
      <c r="H4890" s="8">
        <v>1090</v>
      </c>
      <c r="I4890" s="8">
        <v>3223</v>
      </c>
    </row>
    <row r="4891" spans="1:9" x14ac:dyDescent="0.2">
      <c r="A4891" t="s">
        <v>1093</v>
      </c>
      <c r="B4891" t="s">
        <v>1096</v>
      </c>
      <c r="C4891" t="str">
        <f t="shared" si="242"/>
        <v>33669930000000</v>
      </c>
      <c r="D4891" t="s">
        <v>6343</v>
      </c>
      <c r="E4891" t="str">
        <f>"33669930101006"</f>
        <v>33669930101006</v>
      </c>
      <c r="F4891" s="8">
        <v>356</v>
      </c>
      <c r="G4891" s="8">
        <v>6351</v>
      </c>
      <c r="H4891" s="8">
        <v>1090</v>
      </c>
      <c r="I4891" s="8">
        <v>3263</v>
      </c>
    </row>
    <row r="4892" spans="1:9" x14ac:dyDescent="0.2">
      <c r="A4892" t="s">
        <v>1093</v>
      </c>
      <c r="B4892" t="s">
        <v>1096</v>
      </c>
      <c r="C4892" t="str">
        <f t="shared" si="242"/>
        <v>33669930000000</v>
      </c>
      <c r="D4892" t="s">
        <v>6344</v>
      </c>
      <c r="E4892" t="str">
        <f>"33669930106062"</f>
        <v>33669930106062</v>
      </c>
      <c r="F4892" s="8">
        <v>352</v>
      </c>
      <c r="G4892" s="8">
        <v>6136</v>
      </c>
      <c r="H4892" s="8">
        <v>1090</v>
      </c>
      <c r="I4892" s="8">
        <v>3223</v>
      </c>
    </row>
    <row r="4893" spans="1:9" x14ac:dyDescent="0.2">
      <c r="A4893" t="s">
        <v>1093</v>
      </c>
      <c r="B4893" t="s">
        <v>1096</v>
      </c>
      <c r="C4893" t="str">
        <f t="shared" si="242"/>
        <v>33669930000000</v>
      </c>
      <c r="D4893" t="s">
        <v>6345</v>
      </c>
      <c r="E4893" t="str">
        <f>"33669930113936"</f>
        <v>33669930113936</v>
      </c>
      <c r="F4893" s="8">
        <v>228</v>
      </c>
      <c r="G4893" s="8">
        <v>6078</v>
      </c>
      <c r="H4893" s="8">
        <v>1090</v>
      </c>
      <c r="I4893" s="8">
        <v>3263</v>
      </c>
    </row>
    <row r="4894" spans="1:9" x14ac:dyDescent="0.2">
      <c r="A4894" t="s">
        <v>1093</v>
      </c>
      <c r="B4894" t="s">
        <v>1096</v>
      </c>
      <c r="C4894" t="str">
        <f t="shared" si="242"/>
        <v>33669930000000</v>
      </c>
      <c r="D4894" t="s">
        <v>6346</v>
      </c>
      <c r="E4894" t="str">
        <f>"33669930136788"</f>
        <v>33669930136788</v>
      </c>
      <c r="F4894" s="8">
        <v>125</v>
      </c>
      <c r="G4894" s="8">
        <v>5872</v>
      </c>
      <c r="H4894" s="8">
        <v>1090</v>
      </c>
      <c r="I4894" s="8">
        <v>3263</v>
      </c>
    </row>
    <row r="4895" spans="1:9" x14ac:dyDescent="0.2">
      <c r="A4895" t="s">
        <v>1093</v>
      </c>
      <c r="B4895" t="s">
        <v>1096</v>
      </c>
      <c r="C4895" t="str">
        <f t="shared" si="242"/>
        <v>33669930000000</v>
      </c>
      <c r="D4895" t="s">
        <v>6347</v>
      </c>
      <c r="E4895" t="str">
        <f>"33669930129882"</f>
        <v>33669930129882</v>
      </c>
      <c r="F4895" s="8">
        <v>109</v>
      </c>
      <c r="G4895" s="8">
        <v>3245</v>
      </c>
      <c r="H4895" s="8">
        <v>1090</v>
      </c>
      <c r="I4895" s="8">
        <v>3223</v>
      </c>
    </row>
    <row r="4896" spans="1:9" x14ac:dyDescent="0.2">
      <c r="A4896" t="s">
        <v>1093</v>
      </c>
      <c r="B4896" t="s">
        <v>1097</v>
      </c>
      <c r="C4896" t="str">
        <f t="shared" ref="C4896:C4916" si="243">"33736760000000"</f>
        <v>33736760000000</v>
      </c>
      <c r="D4896" t="s">
        <v>6348</v>
      </c>
      <c r="E4896" t="str">
        <f>"33736763330032"</f>
        <v>33736763330032</v>
      </c>
      <c r="F4896" s="8">
        <v>1017</v>
      </c>
      <c r="G4896" s="8">
        <v>13086</v>
      </c>
      <c r="H4896" s="8">
        <v>915</v>
      </c>
      <c r="I4896" s="8">
        <v>5941</v>
      </c>
    </row>
    <row r="4897" spans="1:9" x14ac:dyDescent="0.2">
      <c r="A4897" t="s">
        <v>1093</v>
      </c>
      <c r="B4897" t="s">
        <v>1097</v>
      </c>
      <c r="C4897" t="str">
        <f t="shared" si="243"/>
        <v>33736760000000</v>
      </c>
      <c r="D4897" t="s">
        <v>249</v>
      </c>
      <c r="E4897" t="str">
        <f>"33736766032841"</f>
        <v>33736766032841</v>
      </c>
      <c r="F4897" s="8">
        <v>69</v>
      </c>
      <c r="G4897" s="8">
        <v>9430</v>
      </c>
      <c r="H4897" s="8">
        <v>915</v>
      </c>
      <c r="I4897" s="8">
        <v>5941</v>
      </c>
    </row>
    <row r="4898" spans="1:9" x14ac:dyDescent="0.2">
      <c r="A4898" t="s">
        <v>1093</v>
      </c>
      <c r="B4898" t="s">
        <v>1097</v>
      </c>
      <c r="C4898" t="str">
        <f t="shared" si="243"/>
        <v>33736760000000</v>
      </c>
      <c r="D4898" t="s">
        <v>6349</v>
      </c>
      <c r="E4898" t="str">
        <f>"33736763330354"</f>
        <v>33736763330354</v>
      </c>
      <c r="F4898" s="8">
        <v>177</v>
      </c>
      <c r="G4898" s="8">
        <v>8570</v>
      </c>
      <c r="H4898" s="8">
        <v>915</v>
      </c>
      <c r="I4898" s="8">
        <v>5941</v>
      </c>
    </row>
    <row r="4899" spans="1:9" x14ac:dyDescent="0.2">
      <c r="A4899" t="s">
        <v>1093</v>
      </c>
      <c r="B4899" t="s">
        <v>1097</v>
      </c>
      <c r="C4899" t="str">
        <f t="shared" si="243"/>
        <v>33736760000000</v>
      </c>
      <c r="D4899" t="s">
        <v>3158</v>
      </c>
      <c r="E4899" t="str">
        <f>"33736766108906"</f>
        <v>33736766108906</v>
      </c>
      <c r="F4899" s="8">
        <v>215</v>
      </c>
      <c r="G4899" s="8">
        <v>8266</v>
      </c>
      <c r="H4899" s="8">
        <v>915</v>
      </c>
      <c r="I4899" s="8">
        <v>5941</v>
      </c>
    </row>
    <row r="4900" spans="1:9" x14ac:dyDescent="0.2">
      <c r="A4900" t="s">
        <v>1093</v>
      </c>
      <c r="B4900" t="s">
        <v>1097</v>
      </c>
      <c r="C4900" t="str">
        <f t="shared" si="243"/>
        <v>33736760000000</v>
      </c>
      <c r="D4900" t="s">
        <v>6350</v>
      </c>
      <c r="E4900" t="str">
        <f>"33736766112874"</f>
        <v>33736766112874</v>
      </c>
      <c r="F4900" s="8">
        <v>71</v>
      </c>
      <c r="G4900" s="8">
        <v>8318</v>
      </c>
      <c r="H4900" s="8">
        <v>915</v>
      </c>
      <c r="I4900" s="8">
        <v>5941</v>
      </c>
    </row>
    <row r="4901" spans="1:9" x14ac:dyDescent="0.2">
      <c r="A4901" t="s">
        <v>1093</v>
      </c>
      <c r="B4901" t="s">
        <v>1097</v>
      </c>
      <c r="C4901" t="str">
        <f t="shared" si="243"/>
        <v>33736760000000</v>
      </c>
      <c r="D4901" t="s">
        <v>6351</v>
      </c>
      <c r="E4901" t="str">
        <f>"33736766032361"</f>
        <v>33736766032361</v>
      </c>
      <c r="F4901" s="8">
        <v>250</v>
      </c>
      <c r="G4901" s="8">
        <v>7919</v>
      </c>
      <c r="H4901" s="8">
        <v>915</v>
      </c>
      <c r="I4901" s="8">
        <v>5941</v>
      </c>
    </row>
    <row r="4902" spans="1:9" x14ac:dyDescent="0.2">
      <c r="A4902" t="s">
        <v>1093</v>
      </c>
      <c r="B4902" t="s">
        <v>1097</v>
      </c>
      <c r="C4902" t="str">
        <f t="shared" si="243"/>
        <v>33736760000000</v>
      </c>
      <c r="D4902" t="s">
        <v>6352</v>
      </c>
      <c r="E4902" t="str">
        <f>"33736766117774"</f>
        <v>33736766117774</v>
      </c>
      <c r="F4902" s="8">
        <v>36</v>
      </c>
      <c r="G4902" s="8">
        <v>8038</v>
      </c>
      <c r="H4902" s="8">
        <v>915</v>
      </c>
      <c r="I4902" s="8">
        <v>5941</v>
      </c>
    </row>
    <row r="4903" spans="1:9" x14ac:dyDescent="0.2">
      <c r="A4903" t="s">
        <v>1093</v>
      </c>
      <c r="B4903" t="s">
        <v>1097</v>
      </c>
      <c r="C4903" t="str">
        <f t="shared" si="243"/>
        <v>33736760000000</v>
      </c>
      <c r="D4903" t="s">
        <v>2328</v>
      </c>
      <c r="E4903" t="str">
        <f>"33736766031728"</f>
        <v>33736766031728</v>
      </c>
      <c r="F4903" s="8">
        <v>215</v>
      </c>
      <c r="G4903" s="8">
        <v>7851</v>
      </c>
      <c r="H4903" s="8">
        <v>915</v>
      </c>
      <c r="I4903" s="8">
        <v>5941</v>
      </c>
    </row>
    <row r="4904" spans="1:9" x14ac:dyDescent="0.2">
      <c r="A4904" t="s">
        <v>1093</v>
      </c>
      <c r="B4904" t="s">
        <v>1097</v>
      </c>
      <c r="C4904" t="str">
        <f t="shared" si="243"/>
        <v>33736760000000</v>
      </c>
      <c r="D4904" t="s">
        <v>6353</v>
      </c>
      <c r="E4904" t="str">
        <f>"33736766032254"</f>
        <v>33736766032254</v>
      </c>
      <c r="F4904" s="8">
        <v>44</v>
      </c>
      <c r="G4904" s="8">
        <v>8003</v>
      </c>
      <c r="H4904" s="8">
        <v>915</v>
      </c>
      <c r="I4904" s="8">
        <v>5941</v>
      </c>
    </row>
    <row r="4905" spans="1:9" x14ac:dyDescent="0.2">
      <c r="A4905" t="s">
        <v>1093</v>
      </c>
      <c r="B4905" t="s">
        <v>1097</v>
      </c>
      <c r="C4905" t="str">
        <f t="shared" si="243"/>
        <v>33736760000000</v>
      </c>
      <c r="D4905" t="s">
        <v>6354</v>
      </c>
      <c r="E4905" t="str">
        <f>"33736766031702"</f>
        <v>33736766031702</v>
      </c>
      <c r="F4905" s="8">
        <v>252</v>
      </c>
      <c r="G4905" s="8">
        <v>7693</v>
      </c>
      <c r="H4905" s="8">
        <v>915</v>
      </c>
      <c r="I4905" s="8">
        <v>5941</v>
      </c>
    </row>
    <row r="4906" spans="1:9" x14ac:dyDescent="0.2">
      <c r="A4906" t="s">
        <v>1093</v>
      </c>
      <c r="B4906" t="s">
        <v>1097</v>
      </c>
      <c r="C4906" t="str">
        <f t="shared" si="243"/>
        <v>33736760000000</v>
      </c>
      <c r="D4906" t="s">
        <v>6355</v>
      </c>
      <c r="E4906" t="str">
        <f>"33736766031710"</f>
        <v>33736766031710</v>
      </c>
      <c r="F4906" s="8">
        <v>249</v>
      </c>
      <c r="G4906" s="8">
        <v>7541</v>
      </c>
      <c r="H4906" s="8">
        <v>915</v>
      </c>
      <c r="I4906" s="8">
        <v>5941</v>
      </c>
    </row>
    <row r="4907" spans="1:9" x14ac:dyDescent="0.2">
      <c r="A4907" t="s">
        <v>1093</v>
      </c>
      <c r="B4907" t="s">
        <v>1097</v>
      </c>
      <c r="C4907" t="str">
        <f t="shared" si="243"/>
        <v>33736760000000</v>
      </c>
      <c r="D4907" t="s">
        <v>6356</v>
      </c>
      <c r="E4907" t="str">
        <f>"33736760100248"</f>
        <v>33736760100248</v>
      </c>
      <c r="F4907" s="8">
        <v>206</v>
      </c>
      <c r="G4907" s="8">
        <v>7389</v>
      </c>
      <c r="H4907" s="8">
        <v>915</v>
      </c>
      <c r="I4907" s="8">
        <v>5941</v>
      </c>
    </row>
    <row r="4908" spans="1:9" x14ac:dyDescent="0.2">
      <c r="A4908" t="s">
        <v>1093</v>
      </c>
      <c r="B4908" t="s">
        <v>1097</v>
      </c>
      <c r="C4908" t="str">
        <f t="shared" si="243"/>
        <v>33736760000000</v>
      </c>
      <c r="D4908" t="s">
        <v>6357</v>
      </c>
      <c r="E4908" t="str">
        <f>"33736766032833"</f>
        <v>33736766032833</v>
      </c>
      <c r="F4908" s="8">
        <v>254</v>
      </c>
      <c r="G4908" s="8">
        <v>7296</v>
      </c>
      <c r="H4908" s="8">
        <v>915</v>
      </c>
      <c r="I4908" s="8">
        <v>5941</v>
      </c>
    </row>
    <row r="4909" spans="1:9" x14ac:dyDescent="0.2">
      <c r="A4909" t="s">
        <v>1093</v>
      </c>
      <c r="B4909" t="s">
        <v>1097</v>
      </c>
      <c r="C4909" t="str">
        <f t="shared" si="243"/>
        <v>33736760000000</v>
      </c>
      <c r="D4909" t="s">
        <v>6358</v>
      </c>
      <c r="E4909" t="str">
        <f>"33736760112649"</f>
        <v>33736760112649</v>
      </c>
      <c r="F4909" s="8">
        <v>44</v>
      </c>
      <c r="G4909" s="8">
        <v>7486</v>
      </c>
      <c r="H4909" s="8">
        <v>915</v>
      </c>
      <c r="I4909" s="8">
        <v>5941</v>
      </c>
    </row>
    <row r="4910" spans="1:9" x14ac:dyDescent="0.2">
      <c r="A4910" t="s">
        <v>1093</v>
      </c>
      <c r="B4910" t="s">
        <v>1097</v>
      </c>
      <c r="C4910" t="str">
        <f t="shared" si="243"/>
        <v>33736760000000</v>
      </c>
      <c r="D4910" t="s">
        <v>6359</v>
      </c>
      <c r="E4910" t="str">
        <f>"33736766114789"</f>
        <v>33736766114789</v>
      </c>
      <c r="F4910" s="8">
        <v>13</v>
      </c>
      <c r="G4910" s="8">
        <v>6996</v>
      </c>
      <c r="H4910" s="8">
        <v>915</v>
      </c>
      <c r="I4910" s="8">
        <v>5941</v>
      </c>
    </row>
    <row r="4911" spans="1:9" x14ac:dyDescent="0.2">
      <c r="A4911" t="s">
        <v>1093</v>
      </c>
      <c r="B4911" t="s">
        <v>1097</v>
      </c>
      <c r="C4911" t="str">
        <f t="shared" si="243"/>
        <v>33736760000000</v>
      </c>
      <c r="D4911" t="s">
        <v>6360</v>
      </c>
      <c r="E4911" t="str">
        <f>"33736766031694"</f>
        <v>33736766031694</v>
      </c>
      <c r="F4911" s="8">
        <v>273</v>
      </c>
      <c r="G4911" s="8">
        <v>6705</v>
      </c>
      <c r="H4911" s="8">
        <v>915</v>
      </c>
      <c r="I4911" s="8">
        <v>5941</v>
      </c>
    </row>
    <row r="4912" spans="1:9" x14ac:dyDescent="0.2">
      <c r="A4912" t="s">
        <v>1093</v>
      </c>
      <c r="B4912" t="s">
        <v>1097</v>
      </c>
      <c r="C4912" t="str">
        <f t="shared" si="243"/>
        <v>33736760000000</v>
      </c>
      <c r="D4912" t="s">
        <v>6361</v>
      </c>
      <c r="E4912" t="str">
        <f>"33736760113753"</f>
        <v>33736760113753</v>
      </c>
      <c r="F4912" s="8">
        <v>291</v>
      </c>
      <c r="G4912" s="8">
        <v>6626</v>
      </c>
      <c r="H4912" s="8">
        <v>915</v>
      </c>
      <c r="I4912" s="8">
        <v>5941</v>
      </c>
    </row>
    <row r="4913" spans="1:9" x14ac:dyDescent="0.2">
      <c r="A4913" t="s">
        <v>1093</v>
      </c>
      <c r="B4913" t="s">
        <v>1097</v>
      </c>
      <c r="C4913" t="str">
        <f t="shared" si="243"/>
        <v>33736760000000</v>
      </c>
      <c r="D4913" t="s">
        <v>6362</v>
      </c>
      <c r="E4913" t="str">
        <f>"33736766032379"</f>
        <v>33736766032379</v>
      </c>
      <c r="F4913" s="8">
        <v>37</v>
      </c>
      <c r="G4913" s="8">
        <v>6780</v>
      </c>
      <c r="H4913" s="8">
        <v>915</v>
      </c>
      <c r="I4913" s="8">
        <v>5941</v>
      </c>
    </row>
    <row r="4914" spans="1:9" x14ac:dyDescent="0.2">
      <c r="A4914" t="s">
        <v>1093</v>
      </c>
      <c r="B4914" t="s">
        <v>1097</v>
      </c>
      <c r="C4914" t="str">
        <f t="shared" si="243"/>
        <v>33736760000000</v>
      </c>
      <c r="D4914" t="s">
        <v>6363</v>
      </c>
      <c r="E4914" t="str">
        <f>"33736760100263"</f>
        <v>33736760100263</v>
      </c>
      <c r="F4914" s="8">
        <v>196</v>
      </c>
      <c r="G4914" s="8">
        <v>6592</v>
      </c>
      <c r="H4914" s="8">
        <v>915</v>
      </c>
      <c r="I4914" s="8">
        <v>5941</v>
      </c>
    </row>
    <row r="4915" spans="1:9" x14ac:dyDescent="0.2">
      <c r="A4915" t="s">
        <v>1093</v>
      </c>
      <c r="B4915" t="s">
        <v>1097</v>
      </c>
      <c r="C4915" t="str">
        <f t="shared" si="243"/>
        <v>33736760000000</v>
      </c>
      <c r="D4915" t="s">
        <v>6364</v>
      </c>
      <c r="E4915" t="str">
        <f>"33736763330990"</f>
        <v>33736763330990</v>
      </c>
      <c r="F4915" s="8">
        <v>91</v>
      </c>
      <c r="G4915" s="8">
        <v>6012</v>
      </c>
      <c r="H4915" s="8">
        <v>915</v>
      </c>
      <c r="I4915" s="8">
        <v>5941</v>
      </c>
    </row>
    <row r="4916" spans="1:9" x14ac:dyDescent="0.2">
      <c r="A4916" t="s">
        <v>1093</v>
      </c>
      <c r="B4916" t="s">
        <v>1097</v>
      </c>
      <c r="C4916" t="str">
        <f t="shared" si="243"/>
        <v>33736760000000</v>
      </c>
      <c r="D4916" t="s">
        <v>6365</v>
      </c>
      <c r="E4916" t="str">
        <f>"33736760100255"</f>
        <v>33736760100255</v>
      </c>
      <c r="F4916" s="8">
        <v>102</v>
      </c>
      <c r="G4916" s="8">
        <v>5740</v>
      </c>
      <c r="H4916" s="8">
        <v>915</v>
      </c>
      <c r="I4916" s="8">
        <v>5941</v>
      </c>
    </row>
    <row r="4917" spans="1:9" x14ac:dyDescent="0.2">
      <c r="A4917" t="s">
        <v>1093</v>
      </c>
      <c r="B4917" t="s">
        <v>1098</v>
      </c>
      <c r="C4917" t="str">
        <f t="shared" ref="C4917:C4948" si="244">"33670330000000"</f>
        <v>33670330000000</v>
      </c>
      <c r="D4917" t="s">
        <v>6366</v>
      </c>
      <c r="E4917" t="str">
        <f>"33670336068753"</f>
        <v>33670336068753</v>
      </c>
      <c r="F4917" s="8">
        <v>14866</v>
      </c>
      <c r="G4917" s="8">
        <v>37173</v>
      </c>
      <c r="H4917" s="8">
        <v>4856</v>
      </c>
      <c r="I4917" s="8">
        <v>29120</v>
      </c>
    </row>
    <row r="4918" spans="1:9" x14ac:dyDescent="0.2">
      <c r="A4918" t="s">
        <v>1093</v>
      </c>
      <c r="B4918" t="s">
        <v>1098</v>
      </c>
      <c r="C4918" t="str">
        <f t="shared" si="244"/>
        <v>33670330000000</v>
      </c>
      <c r="D4918" t="s">
        <v>6367</v>
      </c>
      <c r="E4918" t="str">
        <f>"33670330110106"</f>
        <v>33670330110106</v>
      </c>
      <c r="F4918" s="8">
        <v>3061</v>
      </c>
      <c r="G4918" s="8">
        <v>29312</v>
      </c>
      <c r="H4918" s="8">
        <v>731</v>
      </c>
      <c r="I4918" s="8">
        <v>2336</v>
      </c>
    </row>
    <row r="4919" spans="1:9" x14ac:dyDescent="0.2">
      <c r="A4919" t="s">
        <v>1093</v>
      </c>
      <c r="B4919" t="s">
        <v>1098</v>
      </c>
      <c r="C4919" t="str">
        <f t="shared" si="244"/>
        <v>33670330000000</v>
      </c>
      <c r="D4919" t="s">
        <v>2850</v>
      </c>
      <c r="E4919" t="str">
        <f>"33670336031868"</f>
        <v>33670336031868</v>
      </c>
      <c r="F4919" s="8">
        <v>5832</v>
      </c>
      <c r="G4919" s="8">
        <v>11890</v>
      </c>
      <c r="H4919" s="8">
        <v>1054</v>
      </c>
      <c r="I4919" s="8">
        <v>4491</v>
      </c>
    </row>
    <row r="4920" spans="1:9" x14ac:dyDescent="0.2">
      <c r="A4920" t="s">
        <v>1093</v>
      </c>
      <c r="B4920" t="s">
        <v>1098</v>
      </c>
      <c r="C4920" t="str">
        <f t="shared" si="244"/>
        <v>33670330000000</v>
      </c>
      <c r="D4920" t="s">
        <v>6368</v>
      </c>
      <c r="E4920" t="str">
        <f>"33670333330586"</f>
        <v>33670333330586</v>
      </c>
      <c r="F4920" s="8">
        <v>294</v>
      </c>
      <c r="G4920" s="8">
        <v>11003</v>
      </c>
      <c r="H4920" s="8">
        <v>761</v>
      </c>
      <c r="I4920" s="8">
        <v>2601</v>
      </c>
    </row>
    <row r="4921" spans="1:9" x14ac:dyDescent="0.2">
      <c r="A4921" t="s">
        <v>1093</v>
      </c>
      <c r="B4921" t="s">
        <v>1098</v>
      </c>
      <c r="C4921" t="str">
        <f t="shared" si="244"/>
        <v>33670330000000</v>
      </c>
      <c r="D4921" t="s">
        <v>6369</v>
      </c>
      <c r="E4921" t="str">
        <f>"33670336059042"</f>
        <v>33670336059042</v>
      </c>
      <c r="F4921" s="8">
        <v>1292</v>
      </c>
      <c r="G4921" s="8">
        <v>8749</v>
      </c>
      <c r="H4921" s="8">
        <v>918</v>
      </c>
      <c r="I4921" s="8">
        <v>3554</v>
      </c>
    </row>
    <row r="4922" spans="1:9" x14ac:dyDescent="0.2">
      <c r="A4922" t="s">
        <v>1093</v>
      </c>
      <c r="B4922" t="s">
        <v>1098</v>
      </c>
      <c r="C4922" t="str">
        <f t="shared" si="244"/>
        <v>33670330000000</v>
      </c>
      <c r="D4922" t="s">
        <v>2621</v>
      </c>
      <c r="E4922" t="str">
        <f>"33670336107668"</f>
        <v>33670336107668</v>
      </c>
      <c r="F4922" s="8">
        <v>2975</v>
      </c>
      <c r="G4922" s="8">
        <v>6475</v>
      </c>
      <c r="H4922" s="8">
        <v>927</v>
      </c>
      <c r="I4922" s="8">
        <v>3642</v>
      </c>
    </row>
    <row r="4923" spans="1:9" x14ac:dyDescent="0.2">
      <c r="A4923" t="s">
        <v>1093</v>
      </c>
      <c r="B4923" t="s">
        <v>1098</v>
      </c>
      <c r="C4923" t="str">
        <f t="shared" si="244"/>
        <v>33670330000000</v>
      </c>
      <c r="D4923" t="s">
        <v>6370</v>
      </c>
      <c r="E4923" t="str">
        <f>"33670330135574"</f>
        <v>33670330135574</v>
      </c>
      <c r="F4923" s="8">
        <v>524</v>
      </c>
      <c r="G4923" s="8">
        <v>10972</v>
      </c>
      <c r="H4923" s="8">
        <v>640</v>
      </c>
      <c r="I4923" s="8">
        <v>1820</v>
      </c>
    </row>
    <row r="4924" spans="1:9" x14ac:dyDescent="0.2">
      <c r="A4924" t="s">
        <v>1093</v>
      </c>
      <c r="B4924" t="s">
        <v>1098</v>
      </c>
      <c r="C4924" t="str">
        <f t="shared" si="244"/>
        <v>33670330000000</v>
      </c>
      <c r="D4924" t="s">
        <v>6371</v>
      </c>
      <c r="E4924" t="str">
        <f>"33670333331600"</f>
        <v>33670333331600</v>
      </c>
      <c r="F4924" s="8">
        <v>705</v>
      </c>
      <c r="G4924" s="8">
        <v>8319</v>
      </c>
      <c r="H4924" s="8">
        <v>928</v>
      </c>
      <c r="I4924" s="8">
        <v>3688</v>
      </c>
    </row>
    <row r="4925" spans="1:9" x14ac:dyDescent="0.2">
      <c r="A4925" t="s">
        <v>1093</v>
      </c>
      <c r="B4925" t="s">
        <v>1098</v>
      </c>
      <c r="C4925" t="str">
        <f t="shared" si="244"/>
        <v>33670330000000</v>
      </c>
      <c r="D4925" t="s">
        <v>6372</v>
      </c>
      <c r="E4925" t="str">
        <f>"33670336059026"</f>
        <v>33670336059026</v>
      </c>
      <c r="F4925" s="8">
        <v>1006</v>
      </c>
      <c r="G4925" s="8">
        <v>7545</v>
      </c>
      <c r="H4925" s="8">
        <v>979</v>
      </c>
      <c r="I4925" s="8">
        <v>4019</v>
      </c>
    </row>
    <row r="4926" spans="1:9" x14ac:dyDescent="0.2">
      <c r="A4926" t="s">
        <v>1093</v>
      </c>
      <c r="B4926" t="s">
        <v>1098</v>
      </c>
      <c r="C4926" t="str">
        <f t="shared" si="244"/>
        <v>33670330000000</v>
      </c>
      <c r="D4926" t="s">
        <v>6373</v>
      </c>
      <c r="E4926" t="str">
        <f>"33670336084669"</f>
        <v>33670336084669</v>
      </c>
      <c r="F4926" s="8">
        <v>1398</v>
      </c>
      <c r="G4926" s="8">
        <v>8775</v>
      </c>
      <c r="H4926" s="8">
        <v>744</v>
      </c>
      <c r="I4926" s="8">
        <v>2479</v>
      </c>
    </row>
    <row r="4927" spans="1:9" x14ac:dyDescent="0.2">
      <c r="A4927" t="s">
        <v>1093</v>
      </c>
      <c r="B4927" t="s">
        <v>1098</v>
      </c>
      <c r="C4927" t="str">
        <f t="shared" si="244"/>
        <v>33670330000000</v>
      </c>
      <c r="D4927" t="s">
        <v>6374</v>
      </c>
      <c r="E4927" t="str">
        <f>"33670336031884"</f>
        <v>33670336031884</v>
      </c>
      <c r="F4927" s="8">
        <v>941</v>
      </c>
      <c r="G4927" s="8">
        <v>7845</v>
      </c>
      <c r="H4927" s="8">
        <v>918</v>
      </c>
      <c r="I4927" s="8">
        <v>3606</v>
      </c>
    </row>
    <row r="4928" spans="1:9" x14ac:dyDescent="0.2">
      <c r="A4928" t="s">
        <v>1093</v>
      </c>
      <c r="B4928" t="s">
        <v>1098</v>
      </c>
      <c r="C4928" t="str">
        <f t="shared" si="244"/>
        <v>33670330000000</v>
      </c>
      <c r="D4928" t="s">
        <v>1194</v>
      </c>
      <c r="E4928" t="str">
        <f>"33670336031827"</f>
        <v>33670336031827</v>
      </c>
      <c r="F4928" s="8">
        <v>1052</v>
      </c>
      <c r="G4928" s="8">
        <v>7722</v>
      </c>
      <c r="H4928" s="8">
        <v>915</v>
      </c>
      <c r="I4928" s="8">
        <v>3588</v>
      </c>
    </row>
    <row r="4929" spans="1:9" x14ac:dyDescent="0.2">
      <c r="A4929" t="s">
        <v>1093</v>
      </c>
      <c r="B4929" t="s">
        <v>1098</v>
      </c>
      <c r="C4929" t="str">
        <f t="shared" si="244"/>
        <v>33670330000000</v>
      </c>
      <c r="D4929" t="s">
        <v>6375</v>
      </c>
      <c r="E4929" t="str">
        <f>"33670336031843"</f>
        <v>33670336031843</v>
      </c>
      <c r="F4929" s="8">
        <v>884</v>
      </c>
      <c r="G4929" s="8">
        <v>7486</v>
      </c>
      <c r="H4929" s="8">
        <v>953</v>
      </c>
      <c r="I4929" s="8">
        <v>3808</v>
      </c>
    </row>
    <row r="4930" spans="1:9" x14ac:dyDescent="0.2">
      <c r="A4930" t="s">
        <v>1093</v>
      </c>
      <c r="B4930" t="s">
        <v>1098</v>
      </c>
      <c r="C4930" t="str">
        <f t="shared" si="244"/>
        <v>33670330000000</v>
      </c>
      <c r="D4930" t="s">
        <v>6376</v>
      </c>
      <c r="E4930" t="str">
        <f>"33670330119321"</f>
        <v>33670330119321</v>
      </c>
      <c r="F4930" s="8">
        <v>1158</v>
      </c>
      <c r="G4930" s="8">
        <v>7623</v>
      </c>
      <c r="H4930" s="8">
        <v>893</v>
      </c>
      <c r="I4930" s="8">
        <v>3419</v>
      </c>
    </row>
    <row r="4931" spans="1:9" x14ac:dyDescent="0.2">
      <c r="A4931" t="s">
        <v>1093</v>
      </c>
      <c r="B4931" t="s">
        <v>1098</v>
      </c>
      <c r="C4931" t="str">
        <f t="shared" si="244"/>
        <v>33670330000000</v>
      </c>
      <c r="D4931" t="s">
        <v>6377</v>
      </c>
      <c r="E4931" t="str">
        <f>"33670336031850"</f>
        <v>33670336031850</v>
      </c>
      <c r="F4931" s="8">
        <v>1079</v>
      </c>
      <c r="G4931" s="8">
        <v>7682</v>
      </c>
      <c r="H4931" s="8">
        <v>876</v>
      </c>
      <c r="I4931" s="8">
        <v>3336</v>
      </c>
    </row>
    <row r="4932" spans="1:9" x14ac:dyDescent="0.2">
      <c r="A4932" t="s">
        <v>1093</v>
      </c>
      <c r="B4932" t="s">
        <v>1098</v>
      </c>
      <c r="C4932" t="str">
        <f t="shared" si="244"/>
        <v>33670330000000</v>
      </c>
      <c r="D4932" t="s">
        <v>2137</v>
      </c>
      <c r="E4932" t="str">
        <f>"33670330110759"</f>
        <v>33670330110759</v>
      </c>
      <c r="F4932" s="8">
        <v>832</v>
      </c>
      <c r="G4932" s="8">
        <v>7483</v>
      </c>
      <c r="H4932" s="8">
        <v>930</v>
      </c>
      <c r="I4932" s="8">
        <v>3697</v>
      </c>
    </row>
    <row r="4933" spans="1:9" x14ac:dyDescent="0.2">
      <c r="A4933" t="s">
        <v>1093</v>
      </c>
      <c r="B4933" t="s">
        <v>1098</v>
      </c>
      <c r="C4933" t="str">
        <f t="shared" si="244"/>
        <v>33670330000000</v>
      </c>
      <c r="D4933" t="s">
        <v>3043</v>
      </c>
      <c r="E4933" t="str">
        <f>"33670336117998"</f>
        <v>33670336117998</v>
      </c>
      <c r="F4933" s="8">
        <v>752</v>
      </c>
      <c r="G4933" s="8">
        <v>7580</v>
      </c>
      <c r="H4933" s="8">
        <v>897</v>
      </c>
      <c r="I4933" s="8">
        <v>3447</v>
      </c>
    </row>
    <row r="4934" spans="1:9" x14ac:dyDescent="0.2">
      <c r="A4934" t="s">
        <v>1093</v>
      </c>
      <c r="B4934" t="s">
        <v>1098</v>
      </c>
      <c r="C4934" t="str">
        <f t="shared" si="244"/>
        <v>33670330000000</v>
      </c>
      <c r="D4934" t="s">
        <v>6378</v>
      </c>
      <c r="E4934" t="str">
        <f>"33670336107676"</f>
        <v>33670336107676</v>
      </c>
      <c r="F4934" s="8">
        <v>757</v>
      </c>
      <c r="G4934" s="8">
        <v>8318</v>
      </c>
      <c r="H4934" s="8">
        <v>792</v>
      </c>
      <c r="I4934" s="8">
        <v>2767</v>
      </c>
    </row>
    <row r="4935" spans="1:9" x14ac:dyDescent="0.2">
      <c r="A4935" t="s">
        <v>1093</v>
      </c>
      <c r="B4935" t="s">
        <v>1098</v>
      </c>
      <c r="C4935" t="str">
        <f t="shared" si="244"/>
        <v>33670330000000</v>
      </c>
      <c r="D4935" t="s">
        <v>5140</v>
      </c>
      <c r="E4935" t="str">
        <f>"33670336031736"</f>
        <v>33670336031736</v>
      </c>
      <c r="F4935" s="8">
        <v>2620</v>
      </c>
      <c r="G4935" s="8">
        <v>6418</v>
      </c>
      <c r="H4935" s="8">
        <v>786</v>
      </c>
      <c r="I4935" s="8">
        <v>2751</v>
      </c>
    </row>
    <row r="4936" spans="1:9" x14ac:dyDescent="0.2">
      <c r="A4936" t="s">
        <v>1093</v>
      </c>
      <c r="B4936" t="s">
        <v>1098</v>
      </c>
      <c r="C4936" t="str">
        <f t="shared" si="244"/>
        <v>33670330000000</v>
      </c>
      <c r="D4936" t="s">
        <v>2824</v>
      </c>
      <c r="E4936" t="str">
        <f>"33670336031876"</f>
        <v>33670336031876</v>
      </c>
      <c r="F4936" s="8">
        <v>1207</v>
      </c>
      <c r="G4936" s="8">
        <v>7721</v>
      </c>
      <c r="H4936" s="8">
        <v>790</v>
      </c>
      <c r="I4936" s="8">
        <v>2775</v>
      </c>
    </row>
    <row r="4937" spans="1:9" x14ac:dyDescent="0.2">
      <c r="A4937" t="s">
        <v>1093</v>
      </c>
      <c r="B4937" t="s">
        <v>1098</v>
      </c>
      <c r="C4937" t="str">
        <f t="shared" si="244"/>
        <v>33670330000000</v>
      </c>
      <c r="D4937" t="s">
        <v>6379</v>
      </c>
      <c r="E4937" t="str">
        <f>"33670336120372"</f>
        <v>33670336120372</v>
      </c>
      <c r="F4937" s="8">
        <v>756</v>
      </c>
      <c r="G4937" s="8">
        <v>7708</v>
      </c>
      <c r="H4937" s="8">
        <v>851</v>
      </c>
      <c r="I4937" s="8">
        <v>3150</v>
      </c>
    </row>
    <row r="4938" spans="1:9" x14ac:dyDescent="0.2">
      <c r="A4938" t="s">
        <v>1093</v>
      </c>
      <c r="B4938" t="s">
        <v>1098</v>
      </c>
      <c r="C4938" t="str">
        <f t="shared" si="244"/>
        <v>33670330000000</v>
      </c>
      <c r="D4938" t="s">
        <v>6380</v>
      </c>
      <c r="E4938" t="str">
        <f>"33670333334232"</f>
        <v>33670333334232</v>
      </c>
      <c r="F4938" s="8">
        <v>634</v>
      </c>
      <c r="G4938" s="8">
        <v>7984</v>
      </c>
      <c r="H4938" s="8">
        <v>814</v>
      </c>
      <c r="I4938" s="8">
        <v>2958</v>
      </c>
    </row>
    <row r="4939" spans="1:9" x14ac:dyDescent="0.2">
      <c r="A4939" t="s">
        <v>1093</v>
      </c>
      <c r="B4939" t="s">
        <v>1098</v>
      </c>
      <c r="C4939" t="str">
        <f t="shared" si="244"/>
        <v>33670330000000</v>
      </c>
      <c r="D4939" t="s">
        <v>6381</v>
      </c>
      <c r="E4939" t="str">
        <f>"33670336031751"</f>
        <v>33670336031751</v>
      </c>
      <c r="F4939" s="8">
        <v>2915</v>
      </c>
      <c r="G4939" s="8">
        <v>6745</v>
      </c>
      <c r="H4939" s="8">
        <v>638</v>
      </c>
      <c r="I4939" s="8">
        <v>1788</v>
      </c>
    </row>
    <row r="4940" spans="1:9" x14ac:dyDescent="0.2">
      <c r="A4940" t="s">
        <v>1093</v>
      </c>
      <c r="B4940" t="s">
        <v>1098</v>
      </c>
      <c r="C4940" t="str">
        <f t="shared" si="244"/>
        <v>33670330000000</v>
      </c>
      <c r="D4940" t="s">
        <v>2699</v>
      </c>
      <c r="E4940" t="str">
        <f>"33670336031801"</f>
        <v>33670336031801</v>
      </c>
      <c r="F4940" s="8">
        <v>2497</v>
      </c>
      <c r="G4940" s="8">
        <v>5796</v>
      </c>
      <c r="H4940" s="8">
        <v>774</v>
      </c>
      <c r="I4940" s="8">
        <v>2648</v>
      </c>
    </row>
    <row r="4941" spans="1:9" x14ac:dyDescent="0.2">
      <c r="A4941" t="s">
        <v>1093</v>
      </c>
      <c r="B4941" t="s">
        <v>1098</v>
      </c>
      <c r="C4941" t="str">
        <f t="shared" si="244"/>
        <v>33670330000000</v>
      </c>
      <c r="D4941" t="s">
        <v>3684</v>
      </c>
      <c r="E4941" t="str">
        <f>"33670336110589"</f>
        <v>33670336110589</v>
      </c>
      <c r="F4941" s="8">
        <v>953</v>
      </c>
      <c r="G4941" s="8">
        <v>7207</v>
      </c>
      <c r="H4941" s="8">
        <v>755</v>
      </c>
      <c r="I4941" s="8">
        <v>2525</v>
      </c>
    </row>
    <row r="4942" spans="1:9" x14ac:dyDescent="0.2">
      <c r="A4942" t="s">
        <v>1093</v>
      </c>
      <c r="B4942" t="s">
        <v>1098</v>
      </c>
      <c r="C4942" t="str">
        <f t="shared" si="244"/>
        <v>33670330000000</v>
      </c>
      <c r="D4942" t="s">
        <v>6382</v>
      </c>
      <c r="E4942" t="str">
        <f>"33670336061766"</f>
        <v>33670336061766</v>
      </c>
      <c r="F4942" s="8">
        <v>594</v>
      </c>
      <c r="G4942" s="8">
        <v>7460</v>
      </c>
      <c r="H4942" s="8">
        <v>757</v>
      </c>
      <c r="I4942" s="8">
        <v>2576</v>
      </c>
    </row>
    <row r="4943" spans="1:9" x14ac:dyDescent="0.2">
      <c r="A4943" t="s">
        <v>1093</v>
      </c>
      <c r="B4943" t="s">
        <v>1098</v>
      </c>
      <c r="C4943" t="str">
        <f t="shared" si="244"/>
        <v>33670330000000</v>
      </c>
      <c r="D4943" t="s">
        <v>6383</v>
      </c>
      <c r="E4943" t="str">
        <f>"33670336116412"</f>
        <v>33670336116412</v>
      </c>
      <c r="F4943" s="8">
        <v>387</v>
      </c>
      <c r="G4943" s="8">
        <v>7196</v>
      </c>
      <c r="H4943" s="8">
        <v>800</v>
      </c>
      <c r="I4943" s="8">
        <v>2858</v>
      </c>
    </row>
    <row r="4944" spans="1:9" x14ac:dyDescent="0.2">
      <c r="A4944" t="s">
        <v>1093</v>
      </c>
      <c r="B4944" t="s">
        <v>1098</v>
      </c>
      <c r="C4944" t="str">
        <f t="shared" si="244"/>
        <v>33670330000000</v>
      </c>
      <c r="D4944" t="s">
        <v>5896</v>
      </c>
      <c r="E4944" t="str">
        <f>"33670330105791"</f>
        <v>33670330105791</v>
      </c>
      <c r="F4944" s="8">
        <v>1975</v>
      </c>
      <c r="G4944" s="8">
        <v>5552</v>
      </c>
      <c r="H4944" s="8">
        <v>806</v>
      </c>
      <c r="I4944" s="8">
        <v>2857</v>
      </c>
    </row>
    <row r="4945" spans="1:9" x14ac:dyDescent="0.2">
      <c r="A4945" t="s">
        <v>1093</v>
      </c>
      <c r="B4945" t="s">
        <v>1098</v>
      </c>
      <c r="C4945" t="str">
        <f t="shared" si="244"/>
        <v>33670330000000</v>
      </c>
      <c r="D4945" t="s">
        <v>6384</v>
      </c>
      <c r="E4945" t="str">
        <f>"33670336120364"</f>
        <v>33670336120364</v>
      </c>
      <c r="F4945" s="8">
        <v>2173</v>
      </c>
      <c r="G4945" s="8">
        <v>5482</v>
      </c>
      <c r="H4945" s="8">
        <v>781</v>
      </c>
      <c r="I4945" s="8">
        <v>2693</v>
      </c>
    </row>
    <row r="4946" spans="1:9" x14ac:dyDescent="0.2">
      <c r="A4946" t="s">
        <v>1093</v>
      </c>
      <c r="B4946" t="s">
        <v>1098</v>
      </c>
      <c r="C4946" t="str">
        <f t="shared" si="244"/>
        <v>33670330000000</v>
      </c>
      <c r="D4946" t="s">
        <v>3041</v>
      </c>
      <c r="E4946" t="str">
        <f>"33670336031793"</f>
        <v>33670336031793</v>
      </c>
      <c r="F4946" s="8">
        <v>874</v>
      </c>
      <c r="G4946" s="8">
        <v>7131</v>
      </c>
      <c r="H4946" s="8">
        <v>727</v>
      </c>
      <c r="I4946" s="8">
        <v>2364</v>
      </c>
    </row>
    <row r="4947" spans="1:9" x14ac:dyDescent="0.2">
      <c r="A4947" t="s">
        <v>1093</v>
      </c>
      <c r="B4947" t="s">
        <v>1098</v>
      </c>
      <c r="C4947" t="str">
        <f t="shared" si="244"/>
        <v>33670330000000</v>
      </c>
      <c r="D4947" t="s">
        <v>6385</v>
      </c>
      <c r="E4947" t="str">
        <f>"33670330100982"</f>
        <v>33670330100982</v>
      </c>
      <c r="F4947" s="8">
        <v>879</v>
      </c>
      <c r="G4947" s="8">
        <v>6819</v>
      </c>
      <c r="H4947" s="8">
        <v>768</v>
      </c>
      <c r="I4947" s="8">
        <v>2610</v>
      </c>
    </row>
    <row r="4948" spans="1:9" x14ac:dyDescent="0.2">
      <c r="A4948" t="s">
        <v>1093</v>
      </c>
      <c r="B4948" t="s">
        <v>1098</v>
      </c>
      <c r="C4948" t="str">
        <f t="shared" si="244"/>
        <v>33670330000000</v>
      </c>
      <c r="D4948" t="s">
        <v>3876</v>
      </c>
      <c r="E4948" t="str">
        <f>"33670336116404"</f>
        <v>33670336116404</v>
      </c>
      <c r="F4948" s="8">
        <v>2139</v>
      </c>
      <c r="G4948" s="8">
        <v>5538</v>
      </c>
      <c r="H4948" s="8">
        <v>756</v>
      </c>
      <c r="I4948" s="8">
        <v>2534</v>
      </c>
    </row>
    <row r="4949" spans="1:9" x14ac:dyDescent="0.2">
      <c r="A4949" t="s">
        <v>1093</v>
      </c>
      <c r="B4949" t="s">
        <v>1098</v>
      </c>
      <c r="C4949" t="str">
        <f t="shared" ref="C4949:C4969" si="245">"33670330000000"</f>
        <v>33670330000000</v>
      </c>
      <c r="D4949" t="s">
        <v>3325</v>
      </c>
      <c r="E4949" t="str">
        <f>"33670333330446"</f>
        <v>33670333330446</v>
      </c>
      <c r="F4949" s="8">
        <v>538</v>
      </c>
      <c r="G4949" s="8">
        <v>6768</v>
      </c>
      <c r="H4949" s="8">
        <v>798</v>
      </c>
      <c r="I4949" s="8">
        <v>2852</v>
      </c>
    </row>
    <row r="4950" spans="1:9" x14ac:dyDescent="0.2">
      <c r="A4950" t="s">
        <v>1093</v>
      </c>
      <c r="B4950" t="s">
        <v>1098</v>
      </c>
      <c r="C4950" t="str">
        <f t="shared" si="245"/>
        <v>33670330000000</v>
      </c>
      <c r="D4950" t="s">
        <v>5876</v>
      </c>
      <c r="E4950" t="str">
        <f>"33670333330701"</f>
        <v>33670333330701</v>
      </c>
      <c r="F4950" s="8">
        <v>504</v>
      </c>
      <c r="G4950" s="8">
        <v>6961</v>
      </c>
      <c r="H4950" s="8">
        <v>769</v>
      </c>
      <c r="I4950" s="8">
        <v>2661</v>
      </c>
    </row>
    <row r="4951" spans="1:9" x14ac:dyDescent="0.2">
      <c r="A4951" t="s">
        <v>1093</v>
      </c>
      <c r="B4951" t="s">
        <v>1098</v>
      </c>
      <c r="C4951" t="str">
        <f t="shared" si="245"/>
        <v>33670330000000</v>
      </c>
      <c r="D4951" t="s">
        <v>6386</v>
      </c>
      <c r="E4951" t="str">
        <f>"33670330100966"</f>
        <v>33670330100966</v>
      </c>
      <c r="F4951" s="8">
        <v>471</v>
      </c>
      <c r="G4951" s="8">
        <v>6806</v>
      </c>
      <c r="H4951" s="8">
        <v>778</v>
      </c>
      <c r="I4951" s="8">
        <v>2716</v>
      </c>
    </row>
    <row r="4952" spans="1:9" x14ac:dyDescent="0.2">
      <c r="A4952" t="s">
        <v>1093</v>
      </c>
      <c r="B4952" t="s">
        <v>1098</v>
      </c>
      <c r="C4952" t="str">
        <f t="shared" si="245"/>
        <v>33670330000000</v>
      </c>
      <c r="D4952" t="s">
        <v>6387</v>
      </c>
      <c r="E4952" t="str">
        <f>"33670330123828"</f>
        <v>33670330123828</v>
      </c>
      <c r="F4952" s="8">
        <v>550</v>
      </c>
      <c r="G4952" s="8">
        <v>6727</v>
      </c>
      <c r="H4952" s="8">
        <v>761</v>
      </c>
      <c r="I4952" s="8">
        <v>2600</v>
      </c>
    </row>
    <row r="4953" spans="1:9" x14ac:dyDescent="0.2">
      <c r="A4953" t="s">
        <v>1093</v>
      </c>
      <c r="B4953" t="s">
        <v>1098</v>
      </c>
      <c r="C4953" t="str">
        <f t="shared" si="245"/>
        <v>33670330000000</v>
      </c>
      <c r="D4953" t="s">
        <v>6388</v>
      </c>
      <c r="E4953" t="str">
        <f>"33670336059034"</f>
        <v>33670336059034</v>
      </c>
      <c r="F4953" s="8">
        <v>605</v>
      </c>
      <c r="G4953" s="8">
        <v>7520</v>
      </c>
      <c r="H4953" s="8">
        <v>640</v>
      </c>
      <c r="I4953" s="8">
        <v>1823</v>
      </c>
    </row>
    <row r="4954" spans="1:9" x14ac:dyDescent="0.2">
      <c r="A4954" t="s">
        <v>1093</v>
      </c>
      <c r="B4954" t="s">
        <v>1098</v>
      </c>
      <c r="C4954" t="str">
        <f t="shared" si="245"/>
        <v>33670330000000</v>
      </c>
      <c r="D4954" t="s">
        <v>6389</v>
      </c>
      <c r="E4954" t="str">
        <f>"33670330110627"</f>
        <v>33670330110627</v>
      </c>
      <c r="F4954" s="8">
        <v>476</v>
      </c>
      <c r="G4954" s="8">
        <v>6538</v>
      </c>
      <c r="H4954" s="8">
        <v>781</v>
      </c>
      <c r="I4954" s="8">
        <v>2738</v>
      </c>
    </row>
    <row r="4955" spans="1:9" x14ac:dyDescent="0.2">
      <c r="A4955" t="s">
        <v>1093</v>
      </c>
      <c r="B4955" t="s">
        <v>1098</v>
      </c>
      <c r="C4955" t="str">
        <f t="shared" si="245"/>
        <v>33670330000000</v>
      </c>
      <c r="D4955" t="s">
        <v>6390</v>
      </c>
      <c r="E4955" t="str">
        <f>"33670336031819"</f>
        <v>33670336031819</v>
      </c>
      <c r="F4955" s="8">
        <v>963</v>
      </c>
      <c r="G4955" s="8">
        <v>6934</v>
      </c>
      <c r="H4955" s="8">
        <v>638</v>
      </c>
      <c r="I4955" s="8">
        <v>1788</v>
      </c>
    </row>
    <row r="4956" spans="1:9" x14ac:dyDescent="0.2">
      <c r="A4956" t="s">
        <v>1093</v>
      </c>
      <c r="B4956" t="s">
        <v>1098</v>
      </c>
      <c r="C4956" t="str">
        <f t="shared" si="245"/>
        <v>33670330000000</v>
      </c>
      <c r="D4956" t="s">
        <v>6391</v>
      </c>
      <c r="E4956" t="str">
        <f>"33670336031785"</f>
        <v>33670336031785</v>
      </c>
      <c r="F4956" s="8">
        <v>2442</v>
      </c>
      <c r="G4956" s="8">
        <v>5448</v>
      </c>
      <c r="H4956" s="8">
        <v>638</v>
      </c>
      <c r="I4956" s="8">
        <v>1788</v>
      </c>
    </row>
    <row r="4957" spans="1:9" x14ac:dyDescent="0.2">
      <c r="A4957" t="s">
        <v>1093</v>
      </c>
      <c r="B4957" t="s">
        <v>1098</v>
      </c>
      <c r="C4957" t="str">
        <f t="shared" si="245"/>
        <v>33670330000000</v>
      </c>
      <c r="D4957" t="s">
        <v>6392</v>
      </c>
      <c r="E4957" t="str">
        <f>"33670330110643"</f>
        <v>33670330110643</v>
      </c>
      <c r="F4957" s="8">
        <v>2172</v>
      </c>
      <c r="G4957" s="8">
        <v>4908</v>
      </c>
      <c r="H4957" s="8">
        <v>733</v>
      </c>
      <c r="I4957" s="8">
        <v>2386</v>
      </c>
    </row>
    <row r="4958" spans="1:9" x14ac:dyDescent="0.2">
      <c r="A4958" t="s">
        <v>1093</v>
      </c>
      <c r="B4958" t="s">
        <v>1098</v>
      </c>
      <c r="C4958" t="str">
        <f t="shared" si="245"/>
        <v>33670330000000</v>
      </c>
      <c r="D4958" t="s">
        <v>6393</v>
      </c>
      <c r="E4958" t="str">
        <f>"33670336114151"</f>
        <v>33670336114151</v>
      </c>
      <c r="F4958" s="8">
        <v>1176</v>
      </c>
      <c r="G4958" s="8">
        <v>6564</v>
      </c>
      <c r="H4958" s="8">
        <v>638</v>
      </c>
      <c r="I4958" s="8">
        <v>1766</v>
      </c>
    </row>
    <row r="4959" spans="1:9" x14ac:dyDescent="0.2">
      <c r="A4959" t="s">
        <v>1093</v>
      </c>
      <c r="B4959" t="s">
        <v>1098</v>
      </c>
      <c r="C4959" t="str">
        <f t="shared" si="245"/>
        <v>33670330000000</v>
      </c>
      <c r="D4959" t="s">
        <v>6394</v>
      </c>
      <c r="E4959" t="str">
        <f>"33670330110635"</f>
        <v>33670330110635</v>
      </c>
      <c r="F4959" s="8">
        <v>248</v>
      </c>
      <c r="G4959" s="8">
        <v>6689</v>
      </c>
      <c r="H4959" s="8">
        <v>704</v>
      </c>
      <c r="I4959" s="8">
        <v>2236</v>
      </c>
    </row>
    <row r="4960" spans="1:9" x14ac:dyDescent="0.2">
      <c r="A4960" t="s">
        <v>1093</v>
      </c>
      <c r="B4960" t="s">
        <v>1098</v>
      </c>
      <c r="C4960" t="str">
        <f t="shared" si="245"/>
        <v>33670330000000</v>
      </c>
      <c r="D4960" t="s">
        <v>3378</v>
      </c>
      <c r="E4960" t="str">
        <f>"33670330131607"</f>
        <v>33670330131607</v>
      </c>
      <c r="F4960" s="8">
        <v>538</v>
      </c>
      <c r="G4960" s="8">
        <v>5747</v>
      </c>
      <c r="H4960" s="8">
        <v>763</v>
      </c>
      <c r="I4960" s="8">
        <v>2579</v>
      </c>
    </row>
    <row r="4961" spans="1:9" x14ac:dyDescent="0.2">
      <c r="A4961" t="s">
        <v>1093</v>
      </c>
      <c r="B4961" t="s">
        <v>1098</v>
      </c>
      <c r="C4961" t="str">
        <f t="shared" si="245"/>
        <v>33670330000000</v>
      </c>
      <c r="D4961" t="s">
        <v>2889</v>
      </c>
      <c r="E4961" t="str">
        <f>"33670336112957"</f>
        <v>33670336112957</v>
      </c>
      <c r="F4961" s="8">
        <v>1833</v>
      </c>
      <c r="G4961" s="8">
        <v>4946</v>
      </c>
      <c r="H4961" s="8">
        <v>684</v>
      </c>
      <c r="I4961" s="8">
        <v>2068</v>
      </c>
    </row>
    <row r="4962" spans="1:9" x14ac:dyDescent="0.2">
      <c r="A4962" t="s">
        <v>1093</v>
      </c>
      <c r="B4962" t="s">
        <v>1098</v>
      </c>
      <c r="C4962" t="str">
        <f t="shared" si="245"/>
        <v>33670330000000</v>
      </c>
      <c r="D4962" t="s">
        <v>4838</v>
      </c>
      <c r="E4962" t="str">
        <f>"33670330113654"</f>
        <v>33670330113654</v>
      </c>
      <c r="F4962" s="8">
        <v>736</v>
      </c>
      <c r="G4962" s="8">
        <v>6356</v>
      </c>
      <c r="H4962" s="8">
        <v>638</v>
      </c>
      <c r="I4962" s="8">
        <v>1766</v>
      </c>
    </row>
    <row r="4963" spans="1:9" x14ac:dyDescent="0.2">
      <c r="A4963" t="s">
        <v>1093</v>
      </c>
      <c r="B4963" t="s">
        <v>1098</v>
      </c>
      <c r="C4963" t="str">
        <f t="shared" si="245"/>
        <v>33670330000000</v>
      </c>
      <c r="D4963" t="s">
        <v>6395</v>
      </c>
      <c r="E4963" t="str">
        <f>"33670330105809"</f>
        <v>33670330105809</v>
      </c>
      <c r="F4963" s="8">
        <v>795</v>
      </c>
      <c r="G4963" s="8">
        <v>5781</v>
      </c>
      <c r="H4963" s="8">
        <v>705</v>
      </c>
      <c r="I4963" s="8">
        <v>2201</v>
      </c>
    </row>
    <row r="4964" spans="1:9" x14ac:dyDescent="0.2">
      <c r="A4964" t="s">
        <v>1093</v>
      </c>
      <c r="B4964" t="s">
        <v>1098</v>
      </c>
      <c r="C4964" t="str">
        <f t="shared" si="245"/>
        <v>33670330000000</v>
      </c>
      <c r="D4964" t="s">
        <v>6396</v>
      </c>
      <c r="E4964" t="str">
        <f>"33670336031835"</f>
        <v>33670336031835</v>
      </c>
      <c r="F4964" s="8">
        <v>245</v>
      </c>
      <c r="G4964" s="8">
        <v>6755</v>
      </c>
      <c r="H4964" s="8">
        <v>638</v>
      </c>
      <c r="I4964" s="8">
        <v>1766</v>
      </c>
    </row>
    <row r="4965" spans="1:9" x14ac:dyDescent="0.2">
      <c r="A4965" t="s">
        <v>1093</v>
      </c>
      <c r="B4965" t="s">
        <v>1098</v>
      </c>
      <c r="C4965" t="str">
        <f t="shared" si="245"/>
        <v>33670330000000</v>
      </c>
      <c r="D4965" t="s">
        <v>6397</v>
      </c>
      <c r="E4965" t="str">
        <f>"33670330113647"</f>
        <v>33670330113647</v>
      </c>
      <c r="F4965" s="8">
        <v>136</v>
      </c>
      <c r="G4965" s="8">
        <v>6401</v>
      </c>
      <c r="H4965" s="8">
        <v>666</v>
      </c>
      <c r="I4965" s="8">
        <v>1946</v>
      </c>
    </row>
    <row r="4966" spans="1:9" x14ac:dyDescent="0.2">
      <c r="A4966" t="s">
        <v>1093</v>
      </c>
      <c r="B4966" t="s">
        <v>1098</v>
      </c>
      <c r="C4966" t="str">
        <f t="shared" si="245"/>
        <v>33670330000000</v>
      </c>
      <c r="D4966" t="s">
        <v>6398</v>
      </c>
      <c r="E4966" t="str">
        <f>"33670330100974"</f>
        <v>33670330100974</v>
      </c>
      <c r="F4966" s="8">
        <v>1703</v>
      </c>
      <c r="G4966" s="8">
        <v>4425</v>
      </c>
      <c r="H4966" s="8">
        <v>638</v>
      </c>
      <c r="I4966" s="8">
        <v>1766</v>
      </c>
    </row>
    <row r="4967" spans="1:9" x14ac:dyDescent="0.2">
      <c r="A4967" t="s">
        <v>1093</v>
      </c>
      <c r="B4967" t="s">
        <v>1098</v>
      </c>
      <c r="C4967" t="str">
        <f t="shared" si="245"/>
        <v>33670330000000</v>
      </c>
      <c r="D4967" t="s">
        <v>6399</v>
      </c>
      <c r="E4967" t="str">
        <f>"33670330139782"</f>
        <v>33670330139782</v>
      </c>
      <c r="F4967" s="8">
        <v>162</v>
      </c>
      <c r="G4967" s="8">
        <v>5440</v>
      </c>
      <c r="H4967" s="8">
        <v>638</v>
      </c>
      <c r="I4967" s="8">
        <v>1766</v>
      </c>
    </row>
    <row r="4968" spans="1:9" x14ac:dyDescent="0.2">
      <c r="A4968" t="s">
        <v>1093</v>
      </c>
      <c r="B4968" t="s">
        <v>1098</v>
      </c>
      <c r="C4968" t="str">
        <f t="shared" si="245"/>
        <v>33670330000000</v>
      </c>
      <c r="D4968" t="s">
        <v>6400</v>
      </c>
      <c r="E4968" t="str">
        <f>"33670333330131"</f>
        <v>33670333330131</v>
      </c>
      <c r="F4968" s="8">
        <v>863</v>
      </c>
      <c r="G4968" s="8">
        <v>0</v>
      </c>
      <c r="H4968" s="8">
        <v>652</v>
      </c>
      <c r="I4968" s="8">
        <v>1766</v>
      </c>
    </row>
    <row r="4969" spans="1:9" x14ac:dyDescent="0.2">
      <c r="A4969" t="s">
        <v>1093</v>
      </c>
      <c r="B4969" t="s">
        <v>1098</v>
      </c>
      <c r="C4969" t="str">
        <f t="shared" si="245"/>
        <v>33670330000000</v>
      </c>
      <c r="D4969" t="s">
        <v>6401</v>
      </c>
      <c r="E4969" t="str">
        <f>"33670333330602"</f>
        <v>33670333330602</v>
      </c>
      <c r="F4969" s="8" t="s">
        <v>30</v>
      </c>
      <c r="G4969" s="8" t="s">
        <v>30</v>
      </c>
      <c r="H4969" s="8" t="s">
        <v>30</v>
      </c>
      <c r="I4969" s="8" t="s">
        <v>30</v>
      </c>
    </row>
    <row r="4970" spans="1:9" x14ac:dyDescent="0.2">
      <c r="A4970" t="s">
        <v>1093</v>
      </c>
      <c r="B4970" t="s">
        <v>1099</v>
      </c>
      <c r="C4970" t="str">
        <f>"33670410000000"</f>
        <v>33670410000000</v>
      </c>
      <c r="D4970" t="s">
        <v>6402</v>
      </c>
      <c r="E4970" t="str">
        <f>"33670416031900"</f>
        <v>33670416031900</v>
      </c>
      <c r="F4970" s="8">
        <v>5777</v>
      </c>
      <c r="G4970" s="8">
        <v>49400</v>
      </c>
      <c r="H4970" s="8">
        <v>0</v>
      </c>
      <c r="I4970" s="8">
        <v>0</v>
      </c>
    </row>
    <row r="4971" spans="1:9" x14ac:dyDescent="0.2">
      <c r="A4971" t="s">
        <v>1093</v>
      </c>
      <c r="B4971" t="s">
        <v>1100</v>
      </c>
      <c r="C4971" t="str">
        <f t="shared" ref="C4971:C5003" si="246">"33670580000000"</f>
        <v>33670580000000</v>
      </c>
      <c r="D4971" t="s">
        <v>6403</v>
      </c>
      <c r="E4971" t="str">
        <f>"33670583331113"</f>
        <v>33670583331113</v>
      </c>
      <c r="F4971" s="8">
        <v>958</v>
      </c>
      <c r="G4971" s="8">
        <v>15669</v>
      </c>
      <c r="H4971" s="8">
        <v>1765</v>
      </c>
      <c r="I4971" s="8">
        <v>4187</v>
      </c>
    </row>
    <row r="4972" spans="1:9" x14ac:dyDescent="0.2">
      <c r="A4972" t="s">
        <v>1093</v>
      </c>
      <c r="B4972" t="s">
        <v>1100</v>
      </c>
      <c r="C4972" t="str">
        <f t="shared" si="246"/>
        <v>33670580000000</v>
      </c>
      <c r="D4972" t="s">
        <v>2563</v>
      </c>
      <c r="E4972" t="str">
        <f>"33670580114504"</f>
        <v>33670580114504</v>
      </c>
      <c r="F4972" s="8">
        <v>807</v>
      </c>
      <c r="G4972" s="8">
        <v>12068</v>
      </c>
      <c r="H4972" s="8">
        <v>1765</v>
      </c>
      <c r="I4972" s="8">
        <v>4187</v>
      </c>
    </row>
    <row r="4973" spans="1:9" x14ac:dyDescent="0.2">
      <c r="A4973" t="s">
        <v>1093</v>
      </c>
      <c r="B4973" t="s">
        <v>1100</v>
      </c>
      <c r="C4973" t="str">
        <f t="shared" si="246"/>
        <v>33670580000000</v>
      </c>
      <c r="D4973" t="s">
        <v>5264</v>
      </c>
      <c r="E4973" t="str">
        <f>"33670586108955"</f>
        <v>33670586108955</v>
      </c>
      <c r="F4973" s="8">
        <v>659</v>
      </c>
      <c r="G4973" s="8">
        <v>9854</v>
      </c>
      <c r="H4973" s="8">
        <v>1765</v>
      </c>
      <c r="I4973" s="8">
        <v>4187</v>
      </c>
    </row>
    <row r="4974" spans="1:9" x14ac:dyDescent="0.2">
      <c r="A4974" t="s">
        <v>1093</v>
      </c>
      <c r="B4974" t="s">
        <v>1100</v>
      </c>
      <c r="C4974" t="str">
        <f t="shared" si="246"/>
        <v>33670580000000</v>
      </c>
      <c r="D4974" t="s">
        <v>6404</v>
      </c>
      <c r="E4974" t="str">
        <f>"33670583330909"</f>
        <v>33670583330909</v>
      </c>
      <c r="F4974" s="8">
        <v>71</v>
      </c>
      <c r="G4974" s="8">
        <v>10412</v>
      </c>
      <c r="H4974" s="8">
        <v>1765</v>
      </c>
      <c r="I4974" s="8">
        <v>4187</v>
      </c>
    </row>
    <row r="4975" spans="1:9" x14ac:dyDescent="0.2">
      <c r="A4975" t="s">
        <v>1093</v>
      </c>
      <c r="B4975" t="s">
        <v>1100</v>
      </c>
      <c r="C4975" t="str">
        <f t="shared" si="246"/>
        <v>33670580000000</v>
      </c>
      <c r="D4975" t="s">
        <v>2244</v>
      </c>
      <c r="E4975" t="str">
        <f>"33670586031975"</f>
        <v>33670586031975</v>
      </c>
      <c r="F4975" s="8">
        <v>802</v>
      </c>
      <c r="G4975" s="8">
        <v>9507</v>
      </c>
      <c r="H4975" s="8">
        <v>1765</v>
      </c>
      <c r="I4975" s="8">
        <v>4187</v>
      </c>
    </row>
    <row r="4976" spans="1:9" x14ac:dyDescent="0.2">
      <c r="A4976" t="s">
        <v>1093</v>
      </c>
      <c r="B4976" t="s">
        <v>1100</v>
      </c>
      <c r="C4976" t="str">
        <f t="shared" si="246"/>
        <v>33670580000000</v>
      </c>
      <c r="D4976" t="s">
        <v>6405</v>
      </c>
      <c r="E4976" t="str">
        <f>"33670586116636"</f>
        <v>33670586116636</v>
      </c>
      <c r="F4976" s="8">
        <v>543</v>
      </c>
      <c r="G4976" s="8">
        <v>9663</v>
      </c>
      <c r="H4976" s="8">
        <v>1765</v>
      </c>
      <c r="I4976" s="8">
        <v>4187</v>
      </c>
    </row>
    <row r="4977" spans="1:9" x14ac:dyDescent="0.2">
      <c r="A4977" t="s">
        <v>1093</v>
      </c>
      <c r="B4977" t="s">
        <v>1100</v>
      </c>
      <c r="C4977" t="str">
        <f t="shared" si="246"/>
        <v>33670580000000</v>
      </c>
      <c r="D4977" t="s">
        <v>6406</v>
      </c>
      <c r="E4977" t="str">
        <f>"33670580111021"</f>
        <v>33670580111021</v>
      </c>
      <c r="F4977" s="8">
        <v>735</v>
      </c>
      <c r="G4977" s="8">
        <v>9157</v>
      </c>
      <c r="H4977" s="8">
        <v>1765</v>
      </c>
      <c r="I4977" s="8">
        <v>4187</v>
      </c>
    </row>
    <row r="4978" spans="1:9" x14ac:dyDescent="0.2">
      <c r="A4978" t="s">
        <v>1093</v>
      </c>
      <c r="B4978" t="s">
        <v>1100</v>
      </c>
      <c r="C4978" t="str">
        <f t="shared" si="246"/>
        <v>33670580000000</v>
      </c>
      <c r="D4978" t="s">
        <v>3048</v>
      </c>
      <c r="E4978" t="str">
        <f>"33670586032007"</f>
        <v>33670586032007</v>
      </c>
      <c r="F4978" s="8">
        <v>645</v>
      </c>
      <c r="G4978" s="8">
        <v>9213</v>
      </c>
      <c r="H4978" s="8">
        <v>1765</v>
      </c>
      <c r="I4978" s="8">
        <v>4187</v>
      </c>
    </row>
    <row r="4979" spans="1:9" x14ac:dyDescent="0.2">
      <c r="A4979" t="s">
        <v>1093</v>
      </c>
      <c r="B4979" t="s">
        <v>1100</v>
      </c>
      <c r="C4979" t="str">
        <f t="shared" si="246"/>
        <v>33670580000000</v>
      </c>
      <c r="D4979" t="s">
        <v>6407</v>
      </c>
      <c r="E4979" t="str">
        <f>"33670586031967"</f>
        <v>33670586031967</v>
      </c>
      <c r="F4979" s="8">
        <v>331</v>
      </c>
      <c r="G4979" s="8">
        <v>9231</v>
      </c>
      <c r="H4979" s="8">
        <v>1765</v>
      </c>
      <c r="I4979" s="8">
        <v>4187</v>
      </c>
    </row>
    <row r="4980" spans="1:9" x14ac:dyDescent="0.2">
      <c r="A4980" t="s">
        <v>1093</v>
      </c>
      <c r="B4980" t="s">
        <v>1100</v>
      </c>
      <c r="C4980" t="str">
        <f t="shared" si="246"/>
        <v>33670580000000</v>
      </c>
      <c r="D4980" t="s">
        <v>6408</v>
      </c>
      <c r="E4980" t="str">
        <f>"33670580100164"</f>
        <v>33670580100164</v>
      </c>
      <c r="F4980" s="8">
        <v>588</v>
      </c>
      <c r="G4980" s="8">
        <v>8924</v>
      </c>
      <c r="H4980" s="8">
        <v>1765</v>
      </c>
      <c r="I4980" s="8">
        <v>4187</v>
      </c>
    </row>
    <row r="4981" spans="1:9" x14ac:dyDescent="0.2">
      <c r="A4981" t="s">
        <v>1093</v>
      </c>
      <c r="B4981" t="s">
        <v>1100</v>
      </c>
      <c r="C4981" t="str">
        <f t="shared" si="246"/>
        <v>33670580000000</v>
      </c>
      <c r="D4981" t="s">
        <v>5258</v>
      </c>
      <c r="E4981" t="str">
        <f>"33670586109045"</f>
        <v>33670586109045</v>
      </c>
      <c r="F4981" s="8">
        <v>537</v>
      </c>
      <c r="G4981" s="8">
        <v>8956</v>
      </c>
      <c r="H4981" s="8">
        <v>1765</v>
      </c>
      <c r="I4981" s="8">
        <v>4187</v>
      </c>
    </row>
    <row r="4982" spans="1:9" x14ac:dyDescent="0.2">
      <c r="A4982" t="s">
        <v>1093</v>
      </c>
      <c r="B4982" t="s">
        <v>1100</v>
      </c>
      <c r="C4982" t="str">
        <f t="shared" si="246"/>
        <v>33670580000000</v>
      </c>
      <c r="D4982" t="s">
        <v>6409</v>
      </c>
      <c r="E4982" t="str">
        <f>"33670586113880"</f>
        <v>33670586113880</v>
      </c>
      <c r="F4982" s="8">
        <v>665</v>
      </c>
      <c r="G4982" s="8">
        <v>8663</v>
      </c>
      <c r="H4982" s="8">
        <v>1765</v>
      </c>
      <c r="I4982" s="8">
        <v>4187</v>
      </c>
    </row>
    <row r="4983" spans="1:9" x14ac:dyDescent="0.2">
      <c r="A4983" t="s">
        <v>1093</v>
      </c>
      <c r="B4983" t="s">
        <v>1100</v>
      </c>
      <c r="C4983" t="str">
        <f t="shared" si="246"/>
        <v>33670580000000</v>
      </c>
      <c r="D4983" t="s">
        <v>3876</v>
      </c>
      <c r="E4983" t="str">
        <f>"33670580107961"</f>
        <v>33670580107961</v>
      </c>
      <c r="F4983" s="8">
        <v>461</v>
      </c>
      <c r="G4983" s="8">
        <v>8386</v>
      </c>
      <c r="H4983" s="8">
        <v>1765</v>
      </c>
      <c r="I4983" s="8">
        <v>4187</v>
      </c>
    </row>
    <row r="4984" spans="1:9" x14ac:dyDescent="0.2">
      <c r="A4984" t="s">
        <v>1093</v>
      </c>
      <c r="B4984" t="s">
        <v>1100</v>
      </c>
      <c r="C4984" t="str">
        <f t="shared" si="246"/>
        <v>33670580000000</v>
      </c>
      <c r="D4984" t="s">
        <v>3050</v>
      </c>
      <c r="E4984" t="str">
        <f>"33670586031934"</f>
        <v>33670586031934</v>
      </c>
      <c r="F4984" s="8">
        <v>630</v>
      </c>
      <c r="G4984" s="8">
        <v>8190</v>
      </c>
      <c r="H4984" s="8">
        <v>1765</v>
      </c>
      <c r="I4984" s="8">
        <v>4187</v>
      </c>
    </row>
    <row r="4985" spans="1:9" x14ac:dyDescent="0.2">
      <c r="A4985" t="s">
        <v>1093</v>
      </c>
      <c r="B4985" t="s">
        <v>1100</v>
      </c>
      <c r="C4985" t="str">
        <f t="shared" si="246"/>
        <v>33670580000000</v>
      </c>
      <c r="D4985" t="s">
        <v>6410</v>
      </c>
      <c r="E4985" t="str">
        <f>"33670586109789"</f>
        <v>33670586109789</v>
      </c>
      <c r="F4985" s="8">
        <v>463</v>
      </c>
      <c r="G4985" s="8">
        <v>8273</v>
      </c>
      <c r="H4985" s="8">
        <v>1765</v>
      </c>
      <c r="I4985" s="8">
        <v>4187</v>
      </c>
    </row>
    <row r="4986" spans="1:9" x14ac:dyDescent="0.2">
      <c r="A4986" t="s">
        <v>1093</v>
      </c>
      <c r="B4986" t="s">
        <v>1100</v>
      </c>
      <c r="C4986" t="str">
        <f t="shared" si="246"/>
        <v>33670580000000</v>
      </c>
      <c r="D4986" t="s">
        <v>6411</v>
      </c>
      <c r="E4986" t="str">
        <f>"33670580108464"</f>
        <v>33670580108464</v>
      </c>
      <c r="F4986" s="8">
        <v>352</v>
      </c>
      <c r="G4986" s="8">
        <v>8361</v>
      </c>
      <c r="H4986" s="8">
        <v>1765</v>
      </c>
      <c r="I4986" s="8">
        <v>4187</v>
      </c>
    </row>
    <row r="4987" spans="1:9" x14ac:dyDescent="0.2">
      <c r="A4987" t="s">
        <v>1093</v>
      </c>
      <c r="B4987" t="s">
        <v>1100</v>
      </c>
      <c r="C4987" t="str">
        <f t="shared" si="246"/>
        <v>33670580000000</v>
      </c>
      <c r="D4987" t="s">
        <v>6412</v>
      </c>
      <c r="E4987" t="str">
        <f>"33670586118863"</f>
        <v>33670586118863</v>
      </c>
      <c r="F4987" s="8">
        <v>291</v>
      </c>
      <c r="G4987" s="8">
        <v>8341</v>
      </c>
      <c r="H4987" s="8">
        <v>1765</v>
      </c>
      <c r="I4987" s="8">
        <v>4187</v>
      </c>
    </row>
    <row r="4988" spans="1:9" x14ac:dyDescent="0.2">
      <c r="A4988" t="s">
        <v>1093</v>
      </c>
      <c r="B4988" t="s">
        <v>1100</v>
      </c>
      <c r="C4988" t="str">
        <f t="shared" si="246"/>
        <v>33670580000000</v>
      </c>
      <c r="D4988" t="s">
        <v>3863</v>
      </c>
      <c r="E4988" t="str">
        <f>"33670586031926"</f>
        <v>33670586031926</v>
      </c>
      <c r="F4988" s="8">
        <v>560</v>
      </c>
      <c r="G4988" s="8">
        <v>7953</v>
      </c>
      <c r="H4988" s="8">
        <v>1765</v>
      </c>
      <c r="I4988" s="8">
        <v>4187</v>
      </c>
    </row>
    <row r="4989" spans="1:9" x14ac:dyDescent="0.2">
      <c r="A4989" t="s">
        <v>1093</v>
      </c>
      <c r="B4989" t="s">
        <v>1100</v>
      </c>
      <c r="C4989" t="str">
        <f t="shared" si="246"/>
        <v>33670580000000</v>
      </c>
      <c r="D4989" t="s">
        <v>3378</v>
      </c>
      <c r="E4989" t="str">
        <f>"33670580110791"</f>
        <v>33670580110791</v>
      </c>
      <c r="F4989" s="8">
        <v>417</v>
      </c>
      <c r="G4989" s="8">
        <v>7970</v>
      </c>
      <c r="H4989" s="8">
        <v>1765</v>
      </c>
      <c r="I4989" s="8">
        <v>4187</v>
      </c>
    </row>
    <row r="4990" spans="1:9" x14ac:dyDescent="0.2">
      <c r="A4990" t="s">
        <v>1093</v>
      </c>
      <c r="B4990" t="s">
        <v>1100</v>
      </c>
      <c r="C4990" t="str">
        <f t="shared" si="246"/>
        <v>33670580000000</v>
      </c>
      <c r="D4990" t="s">
        <v>6413</v>
      </c>
      <c r="E4990" t="str">
        <f>"33670586118855"</f>
        <v>33670586118855</v>
      </c>
      <c r="F4990" s="8">
        <v>540</v>
      </c>
      <c r="G4990" s="8">
        <v>7639</v>
      </c>
      <c r="H4990" s="8">
        <v>1765</v>
      </c>
      <c r="I4990" s="8">
        <v>4187</v>
      </c>
    </row>
    <row r="4991" spans="1:9" x14ac:dyDescent="0.2">
      <c r="A4991" t="s">
        <v>1093</v>
      </c>
      <c r="B4991" t="s">
        <v>1100</v>
      </c>
      <c r="C4991" t="str">
        <f t="shared" si="246"/>
        <v>33670580000000</v>
      </c>
      <c r="D4991" t="s">
        <v>6414</v>
      </c>
      <c r="E4991" t="str">
        <f>"33670583333192"</f>
        <v>33670583333192</v>
      </c>
      <c r="F4991" s="8">
        <v>506</v>
      </c>
      <c r="G4991" s="8">
        <v>7660</v>
      </c>
      <c r="H4991" s="8">
        <v>1765</v>
      </c>
      <c r="I4991" s="8">
        <v>4187</v>
      </c>
    </row>
    <row r="4992" spans="1:9" x14ac:dyDescent="0.2">
      <c r="A4992" t="s">
        <v>1093</v>
      </c>
      <c r="B4992" t="s">
        <v>1100</v>
      </c>
      <c r="C4992" t="str">
        <f t="shared" si="246"/>
        <v>33670580000000</v>
      </c>
      <c r="D4992" t="s">
        <v>6415</v>
      </c>
      <c r="E4992" t="str">
        <f>"33670580118885"</f>
        <v>33670580118885</v>
      </c>
      <c r="F4992" s="8">
        <v>368</v>
      </c>
      <c r="G4992" s="8">
        <v>7717</v>
      </c>
      <c r="H4992" s="8">
        <v>1765</v>
      </c>
      <c r="I4992" s="8">
        <v>4187</v>
      </c>
    </row>
    <row r="4993" spans="1:9" x14ac:dyDescent="0.2">
      <c r="A4993" t="s">
        <v>1093</v>
      </c>
      <c r="B4993" t="s">
        <v>1100</v>
      </c>
      <c r="C4993" t="str">
        <f t="shared" si="246"/>
        <v>33670580000000</v>
      </c>
      <c r="D4993" t="s">
        <v>6416</v>
      </c>
      <c r="E4993" t="str">
        <f>"33670586106082"</f>
        <v>33670586106082</v>
      </c>
      <c r="F4993" s="8">
        <v>364</v>
      </c>
      <c r="G4993" s="8">
        <v>7710</v>
      </c>
      <c r="H4993" s="8">
        <v>1765</v>
      </c>
      <c r="I4993" s="8">
        <v>4187</v>
      </c>
    </row>
    <row r="4994" spans="1:9" x14ac:dyDescent="0.2">
      <c r="A4994" t="s">
        <v>1093</v>
      </c>
      <c r="B4994" t="s">
        <v>1100</v>
      </c>
      <c r="C4994" t="str">
        <f t="shared" si="246"/>
        <v>33670580000000</v>
      </c>
      <c r="D4994" t="s">
        <v>3426</v>
      </c>
      <c r="E4994" t="str">
        <f>"33670586032015"</f>
        <v>33670586032015</v>
      </c>
      <c r="F4994" s="8">
        <v>715</v>
      </c>
      <c r="G4994" s="8">
        <v>7298</v>
      </c>
      <c r="H4994" s="8">
        <v>1765</v>
      </c>
      <c r="I4994" s="8">
        <v>4187</v>
      </c>
    </row>
    <row r="4995" spans="1:9" x14ac:dyDescent="0.2">
      <c r="A4995" t="s">
        <v>1093</v>
      </c>
      <c r="B4995" t="s">
        <v>1100</v>
      </c>
      <c r="C4995" t="str">
        <f t="shared" si="246"/>
        <v>33670580000000</v>
      </c>
      <c r="D4995" t="s">
        <v>6417</v>
      </c>
      <c r="E4995" t="str">
        <f>"33670586109797"</f>
        <v>33670586109797</v>
      </c>
      <c r="F4995" s="8">
        <v>569</v>
      </c>
      <c r="G4995" s="8">
        <v>7421</v>
      </c>
      <c r="H4995" s="8">
        <v>1765</v>
      </c>
      <c r="I4995" s="8">
        <v>4187</v>
      </c>
    </row>
    <row r="4996" spans="1:9" x14ac:dyDescent="0.2">
      <c r="A4996" t="s">
        <v>1093</v>
      </c>
      <c r="B4996" t="s">
        <v>1100</v>
      </c>
      <c r="C4996" t="str">
        <f t="shared" si="246"/>
        <v>33670580000000</v>
      </c>
      <c r="D4996" t="s">
        <v>6418</v>
      </c>
      <c r="E4996" t="str">
        <f>"33670586107759"</f>
        <v>33670586107759</v>
      </c>
      <c r="F4996" s="8">
        <v>531</v>
      </c>
      <c r="G4996" s="8">
        <v>7324</v>
      </c>
      <c r="H4996" s="8">
        <v>1765</v>
      </c>
      <c r="I4996" s="8">
        <v>4187</v>
      </c>
    </row>
    <row r="4997" spans="1:9" x14ac:dyDescent="0.2">
      <c r="A4997" t="s">
        <v>1093</v>
      </c>
      <c r="B4997" t="s">
        <v>1100</v>
      </c>
      <c r="C4997" t="str">
        <f t="shared" si="246"/>
        <v>33670580000000</v>
      </c>
      <c r="D4997" t="s">
        <v>5889</v>
      </c>
      <c r="E4997" t="str">
        <f>"33670583330669"</f>
        <v>33670583330669</v>
      </c>
      <c r="F4997" s="8">
        <v>314</v>
      </c>
      <c r="G4997" s="8">
        <v>7485</v>
      </c>
      <c r="H4997" s="8">
        <v>1765</v>
      </c>
      <c r="I4997" s="8">
        <v>4187</v>
      </c>
    </row>
    <row r="4998" spans="1:9" x14ac:dyDescent="0.2">
      <c r="A4998" t="s">
        <v>1093</v>
      </c>
      <c r="B4998" t="s">
        <v>1100</v>
      </c>
      <c r="C4998" t="str">
        <f t="shared" si="246"/>
        <v>33670580000000</v>
      </c>
      <c r="D4998" t="s">
        <v>6419</v>
      </c>
      <c r="E4998" t="str">
        <f>"33670583330388"</f>
        <v>33670583330388</v>
      </c>
      <c r="F4998" s="8">
        <v>233</v>
      </c>
      <c r="G4998" s="8">
        <v>7505</v>
      </c>
      <c r="H4998" s="8">
        <v>1765</v>
      </c>
      <c r="I4998" s="8">
        <v>4187</v>
      </c>
    </row>
    <row r="4999" spans="1:9" x14ac:dyDescent="0.2">
      <c r="A4999" t="s">
        <v>1093</v>
      </c>
      <c r="B4999" t="s">
        <v>1100</v>
      </c>
      <c r="C4999" t="str">
        <f t="shared" si="246"/>
        <v>33670580000000</v>
      </c>
      <c r="D4999" t="s">
        <v>6420</v>
      </c>
      <c r="E4999" t="str">
        <f>"33670586031983"</f>
        <v>33670586031983</v>
      </c>
      <c r="F4999" s="8">
        <v>456</v>
      </c>
      <c r="G4999" s="8">
        <v>7030</v>
      </c>
      <c r="H4999" s="8">
        <v>1765</v>
      </c>
      <c r="I4999" s="8">
        <v>4187</v>
      </c>
    </row>
    <row r="5000" spans="1:9" x14ac:dyDescent="0.2">
      <c r="A5000" t="s">
        <v>1093</v>
      </c>
      <c r="B5000" t="s">
        <v>1100</v>
      </c>
      <c r="C5000" t="str">
        <f t="shared" si="246"/>
        <v>33670580000000</v>
      </c>
      <c r="D5000" t="s">
        <v>6421</v>
      </c>
      <c r="E5000" t="str">
        <f>"33670580119305"</f>
        <v>33670580119305</v>
      </c>
      <c r="F5000" s="8">
        <v>480</v>
      </c>
      <c r="G5000" s="8">
        <v>6822</v>
      </c>
      <c r="H5000" s="8">
        <v>1765</v>
      </c>
      <c r="I5000" s="8">
        <v>4187</v>
      </c>
    </row>
    <row r="5001" spans="1:9" x14ac:dyDescent="0.2">
      <c r="A5001" t="s">
        <v>1093</v>
      </c>
      <c r="B5001" t="s">
        <v>1100</v>
      </c>
      <c r="C5001" t="str">
        <f t="shared" si="246"/>
        <v>33670580000000</v>
      </c>
      <c r="D5001" t="s">
        <v>6422</v>
      </c>
      <c r="E5001" t="str">
        <f>"33670580136770"</f>
        <v>33670580136770</v>
      </c>
      <c r="F5001" s="8">
        <v>195</v>
      </c>
      <c r="G5001" s="8">
        <v>7003</v>
      </c>
      <c r="H5001" s="8">
        <v>1765</v>
      </c>
      <c r="I5001" s="8">
        <v>4187</v>
      </c>
    </row>
    <row r="5002" spans="1:9" x14ac:dyDescent="0.2">
      <c r="A5002" t="s">
        <v>1093</v>
      </c>
      <c r="B5002" t="s">
        <v>1100</v>
      </c>
      <c r="C5002" t="str">
        <f t="shared" si="246"/>
        <v>33670580000000</v>
      </c>
      <c r="D5002" t="s">
        <v>6423</v>
      </c>
      <c r="E5002" t="str">
        <f>"33670586031959"</f>
        <v>33670586031959</v>
      </c>
      <c r="F5002" s="8">
        <v>484</v>
      </c>
      <c r="G5002" s="8">
        <v>10273</v>
      </c>
      <c r="H5002" s="8">
        <v>0</v>
      </c>
      <c r="I5002" s="8">
        <v>0</v>
      </c>
    </row>
    <row r="5003" spans="1:9" x14ac:dyDescent="0.2">
      <c r="A5003" t="s">
        <v>1093</v>
      </c>
      <c r="B5003" t="s">
        <v>1100</v>
      </c>
      <c r="C5003" t="str">
        <f t="shared" si="246"/>
        <v>33670580000000</v>
      </c>
      <c r="D5003" t="s">
        <v>6424</v>
      </c>
      <c r="E5003" t="str">
        <f>"33670586031991"</f>
        <v>33670586031991</v>
      </c>
      <c r="F5003" s="8">
        <v>707</v>
      </c>
      <c r="G5003" s="8">
        <v>8970</v>
      </c>
      <c r="H5003" s="8">
        <v>0</v>
      </c>
      <c r="I5003" s="8">
        <v>0</v>
      </c>
    </row>
    <row r="5004" spans="1:9" x14ac:dyDescent="0.2">
      <c r="A5004" t="s">
        <v>1093</v>
      </c>
      <c r="B5004" t="s">
        <v>1104</v>
      </c>
      <c r="C5004" t="str">
        <f t="shared" ref="C5004:C5030" si="247">"33670820000000"</f>
        <v>33670820000000</v>
      </c>
      <c r="D5004" t="s">
        <v>3068</v>
      </c>
      <c r="E5004" t="str">
        <f>"33670820106716"</f>
        <v>33670820106716</v>
      </c>
      <c r="F5004" s="8">
        <v>2098</v>
      </c>
      <c r="G5004" s="8">
        <v>17543</v>
      </c>
      <c r="H5004" s="8">
        <v>1805</v>
      </c>
      <c r="I5004" s="8">
        <v>3158</v>
      </c>
    </row>
    <row r="5005" spans="1:9" x14ac:dyDescent="0.2">
      <c r="A5005" t="s">
        <v>1093</v>
      </c>
      <c r="B5005" t="s">
        <v>1104</v>
      </c>
      <c r="C5005" t="str">
        <f t="shared" si="247"/>
        <v>33670820000000</v>
      </c>
      <c r="D5005" t="s">
        <v>5179</v>
      </c>
      <c r="E5005" t="str">
        <f>"33670826032080"</f>
        <v>33670826032080</v>
      </c>
      <c r="F5005" s="8">
        <v>2009</v>
      </c>
      <c r="G5005" s="8">
        <v>16805</v>
      </c>
      <c r="H5005" s="8">
        <v>1805</v>
      </c>
      <c r="I5005" s="8">
        <v>3158</v>
      </c>
    </row>
    <row r="5006" spans="1:9" x14ac:dyDescent="0.2">
      <c r="A5006" t="s">
        <v>1093</v>
      </c>
      <c r="B5006" t="s">
        <v>1104</v>
      </c>
      <c r="C5006" t="str">
        <f t="shared" si="247"/>
        <v>33670820000000</v>
      </c>
      <c r="D5006" t="s">
        <v>6425</v>
      </c>
      <c r="E5006" t="str">
        <f>"33670823330065"</f>
        <v>33670823330065</v>
      </c>
      <c r="F5006" s="8">
        <v>1291</v>
      </c>
      <c r="G5006" s="8">
        <v>12932</v>
      </c>
      <c r="H5006" s="8">
        <v>1805</v>
      </c>
      <c r="I5006" s="8">
        <v>3158</v>
      </c>
    </row>
    <row r="5007" spans="1:9" x14ac:dyDescent="0.2">
      <c r="A5007" t="s">
        <v>1093</v>
      </c>
      <c r="B5007" t="s">
        <v>1104</v>
      </c>
      <c r="C5007" t="str">
        <f t="shared" si="247"/>
        <v>33670820000000</v>
      </c>
      <c r="D5007" t="s">
        <v>6426</v>
      </c>
      <c r="E5007" t="str">
        <f>"33670826032114"</f>
        <v>33670826032114</v>
      </c>
      <c r="F5007" s="8">
        <v>1436</v>
      </c>
      <c r="G5007" s="8">
        <v>12425</v>
      </c>
      <c r="H5007" s="8">
        <v>1805</v>
      </c>
      <c r="I5007" s="8">
        <v>3158</v>
      </c>
    </row>
    <row r="5008" spans="1:9" x14ac:dyDescent="0.2">
      <c r="A5008" t="s">
        <v>1093</v>
      </c>
      <c r="B5008" t="s">
        <v>1104</v>
      </c>
      <c r="C5008" t="str">
        <f t="shared" si="247"/>
        <v>33670820000000</v>
      </c>
      <c r="D5008" t="s">
        <v>2908</v>
      </c>
      <c r="E5008" t="str">
        <f>"33670820107359"</f>
        <v>33670820107359</v>
      </c>
      <c r="F5008" s="8">
        <v>1362</v>
      </c>
      <c r="G5008" s="8">
        <v>11279</v>
      </c>
      <c r="H5008" s="8">
        <v>1805</v>
      </c>
      <c r="I5008" s="8">
        <v>3158</v>
      </c>
    </row>
    <row r="5009" spans="1:9" x14ac:dyDescent="0.2">
      <c r="A5009" t="s">
        <v>1093</v>
      </c>
      <c r="B5009" t="s">
        <v>1104</v>
      </c>
      <c r="C5009" t="str">
        <f t="shared" si="247"/>
        <v>33670820000000</v>
      </c>
      <c r="D5009" t="s">
        <v>6427</v>
      </c>
      <c r="E5009" t="str">
        <f>"33670823330503"</f>
        <v>33670823330503</v>
      </c>
      <c r="F5009" s="8">
        <v>417</v>
      </c>
      <c r="G5009" s="8">
        <v>11870</v>
      </c>
      <c r="H5009" s="8">
        <v>1805</v>
      </c>
      <c r="I5009" s="8">
        <v>3158</v>
      </c>
    </row>
    <row r="5010" spans="1:9" x14ac:dyDescent="0.2">
      <c r="A5010" t="s">
        <v>1093</v>
      </c>
      <c r="B5010" t="s">
        <v>1104</v>
      </c>
      <c r="C5010" t="str">
        <f t="shared" si="247"/>
        <v>33670820000000</v>
      </c>
      <c r="D5010" t="s">
        <v>6428</v>
      </c>
      <c r="E5010" t="str">
        <f>"33670826032155"</f>
        <v>33670826032155</v>
      </c>
      <c r="F5010" s="8">
        <v>676</v>
      </c>
      <c r="G5010" s="8">
        <v>10072</v>
      </c>
      <c r="H5010" s="8">
        <v>1805</v>
      </c>
      <c r="I5010" s="8">
        <v>3158</v>
      </c>
    </row>
    <row r="5011" spans="1:9" x14ac:dyDescent="0.2">
      <c r="A5011" t="s">
        <v>1093</v>
      </c>
      <c r="B5011" t="s">
        <v>1104</v>
      </c>
      <c r="C5011" t="str">
        <f t="shared" si="247"/>
        <v>33670820000000</v>
      </c>
      <c r="D5011" t="s">
        <v>6429</v>
      </c>
      <c r="E5011" t="str">
        <f>"33670826110415"</f>
        <v>33670826110415</v>
      </c>
      <c r="F5011" s="8">
        <v>796</v>
      </c>
      <c r="G5011" s="8">
        <v>9824</v>
      </c>
      <c r="H5011" s="8">
        <v>1805</v>
      </c>
      <c r="I5011" s="8">
        <v>3158</v>
      </c>
    </row>
    <row r="5012" spans="1:9" x14ac:dyDescent="0.2">
      <c r="A5012" t="s">
        <v>1093</v>
      </c>
      <c r="B5012" t="s">
        <v>1104</v>
      </c>
      <c r="C5012" t="str">
        <f t="shared" si="247"/>
        <v>33670820000000</v>
      </c>
      <c r="D5012" t="s">
        <v>6430</v>
      </c>
      <c r="E5012" t="str">
        <f>"33670826032122"</f>
        <v>33670826032122</v>
      </c>
      <c r="F5012" s="8">
        <v>1116</v>
      </c>
      <c r="G5012" s="8">
        <v>9273</v>
      </c>
      <c r="H5012" s="8">
        <v>1805</v>
      </c>
      <c r="I5012" s="8">
        <v>3158</v>
      </c>
    </row>
    <row r="5013" spans="1:9" x14ac:dyDescent="0.2">
      <c r="A5013" t="s">
        <v>1093</v>
      </c>
      <c r="B5013" t="s">
        <v>1104</v>
      </c>
      <c r="C5013" t="str">
        <f t="shared" si="247"/>
        <v>33670820000000</v>
      </c>
      <c r="D5013" t="s">
        <v>6431</v>
      </c>
      <c r="E5013" t="str">
        <f>"33670820102772"</f>
        <v>33670820102772</v>
      </c>
      <c r="F5013" s="8">
        <v>715</v>
      </c>
      <c r="G5013" s="8">
        <v>9513</v>
      </c>
      <c r="H5013" s="8">
        <v>1805</v>
      </c>
      <c r="I5013" s="8">
        <v>3158</v>
      </c>
    </row>
    <row r="5014" spans="1:9" x14ac:dyDescent="0.2">
      <c r="A5014" t="s">
        <v>1093</v>
      </c>
      <c r="B5014" t="s">
        <v>1104</v>
      </c>
      <c r="C5014" t="str">
        <f t="shared" si="247"/>
        <v>33670820000000</v>
      </c>
      <c r="D5014" t="s">
        <v>6432</v>
      </c>
      <c r="E5014" t="str">
        <f>"33670826106728"</f>
        <v>33670826106728</v>
      </c>
      <c r="F5014" s="8">
        <v>776</v>
      </c>
      <c r="G5014" s="8">
        <v>9088</v>
      </c>
      <c r="H5014" s="8">
        <v>1805</v>
      </c>
      <c r="I5014" s="8">
        <v>3158</v>
      </c>
    </row>
    <row r="5015" spans="1:9" x14ac:dyDescent="0.2">
      <c r="A5015" t="s">
        <v>1093</v>
      </c>
      <c r="B5015" t="s">
        <v>1104</v>
      </c>
      <c r="C5015" t="str">
        <f t="shared" si="247"/>
        <v>33670820000000</v>
      </c>
      <c r="D5015" t="s">
        <v>3580</v>
      </c>
      <c r="E5015" t="str">
        <f>"33670826032130"</f>
        <v>33670826032130</v>
      </c>
      <c r="F5015" s="8">
        <v>788</v>
      </c>
      <c r="G5015" s="8">
        <v>8466</v>
      </c>
      <c r="H5015" s="8">
        <v>1805</v>
      </c>
      <c r="I5015" s="8">
        <v>3158</v>
      </c>
    </row>
    <row r="5016" spans="1:9" x14ac:dyDescent="0.2">
      <c r="A5016" t="s">
        <v>1093</v>
      </c>
      <c r="B5016" t="s">
        <v>1104</v>
      </c>
      <c r="C5016" t="str">
        <f t="shared" si="247"/>
        <v>33670820000000</v>
      </c>
      <c r="D5016" t="s">
        <v>6433</v>
      </c>
      <c r="E5016" t="str">
        <f>"33670823330537"</f>
        <v>33670823330537</v>
      </c>
      <c r="F5016" s="8">
        <v>992</v>
      </c>
      <c r="G5016" s="8">
        <v>8137</v>
      </c>
      <c r="H5016" s="8">
        <v>1805</v>
      </c>
      <c r="I5016" s="8">
        <v>3158</v>
      </c>
    </row>
    <row r="5017" spans="1:9" x14ac:dyDescent="0.2">
      <c r="A5017" t="s">
        <v>1093</v>
      </c>
      <c r="B5017" t="s">
        <v>1104</v>
      </c>
      <c r="C5017" t="str">
        <f t="shared" si="247"/>
        <v>33670820000000</v>
      </c>
      <c r="D5017" t="s">
        <v>4045</v>
      </c>
      <c r="E5017" t="str">
        <f>"33670826032148"</f>
        <v>33670826032148</v>
      </c>
      <c r="F5017" s="8">
        <v>817</v>
      </c>
      <c r="G5017" s="8">
        <v>8172</v>
      </c>
      <c r="H5017" s="8">
        <v>1805</v>
      </c>
      <c r="I5017" s="8">
        <v>3158</v>
      </c>
    </row>
    <row r="5018" spans="1:9" x14ac:dyDescent="0.2">
      <c r="A5018" t="s">
        <v>1093</v>
      </c>
      <c r="B5018" t="s">
        <v>1104</v>
      </c>
      <c r="C5018" t="str">
        <f t="shared" si="247"/>
        <v>33670820000000</v>
      </c>
      <c r="D5018" t="s">
        <v>6434</v>
      </c>
      <c r="E5018" t="str">
        <f>"33670820113159"</f>
        <v>33670820113159</v>
      </c>
      <c r="F5018" s="8">
        <v>639</v>
      </c>
      <c r="G5018" s="8">
        <v>8141</v>
      </c>
      <c r="H5018" s="8">
        <v>1805</v>
      </c>
      <c r="I5018" s="8">
        <v>3158</v>
      </c>
    </row>
    <row r="5019" spans="1:9" x14ac:dyDescent="0.2">
      <c r="A5019" t="s">
        <v>1093</v>
      </c>
      <c r="B5019" t="s">
        <v>1104</v>
      </c>
      <c r="C5019" t="str">
        <f t="shared" si="247"/>
        <v>33670820000000</v>
      </c>
      <c r="D5019" t="s">
        <v>352</v>
      </c>
      <c r="E5019" t="str">
        <f>"33670826109805"</f>
        <v>33670826109805</v>
      </c>
      <c r="F5019" s="8">
        <v>763</v>
      </c>
      <c r="G5019" s="8">
        <v>7931</v>
      </c>
      <c r="H5019" s="8">
        <v>1805</v>
      </c>
      <c r="I5019" s="8">
        <v>3158</v>
      </c>
    </row>
    <row r="5020" spans="1:9" x14ac:dyDescent="0.2">
      <c r="A5020" t="s">
        <v>1093</v>
      </c>
      <c r="B5020" t="s">
        <v>1104</v>
      </c>
      <c r="C5020" t="str">
        <f t="shared" si="247"/>
        <v>33670820000000</v>
      </c>
      <c r="D5020" t="s">
        <v>6435</v>
      </c>
      <c r="E5020" t="str">
        <f>"33670823332673"</f>
        <v>33670823332673</v>
      </c>
      <c r="F5020" s="8">
        <v>743</v>
      </c>
      <c r="G5020" s="8">
        <v>7772</v>
      </c>
      <c r="H5020" s="8">
        <v>1805</v>
      </c>
      <c r="I5020" s="8">
        <v>3158</v>
      </c>
    </row>
    <row r="5021" spans="1:9" x14ac:dyDescent="0.2">
      <c r="A5021" t="s">
        <v>1093</v>
      </c>
      <c r="B5021" t="s">
        <v>1104</v>
      </c>
      <c r="C5021" t="str">
        <f t="shared" si="247"/>
        <v>33670820000000</v>
      </c>
      <c r="D5021" t="s">
        <v>6436</v>
      </c>
      <c r="E5021" t="str">
        <f>"33670820116962"</f>
        <v>33670820116962</v>
      </c>
      <c r="F5021" s="8">
        <v>747</v>
      </c>
      <c r="G5021" s="8">
        <v>7751</v>
      </c>
      <c r="H5021" s="8">
        <v>1805</v>
      </c>
      <c r="I5021" s="8">
        <v>3158</v>
      </c>
    </row>
    <row r="5022" spans="1:9" x14ac:dyDescent="0.2">
      <c r="A5022" t="s">
        <v>1093</v>
      </c>
      <c r="B5022" t="s">
        <v>1104</v>
      </c>
      <c r="C5022" t="str">
        <f t="shared" si="247"/>
        <v>33670820000000</v>
      </c>
      <c r="D5022" t="s">
        <v>6437</v>
      </c>
      <c r="E5022" t="str">
        <f>"33670820102780"</f>
        <v>33670820102780</v>
      </c>
      <c r="F5022" s="8">
        <v>736</v>
      </c>
      <c r="G5022" s="8">
        <v>7721</v>
      </c>
      <c r="H5022" s="8">
        <v>1805</v>
      </c>
      <c r="I5022" s="8">
        <v>3158</v>
      </c>
    </row>
    <row r="5023" spans="1:9" x14ac:dyDescent="0.2">
      <c r="A5023" t="s">
        <v>1093</v>
      </c>
      <c r="B5023" t="s">
        <v>1104</v>
      </c>
      <c r="C5023" t="str">
        <f t="shared" si="247"/>
        <v>33670820000000</v>
      </c>
      <c r="D5023" t="s">
        <v>4442</v>
      </c>
      <c r="E5023" t="str">
        <f>"33670820101139"</f>
        <v>33670820101139</v>
      </c>
      <c r="F5023" s="8">
        <v>538</v>
      </c>
      <c r="G5023" s="8">
        <v>7854</v>
      </c>
      <c r="H5023" s="8">
        <v>1805</v>
      </c>
      <c r="I5023" s="8">
        <v>3158</v>
      </c>
    </row>
    <row r="5024" spans="1:9" x14ac:dyDescent="0.2">
      <c r="A5024" t="s">
        <v>1093</v>
      </c>
      <c r="B5024" t="s">
        <v>1104</v>
      </c>
      <c r="C5024" t="str">
        <f t="shared" si="247"/>
        <v>33670820000000</v>
      </c>
      <c r="D5024" t="s">
        <v>6438</v>
      </c>
      <c r="E5024" t="str">
        <f>"33670826118731"</f>
        <v>33670826118731</v>
      </c>
      <c r="F5024" s="8">
        <v>501</v>
      </c>
      <c r="G5024" s="8">
        <v>7741</v>
      </c>
      <c r="H5024" s="8">
        <v>1805</v>
      </c>
      <c r="I5024" s="8">
        <v>3158</v>
      </c>
    </row>
    <row r="5025" spans="1:9" x14ac:dyDescent="0.2">
      <c r="A5025" t="s">
        <v>1093</v>
      </c>
      <c r="B5025" t="s">
        <v>1104</v>
      </c>
      <c r="C5025" t="str">
        <f t="shared" si="247"/>
        <v>33670820000000</v>
      </c>
      <c r="D5025" t="s">
        <v>6439</v>
      </c>
      <c r="E5025" t="str">
        <f>"33670826084628"</f>
        <v>33670826084628</v>
      </c>
      <c r="F5025" s="8">
        <v>640</v>
      </c>
      <c r="G5025" s="8">
        <v>7264</v>
      </c>
      <c r="H5025" s="8">
        <v>1805</v>
      </c>
      <c r="I5025" s="8">
        <v>3158</v>
      </c>
    </row>
    <row r="5026" spans="1:9" x14ac:dyDescent="0.2">
      <c r="A5026" t="s">
        <v>1093</v>
      </c>
      <c r="B5026" t="s">
        <v>1104</v>
      </c>
      <c r="C5026" t="str">
        <f t="shared" si="247"/>
        <v>33670820000000</v>
      </c>
      <c r="D5026" t="s">
        <v>6440</v>
      </c>
      <c r="E5026" t="str">
        <f>"33670820135251"</f>
        <v>33670820135251</v>
      </c>
      <c r="F5026" s="8">
        <v>420</v>
      </c>
      <c r="G5026" s="8">
        <v>7322</v>
      </c>
      <c r="H5026" s="8">
        <v>1805</v>
      </c>
      <c r="I5026" s="8">
        <v>3158</v>
      </c>
    </row>
    <row r="5027" spans="1:9" x14ac:dyDescent="0.2">
      <c r="A5027" t="s">
        <v>1093</v>
      </c>
      <c r="B5027" t="s">
        <v>1104</v>
      </c>
      <c r="C5027" t="str">
        <f t="shared" si="247"/>
        <v>33670820000000</v>
      </c>
      <c r="D5027" t="s">
        <v>6441</v>
      </c>
      <c r="E5027" t="str">
        <f>"33670820101121"</f>
        <v>33670820101121</v>
      </c>
      <c r="F5027" s="8">
        <v>537</v>
      </c>
      <c r="G5027" s="8">
        <v>7169</v>
      </c>
      <c r="H5027" s="8">
        <v>1805</v>
      </c>
      <c r="I5027" s="8">
        <v>3158</v>
      </c>
    </row>
    <row r="5028" spans="1:9" x14ac:dyDescent="0.2">
      <c r="A5028" t="s">
        <v>1093</v>
      </c>
      <c r="B5028" t="s">
        <v>1104</v>
      </c>
      <c r="C5028" t="str">
        <f t="shared" si="247"/>
        <v>33670820000000</v>
      </c>
      <c r="D5028" t="s">
        <v>6442</v>
      </c>
      <c r="E5028" t="str">
        <f>"33670826112007"</f>
        <v>33670826112007</v>
      </c>
      <c r="F5028" s="8">
        <v>601</v>
      </c>
      <c r="G5028" s="8">
        <v>6950</v>
      </c>
      <c r="H5028" s="8">
        <v>1805</v>
      </c>
      <c r="I5028" s="8">
        <v>3158</v>
      </c>
    </row>
    <row r="5029" spans="1:9" x14ac:dyDescent="0.2">
      <c r="A5029" t="s">
        <v>1093</v>
      </c>
      <c r="B5029" t="s">
        <v>1104</v>
      </c>
      <c r="C5029" t="str">
        <f t="shared" si="247"/>
        <v>33670820000000</v>
      </c>
      <c r="D5029" t="s">
        <v>6443</v>
      </c>
      <c r="E5029" t="str">
        <f>"33670820107631"</f>
        <v>33670820107631</v>
      </c>
      <c r="F5029" s="8">
        <v>39</v>
      </c>
      <c r="G5029" s="8">
        <v>6414</v>
      </c>
      <c r="H5029" s="8">
        <v>1805</v>
      </c>
      <c r="I5029" s="8">
        <v>3158</v>
      </c>
    </row>
    <row r="5030" spans="1:9" x14ac:dyDescent="0.2">
      <c r="A5030" t="s">
        <v>1093</v>
      </c>
      <c r="B5030" t="s">
        <v>1104</v>
      </c>
      <c r="C5030" t="str">
        <f t="shared" si="247"/>
        <v>33670820000000</v>
      </c>
      <c r="D5030" t="s">
        <v>6444</v>
      </c>
      <c r="E5030" t="str">
        <f>"33670820120675"</f>
        <v>33670820120675</v>
      </c>
      <c r="F5030" s="8">
        <v>296</v>
      </c>
      <c r="G5030" s="8">
        <v>8243</v>
      </c>
      <c r="H5030" s="8">
        <v>0</v>
      </c>
      <c r="I5030" s="8">
        <v>0</v>
      </c>
    </row>
    <row r="5031" spans="1:9" x14ac:dyDescent="0.2">
      <c r="A5031" t="s">
        <v>1093</v>
      </c>
      <c r="B5031" t="s">
        <v>1109</v>
      </c>
      <c r="C5031" t="str">
        <f t="shared" ref="C5031:C5054" si="248">"33670900000000"</f>
        <v>33670900000000</v>
      </c>
      <c r="D5031" t="s">
        <v>3640</v>
      </c>
      <c r="E5031" t="str">
        <f>"33670903334687"</f>
        <v>33670903334687</v>
      </c>
      <c r="F5031" s="8">
        <v>1039</v>
      </c>
      <c r="G5031" s="8">
        <v>14817</v>
      </c>
      <c r="H5031" s="8">
        <v>755</v>
      </c>
      <c r="I5031" s="8">
        <v>4245</v>
      </c>
    </row>
    <row r="5032" spans="1:9" x14ac:dyDescent="0.2">
      <c r="A5032" t="s">
        <v>1093</v>
      </c>
      <c r="B5032" t="s">
        <v>1109</v>
      </c>
      <c r="C5032" t="str">
        <f t="shared" si="248"/>
        <v>33670900000000</v>
      </c>
      <c r="D5032" t="s">
        <v>6445</v>
      </c>
      <c r="E5032" t="str">
        <f>"33670906032197"</f>
        <v>33670906032197</v>
      </c>
      <c r="F5032" s="8">
        <v>1098</v>
      </c>
      <c r="G5032" s="8">
        <v>10258</v>
      </c>
      <c r="H5032" s="8">
        <v>755</v>
      </c>
      <c r="I5032" s="8">
        <v>4245</v>
      </c>
    </row>
    <row r="5033" spans="1:9" x14ac:dyDescent="0.2">
      <c r="A5033" t="s">
        <v>1093</v>
      </c>
      <c r="B5033" t="s">
        <v>1109</v>
      </c>
      <c r="C5033" t="str">
        <f t="shared" si="248"/>
        <v>33670900000000</v>
      </c>
      <c r="D5033" t="s">
        <v>6446</v>
      </c>
      <c r="E5033" t="str">
        <f>"33670906032189"</f>
        <v>33670906032189</v>
      </c>
      <c r="F5033" s="8">
        <v>1191</v>
      </c>
      <c r="G5033" s="8">
        <v>7874</v>
      </c>
      <c r="H5033" s="8">
        <v>755</v>
      </c>
      <c r="I5033" s="8">
        <v>4245</v>
      </c>
    </row>
    <row r="5034" spans="1:9" x14ac:dyDescent="0.2">
      <c r="A5034" t="s">
        <v>1093</v>
      </c>
      <c r="B5034" t="s">
        <v>1109</v>
      </c>
      <c r="C5034" t="str">
        <f t="shared" si="248"/>
        <v>33670900000000</v>
      </c>
      <c r="D5034" t="s">
        <v>6447</v>
      </c>
      <c r="E5034" t="str">
        <f>"33670906112858"</f>
        <v>33670906112858</v>
      </c>
      <c r="F5034" s="8">
        <v>1048</v>
      </c>
      <c r="G5034" s="8">
        <v>8001</v>
      </c>
      <c r="H5034" s="8">
        <v>755</v>
      </c>
      <c r="I5034" s="8">
        <v>4245</v>
      </c>
    </row>
    <row r="5035" spans="1:9" x14ac:dyDescent="0.2">
      <c r="A5035" t="s">
        <v>1093</v>
      </c>
      <c r="B5035" t="s">
        <v>1109</v>
      </c>
      <c r="C5035" t="str">
        <f t="shared" si="248"/>
        <v>33670900000000</v>
      </c>
      <c r="D5035" t="s">
        <v>6448</v>
      </c>
      <c r="E5035" t="str">
        <f>"33670903337136"</f>
        <v>33670903337136</v>
      </c>
      <c r="F5035" s="8">
        <v>856</v>
      </c>
      <c r="G5035" s="8">
        <v>8069</v>
      </c>
      <c r="H5035" s="8">
        <v>755</v>
      </c>
      <c r="I5035" s="8">
        <v>4245</v>
      </c>
    </row>
    <row r="5036" spans="1:9" x14ac:dyDescent="0.2">
      <c r="A5036" t="s">
        <v>1093</v>
      </c>
      <c r="B5036" t="s">
        <v>1109</v>
      </c>
      <c r="C5036" t="str">
        <f t="shared" si="248"/>
        <v>33670900000000</v>
      </c>
      <c r="D5036" t="s">
        <v>6449</v>
      </c>
      <c r="E5036" t="str">
        <f>"33670903330412"</f>
        <v>33670903330412</v>
      </c>
      <c r="F5036" s="8">
        <v>804</v>
      </c>
      <c r="G5036" s="8">
        <v>8067</v>
      </c>
      <c r="H5036" s="8">
        <v>755</v>
      </c>
      <c r="I5036" s="8">
        <v>4245</v>
      </c>
    </row>
    <row r="5037" spans="1:9" x14ac:dyDescent="0.2">
      <c r="A5037" t="s">
        <v>1093</v>
      </c>
      <c r="B5037" t="s">
        <v>1109</v>
      </c>
      <c r="C5037" t="str">
        <f t="shared" si="248"/>
        <v>33670900000000</v>
      </c>
      <c r="D5037" t="s">
        <v>6450</v>
      </c>
      <c r="E5037" t="str">
        <f>"33670906110548"</f>
        <v>33670906110548</v>
      </c>
      <c r="F5037" s="8">
        <v>866</v>
      </c>
      <c r="G5037" s="8">
        <v>7945</v>
      </c>
      <c r="H5037" s="8">
        <v>755</v>
      </c>
      <c r="I5037" s="8">
        <v>4245</v>
      </c>
    </row>
    <row r="5038" spans="1:9" x14ac:dyDescent="0.2">
      <c r="A5038" t="s">
        <v>1093</v>
      </c>
      <c r="B5038" t="s">
        <v>1109</v>
      </c>
      <c r="C5038" t="str">
        <f t="shared" si="248"/>
        <v>33670900000000</v>
      </c>
      <c r="D5038" t="s">
        <v>6451</v>
      </c>
      <c r="E5038" t="str">
        <f>"33670906061774"</f>
        <v>33670906061774</v>
      </c>
      <c r="F5038" s="8">
        <v>1031</v>
      </c>
      <c r="G5038" s="8">
        <v>7655</v>
      </c>
      <c r="H5038" s="8">
        <v>755</v>
      </c>
      <c r="I5038" s="8">
        <v>4245</v>
      </c>
    </row>
    <row r="5039" spans="1:9" x14ac:dyDescent="0.2">
      <c r="A5039" t="s">
        <v>1093</v>
      </c>
      <c r="B5039" t="s">
        <v>1109</v>
      </c>
      <c r="C5039" t="str">
        <f t="shared" si="248"/>
        <v>33670900000000</v>
      </c>
      <c r="D5039" t="s">
        <v>2314</v>
      </c>
      <c r="E5039" t="str">
        <f>"33670906113518"</f>
        <v>33670906113518</v>
      </c>
      <c r="F5039" s="8">
        <v>920</v>
      </c>
      <c r="G5039" s="8">
        <v>7745</v>
      </c>
      <c r="H5039" s="8">
        <v>755</v>
      </c>
      <c r="I5039" s="8">
        <v>4245</v>
      </c>
    </row>
    <row r="5040" spans="1:9" x14ac:dyDescent="0.2">
      <c r="A5040" t="s">
        <v>1093</v>
      </c>
      <c r="B5040" t="s">
        <v>1109</v>
      </c>
      <c r="C5040" t="str">
        <f t="shared" si="248"/>
        <v>33670900000000</v>
      </c>
      <c r="D5040" t="s">
        <v>6452</v>
      </c>
      <c r="E5040" t="str">
        <f>"33670906032213"</f>
        <v>33670906032213</v>
      </c>
      <c r="F5040" s="8">
        <v>790</v>
      </c>
      <c r="G5040" s="8">
        <v>7779</v>
      </c>
      <c r="H5040" s="8">
        <v>755</v>
      </c>
      <c r="I5040" s="8">
        <v>4245</v>
      </c>
    </row>
    <row r="5041" spans="1:9" x14ac:dyDescent="0.2">
      <c r="A5041" t="s">
        <v>1093</v>
      </c>
      <c r="B5041" t="s">
        <v>1109</v>
      </c>
      <c r="C5041" t="str">
        <f t="shared" si="248"/>
        <v>33670900000000</v>
      </c>
      <c r="D5041" t="s">
        <v>6453</v>
      </c>
      <c r="E5041" t="str">
        <f>"33670906032247"</f>
        <v>33670906032247</v>
      </c>
      <c r="F5041" s="8">
        <v>1031</v>
      </c>
      <c r="G5041" s="8">
        <v>7466</v>
      </c>
      <c r="H5041" s="8">
        <v>755</v>
      </c>
      <c r="I5041" s="8">
        <v>4245</v>
      </c>
    </row>
    <row r="5042" spans="1:9" x14ac:dyDescent="0.2">
      <c r="A5042" t="s">
        <v>1093</v>
      </c>
      <c r="B5042" t="s">
        <v>1109</v>
      </c>
      <c r="C5042" t="str">
        <f t="shared" si="248"/>
        <v>33670900000000</v>
      </c>
      <c r="D5042" t="s">
        <v>6454</v>
      </c>
      <c r="E5042" t="str">
        <f>"33670906032163"</f>
        <v>33670906032163</v>
      </c>
      <c r="F5042" s="8">
        <v>1216</v>
      </c>
      <c r="G5042" s="8">
        <v>7255</v>
      </c>
      <c r="H5042" s="8">
        <v>755</v>
      </c>
      <c r="I5042" s="8">
        <v>4245</v>
      </c>
    </row>
    <row r="5043" spans="1:9" x14ac:dyDescent="0.2">
      <c r="A5043" t="s">
        <v>1093</v>
      </c>
      <c r="B5043" t="s">
        <v>1109</v>
      </c>
      <c r="C5043" t="str">
        <f t="shared" si="248"/>
        <v>33670900000000</v>
      </c>
      <c r="D5043" t="s">
        <v>6455</v>
      </c>
      <c r="E5043" t="str">
        <f>"33670906104491"</f>
        <v>33670906104491</v>
      </c>
      <c r="F5043" s="8">
        <v>858</v>
      </c>
      <c r="G5043" s="8">
        <v>7497</v>
      </c>
      <c r="H5043" s="8">
        <v>755</v>
      </c>
      <c r="I5043" s="8">
        <v>4245</v>
      </c>
    </row>
    <row r="5044" spans="1:9" x14ac:dyDescent="0.2">
      <c r="A5044" t="s">
        <v>1093</v>
      </c>
      <c r="B5044" t="s">
        <v>1109</v>
      </c>
      <c r="C5044" t="str">
        <f t="shared" si="248"/>
        <v>33670900000000</v>
      </c>
      <c r="D5044" t="s">
        <v>6456</v>
      </c>
      <c r="E5044" t="str">
        <f>"33670906105837"</f>
        <v>33670906105837</v>
      </c>
      <c r="F5044" s="8">
        <v>700</v>
      </c>
      <c r="G5044" s="8">
        <v>7628</v>
      </c>
      <c r="H5044" s="8">
        <v>755</v>
      </c>
      <c r="I5044" s="8">
        <v>4245</v>
      </c>
    </row>
    <row r="5045" spans="1:9" x14ac:dyDescent="0.2">
      <c r="A5045" t="s">
        <v>1093</v>
      </c>
      <c r="B5045" t="s">
        <v>1109</v>
      </c>
      <c r="C5045" t="str">
        <f t="shared" si="248"/>
        <v>33670900000000</v>
      </c>
      <c r="D5045" t="s">
        <v>6457</v>
      </c>
      <c r="E5045" t="str">
        <f>"33670906106843"</f>
        <v>33670906106843</v>
      </c>
      <c r="F5045" s="8">
        <v>737</v>
      </c>
      <c r="G5045" s="8">
        <v>7359</v>
      </c>
      <c r="H5045" s="8">
        <v>755</v>
      </c>
      <c r="I5045" s="8">
        <v>4245</v>
      </c>
    </row>
    <row r="5046" spans="1:9" x14ac:dyDescent="0.2">
      <c r="A5046" t="s">
        <v>1093</v>
      </c>
      <c r="B5046" t="s">
        <v>1109</v>
      </c>
      <c r="C5046" t="str">
        <f t="shared" si="248"/>
        <v>33670900000000</v>
      </c>
      <c r="D5046" t="s">
        <v>6458</v>
      </c>
      <c r="E5046" t="str">
        <f>"33670906032171"</f>
        <v>33670906032171</v>
      </c>
      <c r="F5046" s="8">
        <v>917</v>
      </c>
      <c r="G5046" s="8">
        <v>7099</v>
      </c>
      <c r="H5046" s="8">
        <v>755</v>
      </c>
      <c r="I5046" s="8">
        <v>4245</v>
      </c>
    </row>
    <row r="5047" spans="1:9" x14ac:dyDescent="0.2">
      <c r="A5047" t="s">
        <v>1093</v>
      </c>
      <c r="B5047" t="s">
        <v>1109</v>
      </c>
      <c r="C5047" t="str">
        <f t="shared" si="248"/>
        <v>33670900000000</v>
      </c>
      <c r="D5047" t="s">
        <v>6085</v>
      </c>
      <c r="E5047" t="str">
        <f>"33670906032239"</f>
        <v>33670906032239</v>
      </c>
      <c r="F5047" s="8">
        <v>868</v>
      </c>
      <c r="G5047" s="8">
        <v>7013</v>
      </c>
      <c r="H5047" s="8">
        <v>755</v>
      </c>
      <c r="I5047" s="8">
        <v>4245</v>
      </c>
    </row>
    <row r="5048" spans="1:9" x14ac:dyDescent="0.2">
      <c r="A5048" t="s">
        <v>1093</v>
      </c>
      <c r="B5048" t="s">
        <v>1109</v>
      </c>
      <c r="C5048" t="str">
        <f t="shared" si="248"/>
        <v>33670900000000</v>
      </c>
      <c r="D5048" t="s">
        <v>6459</v>
      </c>
      <c r="E5048" t="str">
        <f>"33670900114157"</f>
        <v>33670900114157</v>
      </c>
      <c r="F5048" s="8">
        <v>668</v>
      </c>
      <c r="G5048" s="8">
        <v>7163</v>
      </c>
      <c r="H5048" s="8">
        <v>755</v>
      </c>
      <c r="I5048" s="8">
        <v>4245</v>
      </c>
    </row>
    <row r="5049" spans="1:9" x14ac:dyDescent="0.2">
      <c r="A5049" t="s">
        <v>1093</v>
      </c>
      <c r="B5049" t="s">
        <v>1109</v>
      </c>
      <c r="C5049" t="str">
        <f t="shared" si="248"/>
        <v>33670900000000</v>
      </c>
      <c r="D5049" t="s">
        <v>6460</v>
      </c>
      <c r="E5049" t="str">
        <f>"33670906032205"</f>
        <v>33670906032205</v>
      </c>
      <c r="F5049" s="8">
        <v>705</v>
      </c>
      <c r="G5049" s="8">
        <v>7013</v>
      </c>
      <c r="H5049" s="8">
        <v>755</v>
      </c>
      <c r="I5049" s="8">
        <v>4245</v>
      </c>
    </row>
    <row r="5050" spans="1:9" x14ac:dyDescent="0.2">
      <c r="A5050" t="s">
        <v>1093</v>
      </c>
      <c r="B5050" t="s">
        <v>1109</v>
      </c>
      <c r="C5050" t="str">
        <f t="shared" si="248"/>
        <v>33670900000000</v>
      </c>
      <c r="D5050" t="s">
        <v>6461</v>
      </c>
      <c r="E5050" t="str">
        <f>"33670906032221"</f>
        <v>33670906032221</v>
      </c>
      <c r="F5050" s="8">
        <v>898</v>
      </c>
      <c r="G5050" s="8">
        <v>6779</v>
      </c>
      <c r="H5050" s="8">
        <v>755</v>
      </c>
      <c r="I5050" s="8">
        <v>4245</v>
      </c>
    </row>
    <row r="5051" spans="1:9" x14ac:dyDescent="0.2">
      <c r="A5051" t="s">
        <v>1093</v>
      </c>
      <c r="B5051" t="s">
        <v>1109</v>
      </c>
      <c r="C5051" t="str">
        <f t="shared" si="248"/>
        <v>33670900000000</v>
      </c>
      <c r="D5051" t="s">
        <v>6462</v>
      </c>
      <c r="E5051" t="str">
        <f>"33670906111280"</f>
        <v>33670906111280</v>
      </c>
      <c r="F5051" s="8">
        <v>702</v>
      </c>
      <c r="G5051" s="8">
        <v>6819</v>
      </c>
      <c r="H5051" s="8">
        <v>755</v>
      </c>
      <c r="I5051" s="8">
        <v>4245</v>
      </c>
    </row>
    <row r="5052" spans="1:9" x14ac:dyDescent="0.2">
      <c r="A5052" t="s">
        <v>1093</v>
      </c>
      <c r="B5052" t="s">
        <v>1109</v>
      </c>
      <c r="C5052" t="str">
        <f t="shared" si="248"/>
        <v>33670900000000</v>
      </c>
      <c r="D5052" t="s">
        <v>6463</v>
      </c>
      <c r="E5052" t="str">
        <f>"33670906059075"</f>
        <v>33670906059075</v>
      </c>
      <c r="F5052" s="8">
        <v>714</v>
      </c>
      <c r="G5052" s="8">
        <v>6407</v>
      </c>
      <c r="H5052" s="8">
        <v>755</v>
      </c>
      <c r="I5052" s="8">
        <v>4245</v>
      </c>
    </row>
    <row r="5053" spans="1:9" x14ac:dyDescent="0.2">
      <c r="A5053" t="s">
        <v>1093</v>
      </c>
      <c r="B5053" t="s">
        <v>1109</v>
      </c>
      <c r="C5053" t="str">
        <f t="shared" si="248"/>
        <v>33670900000000</v>
      </c>
      <c r="D5053" t="s">
        <v>6464</v>
      </c>
      <c r="E5053" t="str">
        <f>"33670906106835"</f>
        <v>33670906106835</v>
      </c>
      <c r="F5053" s="8">
        <v>583</v>
      </c>
      <c r="G5053" s="8">
        <v>6503</v>
      </c>
      <c r="H5053" s="8">
        <v>755</v>
      </c>
      <c r="I5053" s="8">
        <v>4245</v>
      </c>
    </row>
    <row r="5054" spans="1:9" x14ac:dyDescent="0.2">
      <c r="A5054" t="s">
        <v>1093</v>
      </c>
      <c r="B5054" t="s">
        <v>1109</v>
      </c>
      <c r="C5054" t="str">
        <f t="shared" si="248"/>
        <v>33670900000000</v>
      </c>
      <c r="D5054" t="s">
        <v>6465</v>
      </c>
      <c r="E5054" t="str">
        <f>"33670900136721"</f>
        <v>33670900136721</v>
      </c>
      <c r="F5054" s="8">
        <v>511</v>
      </c>
      <c r="G5054" s="8">
        <v>6552</v>
      </c>
      <c r="H5054" s="8">
        <v>755</v>
      </c>
      <c r="I5054" s="8">
        <v>4245</v>
      </c>
    </row>
    <row r="5055" spans="1:9" x14ac:dyDescent="0.2">
      <c r="A5055" t="s">
        <v>1093</v>
      </c>
      <c r="B5055" t="s">
        <v>1110</v>
      </c>
      <c r="C5055" t="str">
        <f t="shared" ref="C5055:C5078" si="249">"33751760000000"</f>
        <v>33751760000000</v>
      </c>
      <c r="D5055" t="s">
        <v>6466</v>
      </c>
      <c r="E5055" t="str">
        <f>"33751763330115"</f>
        <v>33751763330115</v>
      </c>
      <c r="F5055" s="8">
        <v>935</v>
      </c>
      <c r="G5055" s="8">
        <v>9281</v>
      </c>
      <c r="H5055" s="8">
        <v>1094</v>
      </c>
      <c r="I5055" s="8">
        <v>4664</v>
      </c>
    </row>
    <row r="5056" spans="1:9" x14ac:dyDescent="0.2">
      <c r="A5056" t="s">
        <v>1093</v>
      </c>
      <c r="B5056" t="s">
        <v>1110</v>
      </c>
      <c r="C5056" t="str">
        <f t="shared" si="249"/>
        <v>33751760000000</v>
      </c>
      <c r="D5056" t="s">
        <v>6467</v>
      </c>
      <c r="E5056" t="str">
        <f>"33751760116343"</f>
        <v>33751760116343</v>
      </c>
      <c r="F5056" s="8">
        <v>392</v>
      </c>
      <c r="G5056" s="8">
        <v>11237</v>
      </c>
      <c r="H5056" s="8">
        <v>821</v>
      </c>
      <c r="I5056" s="8">
        <v>3499</v>
      </c>
    </row>
    <row r="5057" spans="1:9" x14ac:dyDescent="0.2">
      <c r="A5057" t="s">
        <v>1093</v>
      </c>
      <c r="B5057" t="s">
        <v>1110</v>
      </c>
      <c r="C5057" t="str">
        <f t="shared" si="249"/>
        <v>33751760000000</v>
      </c>
      <c r="D5057" t="s">
        <v>6468</v>
      </c>
      <c r="E5057" t="str">
        <f>"33751760122960"</f>
        <v>33751760122960</v>
      </c>
      <c r="F5057" s="8">
        <v>1213</v>
      </c>
      <c r="G5057" s="8">
        <v>8550</v>
      </c>
      <c r="H5057" s="8">
        <v>899</v>
      </c>
      <c r="I5057" s="8">
        <v>3834</v>
      </c>
    </row>
    <row r="5058" spans="1:9" x14ac:dyDescent="0.2">
      <c r="A5058" t="s">
        <v>1093</v>
      </c>
      <c r="B5058" t="s">
        <v>1110</v>
      </c>
      <c r="C5058" t="str">
        <f t="shared" si="249"/>
        <v>33751760000000</v>
      </c>
      <c r="D5058" t="s">
        <v>6469</v>
      </c>
      <c r="E5058" t="str">
        <f>"33751760139790"</f>
        <v>33751760139790</v>
      </c>
      <c r="F5058" s="8">
        <v>784</v>
      </c>
      <c r="G5058" s="8">
        <v>8582</v>
      </c>
      <c r="H5058" s="8">
        <v>774</v>
      </c>
      <c r="I5058" s="8">
        <v>3300</v>
      </c>
    </row>
    <row r="5059" spans="1:9" x14ac:dyDescent="0.2">
      <c r="A5059" t="s">
        <v>1093</v>
      </c>
      <c r="B5059" t="s">
        <v>1110</v>
      </c>
      <c r="C5059" t="str">
        <f t="shared" si="249"/>
        <v>33751760000000</v>
      </c>
      <c r="D5059" t="s">
        <v>6470</v>
      </c>
      <c r="E5059" t="str">
        <f>"33751766111090"</f>
        <v>33751766111090</v>
      </c>
      <c r="F5059" s="8">
        <v>743</v>
      </c>
      <c r="G5059" s="8">
        <v>8286</v>
      </c>
      <c r="H5059" s="8">
        <v>833</v>
      </c>
      <c r="I5059" s="8">
        <v>3552</v>
      </c>
    </row>
    <row r="5060" spans="1:9" x14ac:dyDescent="0.2">
      <c r="A5060" t="s">
        <v>1093</v>
      </c>
      <c r="B5060" t="s">
        <v>1110</v>
      </c>
      <c r="C5060" t="str">
        <f t="shared" si="249"/>
        <v>33751760000000</v>
      </c>
      <c r="D5060" t="s">
        <v>6471</v>
      </c>
      <c r="E5060" t="str">
        <f>"33751766115174"</f>
        <v>33751766115174</v>
      </c>
      <c r="F5060" s="8">
        <v>1170</v>
      </c>
      <c r="G5060" s="8">
        <v>7326</v>
      </c>
      <c r="H5060" s="8">
        <v>880</v>
      </c>
      <c r="I5060" s="8">
        <v>3752</v>
      </c>
    </row>
    <row r="5061" spans="1:9" x14ac:dyDescent="0.2">
      <c r="A5061" t="s">
        <v>1093</v>
      </c>
      <c r="B5061" t="s">
        <v>1110</v>
      </c>
      <c r="C5061" t="str">
        <f t="shared" si="249"/>
        <v>33751760000000</v>
      </c>
      <c r="D5061" t="s">
        <v>6472</v>
      </c>
      <c r="E5061" t="str">
        <f>"33751766032064"</f>
        <v>33751766032064</v>
      </c>
      <c r="F5061" s="8">
        <v>1114</v>
      </c>
      <c r="G5061" s="8">
        <v>7867</v>
      </c>
      <c r="H5061" s="8">
        <v>767</v>
      </c>
      <c r="I5061" s="8">
        <v>3270</v>
      </c>
    </row>
    <row r="5062" spans="1:9" x14ac:dyDescent="0.2">
      <c r="A5062" t="s">
        <v>1093</v>
      </c>
      <c r="B5062" t="s">
        <v>1110</v>
      </c>
      <c r="C5062" t="str">
        <f t="shared" si="249"/>
        <v>33751760000000</v>
      </c>
      <c r="D5062" t="s">
        <v>6473</v>
      </c>
      <c r="E5062" t="str">
        <f>"33751766032056"</f>
        <v>33751766032056</v>
      </c>
      <c r="F5062" s="8">
        <v>908</v>
      </c>
      <c r="G5062" s="8">
        <v>7921</v>
      </c>
      <c r="H5062" s="8">
        <v>789</v>
      </c>
      <c r="I5062" s="8">
        <v>3365</v>
      </c>
    </row>
    <row r="5063" spans="1:9" x14ac:dyDescent="0.2">
      <c r="A5063" t="s">
        <v>1093</v>
      </c>
      <c r="B5063" t="s">
        <v>1110</v>
      </c>
      <c r="C5063" t="str">
        <f t="shared" si="249"/>
        <v>33751760000000</v>
      </c>
      <c r="D5063" t="s">
        <v>6474</v>
      </c>
      <c r="E5063" t="str">
        <f>"33751766108278"</f>
        <v>33751766108278</v>
      </c>
      <c r="F5063" s="8">
        <v>846</v>
      </c>
      <c r="G5063" s="8">
        <v>7742</v>
      </c>
      <c r="H5063" s="8">
        <v>831</v>
      </c>
      <c r="I5063" s="8">
        <v>3543</v>
      </c>
    </row>
    <row r="5064" spans="1:9" x14ac:dyDescent="0.2">
      <c r="A5064" t="s">
        <v>1093</v>
      </c>
      <c r="B5064" t="s">
        <v>1110</v>
      </c>
      <c r="C5064" t="str">
        <f t="shared" si="249"/>
        <v>33751760000000</v>
      </c>
      <c r="D5064" t="s">
        <v>6475</v>
      </c>
      <c r="E5064" t="str">
        <f>"33751760107920"</f>
        <v>33751760107920</v>
      </c>
      <c r="F5064" s="8">
        <v>225</v>
      </c>
      <c r="G5064" s="8">
        <v>8449</v>
      </c>
      <c r="H5064" s="8">
        <v>792</v>
      </c>
      <c r="I5064" s="8">
        <v>3375</v>
      </c>
    </row>
    <row r="5065" spans="1:9" x14ac:dyDescent="0.2">
      <c r="A5065" t="s">
        <v>1093</v>
      </c>
      <c r="B5065" t="s">
        <v>1110</v>
      </c>
      <c r="C5065" t="str">
        <f t="shared" si="249"/>
        <v>33751760000000</v>
      </c>
      <c r="D5065" t="s">
        <v>6476</v>
      </c>
      <c r="E5065" t="str">
        <f>"33751766032031"</f>
        <v>33751766032031</v>
      </c>
      <c r="F5065" s="8">
        <v>874</v>
      </c>
      <c r="G5065" s="8">
        <v>7293</v>
      </c>
      <c r="H5065" s="8">
        <v>882</v>
      </c>
      <c r="I5065" s="8">
        <v>3762</v>
      </c>
    </row>
    <row r="5066" spans="1:9" x14ac:dyDescent="0.2">
      <c r="A5066" t="s">
        <v>1093</v>
      </c>
      <c r="B5066" t="s">
        <v>1110</v>
      </c>
      <c r="C5066" t="str">
        <f t="shared" si="249"/>
        <v>33751760000000</v>
      </c>
      <c r="D5066" t="s">
        <v>6477</v>
      </c>
      <c r="E5066" t="str">
        <f>"33751766118442"</f>
        <v>33751766118442</v>
      </c>
      <c r="F5066" s="8">
        <v>106</v>
      </c>
      <c r="G5066" s="8">
        <v>9063</v>
      </c>
      <c r="H5066" s="8">
        <v>684</v>
      </c>
      <c r="I5066" s="8">
        <v>2918</v>
      </c>
    </row>
    <row r="5067" spans="1:9" x14ac:dyDescent="0.2">
      <c r="A5067" t="s">
        <v>1093</v>
      </c>
      <c r="B5067" t="s">
        <v>1110</v>
      </c>
      <c r="C5067" t="str">
        <f t="shared" si="249"/>
        <v>33751760000000</v>
      </c>
      <c r="D5067" t="s">
        <v>6478</v>
      </c>
      <c r="E5067" t="str">
        <f>"33751766109938"</f>
        <v>33751766109938</v>
      </c>
      <c r="F5067" s="8">
        <v>357</v>
      </c>
      <c r="G5067" s="8">
        <v>8189</v>
      </c>
      <c r="H5067" s="8">
        <v>751</v>
      </c>
      <c r="I5067" s="8">
        <v>3202</v>
      </c>
    </row>
    <row r="5068" spans="1:9" x14ac:dyDescent="0.2">
      <c r="A5068" t="s">
        <v>1093</v>
      </c>
      <c r="B5068" t="s">
        <v>1110</v>
      </c>
      <c r="C5068" t="str">
        <f t="shared" si="249"/>
        <v>33751760000000</v>
      </c>
      <c r="D5068" t="s">
        <v>6479</v>
      </c>
      <c r="E5068" t="str">
        <f>"33751766105548"</f>
        <v>33751766105548</v>
      </c>
      <c r="F5068" s="8">
        <v>882</v>
      </c>
      <c r="G5068" s="8">
        <v>7115</v>
      </c>
      <c r="H5068" s="8">
        <v>849</v>
      </c>
      <c r="I5068" s="8">
        <v>3621</v>
      </c>
    </row>
    <row r="5069" spans="1:9" x14ac:dyDescent="0.2">
      <c r="A5069" t="s">
        <v>1093</v>
      </c>
      <c r="B5069" t="s">
        <v>1110</v>
      </c>
      <c r="C5069" t="str">
        <f t="shared" si="249"/>
        <v>33751760000000</v>
      </c>
      <c r="D5069" t="s">
        <v>6480</v>
      </c>
      <c r="E5069" t="str">
        <f>"33751766120455"</f>
        <v>33751766120455</v>
      </c>
      <c r="F5069" s="8">
        <v>529</v>
      </c>
      <c r="G5069" s="8">
        <v>7935</v>
      </c>
      <c r="H5069" s="8">
        <v>740</v>
      </c>
      <c r="I5069" s="8">
        <v>3156</v>
      </c>
    </row>
    <row r="5070" spans="1:9" x14ac:dyDescent="0.2">
      <c r="A5070" t="s">
        <v>1093</v>
      </c>
      <c r="B5070" t="s">
        <v>1110</v>
      </c>
      <c r="C5070" t="str">
        <f t="shared" si="249"/>
        <v>33751760000000</v>
      </c>
      <c r="D5070" t="s">
        <v>6481</v>
      </c>
      <c r="E5070" t="str">
        <f>"33751766111082"</f>
        <v>33751766111082</v>
      </c>
      <c r="F5070" s="8">
        <v>640</v>
      </c>
      <c r="G5070" s="8">
        <v>7627</v>
      </c>
      <c r="H5070" s="8">
        <v>736</v>
      </c>
      <c r="I5070" s="8">
        <v>3138</v>
      </c>
    </row>
    <row r="5071" spans="1:9" x14ac:dyDescent="0.2">
      <c r="A5071" t="s">
        <v>1093</v>
      </c>
      <c r="B5071" t="s">
        <v>1110</v>
      </c>
      <c r="C5071" t="str">
        <f t="shared" si="249"/>
        <v>33751760000000</v>
      </c>
      <c r="D5071" t="s">
        <v>6482</v>
      </c>
      <c r="E5071" t="str">
        <f>"33751766112734"</f>
        <v>33751766112734</v>
      </c>
      <c r="F5071" s="8">
        <v>300</v>
      </c>
      <c r="G5071" s="8">
        <v>7275</v>
      </c>
      <c r="H5071" s="8">
        <v>865</v>
      </c>
      <c r="I5071" s="8">
        <v>3686</v>
      </c>
    </row>
    <row r="5072" spans="1:9" x14ac:dyDescent="0.2">
      <c r="A5072" t="s">
        <v>1093</v>
      </c>
      <c r="B5072" t="s">
        <v>1110</v>
      </c>
      <c r="C5072" t="str">
        <f t="shared" si="249"/>
        <v>33751760000000</v>
      </c>
      <c r="D5072" t="s">
        <v>5861</v>
      </c>
      <c r="E5072" t="str">
        <f>"33751760113100"</f>
        <v>33751760113100</v>
      </c>
      <c r="F5072" s="8">
        <v>425</v>
      </c>
      <c r="G5072" s="8">
        <v>7807</v>
      </c>
      <c r="H5072" s="8">
        <v>715</v>
      </c>
      <c r="I5072" s="8">
        <v>3048</v>
      </c>
    </row>
    <row r="5073" spans="1:9" x14ac:dyDescent="0.2">
      <c r="A5073" t="s">
        <v>1093</v>
      </c>
      <c r="B5073" t="s">
        <v>1110</v>
      </c>
      <c r="C5073" t="str">
        <f t="shared" si="249"/>
        <v>33751760000000</v>
      </c>
      <c r="D5073" t="s">
        <v>6483</v>
      </c>
      <c r="E5073" t="str">
        <f>"33751766120463"</f>
        <v>33751766120463</v>
      </c>
      <c r="F5073" s="8">
        <v>387</v>
      </c>
      <c r="G5073" s="8">
        <v>7609</v>
      </c>
      <c r="H5073" s="8">
        <v>757</v>
      </c>
      <c r="I5073" s="8">
        <v>3227</v>
      </c>
    </row>
    <row r="5074" spans="1:9" x14ac:dyDescent="0.2">
      <c r="A5074" t="s">
        <v>1093</v>
      </c>
      <c r="B5074" t="s">
        <v>1110</v>
      </c>
      <c r="C5074" t="str">
        <f t="shared" si="249"/>
        <v>33751760000000</v>
      </c>
      <c r="D5074" t="s">
        <v>6484</v>
      </c>
      <c r="E5074" t="str">
        <f>"33751766107189"</f>
        <v>33751766107189</v>
      </c>
      <c r="F5074" s="8">
        <v>880</v>
      </c>
      <c r="G5074" s="8">
        <v>6927</v>
      </c>
      <c r="H5074" s="8">
        <v>792</v>
      </c>
      <c r="I5074" s="8">
        <v>3374</v>
      </c>
    </row>
    <row r="5075" spans="1:9" x14ac:dyDescent="0.2">
      <c r="A5075" t="s">
        <v>1093</v>
      </c>
      <c r="B5075" t="s">
        <v>1110</v>
      </c>
      <c r="C5075" t="str">
        <f t="shared" si="249"/>
        <v>33751760000000</v>
      </c>
      <c r="D5075" t="s">
        <v>3378</v>
      </c>
      <c r="E5075" t="str">
        <f>"33751760108241"</f>
        <v>33751760108241</v>
      </c>
      <c r="F5075" s="8">
        <v>490</v>
      </c>
      <c r="G5075" s="8">
        <v>7193</v>
      </c>
      <c r="H5075" s="8">
        <v>805</v>
      </c>
      <c r="I5075" s="8">
        <v>3430</v>
      </c>
    </row>
    <row r="5076" spans="1:9" x14ac:dyDescent="0.2">
      <c r="A5076" t="s">
        <v>1093</v>
      </c>
      <c r="B5076" t="s">
        <v>1110</v>
      </c>
      <c r="C5076" t="str">
        <f t="shared" si="249"/>
        <v>33751760000000</v>
      </c>
      <c r="D5076" t="s">
        <v>6485</v>
      </c>
      <c r="E5076" t="str">
        <f>"33751763332350"</f>
        <v>33751763332350</v>
      </c>
      <c r="F5076" s="8">
        <v>262</v>
      </c>
      <c r="G5076" s="8">
        <v>7378</v>
      </c>
      <c r="H5076" s="8">
        <v>789</v>
      </c>
      <c r="I5076" s="8">
        <v>3364</v>
      </c>
    </row>
    <row r="5077" spans="1:9" x14ac:dyDescent="0.2">
      <c r="A5077" t="s">
        <v>1093</v>
      </c>
      <c r="B5077" t="s">
        <v>1110</v>
      </c>
      <c r="C5077" t="str">
        <f t="shared" si="249"/>
        <v>33751760000000</v>
      </c>
      <c r="D5077" t="s">
        <v>6486</v>
      </c>
      <c r="E5077" t="str">
        <f>"33751766071203"</f>
        <v>33751766071203</v>
      </c>
      <c r="F5077" s="8">
        <v>684</v>
      </c>
      <c r="G5077" s="8">
        <v>6453</v>
      </c>
      <c r="H5077" s="8">
        <v>787</v>
      </c>
      <c r="I5077" s="8">
        <v>3356</v>
      </c>
    </row>
    <row r="5078" spans="1:9" x14ac:dyDescent="0.2">
      <c r="A5078" t="s">
        <v>1093</v>
      </c>
      <c r="B5078" t="s">
        <v>1110</v>
      </c>
      <c r="C5078" t="str">
        <f t="shared" si="249"/>
        <v>33751760000000</v>
      </c>
      <c r="D5078" t="s">
        <v>6487</v>
      </c>
      <c r="E5078" t="str">
        <f>"33751763330487"</f>
        <v>33751763330487</v>
      </c>
      <c r="F5078" s="8">
        <v>188</v>
      </c>
      <c r="G5078" s="8">
        <v>7377</v>
      </c>
      <c r="H5078" s="8">
        <v>698</v>
      </c>
      <c r="I5078" s="8">
        <v>2977</v>
      </c>
    </row>
    <row r="5079" spans="1:9" x14ac:dyDescent="0.2">
      <c r="A5079" t="s">
        <v>1093</v>
      </c>
      <c r="B5079" t="s">
        <v>1112</v>
      </c>
      <c r="C5079" t="str">
        <f t="shared" ref="C5079:C5092" si="250">"33671160000000"</f>
        <v>33671160000000</v>
      </c>
      <c r="D5079" t="s">
        <v>6488</v>
      </c>
      <c r="E5079" t="str">
        <f>"33671160119206"</f>
        <v>33671160119206</v>
      </c>
      <c r="F5079" s="8">
        <v>111</v>
      </c>
      <c r="G5079" s="8">
        <v>5929</v>
      </c>
      <c r="H5079" s="8">
        <v>941</v>
      </c>
      <c r="I5079" s="8">
        <v>4733</v>
      </c>
    </row>
    <row r="5080" spans="1:9" x14ac:dyDescent="0.2">
      <c r="A5080" t="s">
        <v>1093</v>
      </c>
      <c r="B5080" t="s">
        <v>1112</v>
      </c>
      <c r="C5080" t="str">
        <f t="shared" si="250"/>
        <v>33671160000000</v>
      </c>
      <c r="D5080" t="s">
        <v>4939</v>
      </c>
      <c r="E5080" t="str">
        <f>"33671160116756"</f>
        <v>33671160116756</v>
      </c>
      <c r="F5080" s="8">
        <v>123</v>
      </c>
      <c r="G5080" s="8">
        <v>5742</v>
      </c>
      <c r="H5080" s="8">
        <v>945</v>
      </c>
      <c r="I5080" s="8">
        <v>4650</v>
      </c>
    </row>
    <row r="5081" spans="1:9" x14ac:dyDescent="0.2">
      <c r="A5081" t="s">
        <v>1093</v>
      </c>
      <c r="B5081" t="s">
        <v>1112</v>
      </c>
      <c r="C5081" t="str">
        <f t="shared" si="250"/>
        <v>33671160000000</v>
      </c>
      <c r="D5081" t="s">
        <v>6489</v>
      </c>
      <c r="E5081" t="str">
        <f>"33671160125906"</f>
        <v>33671160125906</v>
      </c>
      <c r="F5081" s="8">
        <v>24</v>
      </c>
      <c r="G5081" s="8">
        <v>5984</v>
      </c>
      <c r="H5081" s="8">
        <v>893</v>
      </c>
      <c r="I5081" s="8">
        <v>4287</v>
      </c>
    </row>
    <row r="5082" spans="1:9" x14ac:dyDescent="0.2">
      <c r="A5082" t="s">
        <v>1093</v>
      </c>
      <c r="B5082" t="s">
        <v>1112</v>
      </c>
      <c r="C5082" t="str">
        <f t="shared" si="250"/>
        <v>33671160000000</v>
      </c>
      <c r="D5082" t="s">
        <v>6490</v>
      </c>
      <c r="E5082" t="str">
        <f>"33671166108229"</f>
        <v>33671166108229</v>
      </c>
      <c r="F5082" s="8">
        <v>71</v>
      </c>
      <c r="G5082" s="8">
        <v>6298</v>
      </c>
      <c r="H5082" s="8">
        <v>839</v>
      </c>
      <c r="I5082" s="8">
        <v>3907</v>
      </c>
    </row>
    <row r="5083" spans="1:9" x14ac:dyDescent="0.2">
      <c r="A5083" t="s">
        <v>1093</v>
      </c>
      <c r="B5083" t="s">
        <v>1112</v>
      </c>
      <c r="C5083" t="str">
        <f t="shared" si="250"/>
        <v>33671160000000</v>
      </c>
      <c r="D5083" t="s">
        <v>6491</v>
      </c>
      <c r="E5083" t="str">
        <f>"33671166110365"</f>
        <v>33671166110365</v>
      </c>
      <c r="F5083" s="8">
        <v>51</v>
      </c>
      <c r="G5083" s="8">
        <v>5840</v>
      </c>
      <c r="H5083" s="8">
        <v>893</v>
      </c>
      <c r="I5083" s="8">
        <v>4285</v>
      </c>
    </row>
    <row r="5084" spans="1:9" x14ac:dyDescent="0.2">
      <c r="A5084" t="s">
        <v>1093</v>
      </c>
      <c r="B5084" t="s">
        <v>1112</v>
      </c>
      <c r="C5084" t="str">
        <f t="shared" si="250"/>
        <v>33671160000000</v>
      </c>
      <c r="D5084" t="s">
        <v>6492</v>
      </c>
      <c r="E5084" t="str">
        <f>"33671160136838"</f>
        <v>33671160136838</v>
      </c>
      <c r="F5084" s="8">
        <v>35</v>
      </c>
      <c r="G5084" s="8">
        <v>6071</v>
      </c>
      <c r="H5084" s="8">
        <v>831</v>
      </c>
      <c r="I5084" s="8">
        <v>3853</v>
      </c>
    </row>
    <row r="5085" spans="1:9" x14ac:dyDescent="0.2">
      <c r="A5085" t="s">
        <v>1093</v>
      </c>
      <c r="B5085" t="s">
        <v>1112</v>
      </c>
      <c r="C5085" t="str">
        <f t="shared" si="250"/>
        <v>33671160000000</v>
      </c>
      <c r="D5085" t="s">
        <v>6493</v>
      </c>
      <c r="E5085" t="str">
        <f>"33671166119721"</f>
        <v>33671166119721</v>
      </c>
      <c r="F5085" s="8">
        <v>51</v>
      </c>
      <c r="G5085" s="8">
        <v>5513</v>
      </c>
      <c r="H5085" s="8">
        <v>878</v>
      </c>
      <c r="I5085" s="8">
        <v>4324</v>
      </c>
    </row>
    <row r="5086" spans="1:9" x14ac:dyDescent="0.2">
      <c r="A5086" t="s">
        <v>1093</v>
      </c>
      <c r="B5086" t="s">
        <v>1112</v>
      </c>
      <c r="C5086" t="str">
        <f t="shared" si="250"/>
        <v>33671160000000</v>
      </c>
      <c r="D5086" t="s">
        <v>6494</v>
      </c>
      <c r="E5086" t="str">
        <f>"33671160116749"</f>
        <v>33671160116749</v>
      </c>
      <c r="F5086" s="8">
        <v>26</v>
      </c>
      <c r="G5086" s="8">
        <v>5656</v>
      </c>
      <c r="H5086" s="8">
        <v>880</v>
      </c>
      <c r="I5086" s="8">
        <v>4196</v>
      </c>
    </row>
    <row r="5087" spans="1:9" x14ac:dyDescent="0.2">
      <c r="A5087" t="s">
        <v>1093</v>
      </c>
      <c r="B5087" t="s">
        <v>1112</v>
      </c>
      <c r="C5087" t="str">
        <f t="shared" si="250"/>
        <v>33671160000000</v>
      </c>
      <c r="D5087" t="s">
        <v>6495</v>
      </c>
      <c r="E5087" t="str">
        <f>"33671160110601"</f>
        <v>33671160110601</v>
      </c>
      <c r="F5087" s="8">
        <v>58</v>
      </c>
      <c r="G5087" s="8">
        <v>5461</v>
      </c>
      <c r="H5087" s="8">
        <v>898</v>
      </c>
      <c r="I5087" s="8">
        <v>4324</v>
      </c>
    </row>
    <row r="5088" spans="1:9" x14ac:dyDescent="0.2">
      <c r="A5088" t="s">
        <v>1093</v>
      </c>
      <c r="B5088" t="s">
        <v>1112</v>
      </c>
      <c r="C5088" t="str">
        <f t="shared" si="250"/>
        <v>33671160000000</v>
      </c>
      <c r="D5088" t="s">
        <v>6496</v>
      </c>
      <c r="E5088" t="str">
        <f>"33671160108639"</f>
        <v>33671160108639</v>
      </c>
      <c r="F5088" s="8">
        <v>33</v>
      </c>
      <c r="G5088" s="8">
        <v>5702</v>
      </c>
      <c r="H5088" s="8">
        <v>819</v>
      </c>
      <c r="I5088" s="8">
        <v>3773</v>
      </c>
    </row>
    <row r="5089" spans="1:9" x14ac:dyDescent="0.2">
      <c r="A5089" t="s">
        <v>1093</v>
      </c>
      <c r="B5089" t="s">
        <v>1112</v>
      </c>
      <c r="C5089" t="str">
        <f t="shared" si="250"/>
        <v>33671160000000</v>
      </c>
      <c r="D5089" t="s">
        <v>6497</v>
      </c>
      <c r="E5089" t="str">
        <f>"33671160100503"</f>
        <v>33671160100503</v>
      </c>
      <c r="F5089" s="8">
        <v>66</v>
      </c>
      <c r="G5089" s="8">
        <v>5516</v>
      </c>
      <c r="H5089" s="8">
        <v>833</v>
      </c>
      <c r="I5089" s="8">
        <v>3866</v>
      </c>
    </row>
    <row r="5090" spans="1:9" x14ac:dyDescent="0.2">
      <c r="A5090" t="s">
        <v>1093</v>
      </c>
      <c r="B5090" t="s">
        <v>1112</v>
      </c>
      <c r="C5090" t="str">
        <f t="shared" si="250"/>
        <v>33671160000000</v>
      </c>
      <c r="D5090" t="s">
        <v>6498</v>
      </c>
      <c r="E5090" t="str">
        <f>"33671166107197"</f>
        <v>33671166107197</v>
      </c>
      <c r="F5090" s="8">
        <v>32</v>
      </c>
      <c r="G5090" s="8">
        <v>4978</v>
      </c>
      <c r="H5090" s="8">
        <v>892</v>
      </c>
      <c r="I5090" s="8">
        <v>4310</v>
      </c>
    </row>
    <row r="5091" spans="1:9" x14ac:dyDescent="0.2">
      <c r="A5091" t="s">
        <v>1093</v>
      </c>
      <c r="B5091" t="s">
        <v>1112</v>
      </c>
      <c r="C5091" t="str">
        <f t="shared" si="250"/>
        <v>33671160000000</v>
      </c>
      <c r="D5091" t="s">
        <v>6499</v>
      </c>
      <c r="E5091" t="str">
        <f>"33671166113864"</f>
        <v>33671166113864</v>
      </c>
      <c r="F5091" s="8">
        <v>35</v>
      </c>
      <c r="G5091" s="8">
        <v>5547</v>
      </c>
      <c r="H5091" s="8">
        <v>795</v>
      </c>
      <c r="I5091" s="8">
        <v>3599</v>
      </c>
    </row>
    <row r="5092" spans="1:9" x14ac:dyDescent="0.2">
      <c r="A5092" t="s">
        <v>1093</v>
      </c>
      <c r="B5092" t="s">
        <v>1112</v>
      </c>
      <c r="C5092" t="str">
        <f t="shared" si="250"/>
        <v>33671160000000</v>
      </c>
      <c r="D5092" t="s">
        <v>6500</v>
      </c>
      <c r="E5092" t="str">
        <f>"33671160134080"</f>
        <v>33671160134080</v>
      </c>
      <c r="F5092" s="8">
        <v>20</v>
      </c>
      <c r="G5092" s="8">
        <v>5145</v>
      </c>
      <c r="H5092" s="8">
        <v>831</v>
      </c>
      <c r="I5092" s="8">
        <v>3853</v>
      </c>
    </row>
    <row r="5093" spans="1:9" x14ac:dyDescent="0.2">
      <c r="A5093" t="s">
        <v>1093</v>
      </c>
      <c r="B5093" t="s">
        <v>1114</v>
      </c>
      <c r="C5093" t="str">
        <f t="shared" ref="C5093:C5131" si="251">"33671240000000"</f>
        <v>33671240000000</v>
      </c>
      <c r="D5093" t="s">
        <v>6501</v>
      </c>
      <c r="E5093" t="str">
        <f>"33671240105940"</f>
        <v>33671240105940</v>
      </c>
      <c r="F5093" s="8">
        <v>6492</v>
      </c>
      <c r="G5093" s="8">
        <v>40730</v>
      </c>
      <c r="H5093" s="8">
        <v>1639</v>
      </c>
      <c r="I5093" s="8">
        <v>3605</v>
      </c>
    </row>
    <row r="5094" spans="1:9" x14ac:dyDescent="0.2">
      <c r="A5094" t="s">
        <v>1093</v>
      </c>
      <c r="B5094" t="s">
        <v>1114</v>
      </c>
      <c r="C5094" t="str">
        <f t="shared" si="251"/>
        <v>33671240000000</v>
      </c>
      <c r="D5094" t="s">
        <v>6502</v>
      </c>
      <c r="E5094" t="str">
        <f>"33671243330800"</f>
        <v>33671243330800</v>
      </c>
      <c r="F5094" s="8">
        <v>942</v>
      </c>
      <c r="G5094" s="8">
        <v>21692</v>
      </c>
      <c r="H5094" s="8">
        <v>1639</v>
      </c>
      <c r="I5094" s="8">
        <v>3605</v>
      </c>
    </row>
    <row r="5095" spans="1:9" x14ac:dyDescent="0.2">
      <c r="A5095" t="s">
        <v>1093</v>
      </c>
      <c r="B5095" t="s">
        <v>1114</v>
      </c>
      <c r="C5095" t="str">
        <f t="shared" si="251"/>
        <v>33671240000000</v>
      </c>
      <c r="D5095" t="s">
        <v>6503</v>
      </c>
      <c r="E5095" t="str">
        <f>"33671243333762"</f>
        <v>33671243333762</v>
      </c>
      <c r="F5095" s="8">
        <v>2750</v>
      </c>
      <c r="G5095" s="8">
        <v>19496</v>
      </c>
      <c r="H5095" s="8">
        <v>1639</v>
      </c>
      <c r="I5095" s="8">
        <v>3605</v>
      </c>
    </row>
    <row r="5096" spans="1:9" x14ac:dyDescent="0.2">
      <c r="A5096" t="s">
        <v>1093</v>
      </c>
      <c r="B5096" t="s">
        <v>1114</v>
      </c>
      <c r="C5096" t="str">
        <f t="shared" si="251"/>
        <v>33671240000000</v>
      </c>
      <c r="D5096" t="s">
        <v>6504</v>
      </c>
      <c r="E5096" t="str">
        <f>"33671243330958"</f>
        <v>33671243330958</v>
      </c>
      <c r="F5096" s="8">
        <v>588</v>
      </c>
      <c r="G5096" s="8">
        <v>10809</v>
      </c>
      <c r="H5096" s="8">
        <v>1639</v>
      </c>
      <c r="I5096" s="8">
        <v>3605</v>
      </c>
    </row>
    <row r="5097" spans="1:9" x14ac:dyDescent="0.2">
      <c r="A5097" t="s">
        <v>1093</v>
      </c>
      <c r="B5097" t="s">
        <v>1114</v>
      </c>
      <c r="C5097" t="str">
        <f t="shared" si="251"/>
        <v>33671240000000</v>
      </c>
      <c r="D5097" t="s">
        <v>6505</v>
      </c>
      <c r="E5097" t="str">
        <f>"33671246110027"</f>
        <v>33671246110027</v>
      </c>
      <c r="F5097" s="8">
        <v>708</v>
      </c>
      <c r="G5097" s="8">
        <v>9385</v>
      </c>
      <c r="H5097" s="8">
        <v>1639</v>
      </c>
      <c r="I5097" s="8">
        <v>3605</v>
      </c>
    </row>
    <row r="5098" spans="1:9" x14ac:dyDescent="0.2">
      <c r="A5098" t="s">
        <v>1093</v>
      </c>
      <c r="B5098" t="s">
        <v>1114</v>
      </c>
      <c r="C5098" t="str">
        <f t="shared" si="251"/>
        <v>33671240000000</v>
      </c>
      <c r="D5098" t="s">
        <v>6506</v>
      </c>
      <c r="E5098" t="str">
        <f>"33671246032320"</f>
        <v>33671246032320</v>
      </c>
      <c r="F5098" s="8">
        <v>441</v>
      </c>
      <c r="G5098" s="8">
        <v>9506</v>
      </c>
      <c r="H5098" s="8">
        <v>1639</v>
      </c>
      <c r="I5098" s="8">
        <v>3605</v>
      </c>
    </row>
    <row r="5099" spans="1:9" x14ac:dyDescent="0.2">
      <c r="A5099" t="s">
        <v>1093</v>
      </c>
      <c r="B5099" t="s">
        <v>1114</v>
      </c>
      <c r="C5099" t="str">
        <f t="shared" si="251"/>
        <v>33671240000000</v>
      </c>
      <c r="D5099" t="s">
        <v>6507</v>
      </c>
      <c r="E5099" t="str">
        <f>"33671246109979"</f>
        <v>33671246109979</v>
      </c>
      <c r="F5099" s="8">
        <v>742</v>
      </c>
      <c r="G5099" s="8">
        <v>8905</v>
      </c>
      <c r="H5099" s="8">
        <v>1639</v>
      </c>
      <c r="I5099" s="8">
        <v>3605</v>
      </c>
    </row>
    <row r="5100" spans="1:9" x14ac:dyDescent="0.2">
      <c r="A5100" t="s">
        <v>1093</v>
      </c>
      <c r="B5100" t="s">
        <v>1114</v>
      </c>
      <c r="C5100" t="str">
        <f t="shared" si="251"/>
        <v>33671240000000</v>
      </c>
      <c r="D5100" t="s">
        <v>6508</v>
      </c>
      <c r="E5100" t="str">
        <f>"33671246106058"</f>
        <v>33671246106058</v>
      </c>
      <c r="F5100" s="8">
        <v>481</v>
      </c>
      <c r="G5100" s="8">
        <v>8929</v>
      </c>
      <c r="H5100" s="8">
        <v>1639</v>
      </c>
      <c r="I5100" s="8">
        <v>3605</v>
      </c>
    </row>
    <row r="5101" spans="1:9" x14ac:dyDescent="0.2">
      <c r="A5101" t="s">
        <v>1093</v>
      </c>
      <c r="B5101" t="s">
        <v>1114</v>
      </c>
      <c r="C5101" t="str">
        <f t="shared" si="251"/>
        <v>33671240000000</v>
      </c>
      <c r="D5101" t="s">
        <v>3335</v>
      </c>
      <c r="E5101" t="str">
        <f>"33671246107643"</f>
        <v>33671246107643</v>
      </c>
      <c r="F5101" s="8">
        <v>538</v>
      </c>
      <c r="G5101" s="8">
        <v>8638</v>
      </c>
      <c r="H5101" s="8">
        <v>1639</v>
      </c>
      <c r="I5101" s="8">
        <v>3605</v>
      </c>
    </row>
    <row r="5102" spans="1:9" x14ac:dyDescent="0.2">
      <c r="A5102" t="s">
        <v>1093</v>
      </c>
      <c r="B5102" t="s">
        <v>1114</v>
      </c>
      <c r="C5102" t="str">
        <f t="shared" si="251"/>
        <v>33671240000000</v>
      </c>
      <c r="D5102" t="s">
        <v>6509</v>
      </c>
      <c r="E5102" t="str">
        <f>"33671246108716"</f>
        <v>33671246108716</v>
      </c>
      <c r="F5102" s="8">
        <v>763</v>
      </c>
      <c r="G5102" s="8">
        <v>8362</v>
      </c>
      <c r="H5102" s="8">
        <v>1639</v>
      </c>
      <c r="I5102" s="8">
        <v>3605</v>
      </c>
    </row>
    <row r="5103" spans="1:9" x14ac:dyDescent="0.2">
      <c r="A5103" t="s">
        <v>1093</v>
      </c>
      <c r="B5103" t="s">
        <v>1114</v>
      </c>
      <c r="C5103" t="str">
        <f t="shared" si="251"/>
        <v>33671240000000</v>
      </c>
      <c r="D5103" t="s">
        <v>6510</v>
      </c>
      <c r="E5103" t="str">
        <f>"33671246108674"</f>
        <v>33671246108674</v>
      </c>
      <c r="F5103" s="8">
        <v>544</v>
      </c>
      <c r="G5103" s="8">
        <v>8502</v>
      </c>
      <c r="H5103" s="8">
        <v>1639</v>
      </c>
      <c r="I5103" s="8">
        <v>3605</v>
      </c>
    </row>
    <row r="5104" spans="1:9" x14ac:dyDescent="0.2">
      <c r="A5104" t="s">
        <v>1093</v>
      </c>
      <c r="B5104" t="s">
        <v>1114</v>
      </c>
      <c r="C5104" t="str">
        <f t="shared" si="251"/>
        <v>33671240000000</v>
      </c>
      <c r="D5104" t="s">
        <v>6511</v>
      </c>
      <c r="E5104" t="str">
        <f>"33671240102731"</f>
        <v>33671240102731</v>
      </c>
      <c r="F5104" s="8">
        <v>807</v>
      </c>
      <c r="G5104" s="8">
        <v>8201</v>
      </c>
      <c r="H5104" s="8">
        <v>1639</v>
      </c>
      <c r="I5104" s="8">
        <v>3605</v>
      </c>
    </row>
    <row r="5105" spans="1:9" x14ac:dyDescent="0.2">
      <c r="A5105" t="s">
        <v>1093</v>
      </c>
      <c r="B5105" t="s">
        <v>1114</v>
      </c>
      <c r="C5105" t="str">
        <f t="shared" si="251"/>
        <v>33671240000000</v>
      </c>
      <c r="D5105" t="s">
        <v>6512</v>
      </c>
      <c r="E5105" t="str">
        <f>"33671246106967"</f>
        <v>33671246106967</v>
      </c>
      <c r="F5105" s="8">
        <v>731</v>
      </c>
      <c r="G5105" s="8">
        <v>8259</v>
      </c>
      <c r="H5105" s="8">
        <v>1639</v>
      </c>
      <c r="I5105" s="8">
        <v>3605</v>
      </c>
    </row>
    <row r="5106" spans="1:9" x14ac:dyDescent="0.2">
      <c r="A5106" t="s">
        <v>1093</v>
      </c>
      <c r="B5106" t="s">
        <v>1114</v>
      </c>
      <c r="C5106" t="str">
        <f t="shared" si="251"/>
        <v>33671240000000</v>
      </c>
      <c r="D5106" t="s">
        <v>6513</v>
      </c>
      <c r="E5106" t="str">
        <f>"33671246108690"</f>
        <v>33671246108690</v>
      </c>
      <c r="F5106" s="8">
        <v>629</v>
      </c>
      <c r="G5106" s="8">
        <v>8236</v>
      </c>
      <c r="H5106" s="8">
        <v>1639</v>
      </c>
      <c r="I5106" s="8">
        <v>3605</v>
      </c>
    </row>
    <row r="5107" spans="1:9" x14ac:dyDescent="0.2">
      <c r="A5107" t="s">
        <v>1093</v>
      </c>
      <c r="B5107" t="s">
        <v>1114</v>
      </c>
      <c r="C5107" t="str">
        <f t="shared" si="251"/>
        <v>33671240000000</v>
      </c>
      <c r="D5107" t="s">
        <v>3580</v>
      </c>
      <c r="E5107" t="str">
        <f>"33671246104582"</f>
        <v>33671246104582</v>
      </c>
      <c r="F5107" s="8">
        <v>520</v>
      </c>
      <c r="G5107" s="8">
        <v>8142</v>
      </c>
      <c r="H5107" s="8">
        <v>1639</v>
      </c>
      <c r="I5107" s="8">
        <v>3605</v>
      </c>
    </row>
    <row r="5108" spans="1:9" x14ac:dyDescent="0.2">
      <c r="A5108" t="s">
        <v>1093</v>
      </c>
      <c r="B5108" t="s">
        <v>1114</v>
      </c>
      <c r="C5108" t="str">
        <f t="shared" si="251"/>
        <v>33671240000000</v>
      </c>
      <c r="D5108" t="s">
        <v>6514</v>
      </c>
      <c r="E5108" t="str">
        <f>"33671246108724"</f>
        <v>33671246108724</v>
      </c>
      <c r="F5108" s="8">
        <v>524</v>
      </c>
      <c r="G5108" s="8">
        <v>8102</v>
      </c>
      <c r="H5108" s="8">
        <v>1639</v>
      </c>
      <c r="I5108" s="8">
        <v>3605</v>
      </c>
    </row>
    <row r="5109" spans="1:9" x14ac:dyDescent="0.2">
      <c r="A5109" t="s">
        <v>1093</v>
      </c>
      <c r="B5109" t="s">
        <v>1114</v>
      </c>
      <c r="C5109" t="str">
        <f t="shared" si="251"/>
        <v>33671240000000</v>
      </c>
      <c r="D5109" t="s">
        <v>6515</v>
      </c>
      <c r="E5109" t="str">
        <f>"33671246032304"</f>
        <v>33671246032304</v>
      </c>
      <c r="F5109" s="8">
        <v>735</v>
      </c>
      <c r="G5109" s="8">
        <v>7778</v>
      </c>
      <c r="H5109" s="8">
        <v>1639</v>
      </c>
      <c r="I5109" s="8">
        <v>3605</v>
      </c>
    </row>
    <row r="5110" spans="1:9" x14ac:dyDescent="0.2">
      <c r="A5110" t="s">
        <v>1093</v>
      </c>
      <c r="B5110" t="s">
        <v>1114</v>
      </c>
      <c r="C5110" t="str">
        <f t="shared" si="251"/>
        <v>33671240000000</v>
      </c>
      <c r="D5110" t="s">
        <v>6516</v>
      </c>
      <c r="E5110" t="str">
        <f>"33671246109508"</f>
        <v>33671246109508</v>
      </c>
      <c r="F5110" s="8">
        <v>321</v>
      </c>
      <c r="G5110" s="8">
        <v>8189</v>
      </c>
      <c r="H5110" s="8">
        <v>1639</v>
      </c>
      <c r="I5110" s="8">
        <v>3605</v>
      </c>
    </row>
    <row r="5111" spans="1:9" x14ac:dyDescent="0.2">
      <c r="A5111" t="s">
        <v>1093</v>
      </c>
      <c r="B5111" t="s">
        <v>1114</v>
      </c>
      <c r="C5111" t="str">
        <f t="shared" si="251"/>
        <v>33671240000000</v>
      </c>
      <c r="D5111" t="s">
        <v>6517</v>
      </c>
      <c r="E5111" t="str">
        <f>"33671246110928"</f>
        <v>33671246110928</v>
      </c>
      <c r="F5111" s="8">
        <v>381</v>
      </c>
      <c r="G5111" s="8">
        <v>8118</v>
      </c>
      <c r="H5111" s="8">
        <v>1639</v>
      </c>
      <c r="I5111" s="8">
        <v>3605</v>
      </c>
    </row>
    <row r="5112" spans="1:9" x14ac:dyDescent="0.2">
      <c r="A5112" t="s">
        <v>1093</v>
      </c>
      <c r="B5112" t="s">
        <v>1114</v>
      </c>
      <c r="C5112" t="str">
        <f t="shared" si="251"/>
        <v>33671240000000</v>
      </c>
      <c r="D5112" t="s">
        <v>6061</v>
      </c>
      <c r="E5112" t="str">
        <f>"33671246106041"</f>
        <v>33671246106041</v>
      </c>
      <c r="F5112" s="8">
        <v>573</v>
      </c>
      <c r="G5112" s="8">
        <v>7686</v>
      </c>
      <c r="H5112" s="8">
        <v>1639</v>
      </c>
      <c r="I5112" s="8">
        <v>3605</v>
      </c>
    </row>
    <row r="5113" spans="1:9" x14ac:dyDescent="0.2">
      <c r="A5113" t="s">
        <v>1093</v>
      </c>
      <c r="B5113" t="s">
        <v>1114</v>
      </c>
      <c r="C5113" t="str">
        <f t="shared" si="251"/>
        <v>33671240000000</v>
      </c>
      <c r="D5113" t="s">
        <v>6518</v>
      </c>
      <c r="E5113" t="str">
        <f>"33671246108732"</f>
        <v>33671246108732</v>
      </c>
      <c r="F5113" s="8">
        <v>542</v>
      </c>
      <c r="G5113" s="8">
        <v>7659</v>
      </c>
      <c r="H5113" s="8">
        <v>1639</v>
      </c>
      <c r="I5113" s="8">
        <v>3605</v>
      </c>
    </row>
    <row r="5114" spans="1:9" x14ac:dyDescent="0.2">
      <c r="A5114" t="s">
        <v>1093</v>
      </c>
      <c r="B5114" t="s">
        <v>1114</v>
      </c>
      <c r="C5114" t="str">
        <f t="shared" si="251"/>
        <v>33671240000000</v>
      </c>
      <c r="D5114" t="s">
        <v>6519</v>
      </c>
      <c r="E5114" t="str">
        <f>"33671246109110"</f>
        <v>33671246109110</v>
      </c>
      <c r="F5114" s="8">
        <v>370</v>
      </c>
      <c r="G5114" s="8">
        <v>7822</v>
      </c>
      <c r="H5114" s="8">
        <v>1639</v>
      </c>
      <c r="I5114" s="8">
        <v>3605</v>
      </c>
    </row>
    <row r="5115" spans="1:9" x14ac:dyDescent="0.2">
      <c r="A5115" t="s">
        <v>1093</v>
      </c>
      <c r="B5115" t="s">
        <v>1114</v>
      </c>
      <c r="C5115" t="str">
        <f t="shared" si="251"/>
        <v>33671240000000</v>
      </c>
      <c r="D5115" t="s">
        <v>2368</v>
      </c>
      <c r="E5115" t="str">
        <f>"33671246107890"</f>
        <v>33671246107890</v>
      </c>
      <c r="F5115" s="8">
        <v>631</v>
      </c>
      <c r="G5115" s="8">
        <v>7535</v>
      </c>
      <c r="H5115" s="8">
        <v>1639</v>
      </c>
      <c r="I5115" s="8">
        <v>3605</v>
      </c>
    </row>
    <row r="5116" spans="1:9" x14ac:dyDescent="0.2">
      <c r="A5116" t="s">
        <v>1093</v>
      </c>
      <c r="B5116" t="s">
        <v>1114</v>
      </c>
      <c r="C5116" t="str">
        <f t="shared" si="251"/>
        <v>33671240000000</v>
      </c>
      <c r="D5116" t="s">
        <v>6520</v>
      </c>
      <c r="E5116" t="str">
        <f>"33671246105514"</f>
        <v>33671246105514</v>
      </c>
      <c r="F5116" s="8">
        <v>489</v>
      </c>
      <c r="G5116" s="8">
        <v>7617</v>
      </c>
      <c r="H5116" s="8">
        <v>1639</v>
      </c>
      <c r="I5116" s="8">
        <v>3605</v>
      </c>
    </row>
    <row r="5117" spans="1:9" x14ac:dyDescent="0.2">
      <c r="A5117" t="s">
        <v>1093</v>
      </c>
      <c r="B5117" t="s">
        <v>1114</v>
      </c>
      <c r="C5117" t="str">
        <f t="shared" si="251"/>
        <v>33671240000000</v>
      </c>
      <c r="D5117" t="s">
        <v>6521</v>
      </c>
      <c r="E5117" t="str">
        <f>"33671246107080"</f>
        <v>33671246107080</v>
      </c>
      <c r="F5117" s="8">
        <v>408</v>
      </c>
      <c r="G5117" s="8">
        <v>7683</v>
      </c>
      <c r="H5117" s="8">
        <v>1639</v>
      </c>
      <c r="I5117" s="8">
        <v>3605</v>
      </c>
    </row>
    <row r="5118" spans="1:9" x14ac:dyDescent="0.2">
      <c r="A5118" t="s">
        <v>1093</v>
      </c>
      <c r="B5118" t="s">
        <v>1114</v>
      </c>
      <c r="C5118" t="str">
        <f t="shared" si="251"/>
        <v>33671240000000</v>
      </c>
      <c r="D5118" t="s">
        <v>2637</v>
      </c>
      <c r="E5118" t="str">
        <f>"33671246106942"</f>
        <v>33671246106942</v>
      </c>
      <c r="F5118" s="8">
        <v>752</v>
      </c>
      <c r="G5118" s="8">
        <v>7222</v>
      </c>
      <c r="H5118" s="8">
        <v>1639</v>
      </c>
      <c r="I5118" s="8">
        <v>3605</v>
      </c>
    </row>
    <row r="5119" spans="1:9" x14ac:dyDescent="0.2">
      <c r="A5119" t="s">
        <v>1093</v>
      </c>
      <c r="B5119" t="s">
        <v>1114</v>
      </c>
      <c r="C5119" t="str">
        <f t="shared" si="251"/>
        <v>33671240000000</v>
      </c>
      <c r="D5119" t="s">
        <v>6522</v>
      </c>
      <c r="E5119" t="str">
        <f>"33671240108134"</f>
        <v>33671240108134</v>
      </c>
      <c r="F5119" s="8">
        <v>413</v>
      </c>
      <c r="G5119" s="8">
        <v>7452</v>
      </c>
      <c r="H5119" s="8">
        <v>1639</v>
      </c>
      <c r="I5119" s="8">
        <v>3605</v>
      </c>
    </row>
    <row r="5120" spans="1:9" x14ac:dyDescent="0.2">
      <c r="A5120" t="s">
        <v>1093</v>
      </c>
      <c r="B5120" t="s">
        <v>1114</v>
      </c>
      <c r="C5120" t="str">
        <f t="shared" si="251"/>
        <v>33671240000000</v>
      </c>
      <c r="D5120" t="s">
        <v>6523</v>
      </c>
      <c r="E5120" t="str">
        <f>"33671243333770"</f>
        <v>33671243333770</v>
      </c>
      <c r="F5120" s="8">
        <v>418</v>
      </c>
      <c r="G5120" s="8">
        <v>7386</v>
      </c>
      <c r="H5120" s="8">
        <v>1639</v>
      </c>
      <c r="I5120" s="8">
        <v>3605</v>
      </c>
    </row>
    <row r="5121" spans="1:9" x14ac:dyDescent="0.2">
      <c r="A5121" t="s">
        <v>1093</v>
      </c>
      <c r="B5121" t="s">
        <v>1114</v>
      </c>
      <c r="C5121" t="str">
        <f t="shared" si="251"/>
        <v>33671240000000</v>
      </c>
      <c r="D5121" t="s">
        <v>6524</v>
      </c>
      <c r="E5121" t="str">
        <f>"33671246106066"</f>
        <v>33671246106066</v>
      </c>
      <c r="F5121" s="8">
        <v>444</v>
      </c>
      <c r="G5121" s="8">
        <v>7322</v>
      </c>
      <c r="H5121" s="8">
        <v>1639</v>
      </c>
      <c r="I5121" s="8">
        <v>3605</v>
      </c>
    </row>
    <row r="5122" spans="1:9" x14ac:dyDescent="0.2">
      <c r="A5122" t="s">
        <v>1093</v>
      </c>
      <c r="B5122" t="s">
        <v>1114</v>
      </c>
      <c r="C5122" t="str">
        <f t="shared" si="251"/>
        <v>33671240000000</v>
      </c>
      <c r="D5122" t="s">
        <v>6525</v>
      </c>
      <c r="E5122" t="str">
        <f>"33671243331071"</f>
        <v>33671243331071</v>
      </c>
      <c r="F5122" s="8">
        <v>398</v>
      </c>
      <c r="G5122" s="8">
        <v>7208</v>
      </c>
      <c r="H5122" s="8">
        <v>1639</v>
      </c>
      <c r="I5122" s="8">
        <v>3605</v>
      </c>
    </row>
    <row r="5123" spans="1:9" x14ac:dyDescent="0.2">
      <c r="A5123" t="s">
        <v>1093</v>
      </c>
      <c r="B5123" t="s">
        <v>1114</v>
      </c>
      <c r="C5123" t="str">
        <f t="shared" si="251"/>
        <v>33671240000000</v>
      </c>
      <c r="D5123" t="s">
        <v>6526</v>
      </c>
      <c r="E5123" t="str">
        <f>"33671246032338"</f>
        <v>33671246032338</v>
      </c>
      <c r="F5123" s="8">
        <v>438</v>
      </c>
      <c r="G5123" s="8">
        <v>7120</v>
      </c>
      <c r="H5123" s="8">
        <v>1639</v>
      </c>
      <c r="I5123" s="8">
        <v>3605</v>
      </c>
    </row>
    <row r="5124" spans="1:9" x14ac:dyDescent="0.2">
      <c r="A5124" t="s">
        <v>1093</v>
      </c>
      <c r="B5124" t="s">
        <v>1114</v>
      </c>
      <c r="C5124" t="str">
        <f t="shared" si="251"/>
        <v>33671240000000</v>
      </c>
      <c r="D5124" t="s">
        <v>6527</v>
      </c>
      <c r="E5124" t="str">
        <f>"33671246032312"</f>
        <v>33671246032312</v>
      </c>
      <c r="F5124" s="8">
        <v>478</v>
      </c>
      <c r="G5124" s="8">
        <v>7078</v>
      </c>
      <c r="H5124" s="8">
        <v>1639</v>
      </c>
      <c r="I5124" s="8">
        <v>3605</v>
      </c>
    </row>
    <row r="5125" spans="1:9" x14ac:dyDescent="0.2">
      <c r="A5125" t="s">
        <v>1093</v>
      </c>
      <c r="B5125" t="s">
        <v>1114</v>
      </c>
      <c r="C5125" t="str">
        <f t="shared" si="251"/>
        <v>33671240000000</v>
      </c>
      <c r="D5125" t="s">
        <v>6528</v>
      </c>
      <c r="E5125" t="str">
        <f>"33671246103501"</f>
        <v>33671246103501</v>
      </c>
      <c r="F5125" s="8">
        <v>452</v>
      </c>
      <c r="G5125" s="8">
        <v>6954</v>
      </c>
      <c r="H5125" s="8">
        <v>1639</v>
      </c>
      <c r="I5125" s="8">
        <v>3605</v>
      </c>
    </row>
    <row r="5126" spans="1:9" x14ac:dyDescent="0.2">
      <c r="A5126" t="s">
        <v>1093</v>
      </c>
      <c r="B5126" t="s">
        <v>1114</v>
      </c>
      <c r="C5126" t="str">
        <f t="shared" si="251"/>
        <v>33671240000000</v>
      </c>
      <c r="D5126" t="s">
        <v>6529</v>
      </c>
      <c r="E5126" t="str">
        <f>"33671246103519"</f>
        <v>33671246103519</v>
      </c>
      <c r="F5126" s="8">
        <v>421</v>
      </c>
      <c r="G5126" s="8">
        <v>6797</v>
      </c>
      <c r="H5126" s="8">
        <v>1639</v>
      </c>
      <c r="I5126" s="8">
        <v>3605</v>
      </c>
    </row>
    <row r="5127" spans="1:9" x14ac:dyDescent="0.2">
      <c r="A5127" t="s">
        <v>1093</v>
      </c>
      <c r="B5127" t="s">
        <v>1114</v>
      </c>
      <c r="C5127" t="str">
        <f t="shared" si="251"/>
        <v>33671240000000</v>
      </c>
      <c r="D5127" t="s">
        <v>6530</v>
      </c>
      <c r="E5127" t="str">
        <f>"33671243330438"</f>
        <v>33671243330438</v>
      </c>
      <c r="F5127" s="8">
        <v>625</v>
      </c>
      <c r="G5127" s="8">
        <v>6588</v>
      </c>
      <c r="H5127" s="8">
        <v>1639</v>
      </c>
      <c r="I5127" s="8">
        <v>3605</v>
      </c>
    </row>
    <row r="5128" spans="1:9" x14ac:dyDescent="0.2">
      <c r="A5128" t="s">
        <v>1093</v>
      </c>
      <c r="B5128" t="s">
        <v>1114</v>
      </c>
      <c r="C5128" t="str">
        <f t="shared" si="251"/>
        <v>33671240000000</v>
      </c>
      <c r="D5128" t="s">
        <v>6531</v>
      </c>
      <c r="E5128" t="str">
        <f>"33671246032288"</f>
        <v>33671246032288</v>
      </c>
      <c r="F5128" s="8">
        <v>398</v>
      </c>
      <c r="G5128" s="8">
        <v>6722</v>
      </c>
      <c r="H5128" s="8">
        <v>1639</v>
      </c>
      <c r="I5128" s="8">
        <v>3605</v>
      </c>
    </row>
    <row r="5129" spans="1:9" x14ac:dyDescent="0.2">
      <c r="A5129" t="s">
        <v>1093</v>
      </c>
      <c r="B5129" t="s">
        <v>1114</v>
      </c>
      <c r="C5129" t="str">
        <f t="shared" si="251"/>
        <v>33671240000000</v>
      </c>
      <c r="D5129" t="s">
        <v>6532</v>
      </c>
      <c r="E5129" t="str">
        <f>"33671243330396"</f>
        <v>33671243330396</v>
      </c>
      <c r="F5129" s="8">
        <v>623</v>
      </c>
      <c r="G5129" s="8">
        <v>6235</v>
      </c>
      <c r="H5129" s="8">
        <v>1639</v>
      </c>
      <c r="I5129" s="8">
        <v>3605</v>
      </c>
    </row>
    <row r="5130" spans="1:9" x14ac:dyDescent="0.2">
      <c r="A5130" t="s">
        <v>1093</v>
      </c>
      <c r="B5130" t="s">
        <v>1114</v>
      </c>
      <c r="C5130" t="str">
        <f t="shared" si="251"/>
        <v>33671240000000</v>
      </c>
      <c r="D5130" t="s">
        <v>6533</v>
      </c>
      <c r="E5130" t="str">
        <f>"33671240128868"</f>
        <v>33671240128868</v>
      </c>
      <c r="F5130" s="8">
        <v>608</v>
      </c>
      <c r="G5130" s="8">
        <v>3423</v>
      </c>
      <c r="H5130" s="8">
        <v>1639</v>
      </c>
      <c r="I5130" s="8">
        <v>3605</v>
      </c>
    </row>
    <row r="5131" spans="1:9" x14ac:dyDescent="0.2">
      <c r="A5131" t="s">
        <v>1093</v>
      </c>
      <c r="B5131" t="s">
        <v>1114</v>
      </c>
      <c r="C5131" t="str">
        <f t="shared" si="251"/>
        <v>33671240000000</v>
      </c>
      <c r="D5131" t="s">
        <v>6534</v>
      </c>
      <c r="E5131" t="str">
        <f>"33671243330685"</f>
        <v>33671243330685</v>
      </c>
      <c r="F5131" s="8" t="s">
        <v>30</v>
      </c>
      <c r="G5131" s="8" t="s">
        <v>30</v>
      </c>
      <c r="H5131" s="8" t="s">
        <v>30</v>
      </c>
      <c r="I5131" s="8" t="s">
        <v>30</v>
      </c>
    </row>
    <row r="5132" spans="1:9" x14ac:dyDescent="0.2">
      <c r="A5132" t="s">
        <v>1093</v>
      </c>
      <c r="B5132" t="s">
        <v>1115</v>
      </c>
      <c r="C5132" t="str">
        <f t="shared" ref="C5132:C5150" si="252">"33752000000000"</f>
        <v>33752000000000</v>
      </c>
      <c r="D5132" t="s">
        <v>6535</v>
      </c>
      <c r="E5132" t="str">
        <f>"33752000102079"</f>
        <v>33752000102079</v>
      </c>
      <c r="F5132" s="8">
        <v>921</v>
      </c>
      <c r="G5132" s="8">
        <v>17026</v>
      </c>
      <c r="H5132" s="8">
        <v>470</v>
      </c>
      <c r="I5132" s="8">
        <v>2987</v>
      </c>
    </row>
    <row r="5133" spans="1:9" x14ac:dyDescent="0.2">
      <c r="A5133" t="s">
        <v>1093</v>
      </c>
      <c r="B5133" t="s">
        <v>1115</v>
      </c>
      <c r="C5133" t="str">
        <f t="shared" si="252"/>
        <v>33752000000000</v>
      </c>
      <c r="D5133" t="s">
        <v>6536</v>
      </c>
      <c r="E5133" t="str">
        <f>"33752006118558"</f>
        <v>33752006118558</v>
      </c>
      <c r="F5133" s="8">
        <v>885</v>
      </c>
      <c r="G5133" s="8">
        <v>8161</v>
      </c>
      <c r="H5133" s="8">
        <v>597</v>
      </c>
      <c r="I5133" s="8">
        <v>3118</v>
      </c>
    </row>
    <row r="5134" spans="1:9" x14ac:dyDescent="0.2">
      <c r="A5134" t="s">
        <v>1093</v>
      </c>
      <c r="B5134" t="s">
        <v>1115</v>
      </c>
      <c r="C5134" t="str">
        <f t="shared" si="252"/>
        <v>33752000000000</v>
      </c>
      <c r="D5134" t="s">
        <v>3877</v>
      </c>
      <c r="E5134" t="str">
        <f>"33752000100412"</f>
        <v>33752000100412</v>
      </c>
      <c r="F5134" s="8">
        <v>656</v>
      </c>
      <c r="G5134" s="8">
        <v>8246</v>
      </c>
      <c r="H5134" s="8">
        <v>597</v>
      </c>
      <c r="I5134" s="8">
        <v>3118</v>
      </c>
    </row>
    <row r="5135" spans="1:9" x14ac:dyDescent="0.2">
      <c r="A5135" t="s">
        <v>1093</v>
      </c>
      <c r="B5135" t="s">
        <v>1115</v>
      </c>
      <c r="C5135" t="str">
        <f t="shared" si="252"/>
        <v>33752000000000</v>
      </c>
      <c r="D5135" t="s">
        <v>6537</v>
      </c>
      <c r="E5135" t="str">
        <f>"33752000108530"</f>
        <v>33752000108530</v>
      </c>
      <c r="F5135" s="8">
        <v>780</v>
      </c>
      <c r="G5135" s="8">
        <v>7952</v>
      </c>
      <c r="H5135" s="8">
        <v>597</v>
      </c>
      <c r="I5135" s="8">
        <v>3118</v>
      </c>
    </row>
    <row r="5136" spans="1:9" x14ac:dyDescent="0.2">
      <c r="A5136" t="s">
        <v>1093</v>
      </c>
      <c r="B5136" t="s">
        <v>1115</v>
      </c>
      <c r="C5136" t="str">
        <f t="shared" si="252"/>
        <v>33752000000000</v>
      </c>
      <c r="D5136" t="s">
        <v>6538</v>
      </c>
      <c r="E5136" t="str">
        <f>"33752006108153"</f>
        <v>33752006108153</v>
      </c>
      <c r="F5136" s="8">
        <v>1015</v>
      </c>
      <c r="G5136" s="8">
        <v>7474</v>
      </c>
      <c r="H5136" s="8">
        <v>597</v>
      </c>
      <c r="I5136" s="8">
        <v>3118</v>
      </c>
    </row>
    <row r="5137" spans="1:9" x14ac:dyDescent="0.2">
      <c r="A5137" t="s">
        <v>1093</v>
      </c>
      <c r="B5137" t="s">
        <v>1115</v>
      </c>
      <c r="C5137" t="str">
        <f t="shared" si="252"/>
        <v>33752000000000</v>
      </c>
      <c r="D5137" t="s">
        <v>6539</v>
      </c>
      <c r="E5137" t="str">
        <f>"33752006106868"</f>
        <v>33752006106868</v>
      </c>
      <c r="F5137" s="8">
        <v>975</v>
      </c>
      <c r="G5137" s="8">
        <v>7502</v>
      </c>
      <c r="H5137" s="8">
        <v>597</v>
      </c>
      <c r="I5137" s="8">
        <v>3118</v>
      </c>
    </row>
    <row r="5138" spans="1:9" x14ac:dyDescent="0.2">
      <c r="A5138" t="s">
        <v>1093</v>
      </c>
      <c r="B5138" t="s">
        <v>1115</v>
      </c>
      <c r="C5138" t="str">
        <f t="shared" si="252"/>
        <v>33752000000000</v>
      </c>
      <c r="D5138" t="s">
        <v>6540</v>
      </c>
      <c r="E5138" t="str">
        <f>"33752006107858"</f>
        <v>33752006107858</v>
      </c>
      <c r="F5138" s="8">
        <v>873</v>
      </c>
      <c r="G5138" s="8">
        <v>7539</v>
      </c>
      <c r="H5138" s="8">
        <v>597</v>
      </c>
      <c r="I5138" s="8">
        <v>3118</v>
      </c>
    </row>
    <row r="5139" spans="1:9" x14ac:dyDescent="0.2">
      <c r="A5139" t="s">
        <v>1093</v>
      </c>
      <c r="B5139" t="s">
        <v>1115</v>
      </c>
      <c r="C5139" t="str">
        <f t="shared" si="252"/>
        <v>33752000000000</v>
      </c>
      <c r="D5139" t="s">
        <v>6541</v>
      </c>
      <c r="E5139" t="str">
        <f>"33752003330529"</f>
        <v>33752003330529</v>
      </c>
      <c r="F5139" s="8">
        <v>304</v>
      </c>
      <c r="G5139" s="8">
        <v>8052</v>
      </c>
      <c r="H5139" s="8">
        <v>501</v>
      </c>
      <c r="I5139" s="8">
        <v>3051</v>
      </c>
    </row>
    <row r="5140" spans="1:9" x14ac:dyDescent="0.2">
      <c r="A5140" t="s">
        <v>1093</v>
      </c>
      <c r="B5140" t="s">
        <v>1115</v>
      </c>
      <c r="C5140" t="str">
        <f t="shared" si="252"/>
        <v>33752000000000</v>
      </c>
      <c r="D5140" t="s">
        <v>6542</v>
      </c>
      <c r="E5140" t="str">
        <f>"33752006120554"</f>
        <v>33752006120554</v>
      </c>
      <c r="F5140" s="8">
        <v>326</v>
      </c>
      <c r="G5140" s="8">
        <v>8058</v>
      </c>
      <c r="H5140" s="8">
        <v>470</v>
      </c>
      <c r="I5140" s="8">
        <v>2914</v>
      </c>
    </row>
    <row r="5141" spans="1:9" x14ac:dyDescent="0.2">
      <c r="A5141" t="s">
        <v>1093</v>
      </c>
      <c r="B5141" t="s">
        <v>1115</v>
      </c>
      <c r="C5141" t="str">
        <f t="shared" si="252"/>
        <v>33752000000000</v>
      </c>
      <c r="D5141" t="s">
        <v>6543</v>
      </c>
      <c r="E5141" t="str">
        <f>"33752006107841"</f>
        <v>33752006107841</v>
      </c>
      <c r="F5141" s="8">
        <v>728</v>
      </c>
      <c r="G5141" s="8">
        <v>7032</v>
      </c>
      <c r="H5141" s="8">
        <v>597</v>
      </c>
      <c r="I5141" s="8">
        <v>3118</v>
      </c>
    </row>
    <row r="5142" spans="1:9" x14ac:dyDescent="0.2">
      <c r="A5142" t="s">
        <v>1093</v>
      </c>
      <c r="B5142" t="s">
        <v>1115</v>
      </c>
      <c r="C5142" t="str">
        <f t="shared" si="252"/>
        <v>33752000000000</v>
      </c>
      <c r="D5142" t="s">
        <v>6544</v>
      </c>
      <c r="E5142" t="str">
        <f>"33752006117659"</f>
        <v>33752006117659</v>
      </c>
      <c r="F5142" s="8">
        <v>314</v>
      </c>
      <c r="G5142" s="8">
        <v>7439</v>
      </c>
      <c r="H5142" s="8">
        <v>597</v>
      </c>
      <c r="I5142" s="8">
        <v>3118</v>
      </c>
    </row>
    <row r="5143" spans="1:9" x14ac:dyDescent="0.2">
      <c r="A5143" t="s">
        <v>1093</v>
      </c>
      <c r="B5143" t="s">
        <v>1115</v>
      </c>
      <c r="C5143" t="str">
        <f t="shared" si="252"/>
        <v>33752000000000</v>
      </c>
      <c r="D5143" t="s">
        <v>6545</v>
      </c>
      <c r="E5143" t="str">
        <f>"33752000118794"</f>
        <v>33752000118794</v>
      </c>
      <c r="F5143" s="8">
        <v>234</v>
      </c>
      <c r="G5143" s="8">
        <v>7559</v>
      </c>
      <c r="H5143" s="8">
        <v>501</v>
      </c>
      <c r="I5143" s="8">
        <v>3051</v>
      </c>
    </row>
    <row r="5144" spans="1:9" x14ac:dyDescent="0.2">
      <c r="A5144" t="s">
        <v>1093</v>
      </c>
      <c r="B5144" t="s">
        <v>1115</v>
      </c>
      <c r="C5144" t="str">
        <f t="shared" si="252"/>
        <v>33752000000000</v>
      </c>
      <c r="D5144" t="s">
        <v>6546</v>
      </c>
      <c r="E5144" t="str">
        <f>"33752006032346"</f>
        <v>33752006032346</v>
      </c>
      <c r="F5144" s="8">
        <v>675</v>
      </c>
      <c r="G5144" s="8">
        <v>6808</v>
      </c>
      <c r="H5144" s="8">
        <v>597</v>
      </c>
      <c r="I5144" s="8">
        <v>3118</v>
      </c>
    </row>
    <row r="5145" spans="1:9" x14ac:dyDescent="0.2">
      <c r="A5145" t="s">
        <v>1093</v>
      </c>
      <c r="B5145" t="s">
        <v>1115</v>
      </c>
      <c r="C5145" t="str">
        <f t="shared" si="252"/>
        <v>33752000000000</v>
      </c>
      <c r="D5145" t="s">
        <v>6547</v>
      </c>
      <c r="E5145" t="str">
        <f>"33752006108849"</f>
        <v>33752006108849</v>
      </c>
      <c r="F5145" s="8">
        <v>288</v>
      </c>
      <c r="G5145" s="8">
        <v>7509</v>
      </c>
      <c r="H5145" s="8">
        <v>470</v>
      </c>
      <c r="I5145" s="8">
        <v>2914</v>
      </c>
    </row>
    <row r="5146" spans="1:9" x14ac:dyDescent="0.2">
      <c r="A5146" t="s">
        <v>1093</v>
      </c>
      <c r="B5146" t="s">
        <v>1115</v>
      </c>
      <c r="C5146" t="str">
        <f t="shared" si="252"/>
        <v>33752000000000</v>
      </c>
      <c r="D5146" t="s">
        <v>6548</v>
      </c>
      <c r="E5146" t="str">
        <f>"33752006113625"</f>
        <v>33752006113625</v>
      </c>
      <c r="F5146" s="8">
        <v>384</v>
      </c>
      <c r="G5146" s="8">
        <v>6924</v>
      </c>
      <c r="H5146" s="8">
        <v>597</v>
      </c>
      <c r="I5146" s="8">
        <v>3118</v>
      </c>
    </row>
    <row r="5147" spans="1:9" x14ac:dyDescent="0.2">
      <c r="A5147" t="s">
        <v>1093</v>
      </c>
      <c r="B5147" t="s">
        <v>1115</v>
      </c>
      <c r="C5147" t="str">
        <f t="shared" si="252"/>
        <v>33752000000000</v>
      </c>
      <c r="D5147" t="s">
        <v>6549</v>
      </c>
      <c r="E5147" t="str">
        <f>"33752000100420"</f>
        <v>33752000100420</v>
      </c>
      <c r="F5147" s="8">
        <v>286</v>
      </c>
      <c r="G5147" s="8">
        <v>7073</v>
      </c>
      <c r="H5147" s="8">
        <v>501</v>
      </c>
      <c r="I5147" s="8">
        <v>3051</v>
      </c>
    </row>
    <row r="5148" spans="1:9" x14ac:dyDescent="0.2">
      <c r="A5148" t="s">
        <v>1093</v>
      </c>
      <c r="B5148" t="s">
        <v>1115</v>
      </c>
      <c r="C5148" t="str">
        <f t="shared" si="252"/>
        <v>33752000000000</v>
      </c>
      <c r="D5148" t="s">
        <v>6550</v>
      </c>
      <c r="E5148" t="str">
        <f>"33752006112429"</f>
        <v>33752006112429</v>
      </c>
      <c r="F5148" s="8">
        <v>160</v>
      </c>
      <c r="G5148" s="8">
        <v>7250</v>
      </c>
      <c r="H5148" s="8">
        <v>470</v>
      </c>
      <c r="I5148" s="8">
        <v>2914</v>
      </c>
    </row>
    <row r="5149" spans="1:9" x14ac:dyDescent="0.2">
      <c r="A5149" t="s">
        <v>1093</v>
      </c>
      <c r="B5149" t="s">
        <v>1115</v>
      </c>
      <c r="C5149" t="str">
        <f t="shared" si="252"/>
        <v>33752000000000</v>
      </c>
      <c r="D5149" t="s">
        <v>6551</v>
      </c>
      <c r="E5149" t="str">
        <f>"33752000117408"</f>
        <v>33752000117408</v>
      </c>
      <c r="F5149" s="8">
        <v>274</v>
      </c>
      <c r="G5149" s="8">
        <v>7040</v>
      </c>
      <c r="H5149" s="8">
        <v>470</v>
      </c>
      <c r="I5149" s="8">
        <v>2914</v>
      </c>
    </row>
    <row r="5150" spans="1:9" x14ac:dyDescent="0.2">
      <c r="A5150" t="s">
        <v>1093</v>
      </c>
      <c r="B5150" t="s">
        <v>1115</v>
      </c>
      <c r="C5150" t="str">
        <f t="shared" si="252"/>
        <v>33752000000000</v>
      </c>
      <c r="D5150" t="s">
        <v>6552</v>
      </c>
      <c r="E5150" t="str">
        <f>"33752000114058"</f>
        <v>33752000114058</v>
      </c>
      <c r="F5150" s="8">
        <v>321</v>
      </c>
      <c r="G5150" s="8">
        <v>6297</v>
      </c>
      <c r="H5150" s="8">
        <v>597</v>
      </c>
      <c r="I5150" s="8">
        <v>3118</v>
      </c>
    </row>
    <row r="5151" spans="1:9" x14ac:dyDescent="0.2">
      <c r="A5151" t="s">
        <v>1093</v>
      </c>
      <c r="B5151" t="s">
        <v>1117</v>
      </c>
      <c r="C5151" t="str">
        <f>"33671570000000"</f>
        <v>33671570000000</v>
      </c>
      <c r="D5151" t="s">
        <v>2328</v>
      </c>
      <c r="E5151" t="str">
        <f>"33671576111488"</f>
        <v>33671576111488</v>
      </c>
      <c r="F5151" s="8">
        <v>811</v>
      </c>
      <c r="G5151" s="8">
        <v>8902</v>
      </c>
      <c r="H5151" s="8">
        <v>1493</v>
      </c>
      <c r="I5151" s="8">
        <v>3629</v>
      </c>
    </row>
    <row r="5152" spans="1:9" x14ac:dyDescent="0.2">
      <c r="A5152" t="s">
        <v>1093</v>
      </c>
      <c r="B5152" t="s">
        <v>1117</v>
      </c>
      <c r="C5152" t="str">
        <f>"33671570000000"</f>
        <v>33671570000000</v>
      </c>
      <c r="D5152" t="s">
        <v>6553</v>
      </c>
      <c r="E5152" t="str">
        <f>"33671576032353"</f>
        <v>33671576032353</v>
      </c>
      <c r="F5152" s="8">
        <v>886</v>
      </c>
      <c r="G5152" s="8">
        <v>8189</v>
      </c>
      <c r="H5152" s="8">
        <v>1518</v>
      </c>
      <c r="I5152" s="8">
        <v>3747</v>
      </c>
    </row>
    <row r="5153" spans="1:9" x14ac:dyDescent="0.2">
      <c r="A5153" t="s">
        <v>1093</v>
      </c>
      <c r="B5153" t="s">
        <v>1117</v>
      </c>
      <c r="C5153" t="str">
        <f>"33671570000000"</f>
        <v>33671570000000</v>
      </c>
      <c r="D5153" t="s">
        <v>6554</v>
      </c>
      <c r="E5153" t="str">
        <f>"33671576109334"</f>
        <v>33671576109334</v>
      </c>
      <c r="F5153" s="8">
        <v>394</v>
      </c>
      <c r="G5153" s="8">
        <v>6974</v>
      </c>
      <c r="H5153" s="8">
        <v>1537</v>
      </c>
      <c r="I5153" s="8">
        <v>3785</v>
      </c>
    </row>
    <row r="5154" spans="1:9" x14ac:dyDescent="0.2">
      <c r="A5154" t="s">
        <v>1093</v>
      </c>
      <c r="B5154" t="s">
        <v>1117</v>
      </c>
      <c r="C5154" t="str">
        <f>"33671570000000"</f>
        <v>33671570000000</v>
      </c>
      <c r="D5154" t="s">
        <v>6555</v>
      </c>
      <c r="E5154" t="str">
        <f>"33671573331014"</f>
        <v>33671573331014</v>
      </c>
      <c r="F5154" s="8">
        <v>611</v>
      </c>
      <c r="G5154" s="8">
        <v>8930</v>
      </c>
      <c r="H5154" s="8">
        <v>407</v>
      </c>
      <c r="I5154" s="8">
        <v>0</v>
      </c>
    </row>
    <row r="5155" spans="1:9" x14ac:dyDescent="0.2">
      <c r="A5155" t="s">
        <v>1093</v>
      </c>
      <c r="B5155" t="s">
        <v>1118</v>
      </c>
      <c r="C5155" t="str">
        <f t="shared" ref="C5155:C5181" si="253">"33671730000000"</f>
        <v>33671730000000</v>
      </c>
      <c r="D5155" t="s">
        <v>6556</v>
      </c>
      <c r="E5155" t="str">
        <f>"33671733331121"</f>
        <v>33671733331121</v>
      </c>
      <c r="F5155" s="8">
        <v>412</v>
      </c>
      <c r="G5155" s="8">
        <v>10302</v>
      </c>
      <c r="H5155" s="8">
        <v>1847</v>
      </c>
      <c r="I5155" s="8">
        <v>5821</v>
      </c>
    </row>
    <row r="5156" spans="1:9" x14ac:dyDescent="0.2">
      <c r="A5156" t="s">
        <v>1093</v>
      </c>
      <c r="B5156" t="s">
        <v>1118</v>
      </c>
      <c r="C5156" t="str">
        <f t="shared" si="253"/>
        <v>33671730000000</v>
      </c>
      <c r="D5156" t="s">
        <v>6557</v>
      </c>
      <c r="E5156" t="str">
        <f>"33671736032411"</f>
        <v>33671736032411</v>
      </c>
      <c r="F5156" s="8">
        <v>1179</v>
      </c>
      <c r="G5156" s="8">
        <v>9399</v>
      </c>
      <c r="H5156" s="8">
        <v>1847</v>
      </c>
      <c r="I5156" s="8">
        <v>5821</v>
      </c>
    </row>
    <row r="5157" spans="1:9" x14ac:dyDescent="0.2">
      <c r="A5157" t="s">
        <v>1093</v>
      </c>
      <c r="B5157" t="s">
        <v>1118</v>
      </c>
      <c r="C5157" t="str">
        <f t="shared" si="253"/>
        <v>33671730000000</v>
      </c>
      <c r="D5157" t="s">
        <v>6558</v>
      </c>
      <c r="E5157" t="str">
        <f>"33671730133090"</f>
        <v>33671730133090</v>
      </c>
      <c r="F5157" s="8">
        <v>393</v>
      </c>
      <c r="G5157" s="8">
        <v>9143</v>
      </c>
      <c r="H5157" s="8">
        <v>1847</v>
      </c>
      <c r="I5157" s="8">
        <v>5821</v>
      </c>
    </row>
    <row r="5158" spans="1:9" x14ac:dyDescent="0.2">
      <c r="A5158" t="s">
        <v>1093</v>
      </c>
      <c r="B5158" t="s">
        <v>1118</v>
      </c>
      <c r="C5158" t="str">
        <f t="shared" si="253"/>
        <v>33671730000000</v>
      </c>
      <c r="D5158" t="s">
        <v>6559</v>
      </c>
      <c r="E5158" t="str">
        <f>"33671736032445"</f>
        <v>33671736032445</v>
      </c>
      <c r="F5158" s="8">
        <v>655</v>
      </c>
      <c r="G5158" s="8">
        <v>8229</v>
      </c>
      <c r="H5158" s="8">
        <v>1847</v>
      </c>
      <c r="I5158" s="8">
        <v>5821</v>
      </c>
    </row>
    <row r="5159" spans="1:9" x14ac:dyDescent="0.2">
      <c r="A5159" t="s">
        <v>1093</v>
      </c>
      <c r="B5159" t="s">
        <v>1118</v>
      </c>
      <c r="C5159" t="str">
        <f t="shared" si="253"/>
        <v>33671730000000</v>
      </c>
      <c r="D5159" t="s">
        <v>6560</v>
      </c>
      <c r="E5159" t="str">
        <f>"33671736102560"</f>
        <v>33671736102560</v>
      </c>
      <c r="F5159" s="8">
        <v>522</v>
      </c>
      <c r="G5159" s="8">
        <v>8134</v>
      </c>
      <c r="H5159" s="8">
        <v>1847</v>
      </c>
      <c r="I5159" s="8">
        <v>5821</v>
      </c>
    </row>
    <row r="5160" spans="1:9" x14ac:dyDescent="0.2">
      <c r="A5160" t="s">
        <v>1093</v>
      </c>
      <c r="B5160" t="s">
        <v>1118</v>
      </c>
      <c r="C5160" t="str">
        <f t="shared" si="253"/>
        <v>33671730000000</v>
      </c>
      <c r="D5160" t="s">
        <v>6561</v>
      </c>
      <c r="E5160" t="str">
        <f>"33671736032395"</f>
        <v>33671736032395</v>
      </c>
      <c r="F5160" s="8">
        <v>493</v>
      </c>
      <c r="G5160" s="8">
        <v>8092</v>
      </c>
      <c r="H5160" s="8">
        <v>1847</v>
      </c>
      <c r="I5160" s="8">
        <v>5821</v>
      </c>
    </row>
    <row r="5161" spans="1:9" x14ac:dyDescent="0.2">
      <c r="A5161" t="s">
        <v>1093</v>
      </c>
      <c r="B5161" t="s">
        <v>1118</v>
      </c>
      <c r="C5161" t="str">
        <f t="shared" si="253"/>
        <v>33671730000000</v>
      </c>
      <c r="D5161" t="s">
        <v>6562</v>
      </c>
      <c r="E5161" t="str">
        <f>"33671733330578"</f>
        <v>33671733330578</v>
      </c>
      <c r="F5161" s="8">
        <v>354</v>
      </c>
      <c r="G5161" s="8">
        <v>7859</v>
      </c>
      <c r="H5161" s="8">
        <v>1847</v>
      </c>
      <c r="I5161" s="8">
        <v>5821</v>
      </c>
    </row>
    <row r="5162" spans="1:9" x14ac:dyDescent="0.2">
      <c r="A5162" t="s">
        <v>1093</v>
      </c>
      <c r="B5162" t="s">
        <v>1118</v>
      </c>
      <c r="C5162" t="str">
        <f t="shared" si="253"/>
        <v>33671730000000</v>
      </c>
      <c r="D5162" t="s">
        <v>6563</v>
      </c>
      <c r="E5162" t="str">
        <f>"33671736108450"</f>
        <v>33671736108450</v>
      </c>
      <c r="F5162" s="8">
        <v>419</v>
      </c>
      <c r="G5162" s="8">
        <v>7782</v>
      </c>
      <c r="H5162" s="8">
        <v>1847</v>
      </c>
      <c r="I5162" s="8">
        <v>5821</v>
      </c>
    </row>
    <row r="5163" spans="1:9" x14ac:dyDescent="0.2">
      <c r="A5163" t="s">
        <v>1093</v>
      </c>
      <c r="B5163" t="s">
        <v>1118</v>
      </c>
      <c r="C5163" t="str">
        <f t="shared" si="253"/>
        <v>33671730000000</v>
      </c>
      <c r="D5163" t="s">
        <v>6564</v>
      </c>
      <c r="E5163" t="str">
        <f>"33671733335130"</f>
        <v>33671733335130</v>
      </c>
      <c r="F5163" s="8">
        <v>528</v>
      </c>
      <c r="G5163" s="8">
        <v>7624</v>
      </c>
      <c r="H5163" s="8">
        <v>1847</v>
      </c>
      <c r="I5163" s="8">
        <v>5821</v>
      </c>
    </row>
    <row r="5164" spans="1:9" x14ac:dyDescent="0.2">
      <c r="A5164" t="s">
        <v>1093</v>
      </c>
      <c r="B5164" t="s">
        <v>1118</v>
      </c>
      <c r="C5164" t="str">
        <f t="shared" si="253"/>
        <v>33671730000000</v>
      </c>
      <c r="D5164" t="s">
        <v>6565</v>
      </c>
      <c r="E5164" t="str">
        <f>"33671730123703"</f>
        <v>33671730123703</v>
      </c>
      <c r="F5164" s="8">
        <v>611</v>
      </c>
      <c r="G5164" s="8">
        <v>7356</v>
      </c>
      <c r="H5164" s="8">
        <v>1847</v>
      </c>
      <c r="I5164" s="8">
        <v>5821</v>
      </c>
    </row>
    <row r="5165" spans="1:9" x14ac:dyDescent="0.2">
      <c r="A5165" t="s">
        <v>1093</v>
      </c>
      <c r="B5165" t="s">
        <v>1118</v>
      </c>
      <c r="C5165" t="str">
        <f t="shared" si="253"/>
        <v>33671730000000</v>
      </c>
      <c r="D5165" t="s">
        <v>6566</v>
      </c>
      <c r="E5165" t="str">
        <f>"33671730127316"</f>
        <v>33671730127316</v>
      </c>
      <c r="F5165" s="8">
        <v>412</v>
      </c>
      <c r="G5165" s="8">
        <v>7463</v>
      </c>
      <c r="H5165" s="8">
        <v>1847</v>
      </c>
      <c r="I5165" s="8">
        <v>5821</v>
      </c>
    </row>
    <row r="5166" spans="1:9" x14ac:dyDescent="0.2">
      <c r="A5166" t="s">
        <v>1093</v>
      </c>
      <c r="B5166" t="s">
        <v>1118</v>
      </c>
      <c r="C5166" t="str">
        <f t="shared" si="253"/>
        <v>33671730000000</v>
      </c>
      <c r="D5166" t="s">
        <v>6567</v>
      </c>
      <c r="E5166" t="str">
        <f>"33671736106207"</f>
        <v>33671736106207</v>
      </c>
      <c r="F5166" s="8">
        <v>435</v>
      </c>
      <c r="G5166" s="8">
        <v>7404</v>
      </c>
      <c r="H5166" s="8">
        <v>1847</v>
      </c>
      <c r="I5166" s="8">
        <v>5821</v>
      </c>
    </row>
    <row r="5167" spans="1:9" x14ac:dyDescent="0.2">
      <c r="A5167" t="s">
        <v>1093</v>
      </c>
      <c r="B5167" t="s">
        <v>1118</v>
      </c>
      <c r="C5167" t="str">
        <f t="shared" si="253"/>
        <v>33671730000000</v>
      </c>
      <c r="D5167" t="s">
        <v>6568</v>
      </c>
      <c r="E5167" t="str">
        <f>"33671736059109"</f>
        <v>33671736059109</v>
      </c>
      <c r="F5167" s="8">
        <v>384</v>
      </c>
      <c r="G5167" s="8">
        <v>7412</v>
      </c>
      <c r="H5167" s="8">
        <v>1847</v>
      </c>
      <c r="I5167" s="8">
        <v>5821</v>
      </c>
    </row>
    <row r="5168" spans="1:9" x14ac:dyDescent="0.2">
      <c r="A5168" t="s">
        <v>1093</v>
      </c>
      <c r="B5168" t="s">
        <v>1118</v>
      </c>
      <c r="C5168" t="str">
        <f t="shared" si="253"/>
        <v>33671730000000</v>
      </c>
      <c r="D5168" t="s">
        <v>6569</v>
      </c>
      <c r="E5168" t="str">
        <f>"33671736032452"</f>
        <v>33671736032452</v>
      </c>
      <c r="F5168" s="8">
        <v>382</v>
      </c>
      <c r="G5168" s="8">
        <v>7387</v>
      </c>
      <c r="H5168" s="8">
        <v>1847</v>
      </c>
      <c r="I5168" s="8">
        <v>5821</v>
      </c>
    </row>
    <row r="5169" spans="1:9" x14ac:dyDescent="0.2">
      <c r="A5169" t="s">
        <v>1093</v>
      </c>
      <c r="B5169" t="s">
        <v>1118</v>
      </c>
      <c r="C5169" t="str">
        <f t="shared" si="253"/>
        <v>33671730000000</v>
      </c>
      <c r="D5169" t="s">
        <v>6570</v>
      </c>
      <c r="E5169" t="str">
        <f>"33671736112692"</f>
        <v>33671736112692</v>
      </c>
      <c r="F5169" s="8">
        <v>433</v>
      </c>
      <c r="G5169" s="8">
        <v>7253</v>
      </c>
      <c r="H5169" s="8">
        <v>1847</v>
      </c>
      <c r="I5169" s="8">
        <v>5821</v>
      </c>
    </row>
    <row r="5170" spans="1:9" x14ac:dyDescent="0.2">
      <c r="A5170" t="s">
        <v>1093</v>
      </c>
      <c r="B5170" t="s">
        <v>1118</v>
      </c>
      <c r="C5170" t="str">
        <f t="shared" si="253"/>
        <v>33671730000000</v>
      </c>
      <c r="D5170" t="s">
        <v>6571</v>
      </c>
      <c r="E5170" t="str">
        <f>"33671736032403"</f>
        <v>33671736032403</v>
      </c>
      <c r="F5170" s="8">
        <v>448</v>
      </c>
      <c r="G5170" s="8">
        <v>7107</v>
      </c>
      <c r="H5170" s="8">
        <v>1847</v>
      </c>
      <c r="I5170" s="8">
        <v>5821</v>
      </c>
    </row>
    <row r="5171" spans="1:9" x14ac:dyDescent="0.2">
      <c r="A5171" t="s">
        <v>1093</v>
      </c>
      <c r="B5171" t="s">
        <v>1118</v>
      </c>
      <c r="C5171" t="str">
        <f t="shared" si="253"/>
        <v>33671730000000</v>
      </c>
      <c r="D5171" t="s">
        <v>6572</v>
      </c>
      <c r="E5171" t="str">
        <f>"33671733330818"</f>
        <v>33671733330818</v>
      </c>
      <c r="F5171" s="8">
        <v>415</v>
      </c>
      <c r="G5171" s="8">
        <v>7079</v>
      </c>
      <c r="H5171" s="8">
        <v>1847</v>
      </c>
      <c r="I5171" s="8">
        <v>5821</v>
      </c>
    </row>
    <row r="5172" spans="1:9" x14ac:dyDescent="0.2">
      <c r="A5172" t="s">
        <v>1093</v>
      </c>
      <c r="B5172" t="s">
        <v>1118</v>
      </c>
      <c r="C5172" t="str">
        <f t="shared" si="253"/>
        <v>33671730000000</v>
      </c>
      <c r="D5172" t="s">
        <v>6573</v>
      </c>
      <c r="E5172" t="str">
        <f>"33671736107601"</f>
        <v>33671736107601</v>
      </c>
      <c r="F5172" s="8">
        <v>423</v>
      </c>
      <c r="G5172" s="8">
        <v>7060</v>
      </c>
      <c r="H5172" s="8">
        <v>1847</v>
      </c>
      <c r="I5172" s="8">
        <v>5821</v>
      </c>
    </row>
    <row r="5173" spans="1:9" x14ac:dyDescent="0.2">
      <c r="A5173" t="s">
        <v>1093</v>
      </c>
      <c r="B5173" t="s">
        <v>1118</v>
      </c>
      <c r="C5173" t="str">
        <f t="shared" si="253"/>
        <v>33671730000000</v>
      </c>
      <c r="D5173" t="s">
        <v>2575</v>
      </c>
      <c r="E5173" t="str">
        <f>"33671730105767"</f>
        <v>33671730105767</v>
      </c>
      <c r="F5173" s="8">
        <v>437</v>
      </c>
      <c r="G5173" s="8">
        <v>7015</v>
      </c>
      <c r="H5173" s="8">
        <v>1847</v>
      </c>
      <c r="I5173" s="8">
        <v>5821</v>
      </c>
    </row>
    <row r="5174" spans="1:9" x14ac:dyDescent="0.2">
      <c r="A5174" t="s">
        <v>1093</v>
      </c>
      <c r="B5174" t="s">
        <v>1118</v>
      </c>
      <c r="C5174" t="str">
        <f t="shared" si="253"/>
        <v>33671730000000</v>
      </c>
      <c r="D5174" t="s">
        <v>6574</v>
      </c>
      <c r="E5174" t="str">
        <f>"33671736032387"</f>
        <v>33671736032387</v>
      </c>
      <c r="F5174" s="8">
        <v>484</v>
      </c>
      <c r="G5174" s="8">
        <v>6957</v>
      </c>
      <c r="H5174" s="8">
        <v>1847</v>
      </c>
      <c r="I5174" s="8">
        <v>5821</v>
      </c>
    </row>
    <row r="5175" spans="1:9" x14ac:dyDescent="0.2">
      <c r="A5175" t="s">
        <v>1093</v>
      </c>
      <c r="B5175" t="s">
        <v>1118</v>
      </c>
      <c r="C5175" t="str">
        <f t="shared" si="253"/>
        <v>33671730000000</v>
      </c>
      <c r="D5175" t="s">
        <v>6575</v>
      </c>
      <c r="E5175" t="str">
        <f>"33671736111025"</f>
        <v>33671736111025</v>
      </c>
      <c r="F5175" s="8">
        <v>434</v>
      </c>
      <c r="G5175" s="8">
        <v>6910</v>
      </c>
      <c r="H5175" s="8">
        <v>1847</v>
      </c>
      <c r="I5175" s="8">
        <v>5821</v>
      </c>
    </row>
    <row r="5176" spans="1:9" x14ac:dyDescent="0.2">
      <c r="A5176" t="s">
        <v>1093</v>
      </c>
      <c r="B5176" t="s">
        <v>1118</v>
      </c>
      <c r="C5176" t="str">
        <f t="shared" si="253"/>
        <v>33671730000000</v>
      </c>
      <c r="D5176" t="s">
        <v>6576</v>
      </c>
      <c r="E5176" t="str">
        <f>"33671736032437"</f>
        <v>33671736032437</v>
      </c>
      <c r="F5176" s="8">
        <v>461</v>
      </c>
      <c r="G5176" s="8">
        <v>6843</v>
      </c>
      <c r="H5176" s="8">
        <v>1847</v>
      </c>
      <c r="I5176" s="8">
        <v>5821</v>
      </c>
    </row>
    <row r="5177" spans="1:9" x14ac:dyDescent="0.2">
      <c r="A5177" t="s">
        <v>1093</v>
      </c>
      <c r="B5177" t="s">
        <v>1118</v>
      </c>
      <c r="C5177" t="str">
        <f t="shared" si="253"/>
        <v>33671730000000</v>
      </c>
      <c r="D5177" t="s">
        <v>6577</v>
      </c>
      <c r="E5177" t="str">
        <f>"33671730118943"</f>
        <v>33671730118943</v>
      </c>
      <c r="F5177" s="8">
        <v>433</v>
      </c>
      <c r="G5177" s="8">
        <v>6767</v>
      </c>
      <c r="H5177" s="8">
        <v>1847</v>
      </c>
      <c r="I5177" s="8">
        <v>5821</v>
      </c>
    </row>
    <row r="5178" spans="1:9" x14ac:dyDescent="0.2">
      <c r="A5178" t="s">
        <v>1093</v>
      </c>
      <c r="B5178" t="s">
        <v>1118</v>
      </c>
      <c r="C5178" t="str">
        <f t="shared" si="253"/>
        <v>33671730000000</v>
      </c>
      <c r="D5178" t="s">
        <v>6578</v>
      </c>
      <c r="E5178" t="str">
        <f>"33671736115448"</f>
        <v>33671736115448</v>
      </c>
      <c r="F5178" s="8">
        <v>434</v>
      </c>
      <c r="G5178" s="8">
        <v>6692</v>
      </c>
      <c r="H5178" s="8">
        <v>1847</v>
      </c>
      <c r="I5178" s="8">
        <v>5821</v>
      </c>
    </row>
    <row r="5179" spans="1:9" x14ac:dyDescent="0.2">
      <c r="A5179" t="s">
        <v>1093</v>
      </c>
      <c r="B5179" t="s">
        <v>1118</v>
      </c>
      <c r="C5179" t="str">
        <f t="shared" si="253"/>
        <v>33671730000000</v>
      </c>
      <c r="D5179" t="s">
        <v>6579</v>
      </c>
      <c r="E5179" t="str">
        <f>"33671736059091"</f>
        <v>33671736059091</v>
      </c>
      <c r="F5179" s="8">
        <v>410</v>
      </c>
      <c r="G5179" s="8">
        <v>6639</v>
      </c>
      <c r="H5179" s="8">
        <v>1847</v>
      </c>
      <c r="I5179" s="8">
        <v>5821</v>
      </c>
    </row>
    <row r="5180" spans="1:9" x14ac:dyDescent="0.2">
      <c r="A5180" t="s">
        <v>1093</v>
      </c>
      <c r="B5180" t="s">
        <v>1118</v>
      </c>
      <c r="C5180" t="str">
        <f t="shared" si="253"/>
        <v>33671730000000</v>
      </c>
      <c r="D5180" t="s">
        <v>6580</v>
      </c>
      <c r="E5180" t="str">
        <f>"33671736108443"</f>
        <v>33671736108443</v>
      </c>
      <c r="F5180" s="8">
        <v>340</v>
      </c>
      <c r="G5180" s="8">
        <v>6566</v>
      </c>
      <c r="H5180" s="8">
        <v>1847</v>
      </c>
      <c r="I5180" s="8">
        <v>5821</v>
      </c>
    </row>
    <row r="5181" spans="1:9" x14ac:dyDescent="0.2">
      <c r="A5181" t="s">
        <v>1093</v>
      </c>
      <c r="B5181" t="s">
        <v>1118</v>
      </c>
      <c r="C5181" t="str">
        <f t="shared" si="253"/>
        <v>33671730000000</v>
      </c>
      <c r="D5181" t="s">
        <v>1703</v>
      </c>
      <c r="E5181" t="str">
        <f>"33671736032429"</f>
        <v>33671736032429</v>
      </c>
      <c r="F5181" s="8">
        <v>428</v>
      </c>
      <c r="G5181" s="8">
        <v>6388</v>
      </c>
      <c r="H5181" s="8">
        <v>1847</v>
      </c>
      <c r="I5181" s="8">
        <v>5821</v>
      </c>
    </row>
    <row r="5182" spans="1:9" x14ac:dyDescent="0.2">
      <c r="A5182" t="s">
        <v>1093</v>
      </c>
      <c r="B5182" t="s">
        <v>1119</v>
      </c>
      <c r="C5182" t="str">
        <f>"33671810000000"</f>
        <v>33671810000000</v>
      </c>
      <c r="D5182" t="s">
        <v>6581</v>
      </c>
      <c r="E5182" t="str">
        <f>"33671813335759"</f>
        <v>33671813335759</v>
      </c>
      <c r="F5182" s="8">
        <v>418.00351288056208</v>
      </c>
      <c r="G5182" s="8">
        <v>6601.4906323185014</v>
      </c>
      <c r="H5182" s="8">
        <v>4423.4262295081971</v>
      </c>
      <c r="I5182" s="8">
        <v>18982.076112412178</v>
      </c>
    </row>
    <row r="5183" spans="1:9" x14ac:dyDescent="0.2">
      <c r="A5183" t="s">
        <v>1093</v>
      </c>
      <c r="B5183" t="s">
        <v>1119</v>
      </c>
      <c r="C5183" t="str">
        <f>"33671810000000"</f>
        <v>33671810000000</v>
      </c>
      <c r="D5183" t="s">
        <v>6582</v>
      </c>
      <c r="E5183" t="str">
        <f>"33671816032494"</f>
        <v>33671816032494</v>
      </c>
      <c r="F5183" s="8">
        <v>610.14715719063543</v>
      </c>
      <c r="G5183" s="8">
        <v>5452.8227424749166</v>
      </c>
      <c r="H5183" s="8">
        <v>6317.0668896321067</v>
      </c>
      <c r="I5183" s="8">
        <v>27108.182274247491</v>
      </c>
    </row>
    <row r="5184" spans="1:9" x14ac:dyDescent="0.2">
      <c r="A5184" t="s">
        <v>1093</v>
      </c>
      <c r="B5184" t="s">
        <v>1119</v>
      </c>
      <c r="C5184" t="str">
        <f>"33671810000000"</f>
        <v>33671810000000</v>
      </c>
      <c r="D5184" t="s">
        <v>6583</v>
      </c>
      <c r="E5184" t="str">
        <f>"33671816032460"</f>
        <v>33671816032460</v>
      </c>
      <c r="F5184" s="8">
        <v>534.18995290423857</v>
      </c>
      <c r="G5184" s="8">
        <v>5066.0282574568291</v>
      </c>
      <c r="H5184" s="8">
        <v>5930.3076923076924</v>
      </c>
      <c r="I5184" s="8">
        <v>25448.49764521193</v>
      </c>
    </row>
    <row r="5185" spans="1:9" x14ac:dyDescent="0.2">
      <c r="A5185" t="s">
        <v>1093</v>
      </c>
      <c r="B5185" t="s">
        <v>1119</v>
      </c>
      <c r="C5185" t="str">
        <f>"33671810000000"</f>
        <v>33671810000000</v>
      </c>
      <c r="D5185" t="s">
        <v>6584</v>
      </c>
      <c r="E5185" t="str">
        <f>"33671816032478"</f>
        <v>33671816032478</v>
      </c>
      <c r="F5185" s="8">
        <v>585.36085626911313</v>
      </c>
      <c r="G5185" s="8">
        <v>4598.7660550458713</v>
      </c>
      <c r="H5185" s="8">
        <v>5776.1559633027518</v>
      </c>
      <c r="I5185" s="8">
        <v>24786.992354740061</v>
      </c>
    </row>
    <row r="5186" spans="1:9" x14ac:dyDescent="0.2">
      <c r="A5186" t="s">
        <v>1093</v>
      </c>
      <c r="B5186" t="s">
        <v>1119</v>
      </c>
      <c r="C5186" t="str">
        <f>"33671810000000"</f>
        <v>33671810000000</v>
      </c>
      <c r="D5186" t="s">
        <v>6585</v>
      </c>
      <c r="E5186" t="str">
        <f>"33671813331139"</f>
        <v>33671813331139</v>
      </c>
      <c r="F5186" s="8">
        <v>614.19230769230774</v>
      </c>
      <c r="G5186" s="8">
        <v>12086.115384615385</v>
      </c>
      <c r="H5186" s="8">
        <v>48430.846153846156</v>
      </c>
      <c r="I5186" s="8">
        <v>207829.39743589744</v>
      </c>
    </row>
    <row r="5187" spans="1:9" x14ac:dyDescent="0.2">
      <c r="A5187" t="s">
        <v>1093</v>
      </c>
      <c r="B5187" t="s">
        <v>1120</v>
      </c>
      <c r="C5187" t="str">
        <f t="shared" ref="C5187:C5194" si="254">"33671990000000"</f>
        <v>33671990000000</v>
      </c>
      <c r="D5187" t="s">
        <v>6586</v>
      </c>
      <c r="E5187" t="str">
        <f>"33671996120547"</f>
        <v>33671996120547</v>
      </c>
      <c r="F5187" s="8">
        <v>974</v>
      </c>
      <c r="G5187" s="8">
        <v>9313</v>
      </c>
      <c r="H5187" s="8">
        <v>2381</v>
      </c>
      <c r="I5187" s="8">
        <v>3033</v>
      </c>
    </row>
    <row r="5188" spans="1:9" x14ac:dyDescent="0.2">
      <c r="A5188" t="s">
        <v>1093</v>
      </c>
      <c r="B5188" t="s">
        <v>1120</v>
      </c>
      <c r="C5188" t="str">
        <f t="shared" si="254"/>
        <v>33671990000000</v>
      </c>
      <c r="D5188" t="s">
        <v>6587</v>
      </c>
      <c r="E5188" t="str">
        <f>"33671996032502"</f>
        <v>33671996032502</v>
      </c>
      <c r="F5188" s="8">
        <v>1656</v>
      </c>
      <c r="G5188" s="8">
        <v>8888</v>
      </c>
      <c r="H5188" s="8">
        <v>2004</v>
      </c>
      <c r="I5188" s="8">
        <v>2553</v>
      </c>
    </row>
    <row r="5189" spans="1:9" x14ac:dyDescent="0.2">
      <c r="A5189" t="s">
        <v>1093</v>
      </c>
      <c r="B5189" t="s">
        <v>1120</v>
      </c>
      <c r="C5189" t="str">
        <f t="shared" si="254"/>
        <v>33671990000000</v>
      </c>
      <c r="D5189" t="s">
        <v>1120</v>
      </c>
      <c r="E5189" t="str">
        <f>"33671996032510"</f>
        <v>33671996032510</v>
      </c>
      <c r="F5189" s="8">
        <v>1610</v>
      </c>
      <c r="G5189" s="8">
        <v>8650</v>
      </c>
      <c r="H5189" s="8">
        <v>1699</v>
      </c>
      <c r="I5189" s="8">
        <v>2164</v>
      </c>
    </row>
    <row r="5190" spans="1:9" x14ac:dyDescent="0.2">
      <c r="A5190" t="s">
        <v>1093</v>
      </c>
      <c r="B5190" t="s">
        <v>1120</v>
      </c>
      <c r="C5190" t="str">
        <f t="shared" si="254"/>
        <v>33671990000000</v>
      </c>
      <c r="D5190" t="s">
        <v>6588</v>
      </c>
      <c r="E5190" t="str">
        <f>"33671990110585"</f>
        <v>33671990110585</v>
      </c>
      <c r="F5190" s="8">
        <v>1274</v>
      </c>
      <c r="G5190" s="8">
        <v>8461</v>
      </c>
      <c r="H5190" s="8">
        <v>1684</v>
      </c>
      <c r="I5190" s="8">
        <v>2145</v>
      </c>
    </row>
    <row r="5191" spans="1:9" x14ac:dyDescent="0.2">
      <c r="A5191" t="s">
        <v>1093</v>
      </c>
      <c r="B5191" t="s">
        <v>1120</v>
      </c>
      <c r="C5191" t="str">
        <f t="shared" si="254"/>
        <v>33671990000000</v>
      </c>
      <c r="D5191" t="s">
        <v>6589</v>
      </c>
      <c r="E5191" t="str">
        <f>"33671990133579"</f>
        <v>33671990133579</v>
      </c>
      <c r="F5191" s="8">
        <v>1173</v>
      </c>
      <c r="G5191" s="8">
        <v>8100</v>
      </c>
      <c r="H5191" s="8">
        <v>1738</v>
      </c>
      <c r="I5191" s="8">
        <v>2213</v>
      </c>
    </row>
    <row r="5192" spans="1:9" x14ac:dyDescent="0.2">
      <c r="A5192" t="s">
        <v>1093</v>
      </c>
      <c r="B5192" t="s">
        <v>1120</v>
      </c>
      <c r="C5192" t="str">
        <f t="shared" si="254"/>
        <v>33671990000000</v>
      </c>
      <c r="D5192" t="s">
        <v>3558</v>
      </c>
      <c r="E5192" t="str">
        <f>"33671996111843"</f>
        <v>33671996111843</v>
      </c>
      <c r="F5192" s="8">
        <v>970</v>
      </c>
      <c r="G5192" s="8">
        <v>8398</v>
      </c>
      <c r="H5192" s="8">
        <v>1583</v>
      </c>
      <c r="I5192" s="8">
        <v>2016</v>
      </c>
    </row>
    <row r="5193" spans="1:9" x14ac:dyDescent="0.2">
      <c r="A5193" t="s">
        <v>1093</v>
      </c>
      <c r="B5193" t="s">
        <v>1120</v>
      </c>
      <c r="C5193" t="str">
        <f t="shared" si="254"/>
        <v>33671990000000</v>
      </c>
      <c r="D5193" t="s">
        <v>6590</v>
      </c>
      <c r="E5193" t="str">
        <f>"33671996105571"</f>
        <v>33671996105571</v>
      </c>
      <c r="F5193" s="8">
        <v>1676</v>
      </c>
      <c r="G5193" s="8">
        <v>8094</v>
      </c>
      <c r="H5193" s="8">
        <v>1255</v>
      </c>
      <c r="I5193" s="8">
        <v>1598</v>
      </c>
    </row>
    <row r="5194" spans="1:9" x14ac:dyDescent="0.2">
      <c r="A5194" t="s">
        <v>1093</v>
      </c>
      <c r="B5194" t="s">
        <v>1120</v>
      </c>
      <c r="C5194" t="str">
        <f t="shared" si="254"/>
        <v>33671990000000</v>
      </c>
      <c r="D5194" t="s">
        <v>6591</v>
      </c>
      <c r="E5194" t="str">
        <f>"33671990110577"</f>
        <v>33671990110577</v>
      </c>
      <c r="F5194" s="8">
        <v>848</v>
      </c>
      <c r="G5194" s="8">
        <v>8248</v>
      </c>
      <c r="H5194" s="8">
        <v>1486</v>
      </c>
      <c r="I5194" s="8">
        <v>1893</v>
      </c>
    </row>
    <row r="5195" spans="1:9" x14ac:dyDescent="0.2">
      <c r="A5195" t="s">
        <v>1093</v>
      </c>
      <c r="B5195" t="s">
        <v>1121</v>
      </c>
      <c r="C5195" t="str">
        <f t="shared" ref="C5195:C5202" si="255">"33672070000000"</f>
        <v>33672070000000</v>
      </c>
      <c r="D5195" t="s">
        <v>6592</v>
      </c>
      <c r="E5195" t="str">
        <f>"33672070137620"</f>
        <v>33672070137620</v>
      </c>
      <c r="F5195" s="8">
        <v>696</v>
      </c>
      <c r="G5195" s="8">
        <v>15064</v>
      </c>
      <c r="H5195" s="8">
        <v>1029</v>
      </c>
      <c r="I5195" s="8">
        <v>4986</v>
      </c>
    </row>
    <row r="5196" spans="1:9" x14ac:dyDescent="0.2">
      <c r="A5196" t="s">
        <v>1093</v>
      </c>
      <c r="B5196" t="s">
        <v>1121</v>
      </c>
      <c r="C5196" t="str">
        <f t="shared" si="255"/>
        <v>33672070000000</v>
      </c>
      <c r="D5196" t="s">
        <v>6593</v>
      </c>
      <c r="E5196" t="str">
        <f>"33672070134981"</f>
        <v>33672070134981</v>
      </c>
      <c r="F5196" s="8">
        <v>168</v>
      </c>
      <c r="G5196" s="8">
        <v>12254</v>
      </c>
      <c r="H5196" s="8">
        <v>1029</v>
      </c>
      <c r="I5196" s="8">
        <v>4986</v>
      </c>
    </row>
    <row r="5197" spans="1:9" x14ac:dyDescent="0.2">
      <c r="A5197" t="s">
        <v>1093</v>
      </c>
      <c r="B5197" t="s">
        <v>1121</v>
      </c>
      <c r="C5197" t="str">
        <f t="shared" si="255"/>
        <v>33672070000000</v>
      </c>
      <c r="D5197" t="s">
        <v>6594</v>
      </c>
      <c r="E5197" t="str">
        <f>"33672076106223"</f>
        <v>33672076106223</v>
      </c>
      <c r="F5197" s="8">
        <v>1112</v>
      </c>
      <c r="G5197" s="8">
        <v>8802</v>
      </c>
      <c r="H5197" s="8">
        <v>1029</v>
      </c>
      <c r="I5197" s="8">
        <v>4986</v>
      </c>
    </row>
    <row r="5198" spans="1:9" x14ac:dyDescent="0.2">
      <c r="A5198" t="s">
        <v>1093</v>
      </c>
      <c r="B5198" t="s">
        <v>1121</v>
      </c>
      <c r="C5198" t="str">
        <f t="shared" si="255"/>
        <v>33672070000000</v>
      </c>
      <c r="D5198" t="s">
        <v>6595</v>
      </c>
      <c r="E5198" t="str">
        <f>"33672073330172"</f>
        <v>33672073330172</v>
      </c>
      <c r="F5198" s="8">
        <v>640</v>
      </c>
      <c r="G5198" s="8">
        <v>8725</v>
      </c>
      <c r="H5198" s="8">
        <v>1029</v>
      </c>
      <c r="I5198" s="8">
        <v>4986</v>
      </c>
    </row>
    <row r="5199" spans="1:9" x14ac:dyDescent="0.2">
      <c r="A5199" t="s">
        <v>1093</v>
      </c>
      <c r="B5199" t="s">
        <v>1121</v>
      </c>
      <c r="C5199" t="str">
        <f t="shared" si="255"/>
        <v>33672070000000</v>
      </c>
      <c r="D5199" t="s">
        <v>6596</v>
      </c>
      <c r="E5199" t="str">
        <f>"33672073335973"</f>
        <v>33672073335973</v>
      </c>
      <c r="F5199" s="8">
        <v>754</v>
      </c>
      <c r="G5199" s="8">
        <v>8459</v>
      </c>
      <c r="H5199" s="8">
        <v>1029</v>
      </c>
      <c r="I5199" s="8">
        <v>4986</v>
      </c>
    </row>
    <row r="5200" spans="1:9" x14ac:dyDescent="0.2">
      <c r="A5200" t="s">
        <v>1093</v>
      </c>
      <c r="B5200" t="s">
        <v>1121</v>
      </c>
      <c r="C5200" t="str">
        <f t="shared" si="255"/>
        <v>33672070000000</v>
      </c>
      <c r="D5200" t="s">
        <v>2548</v>
      </c>
      <c r="E5200" t="str">
        <f>"33672070113191"</f>
        <v>33672070113191</v>
      </c>
      <c r="F5200" s="8">
        <v>582</v>
      </c>
      <c r="G5200" s="8">
        <v>7744</v>
      </c>
      <c r="H5200" s="8">
        <v>1029</v>
      </c>
      <c r="I5200" s="8">
        <v>4986</v>
      </c>
    </row>
    <row r="5201" spans="1:9" x14ac:dyDescent="0.2">
      <c r="A5201" t="s">
        <v>1093</v>
      </c>
      <c r="B5201" t="s">
        <v>1121</v>
      </c>
      <c r="C5201" t="str">
        <f t="shared" si="255"/>
        <v>33672070000000</v>
      </c>
      <c r="D5201" t="s">
        <v>6597</v>
      </c>
      <c r="E5201" t="str">
        <f>"33672073330727"</f>
        <v>33672073330727</v>
      </c>
      <c r="F5201" s="8">
        <v>450</v>
      </c>
      <c r="G5201" s="8">
        <v>7410</v>
      </c>
      <c r="H5201" s="8">
        <v>1029</v>
      </c>
      <c r="I5201" s="8">
        <v>4986</v>
      </c>
    </row>
    <row r="5202" spans="1:9" x14ac:dyDescent="0.2">
      <c r="A5202" t="s">
        <v>1093</v>
      </c>
      <c r="B5202" t="s">
        <v>1121</v>
      </c>
      <c r="C5202" t="str">
        <f t="shared" si="255"/>
        <v>33672070000000</v>
      </c>
      <c r="D5202" t="s">
        <v>6598</v>
      </c>
      <c r="E5202" t="str">
        <f>"33672070101170"</f>
        <v>33672070101170</v>
      </c>
      <c r="F5202" s="8">
        <v>1062</v>
      </c>
      <c r="G5202" s="8">
        <v>12484</v>
      </c>
      <c r="H5202" s="8">
        <v>0</v>
      </c>
      <c r="I5202" s="8">
        <v>0</v>
      </c>
    </row>
    <row r="5203" spans="1:9" x14ac:dyDescent="0.2">
      <c r="A5203" t="s">
        <v>1093</v>
      </c>
      <c r="B5203" t="s">
        <v>1125</v>
      </c>
      <c r="C5203" t="str">
        <f>"33103300000000"</f>
        <v>33103300000000</v>
      </c>
      <c r="D5203" t="s">
        <v>6599</v>
      </c>
      <c r="E5203" t="str">
        <f>"33103306069207"</f>
        <v>33103306069207</v>
      </c>
      <c r="F5203" s="8">
        <v>727</v>
      </c>
      <c r="G5203" s="8">
        <v>58646</v>
      </c>
      <c r="H5203" s="8">
        <v>425</v>
      </c>
      <c r="I5203" s="8">
        <v>11447</v>
      </c>
    </row>
    <row r="5204" spans="1:9" x14ac:dyDescent="0.2">
      <c r="A5204" t="s">
        <v>1093</v>
      </c>
      <c r="B5204" t="s">
        <v>1125</v>
      </c>
      <c r="C5204" t="str">
        <f>"33103300000000"</f>
        <v>33103300000000</v>
      </c>
      <c r="D5204" t="s">
        <v>6600</v>
      </c>
      <c r="E5204" t="str">
        <f>"33103303330123"</f>
        <v>33103303330123</v>
      </c>
      <c r="F5204" s="8">
        <v>12125</v>
      </c>
      <c r="G5204" s="8">
        <v>26914</v>
      </c>
      <c r="H5204" s="8">
        <v>6588</v>
      </c>
      <c r="I5204" s="8">
        <v>19117</v>
      </c>
    </row>
    <row r="5205" spans="1:9" x14ac:dyDescent="0.2">
      <c r="A5205" t="s">
        <v>1093</v>
      </c>
      <c r="B5205" t="s">
        <v>1125</v>
      </c>
      <c r="C5205" t="str">
        <f>"33103300000000"</f>
        <v>33103300000000</v>
      </c>
      <c r="D5205" t="s">
        <v>6601</v>
      </c>
      <c r="E5205" t="str">
        <f>"33103303331055"</f>
        <v>33103303331055</v>
      </c>
      <c r="F5205" s="8">
        <v>5619</v>
      </c>
      <c r="G5205" s="8">
        <v>24899</v>
      </c>
      <c r="H5205" s="8">
        <v>4241</v>
      </c>
      <c r="I5205" s="8">
        <v>15247</v>
      </c>
    </row>
    <row r="5206" spans="1:9" x14ac:dyDescent="0.2">
      <c r="A5206" t="s">
        <v>1093</v>
      </c>
      <c r="B5206" t="s">
        <v>1125</v>
      </c>
      <c r="C5206" t="str">
        <f>"33103300000000"</f>
        <v>33103300000000</v>
      </c>
      <c r="D5206" t="s">
        <v>6602</v>
      </c>
      <c r="E5206" t="str">
        <f>"33103300128397"</f>
        <v>33103300128397</v>
      </c>
      <c r="F5206" s="8">
        <v>24</v>
      </c>
      <c r="G5206" s="8">
        <v>13006</v>
      </c>
      <c r="H5206" s="8">
        <v>400</v>
      </c>
      <c r="I5206" s="8">
        <v>3071</v>
      </c>
    </row>
    <row r="5207" spans="1:9" x14ac:dyDescent="0.2">
      <c r="A5207" t="s">
        <v>1093</v>
      </c>
      <c r="B5207" t="s">
        <v>1126</v>
      </c>
      <c r="C5207" t="str">
        <f t="shared" ref="C5207:C5254" si="256">"33672150000000"</f>
        <v>33672150000000</v>
      </c>
      <c r="D5207" t="s">
        <v>6603</v>
      </c>
      <c r="E5207" t="str">
        <f>"33672150115709"</f>
        <v>33672150115709</v>
      </c>
      <c r="F5207" s="8">
        <v>7342</v>
      </c>
      <c r="G5207" s="8">
        <v>78403</v>
      </c>
      <c r="H5207" s="8">
        <v>921</v>
      </c>
      <c r="I5207" s="8">
        <v>3566</v>
      </c>
    </row>
    <row r="5208" spans="1:9" x14ac:dyDescent="0.2">
      <c r="A5208" t="s">
        <v>1093</v>
      </c>
      <c r="B5208" t="s">
        <v>1126</v>
      </c>
      <c r="C5208" t="str">
        <f t="shared" si="256"/>
        <v>33672150000000</v>
      </c>
      <c r="D5208" t="s">
        <v>6604</v>
      </c>
      <c r="E5208" t="str">
        <f>"33672153330511"</f>
        <v>33672153330511</v>
      </c>
      <c r="F5208" s="8">
        <v>16414</v>
      </c>
      <c r="G5208" s="8">
        <v>58404</v>
      </c>
      <c r="H5208" s="8">
        <v>921</v>
      </c>
      <c r="I5208" s="8">
        <v>3566</v>
      </c>
    </row>
    <row r="5209" spans="1:9" x14ac:dyDescent="0.2">
      <c r="A5209" t="s">
        <v>1093</v>
      </c>
      <c r="B5209" t="s">
        <v>1126</v>
      </c>
      <c r="C5209" t="str">
        <f t="shared" si="256"/>
        <v>33672150000000</v>
      </c>
      <c r="D5209" t="s">
        <v>6605</v>
      </c>
      <c r="E5209" t="str">
        <f>"33672153336955"</f>
        <v>33672153336955</v>
      </c>
      <c r="F5209" s="8">
        <v>2074</v>
      </c>
      <c r="G5209" s="8">
        <v>14535</v>
      </c>
      <c r="H5209" s="8">
        <v>921</v>
      </c>
      <c r="I5209" s="8">
        <v>3566</v>
      </c>
    </row>
    <row r="5210" spans="1:9" x14ac:dyDescent="0.2">
      <c r="A5210" t="s">
        <v>1093</v>
      </c>
      <c r="B5210" t="s">
        <v>1126</v>
      </c>
      <c r="C5210" t="str">
        <f t="shared" si="256"/>
        <v>33672150000000</v>
      </c>
      <c r="D5210" t="s">
        <v>5014</v>
      </c>
      <c r="E5210" t="str">
        <f>"33672156032601"</f>
        <v>33672156032601</v>
      </c>
      <c r="F5210" s="8">
        <v>897</v>
      </c>
      <c r="G5210" s="8">
        <v>9318</v>
      </c>
      <c r="H5210" s="8">
        <v>921</v>
      </c>
      <c r="I5210" s="8">
        <v>3566</v>
      </c>
    </row>
    <row r="5211" spans="1:9" x14ac:dyDescent="0.2">
      <c r="A5211" t="s">
        <v>1093</v>
      </c>
      <c r="B5211" t="s">
        <v>1126</v>
      </c>
      <c r="C5211" t="str">
        <f t="shared" si="256"/>
        <v>33672150000000</v>
      </c>
      <c r="D5211" t="s">
        <v>2500</v>
      </c>
      <c r="E5211" t="str">
        <f>"33672156032585"</f>
        <v>33672156032585</v>
      </c>
      <c r="F5211" s="8">
        <v>1090</v>
      </c>
      <c r="G5211" s="8">
        <v>8919</v>
      </c>
      <c r="H5211" s="8">
        <v>921</v>
      </c>
      <c r="I5211" s="8">
        <v>3566</v>
      </c>
    </row>
    <row r="5212" spans="1:9" x14ac:dyDescent="0.2">
      <c r="A5212" t="s">
        <v>1093</v>
      </c>
      <c r="B5212" t="s">
        <v>1126</v>
      </c>
      <c r="C5212" t="str">
        <f t="shared" si="256"/>
        <v>33672150000000</v>
      </c>
      <c r="D5212" t="s">
        <v>2428</v>
      </c>
      <c r="E5212" t="str">
        <f>"33672156059125"</f>
        <v>33672156059125</v>
      </c>
      <c r="F5212" s="8">
        <v>826</v>
      </c>
      <c r="G5212" s="8">
        <v>9163</v>
      </c>
      <c r="H5212" s="8">
        <v>921</v>
      </c>
      <c r="I5212" s="8">
        <v>3566</v>
      </c>
    </row>
    <row r="5213" spans="1:9" x14ac:dyDescent="0.2">
      <c r="A5213" t="s">
        <v>1093</v>
      </c>
      <c r="B5213" t="s">
        <v>1126</v>
      </c>
      <c r="C5213" t="str">
        <f t="shared" si="256"/>
        <v>33672150000000</v>
      </c>
      <c r="D5213" t="s">
        <v>3662</v>
      </c>
      <c r="E5213" t="str">
        <f>"33672156032619"</f>
        <v>33672156032619</v>
      </c>
      <c r="F5213" s="8">
        <v>656</v>
      </c>
      <c r="G5213" s="8">
        <v>9291</v>
      </c>
      <c r="H5213" s="8">
        <v>921</v>
      </c>
      <c r="I5213" s="8">
        <v>3566</v>
      </c>
    </row>
    <row r="5214" spans="1:9" x14ac:dyDescent="0.2">
      <c r="A5214" t="s">
        <v>1093</v>
      </c>
      <c r="B5214" t="s">
        <v>1126</v>
      </c>
      <c r="C5214" t="str">
        <f t="shared" si="256"/>
        <v>33672150000000</v>
      </c>
      <c r="D5214" t="s">
        <v>2090</v>
      </c>
      <c r="E5214" t="str">
        <f>"33672156032577"</f>
        <v>33672156032577</v>
      </c>
      <c r="F5214" s="8">
        <v>655</v>
      </c>
      <c r="G5214" s="8">
        <v>9134</v>
      </c>
      <c r="H5214" s="8">
        <v>921</v>
      </c>
      <c r="I5214" s="8">
        <v>3566</v>
      </c>
    </row>
    <row r="5215" spans="1:9" x14ac:dyDescent="0.2">
      <c r="A5215" t="s">
        <v>1093</v>
      </c>
      <c r="B5215" t="s">
        <v>1126</v>
      </c>
      <c r="C5215" t="str">
        <f t="shared" si="256"/>
        <v>33672150000000</v>
      </c>
      <c r="D5215" t="s">
        <v>5993</v>
      </c>
      <c r="E5215" t="str">
        <f>"33672156032775"</f>
        <v>33672156032775</v>
      </c>
      <c r="F5215" s="8">
        <v>687</v>
      </c>
      <c r="G5215" s="8">
        <v>9061</v>
      </c>
      <c r="H5215" s="8">
        <v>921</v>
      </c>
      <c r="I5215" s="8">
        <v>3566</v>
      </c>
    </row>
    <row r="5216" spans="1:9" x14ac:dyDescent="0.2">
      <c r="A5216" t="s">
        <v>1093</v>
      </c>
      <c r="B5216" t="s">
        <v>1126</v>
      </c>
      <c r="C5216" t="str">
        <f t="shared" si="256"/>
        <v>33672150000000</v>
      </c>
      <c r="D5216" t="s">
        <v>4016</v>
      </c>
      <c r="E5216" t="str">
        <f>"33672156032544"</f>
        <v>33672156032544</v>
      </c>
      <c r="F5216" s="8">
        <v>553</v>
      </c>
      <c r="G5216" s="8">
        <v>8995</v>
      </c>
      <c r="H5216" s="8">
        <v>921</v>
      </c>
      <c r="I5216" s="8">
        <v>3566</v>
      </c>
    </row>
    <row r="5217" spans="1:9" x14ac:dyDescent="0.2">
      <c r="A5217" t="s">
        <v>1093</v>
      </c>
      <c r="B5217" t="s">
        <v>1126</v>
      </c>
      <c r="C5217" t="str">
        <f t="shared" si="256"/>
        <v>33672150000000</v>
      </c>
      <c r="D5217" t="s">
        <v>6606</v>
      </c>
      <c r="E5217" t="str">
        <f>"33672156032742"</f>
        <v>33672156032742</v>
      </c>
      <c r="F5217" s="8">
        <v>354</v>
      </c>
      <c r="G5217" s="8">
        <v>9049</v>
      </c>
      <c r="H5217" s="8">
        <v>921</v>
      </c>
      <c r="I5217" s="8">
        <v>3566</v>
      </c>
    </row>
    <row r="5218" spans="1:9" x14ac:dyDescent="0.2">
      <c r="A5218" t="s">
        <v>1093</v>
      </c>
      <c r="B5218" t="s">
        <v>1126</v>
      </c>
      <c r="C5218" t="str">
        <f t="shared" si="256"/>
        <v>33672150000000</v>
      </c>
      <c r="D5218" t="s">
        <v>6607</v>
      </c>
      <c r="E5218" t="str">
        <f>"33672153330024"</f>
        <v>33672153330024</v>
      </c>
      <c r="F5218" s="8">
        <v>795</v>
      </c>
      <c r="G5218" s="8">
        <v>8589</v>
      </c>
      <c r="H5218" s="8">
        <v>921</v>
      </c>
      <c r="I5218" s="8">
        <v>3566</v>
      </c>
    </row>
    <row r="5219" spans="1:9" x14ac:dyDescent="0.2">
      <c r="A5219" t="s">
        <v>1093</v>
      </c>
      <c r="B5219" t="s">
        <v>1126</v>
      </c>
      <c r="C5219" t="str">
        <f t="shared" si="256"/>
        <v>33672150000000</v>
      </c>
      <c r="D5219" t="s">
        <v>3249</v>
      </c>
      <c r="E5219" t="str">
        <f>"33672156059141"</f>
        <v>33672156059141</v>
      </c>
      <c r="F5219" s="8">
        <v>893</v>
      </c>
      <c r="G5219" s="8">
        <v>8472</v>
      </c>
      <c r="H5219" s="8">
        <v>921</v>
      </c>
      <c r="I5219" s="8">
        <v>3566</v>
      </c>
    </row>
    <row r="5220" spans="1:9" x14ac:dyDescent="0.2">
      <c r="A5220" t="s">
        <v>1093</v>
      </c>
      <c r="B5220" t="s">
        <v>1126</v>
      </c>
      <c r="C5220" t="str">
        <f t="shared" si="256"/>
        <v>33672150000000</v>
      </c>
      <c r="D5220" t="s">
        <v>5998</v>
      </c>
      <c r="E5220" t="str">
        <f>"33672156032528"</f>
        <v>33672156032528</v>
      </c>
      <c r="F5220" s="8">
        <v>573</v>
      </c>
      <c r="G5220" s="8">
        <v>8710</v>
      </c>
      <c r="H5220" s="8">
        <v>921</v>
      </c>
      <c r="I5220" s="8">
        <v>3566</v>
      </c>
    </row>
    <row r="5221" spans="1:9" x14ac:dyDescent="0.2">
      <c r="A5221" t="s">
        <v>1093</v>
      </c>
      <c r="B5221" t="s">
        <v>1126</v>
      </c>
      <c r="C5221" t="str">
        <f t="shared" si="256"/>
        <v>33672150000000</v>
      </c>
      <c r="D5221" t="s">
        <v>6608</v>
      </c>
      <c r="E5221" t="str">
        <f>"33672156059158"</f>
        <v>33672156059158</v>
      </c>
      <c r="F5221" s="8">
        <v>724</v>
      </c>
      <c r="G5221" s="8">
        <v>8509</v>
      </c>
      <c r="H5221" s="8">
        <v>921</v>
      </c>
      <c r="I5221" s="8">
        <v>3566</v>
      </c>
    </row>
    <row r="5222" spans="1:9" x14ac:dyDescent="0.2">
      <c r="A5222" t="s">
        <v>1093</v>
      </c>
      <c r="B5222" t="s">
        <v>1126</v>
      </c>
      <c r="C5222" t="str">
        <f t="shared" si="256"/>
        <v>33672150000000</v>
      </c>
      <c r="D5222" t="s">
        <v>3246</v>
      </c>
      <c r="E5222" t="str">
        <f>"33672156032692"</f>
        <v>33672156032692</v>
      </c>
      <c r="F5222" s="8">
        <v>668</v>
      </c>
      <c r="G5222" s="8">
        <v>8560</v>
      </c>
      <c r="H5222" s="8">
        <v>921</v>
      </c>
      <c r="I5222" s="8">
        <v>3566</v>
      </c>
    </row>
    <row r="5223" spans="1:9" x14ac:dyDescent="0.2">
      <c r="A5223" t="s">
        <v>1093</v>
      </c>
      <c r="B5223" t="s">
        <v>1126</v>
      </c>
      <c r="C5223" t="str">
        <f t="shared" si="256"/>
        <v>33672150000000</v>
      </c>
      <c r="D5223" t="s">
        <v>2383</v>
      </c>
      <c r="E5223" t="str">
        <f>"33672156032650"</f>
        <v>33672156032650</v>
      </c>
      <c r="F5223" s="8">
        <v>786</v>
      </c>
      <c r="G5223" s="8">
        <v>8394</v>
      </c>
      <c r="H5223" s="8">
        <v>921</v>
      </c>
      <c r="I5223" s="8">
        <v>3566</v>
      </c>
    </row>
    <row r="5224" spans="1:9" x14ac:dyDescent="0.2">
      <c r="A5224" t="s">
        <v>1093</v>
      </c>
      <c r="B5224" t="s">
        <v>1126</v>
      </c>
      <c r="C5224" t="str">
        <f t="shared" si="256"/>
        <v>33672150000000</v>
      </c>
      <c r="D5224" t="s">
        <v>6609</v>
      </c>
      <c r="E5224" t="str">
        <f>"33672156061790"</f>
        <v>33672156061790</v>
      </c>
      <c r="F5224" s="8">
        <v>1142</v>
      </c>
      <c r="G5224" s="8">
        <v>8034</v>
      </c>
      <c r="H5224" s="8">
        <v>921</v>
      </c>
      <c r="I5224" s="8">
        <v>3566</v>
      </c>
    </row>
    <row r="5225" spans="1:9" x14ac:dyDescent="0.2">
      <c r="A5225" t="s">
        <v>1093</v>
      </c>
      <c r="B5225" t="s">
        <v>1126</v>
      </c>
      <c r="C5225" t="str">
        <f t="shared" si="256"/>
        <v>33672150000000</v>
      </c>
      <c r="D5225" t="s">
        <v>6610</v>
      </c>
      <c r="E5225" t="str">
        <f>"33672153330677"</f>
        <v>33672153330677</v>
      </c>
      <c r="F5225" s="8">
        <v>1049</v>
      </c>
      <c r="G5225" s="8">
        <v>8112</v>
      </c>
      <c r="H5225" s="8">
        <v>921</v>
      </c>
      <c r="I5225" s="8">
        <v>3566</v>
      </c>
    </row>
    <row r="5226" spans="1:9" x14ac:dyDescent="0.2">
      <c r="A5226" t="s">
        <v>1093</v>
      </c>
      <c r="B5226" t="s">
        <v>1126</v>
      </c>
      <c r="C5226" t="str">
        <f t="shared" si="256"/>
        <v>33672150000000</v>
      </c>
      <c r="D5226" t="s">
        <v>1025</v>
      </c>
      <c r="E5226" t="str">
        <f>"33672156032718"</f>
        <v>33672156032718</v>
      </c>
      <c r="F5226" s="8">
        <v>520</v>
      </c>
      <c r="G5226" s="8">
        <v>8565</v>
      </c>
      <c r="H5226" s="8">
        <v>921</v>
      </c>
      <c r="I5226" s="8">
        <v>3566</v>
      </c>
    </row>
    <row r="5227" spans="1:9" x14ac:dyDescent="0.2">
      <c r="A5227" t="s">
        <v>1093</v>
      </c>
      <c r="B5227" t="s">
        <v>1126</v>
      </c>
      <c r="C5227" t="str">
        <f t="shared" si="256"/>
        <v>33672150000000</v>
      </c>
      <c r="D5227" t="s">
        <v>1811</v>
      </c>
      <c r="E5227" t="str">
        <f>"33672156032684"</f>
        <v>33672156032684</v>
      </c>
      <c r="F5227" s="8">
        <v>543</v>
      </c>
      <c r="G5227" s="8">
        <v>8527</v>
      </c>
      <c r="H5227" s="8">
        <v>921</v>
      </c>
      <c r="I5227" s="8">
        <v>3566</v>
      </c>
    </row>
    <row r="5228" spans="1:9" x14ac:dyDescent="0.2">
      <c r="A5228" t="s">
        <v>1093</v>
      </c>
      <c r="B5228" t="s">
        <v>1126</v>
      </c>
      <c r="C5228" t="str">
        <f t="shared" si="256"/>
        <v>33672150000000</v>
      </c>
      <c r="D5228" t="s">
        <v>6611</v>
      </c>
      <c r="E5228" t="str">
        <f>"33672153336492"</f>
        <v>33672153336492</v>
      </c>
      <c r="F5228" s="8">
        <v>859</v>
      </c>
      <c r="G5228" s="8">
        <v>8142</v>
      </c>
      <c r="H5228" s="8">
        <v>921</v>
      </c>
      <c r="I5228" s="8">
        <v>3566</v>
      </c>
    </row>
    <row r="5229" spans="1:9" x14ac:dyDescent="0.2">
      <c r="A5229" t="s">
        <v>1093</v>
      </c>
      <c r="B5229" t="s">
        <v>1126</v>
      </c>
      <c r="C5229" t="str">
        <f t="shared" si="256"/>
        <v>33672150000000</v>
      </c>
      <c r="D5229" t="s">
        <v>6612</v>
      </c>
      <c r="E5229" t="str">
        <f>"33672156107957"</f>
        <v>33672156107957</v>
      </c>
      <c r="F5229" s="8">
        <v>11</v>
      </c>
      <c r="G5229" s="8">
        <v>8878</v>
      </c>
      <c r="H5229" s="8">
        <v>921</v>
      </c>
      <c r="I5229" s="8">
        <v>3566</v>
      </c>
    </row>
    <row r="5230" spans="1:9" x14ac:dyDescent="0.2">
      <c r="A5230" t="s">
        <v>1093</v>
      </c>
      <c r="B5230" t="s">
        <v>1126</v>
      </c>
      <c r="C5230" t="str">
        <f t="shared" si="256"/>
        <v>33672150000000</v>
      </c>
      <c r="D5230" t="s">
        <v>4665</v>
      </c>
      <c r="E5230" t="str">
        <f>"33672156099188"</f>
        <v>33672156099188</v>
      </c>
      <c r="F5230" s="8">
        <v>286</v>
      </c>
      <c r="G5230" s="8">
        <v>8585</v>
      </c>
      <c r="H5230" s="8">
        <v>921</v>
      </c>
      <c r="I5230" s="8">
        <v>3566</v>
      </c>
    </row>
    <row r="5231" spans="1:9" x14ac:dyDescent="0.2">
      <c r="A5231" t="s">
        <v>1093</v>
      </c>
      <c r="B5231" t="s">
        <v>1126</v>
      </c>
      <c r="C5231" t="str">
        <f t="shared" si="256"/>
        <v>33672150000000</v>
      </c>
      <c r="D5231" t="s">
        <v>2699</v>
      </c>
      <c r="E5231" t="str">
        <f>"33672156032635"</f>
        <v>33672156032635</v>
      </c>
      <c r="F5231" s="8">
        <v>829</v>
      </c>
      <c r="G5231" s="8">
        <v>7951</v>
      </c>
      <c r="H5231" s="8">
        <v>921</v>
      </c>
      <c r="I5231" s="8">
        <v>3566</v>
      </c>
    </row>
    <row r="5232" spans="1:9" x14ac:dyDescent="0.2">
      <c r="A5232" t="s">
        <v>1093</v>
      </c>
      <c r="B5232" t="s">
        <v>1126</v>
      </c>
      <c r="C5232" t="str">
        <f t="shared" si="256"/>
        <v>33672150000000</v>
      </c>
      <c r="D5232" t="s">
        <v>6613</v>
      </c>
      <c r="E5232" t="str">
        <f>"33672150119180"</f>
        <v>33672150119180</v>
      </c>
      <c r="F5232" s="8">
        <v>715</v>
      </c>
      <c r="G5232" s="8">
        <v>8019</v>
      </c>
      <c r="H5232" s="8">
        <v>921</v>
      </c>
      <c r="I5232" s="8">
        <v>3566</v>
      </c>
    </row>
    <row r="5233" spans="1:9" x14ac:dyDescent="0.2">
      <c r="A5233" t="s">
        <v>1093</v>
      </c>
      <c r="B5233" t="s">
        <v>1126</v>
      </c>
      <c r="C5233" t="str">
        <f t="shared" si="256"/>
        <v>33672150000000</v>
      </c>
      <c r="D5233" t="s">
        <v>6614</v>
      </c>
      <c r="E5233" t="str">
        <f>"33672153334406"</f>
        <v>33672153334406</v>
      </c>
      <c r="F5233" s="8">
        <v>710</v>
      </c>
      <c r="G5233" s="8">
        <v>7932</v>
      </c>
      <c r="H5233" s="8">
        <v>921</v>
      </c>
      <c r="I5233" s="8">
        <v>3566</v>
      </c>
    </row>
    <row r="5234" spans="1:9" x14ac:dyDescent="0.2">
      <c r="A5234" t="s">
        <v>1093</v>
      </c>
      <c r="B5234" t="s">
        <v>1126</v>
      </c>
      <c r="C5234" t="str">
        <f t="shared" si="256"/>
        <v>33672150000000</v>
      </c>
      <c r="D5234" t="s">
        <v>6615</v>
      </c>
      <c r="E5234" t="str">
        <f>"33672150114181"</f>
        <v>33672150114181</v>
      </c>
      <c r="F5234" s="8">
        <v>498</v>
      </c>
      <c r="G5234" s="8">
        <v>8143</v>
      </c>
      <c r="H5234" s="8">
        <v>921</v>
      </c>
      <c r="I5234" s="8">
        <v>3566</v>
      </c>
    </row>
    <row r="5235" spans="1:9" x14ac:dyDescent="0.2">
      <c r="A5235" t="s">
        <v>1093</v>
      </c>
      <c r="B5235" t="s">
        <v>1126</v>
      </c>
      <c r="C5235" t="str">
        <f t="shared" si="256"/>
        <v>33672150000000</v>
      </c>
      <c r="D5235" t="s">
        <v>4046</v>
      </c>
      <c r="E5235" t="str">
        <f>"33672153336237"</f>
        <v>33672153336237</v>
      </c>
      <c r="F5235" s="8">
        <v>563</v>
      </c>
      <c r="G5235" s="8">
        <v>8013</v>
      </c>
      <c r="H5235" s="8">
        <v>921</v>
      </c>
      <c r="I5235" s="8">
        <v>3566</v>
      </c>
    </row>
    <row r="5236" spans="1:9" x14ac:dyDescent="0.2">
      <c r="A5236" t="s">
        <v>1093</v>
      </c>
      <c r="B5236" t="s">
        <v>1126</v>
      </c>
      <c r="C5236" t="str">
        <f t="shared" si="256"/>
        <v>33672150000000</v>
      </c>
      <c r="D5236" t="s">
        <v>6616</v>
      </c>
      <c r="E5236" t="str">
        <f>"33672156112668"</f>
        <v>33672156112668</v>
      </c>
      <c r="F5236" s="8">
        <v>447</v>
      </c>
      <c r="G5236" s="8">
        <v>8092</v>
      </c>
      <c r="H5236" s="8">
        <v>921</v>
      </c>
      <c r="I5236" s="8">
        <v>3566</v>
      </c>
    </row>
    <row r="5237" spans="1:9" x14ac:dyDescent="0.2">
      <c r="A5237" t="s">
        <v>1093</v>
      </c>
      <c r="B5237" t="s">
        <v>1126</v>
      </c>
      <c r="C5237" t="str">
        <f t="shared" si="256"/>
        <v>33672150000000</v>
      </c>
      <c r="D5237" t="s">
        <v>6617</v>
      </c>
      <c r="E5237" t="str">
        <f>"33672156112676"</f>
        <v>33672156112676</v>
      </c>
      <c r="F5237" s="8">
        <v>159</v>
      </c>
      <c r="G5237" s="8">
        <v>8373</v>
      </c>
      <c r="H5237" s="8">
        <v>921</v>
      </c>
      <c r="I5237" s="8">
        <v>3566</v>
      </c>
    </row>
    <row r="5238" spans="1:9" x14ac:dyDescent="0.2">
      <c r="A5238" t="s">
        <v>1093</v>
      </c>
      <c r="B5238" t="s">
        <v>1126</v>
      </c>
      <c r="C5238" t="str">
        <f t="shared" si="256"/>
        <v>33672150000000</v>
      </c>
      <c r="D5238" t="s">
        <v>2344</v>
      </c>
      <c r="E5238" t="str">
        <f>"33672156032700"</f>
        <v>33672156032700</v>
      </c>
      <c r="F5238" s="8">
        <v>873</v>
      </c>
      <c r="G5238" s="8">
        <v>7585</v>
      </c>
      <c r="H5238" s="8">
        <v>921</v>
      </c>
      <c r="I5238" s="8">
        <v>3566</v>
      </c>
    </row>
    <row r="5239" spans="1:9" x14ac:dyDescent="0.2">
      <c r="A5239" t="s">
        <v>1093</v>
      </c>
      <c r="B5239" t="s">
        <v>1126</v>
      </c>
      <c r="C5239" t="str">
        <f t="shared" si="256"/>
        <v>33672150000000</v>
      </c>
      <c r="D5239" t="s">
        <v>6618</v>
      </c>
      <c r="E5239" t="str">
        <f>"33672156059133"</f>
        <v>33672156059133</v>
      </c>
      <c r="F5239" s="8">
        <v>696</v>
      </c>
      <c r="G5239" s="8">
        <v>7719</v>
      </c>
      <c r="H5239" s="8">
        <v>921</v>
      </c>
      <c r="I5239" s="8">
        <v>3566</v>
      </c>
    </row>
    <row r="5240" spans="1:9" x14ac:dyDescent="0.2">
      <c r="A5240" t="s">
        <v>1093</v>
      </c>
      <c r="B5240" t="s">
        <v>1126</v>
      </c>
      <c r="C5240" t="str">
        <f t="shared" si="256"/>
        <v>33672150000000</v>
      </c>
      <c r="D5240" t="s">
        <v>232</v>
      </c>
      <c r="E5240" t="str">
        <f>"33672156032726"</f>
        <v>33672156032726</v>
      </c>
      <c r="F5240" s="8">
        <v>744</v>
      </c>
      <c r="G5240" s="8">
        <v>7591</v>
      </c>
      <c r="H5240" s="8">
        <v>921</v>
      </c>
      <c r="I5240" s="8">
        <v>3566</v>
      </c>
    </row>
    <row r="5241" spans="1:9" x14ac:dyDescent="0.2">
      <c r="A5241" t="s">
        <v>1093</v>
      </c>
      <c r="B5241" t="s">
        <v>1126</v>
      </c>
      <c r="C5241" t="str">
        <f t="shared" si="256"/>
        <v>33672150000000</v>
      </c>
      <c r="D5241" t="s">
        <v>5031</v>
      </c>
      <c r="E5241" t="str">
        <f>"33672156032536"</f>
        <v>33672156032536</v>
      </c>
      <c r="F5241" s="8">
        <v>635</v>
      </c>
      <c r="G5241" s="8">
        <v>7699</v>
      </c>
      <c r="H5241" s="8">
        <v>921</v>
      </c>
      <c r="I5241" s="8">
        <v>3566</v>
      </c>
    </row>
    <row r="5242" spans="1:9" x14ac:dyDescent="0.2">
      <c r="A5242" t="s">
        <v>1093</v>
      </c>
      <c r="B5242" t="s">
        <v>1126</v>
      </c>
      <c r="C5242" t="str">
        <f t="shared" si="256"/>
        <v>33672150000000</v>
      </c>
      <c r="D5242" t="s">
        <v>6619</v>
      </c>
      <c r="E5242" t="str">
        <f>"33672156032627"</f>
        <v>33672156032627</v>
      </c>
      <c r="F5242" s="8">
        <v>657</v>
      </c>
      <c r="G5242" s="8">
        <v>7578</v>
      </c>
      <c r="H5242" s="8">
        <v>921</v>
      </c>
      <c r="I5242" s="8">
        <v>3566</v>
      </c>
    </row>
    <row r="5243" spans="1:9" x14ac:dyDescent="0.2">
      <c r="A5243" t="s">
        <v>1093</v>
      </c>
      <c r="B5243" t="s">
        <v>1126</v>
      </c>
      <c r="C5243" t="str">
        <f t="shared" si="256"/>
        <v>33672150000000</v>
      </c>
      <c r="D5243" t="s">
        <v>2244</v>
      </c>
      <c r="E5243" t="str">
        <f>"33672156120075"</f>
        <v>33672156120075</v>
      </c>
      <c r="F5243" s="8">
        <v>171</v>
      </c>
      <c r="G5243" s="8">
        <v>8015</v>
      </c>
      <c r="H5243" s="8">
        <v>921</v>
      </c>
      <c r="I5243" s="8">
        <v>3566</v>
      </c>
    </row>
    <row r="5244" spans="1:9" x14ac:dyDescent="0.2">
      <c r="A5244" t="s">
        <v>1093</v>
      </c>
      <c r="B5244" t="s">
        <v>1126</v>
      </c>
      <c r="C5244" t="str">
        <f t="shared" si="256"/>
        <v>33672150000000</v>
      </c>
      <c r="D5244" t="s">
        <v>6620</v>
      </c>
      <c r="E5244" t="str">
        <f>"33672156032569"</f>
        <v>33672156032569</v>
      </c>
      <c r="F5244" s="8">
        <v>329</v>
      </c>
      <c r="G5244" s="8">
        <v>7841</v>
      </c>
      <c r="H5244" s="8">
        <v>921</v>
      </c>
      <c r="I5244" s="8">
        <v>3566</v>
      </c>
    </row>
    <row r="5245" spans="1:9" x14ac:dyDescent="0.2">
      <c r="A5245" t="s">
        <v>1093</v>
      </c>
      <c r="B5245" t="s">
        <v>1126</v>
      </c>
      <c r="C5245" t="str">
        <f t="shared" si="256"/>
        <v>33672150000000</v>
      </c>
      <c r="D5245" t="s">
        <v>2465</v>
      </c>
      <c r="E5245" t="str">
        <f>"33672150111252"</f>
        <v>33672150111252</v>
      </c>
      <c r="F5245" s="8">
        <v>148</v>
      </c>
      <c r="G5245" s="8">
        <v>7964</v>
      </c>
      <c r="H5245" s="8">
        <v>921</v>
      </c>
      <c r="I5245" s="8">
        <v>3566</v>
      </c>
    </row>
    <row r="5246" spans="1:9" x14ac:dyDescent="0.2">
      <c r="A5246" t="s">
        <v>1093</v>
      </c>
      <c r="B5246" t="s">
        <v>1126</v>
      </c>
      <c r="C5246" t="str">
        <f t="shared" si="256"/>
        <v>33672150000000</v>
      </c>
      <c r="D5246" t="s">
        <v>6621</v>
      </c>
      <c r="E5246" t="str">
        <f>"33672153330859"</f>
        <v>33672153330859</v>
      </c>
      <c r="F5246" s="8">
        <v>322</v>
      </c>
      <c r="G5246" s="8">
        <v>7583</v>
      </c>
      <c r="H5246" s="8">
        <v>921</v>
      </c>
      <c r="I5246" s="8">
        <v>3566</v>
      </c>
    </row>
    <row r="5247" spans="1:9" x14ac:dyDescent="0.2">
      <c r="A5247" t="s">
        <v>1093</v>
      </c>
      <c r="B5247" t="s">
        <v>1126</v>
      </c>
      <c r="C5247" t="str">
        <f t="shared" si="256"/>
        <v>33672150000000</v>
      </c>
      <c r="D5247" t="s">
        <v>3876</v>
      </c>
      <c r="E5247" t="str">
        <f>"33672156109011"</f>
        <v>33672156109011</v>
      </c>
      <c r="F5247" s="8">
        <v>352</v>
      </c>
      <c r="G5247" s="8">
        <v>7550</v>
      </c>
      <c r="H5247" s="8">
        <v>921</v>
      </c>
      <c r="I5247" s="8">
        <v>3566</v>
      </c>
    </row>
    <row r="5248" spans="1:9" x14ac:dyDescent="0.2">
      <c r="A5248" t="s">
        <v>1093</v>
      </c>
      <c r="B5248" t="s">
        <v>1126</v>
      </c>
      <c r="C5248" t="str">
        <f t="shared" si="256"/>
        <v>33672150000000</v>
      </c>
      <c r="D5248" t="s">
        <v>1194</v>
      </c>
      <c r="E5248" t="str">
        <f>"33672156032668"</f>
        <v>33672156032668</v>
      </c>
      <c r="F5248" s="8">
        <v>501</v>
      </c>
      <c r="G5248" s="8">
        <v>7341</v>
      </c>
      <c r="H5248" s="8">
        <v>921</v>
      </c>
      <c r="I5248" s="8">
        <v>3566</v>
      </c>
    </row>
    <row r="5249" spans="1:9" x14ac:dyDescent="0.2">
      <c r="A5249" t="s">
        <v>1093</v>
      </c>
      <c r="B5249" t="s">
        <v>1126</v>
      </c>
      <c r="C5249" t="str">
        <f t="shared" si="256"/>
        <v>33672150000000</v>
      </c>
      <c r="D5249" t="s">
        <v>710</v>
      </c>
      <c r="E5249" t="str">
        <f>"33672156032734"</f>
        <v>33672156032734</v>
      </c>
      <c r="F5249" s="8">
        <v>466</v>
      </c>
      <c r="G5249" s="8">
        <v>7358</v>
      </c>
      <c r="H5249" s="8">
        <v>921</v>
      </c>
      <c r="I5249" s="8">
        <v>3566</v>
      </c>
    </row>
    <row r="5250" spans="1:9" x14ac:dyDescent="0.2">
      <c r="A5250" t="s">
        <v>1093</v>
      </c>
      <c r="B5250" t="s">
        <v>1126</v>
      </c>
      <c r="C5250" t="str">
        <f t="shared" si="256"/>
        <v>33672150000000</v>
      </c>
      <c r="D5250" t="s">
        <v>6622</v>
      </c>
      <c r="E5250" t="str">
        <f>"33672150131359"</f>
        <v>33672150131359</v>
      </c>
      <c r="F5250" s="8">
        <v>290</v>
      </c>
      <c r="G5250" s="8">
        <v>7149</v>
      </c>
      <c r="H5250" s="8">
        <v>921</v>
      </c>
      <c r="I5250" s="8">
        <v>3566</v>
      </c>
    </row>
    <row r="5251" spans="1:9" x14ac:dyDescent="0.2">
      <c r="A5251" t="s">
        <v>1093</v>
      </c>
      <c r="B5251" t="s">
        <v>1126</v>
      </c>
      <c r="C5251" t="str">
        <f t="shared" si="256"/>
        <v>33672150000000</v>
      </c>
      <c r="D5251" t="s">
        <v>2094</v>
      </c>
      <c r="E5251" t="str">
        <f>"33672156032783"</f>
        <v>33672156032783</v>
      </c>
      <c r="F5251" s="8">
        <v>229</v>
      </c>
      <c r="G5251" s="8">
        <v>7151</v>
      </c>
      <c r="H5251" s="8">
        <v>921</v>
      </c>
      <c r="I5251" s="8">
        <v>3566</v>
      </c>
    </row>
    <row r="5252" spans="1:9" x14ac:dyDescent="0.2">
      <c r="A5252" t="s">
        <v>1093</v>
      </c>
      <c r="B5252" t="s">
        <v>1126</v>
      </c>
      <c r="C5252" t="str">
        <f t="shared" si="256"/>
        <v>33672150000000</v>
      </c>
      <c r="D5252" t="s">
        <v>6623</v>
      </c>
      <c r="E5252" t="str">
        <f>"33672150100545"</f>
        <v>33672150100545</v>
      </c>
      <c r="F5252" s="8">
        <v>262</v>
      </c>
      <c r="G5252" s="8">
        <v>7106</v>
      </c>
      <c r="H5252" s="8">
        <v>921</v>
      </c>
      <c r="I5252" s="8">
        <v>3566</v>
      </c>
    </row>
    <row r="5253" spans="1:9" x14ac:dyDescent="0.2">
      <c r="A5253" t="s">
        <v>1093</v>
      </c>
      <c r="B5253" t="s">
        <v>1126</v>
      </c>
      <c r="C5253" t="str">
        <f t="shared" si="256"/>
        <v>33672150000000</v>
      </c>
      <c r="D5253" t="s">
        <v>6624</v>
      </c>
      <c r="E5253" t="str">
        <f>"33672153330362"</f>
        <v>33672153330362</v>
      </c>
      <c r="F5253" s="8">
        <v>130</v>
      </c>
      <c r="G5253" s="8">
        <v>5314</v>
      </c>
      <c r="H5253" s="8">
        <v>921</v>
      </c>
      <c r="I5253" s="8">
        <v>3566</v>
      </c>
    </row>
    <row r="5254" spans="1:9" x14ac:dyDescent="0.2">
      <c r="A5254" t="s">
        <v>1093</v>
      </c>
      <c r="B5254" t="s">
        <v>1126</v>
      </c>
      <c r="C5254" t="str">
        <f t="shared" si="256"/>
        <v>33672150000000</v>
      </c>
      <c r="D5254" t="s">
        <v>6625</v>
      </c>
      <c r="E5254" t="str">
        <f>"33672156032767"</f>
        <v>33672156032767</v>
      </c>
      <c r="F5254" s="8" t="s">
        <v>30</v>
      </c>
      <c r="G5254" s="8" t="s">
        <v>30</v>
      </c>
      <c r="H5254" s="8" t="s">
        <v>30</v>
      </c>
      <c r="I5254" s="8" t="s">
        <v>30</v>
      </c>
    </row>
    <row r="5255" spans="1:9" x14ac:dyDescent="0.2">
      <c r="A5255" t="s">
        <v>1093</v>
      </c>
      <c r="B5255" t="s">
        <v>1127</v>
      </c>
      <c r="C5255" t="str">
        <f>"33672310000000"</f>
        <v>33672310000000</v>
      </c>
      <c r="D5255" t="s">
        <v>1127</v>
      </c>
      <c r="E5255" t="str">
        <f>"33672316032791"</f>
        <v>33672316032791</v>
      </c>
      <c r="F5255" s="8">
        <v>372</v>
      </c>
      <c r="G5255" s="8">
        <v>10529</v>
      </c>
      <c r="H5255" s="8">
        <v>1012</v>
      </c>
      <c r="I5255" s="8">
        <v>3568</v>
      </c>
    </row>
    <row r="5256" spans="1:9" x14ac:dyDescent="0.2">
      <c r="A5256" t="s">
        <v>1093</v>
      </c>
      <c r="B5256" t="s">
        <v>1127</v>
      </c>
      <c r="C5256" t="str">
        <f>"33672310000000"</f>
        <v>33672310000000</v>
      </c>
      <c r="D5256" t="s">
        <v>6626</v>
      </c>
      <c r="E5256" t="str">
        <f>"33672310127761"</f>
        <v>33672310127761</v>
      </c>
      <c r="F5256" s="8">
        <v>343</v>
      </c>
      <c r="G5256" s="8">
        <v>7308</v>
      </c>
      <c r="H5256" s="8">
        <v>1012</v>
      </c>
      <c r="I5256" s="8">
        <v>3568</v>
      </c>
    </row>
    <row r="5257" spans="1:9" x14ac:dyDescent="0.2">
      <c r="A5257" t="s">
        <v>1093</v>
      </c>
      <c r="B5257" t="s">
        <v>1127</v>
      </c>
      <c r="C5257" t="str">
        <f>"33672310000000"</f>
        <v>33672310000000</v>
      </c>
      <c r="D5257" t="s">
        <v>6627</v>
      </c>
      <c r="E5257" t="str">
        <f>"33672316109581"</f>
        <v>33672316109581</v>
      </c>
      <c r="F5257" s="8">
        <v>448</v>
      </c>
      <c r="G5257" s="8">
        <v>7039</v>
      </c>
      <c r="H5257" s="8">
        <v>1012</v>
      </c>
      <c r="I5257" s="8">
        <v>3568</v>
      </c>
    </row>
    <row r="5258" spans="1:9" x14ac:dyDescent="0.2">
      <c r="A5258" t="s">
        <v>1093</v>
      </c>
      <c r="B5258" t="s">
        <v>1127</v>
      </c>
      <c r="C5258" t="str">
        <f>"33672310000000"</f>
        <v>33672310000000</v>
      </c>
      <c r="D5258" t="s">
        <v>6628</v>
      </c>
      <c r="E5258" t="str">
        <f>"33672310113746"</f>
        <v>33672310113746</v>
      </c>
      <c r="F5258" s="8">
        <v>238</v>
      </c>
      <c r="G5258" s="8">
        <v>6817</v>
      </c>
      <c r="H5258" s="8">
        <v>1012</v>
      </c>
      <c r="I5258" s="8">
        <v>3568</v>
      </c>
    </row>
    <row r="5259" spans="1:9" x14ac:dyDescent="0.2">
      <c r="A5259" t="s">
        <v>1093</v>
      </c>
      <c r="B5259" t="s">
        <v>1127</v>
      </c>
      <c r="C5259" t="str">
        <f>"33672310000000"</f>
        <v>33672310000000</v>
      </c>
      <c r="D5259" t="s">
        <v>6629</v>
      </c>
      <c r="E5259" t="str">
        <f>"33672310114066"</f>
        <v>33672310114066</v>
      </c>
      <c r="F5259" s="8">
        <v>480</v>
      </c>
      <c r="G5259" s="8">
        <v>5949</v>
      </c>
      <c r="H5259" s="8">
        <v>1012</v>
      </c>
      <c r="I5259" s="8">
        <v>3568</v>
      </c>
    </row>
    <row r="5260" spans="1:9" x14ac:dyDescent="0.2">
      <c r="A5260" t="s">
        <v>1093</v>
      </c>
      <c r="B5260" t="s">
        <v>1128</v>
      </c>
      <c r="C5260" t="str">
        <f t="shared" ref="C5260:C5272" si="257">"33672490000000"</f>
        <v>33672490000000</v>
      </c>
      <c r="D5260" t="s">
        <v>3823</v>
      </c>
      <c r="E5260" t="str">
        <f>"33672493337649"</f>
        <v>33672493337649</v>
      </c>
      <c r="F5260" s="8">
        <v>1770</v>
      </c>
      <c r="G5260" s="8">
        <v>10960</v>
      </c>
      <c r="H5260" s="8">
        <v>623</v>
      </c>
      <c r="I5260" s="8">
        <v>43</v>
      </c>
    </row>
    <row r="5261" spans="1:9" x14ac:dyDescent="0.2">
      <c r="A5261" t="s">
        <v>1093</v>
      </c>
      <c r="B5261" t="s">
        <v>1128</v>
      </c>
      <c r="C5261" t="str">
        <f t="shared" si="257"/>
        <v>33672490000000</v>
      </c>
      <c r="D5261" t="s">
        <v>6630</v>
      </c>
      <c r="E5261" t="str">
        <f>"33672490102723"</f>
        <v>33672490102723</v>
      </c>
      <c r="F5261" s="8">
        <v>1487</v>
      </c>
      <c r="G5261" s="8">
        <v>7811</v>
      </c>
      <c r="H5261" s="8">
        <v>297</v>
      </c>
      <c r="I5261" s="8">
        <v>301</v>
      </c>
    </row>
    <row r="5262" spans="1:9" x14ac:dyDescent="0.2">
      <c r="A5262" t="s">
        <v>1093</v>
      </c>
      <c r="B5262" t="s">
        <v>1128</v>
      </c>
      <c r="C5262" t="str">
        <f t="shared" si="257"/>
        <v>33672490000000</v>
      </c>
      <c r="D5262" t="s">
        <v>6631</v>
      </c>
      <c r="E5262" t="str">
        <f>"33672490121319"</f>
        <v>33672490121319</v>
      </c>
      <c r="F5262" s="8">
        <v>781</v>
      </c>
      <c r="G5262" s="8">
        <v>8467</v>
      </c>
      <c r="H5262" s="8">
        <v>305</v>
      </c>
      <c r="I5262" s="8">
        <v>176</v>
      </c>
    </row>
    <row r="5263" spans="1:9" x14ac:dyDescent="0.2">
      <c r="A5263" t="s">
        <v>1093</v>
      </c>
      <c r="B5263" t="s">
        <v>1128</v>
      </c>
      <c r="C5263" t="str">
        <f t="shared" si="257"/>
        <v>33672490000000</v>
      </c>
      <c r="D5263" t="s">
        <v>3632</v>
      </c>
      <c r="E5263" t="str">
        <f>"33672496106884"</f>
        <v>33672496106884</v>
      </c>
      <c r="F5263" s="8">
        <v>1025</v>
      </c>
      <c r="G5263" s="8">
        <v>7915</v>
      </c>
      <c r="H5263" s="8">
        <v>321</v>
      </c>
      <c r="I5263" s="8">
        <v>19</v>
      </c>
    </row>
    <row r="5264" spans="1:9" x14ac:dyDescent="0.2">
      <c r="A5264" t="s">
        <v>1093</v>
      </c>
      <c r="B5264" t="s">
        <v>1128</v>
      </c>
      <c r="C5264" t="str">
        <f t="shared" si="257"/>
        <v>33672490000000</v>
      </c>
      <c r="D5264" t="s">
        <v>6632</v>
      </c>
      <c r="E5264" t="str">
        <f>"33672496059166"</f>
        <v>33672496059166</v>
      </c>
      <c r="F5264" s="8">
        <v>688</v>
      </c>
      <c r="G5264" s="8">
        <v>8272</v>
      </c>
      <c r="H5264" s="8">
        <v>254</v>
      </c>
      <c r="I5264" s="8">
        <v>46</v>
      </c>
    </row>
    <row r="5265" spans="1:9" x14ac:dyDescent="0.2">
      <c r="A5265" t="s">
        <v>1093</v>
      </c>
      <c r="B5265" t="s">
        <v>1128</v>
      </c>
      <c r="C5265" t="str">
        <f t="shared" si="257"/>
        <v>33672490000000</v>
      </c>
      <c r="D5265" t="s">
        <v>6633</v>
      </c>
      <c r="E5265" t="str">
        <f>"33672496115125"</f>
        <v>33672496115125</v>
      </c>
      <c r="F5265" s="8">
        <v>1002</v>
      </c>
      <c r="G5265" s="8">
        <v>7814</v>
      </c>
      <c r="H5265" s="8">
        <v>255</v>
      </c>
      <c r="I5265" s="8">
        <v>147</v>
      </c>
    </row>
    <row r="5266" spans="1:9" x14ac:dyDescent="0.2">
      <c r="A5266" t="s">
        <v>1093</v>
      </c>
      <c r="B5266" t="s">
        <v>1128</v>
      </c>
      <c r="C5266" t="str">
        <f t="shared" si="257"/>
        <v>33672490000000</v>
      </c>
      <c r="D5266" t="s">
        <v>6634</v>
      </c>
      <c r="E5266" t="str">
        <f>"33672490138925"</f>
        <v>33672490138925</v>
      </c>
      <c r="F5266" s="8">
        <v>811</v>
      </c>
      <c r="G5266" s="8">
        <v>7342</v>
      </c>
      <c r="H5266" s="8">
        <v>273</v>
      </c>
      <c r="I5266" s="8">
        <v>279</v>
      </c>
    </row>
    <row r="5267" spans="1:9" x14ac:dyDescent="0.2">
      <c r="A5267" t="s">
        <v>1093</v>
      </c>
      <c r="B5267" t="s">
        <v>1128</v>
      </c>
      <c r="C5267" t="str">
        <f t="shared" si="257"/>
        <v>33672490000000</v>
      </c>
      <c r="D5267" t="s">
        <v>6635</v>
      </c>
      <c r="E5267" t="str">
        <f>"33672490102715"</f>
        <v>33672490102715</v>
      </c>
      <c r="F5267" s="8">
        <v>1093</v>
      </c>
      <c r="G5267" s="8">
        <v>6905</v>
      </c>
      <c r="H5267" s="8">
        <v>274</v>
      </c>
      <c r="I5267" s="8">
        <v>35</v>
      </c>
    </row>
    <row r="5268" spans="1:9" x14ac:dyDescent="0.2">
      <c r="A5268" t="s">
        <v>1093</v>
      </c>
      <c r="B5268" t="s">
        <v>1128</v>
      </c>
      <c r="C5268" t="str">
        <f t="shared" si="257"/>
        <v>33672490000000</v>
      </c>
      <c r="D5268" t="s">
        <v>6636</v>
      </c>
      <c r="E5268" t="str">
        <f>"33672496032817"</f>
        <v>33672496032817</v>
      </c>
      <c r="F5268" s="8">
        <v>666</v>
      </c>
      <c r="G5268" s="8">
        <v>6909</v>
      </c>
      <c r="H5268" s="8">
        <v>297</v>
      </c>
      <c r="I5268" s="8">
        <v>244</v>
      </c>
    </row>
    <row r="5269" spans="1:9" x14ac:dyDescent="0.2">
      <c r="A5269" t="s">
        <v>1093</v>
      </c>
      <c r="B5269" t="s">
        <v>1128</v>
      </c>
      <c r="C5269" t="str">
        <f t="shared" si="257"/>
        <v>33672490000000</v>
      </c>
      <c r="D5269" t="s">
        <v>6637</v>
      </c>
      <c r="E5269" t="str">
        <f>"33672490123844"</f>
        <v>33672490123844</v>
      </c>
      <c r="F5269" s="8">
        <v>414</v>
      </c>
      <c r="G5269" s="8">
        <v>7327</v>
      </c>
      <c r="H5269" s="8">
        <v>163</v>
      </c>
      <c r="I5269" s="8">
        <v>7</v>
      </c>
    </row>
    <row r="5270" spans="1:9" x14ac:dyDescent="0.2">
      <c r="A5270" t="s">
        <v>1093</v>
      </c>
      <c r="B5270" t="s">
        <v>1128</v>
      </c>
      <c r="C5270" t="str">
        <f t="shared" si="257"/>
        <v>33672490000000</v>
      </c>
      <c r="D5270" t="s">
        <v>6638</v>
      </c>
      <c r="E5270" t="str">
        <f>"33672496109490"</f>
        <v>33672496109490</v>
      </c>
      <c r="F5270" s="8">
        <v>670</v>
      </c>
      <c r="G5270" s="8">
        <v>6806</v>
      </c>
      <c r="H5270" s="8">
        <v>260</v>
      </c>
      <c r="I5270" s="8">
        <v>83</v>
      </c>
    </row>
    <row r="5271" spans="1:9" x14ac:dyDescent="0.2">
      <c r="A5271" t="s">
        <v>1093</v>
      </c>
      <c r="B5271" t="s">
        <v>1128</v>
      </c>
      <c r="C5271" t="str">
        <f t="shared" si="257"/>
        <v>33672490000000</v>
      </c>
      <c r="D5271" t="s">
        <v>6639</v>
      </c>
      <c r="E5271" t="str">
        <f>"33672493337656"</f>
        <v>33672493337656</v>
      </c>
      <c r="F5271" s="8">
        <v>1080</v>
      </c>
      <c r="G5271" s="8">
        <v>5527</v>
      </c>
      <c r="H5271" s="8">
        <v>214</v>
      </c>
      <c r="I5271" s="8">
        <v>45</v>
      </c>
    </row>
    <row r="5272" spans="1:9" x14ac:dyDescent="0.2">
      <c r="A5272" t="s">
        <v>1093</v>
      </c>
      <c r="B5272" t="s">
        <v>1128</v>
      </c>
      <c r="C5272" t="str">
        <f t="shared" si="257"/>
        <v>33672490000000</v>
      </c>
      <c r="D5272" t="s">
        <v>6640</v>
      </c>
      <c r="E5272" t="str">
        <f>"33672493331006"</f>
        <v>33672493331006</v>
      </c>
      <c r="F5272" s="8">
        <v>395</v>
      </c>
      <c r="G5272" s="8">
        <v>3848</v>
      </c>
      <c r="H5272" s="8">
        <v>0</v>
      </c>
      <c r="I5272" s="8">
        <v>24</v>
      </c>
    </row>
    <row r="5273" spans="1:9" x14ac:dyDescent="0.2">
      <c r="A5273" t="s">
        <v>1093</v>
      </c>
      <c r="B5273" t="s">
        <v>1136</v>
      </c>
      <c r="C5273" t="str">
        <f t="shared" ref="C5273:C5300" si="258">"33751920000000"</f>
        <v>33751920000000</v>
      </c>
      <c r="D5273" t="s">
        <v>6641</v>
      </c>
      <c r="E5273" t="str">
        <f>"33751926113641"</f>
        <v>33751926113641</v>
      </c>
      <c r="F5273" s="8">
        <v>498</v>
      </c>
      <c r="G5273" s="8">
        <v>9573</v>
      </c>
      <c r="H5273" s="8">
        <v>868</v>
      </c>
      <c r="I5273" s="8">
        <v>3198</v>
      </c>
    </row>
    <row r="5274" spans="1:9" x14ac:dyDescent="0.2">
      <c r="A5274" t="s">
        <v>1093</v>
      </c>
      <c r="B5274" t="s">
        <v>1136</v>
      </c>
      <c r="C5274" t="str">
        <f t="shared" si="258"/>
        <v>33751920000000</v>
      </c>
      <c r="D5274" t="s">
        <v>6642</v>
      </c>
      <c r="E5274" t="str">
        <f>"33751923330495"</f>
        <v>33751923330495</v>
      </c>
      <c r="F5274" s="8">
        <v>549</v>
      </c>
      <c r="G5274" s="8">
        <v>8940</v>
      </c>
      <c r="H5274" s="8">
        <v>868</v>
      </c>
      <c r="I5274" s="8">
        <v>3198</v>
      </c>
    </row>
    <row r="5275" spans="1:9" x14ac:dyDescent="0.2">
      <c r="A5275" t="s">
        <v>1093</v>
      </c>
      <c r="B5275" t="s">
        <v>1136</v>
      </c>
      <c r="C5275" t="str">
        <f t="shared" si="258"/>
        <v>33751920000000</v>
      </c>
      <c r="D5275" t="s">
        <v>6643</v>
      </c>
      <c r="E5275" t="str">
        <f>"33751926116446"</f>
        <v>33751926116446</v>
      </c>
      <c r="F5275" s="8">
        <v>69</v>
      </c>
      <c r="G5275" s="8">
        <v>8857</v>
      </c>
      <c r="H5275" s="8">
        <v>868</v>
      </c>
      <c r="I5275" s="8">
        <v>3198</v>
      </c>
    </row>
    <row r="5276" spans="1:9" x14ac:dyDescent="0.2">
      <c r="A5276" t="s">
        <v>1093</v>
      </c>
      <c r="B5276" t="s">
        <v>1136</v>
      </c>
      <c r="C5276" t="str">
        <f t="shared" si="258"/>
        <v>33751920000000</v>
      </c>
      <c r="D5276" t="s">
        <v>6644</v>
      </c>
      <c r="E5276" t="str">
        <f>"33751926112809"</f>
        <v>33751926112809</v>
      </c>
      <c r="F5276" s="8">
        <v>104</v>
      </c>
      <c r="G5276" s="8">
        <v>8736</v>
      </c>
      <c r="H5276" s="8">
        <v>868</v>
      </c>
      <c r="I5276" s="8">
        <v>3198</v>
      </c>
    </row>
    <row r="5277" spans="1:9" x14ac:dyDescent="0.2">
      <c r="A5277" t="s">
        <v>1093</v>
      </c>
      <c r="B5277" t="s">
        <v>1136</v>
      </c>
      <c r="C5277" t="str">
        <f t="shared" si="258"/>
        <v>33751920000000</v>
      </c>
      <c r="D5277" t="s">
        <v>6645</v>
      </c>
      <c r="E5277" t="str">
        <f>"33751926096994"</f>
        <v>33751926096994</v>
      </c>
      <c r="F5277" s="8">
        <v>529</v>
      </c>
      <c r="G5277" s="8">
        <v>8014</v>
      </c>
      <c r="H5277" s="8">
        <v>868</v>
      </c>
      <c r="I5277" s="8">
        <v>3198</v>
      </c>
    </row>
    <row r="5278" spans="1:9" x14ac:dyDescent="0.2">
      <c r="A5278" t="s">
        <v>1093</v>
      </c>
      <c r="B5278" t="s">
        <v>1136</v>
      </c>
      <c r="C5278" t="str">
        <f t="shared" si="258"/>
        <v>33751920000000</v>
      </c>
      <c r="D5278" t="s">
        <v>6646</v>
      </c>
      <c r="E5278" t="str">
        <f>"33751926108427"</f>
        <v>33751926108427</v>
      </c>
      <c r="F5278" s="8">
        <v>724</v>
      </c>
      <c r="G5278" s="8">
        <v>7633</v>
      </c>
      <c r="H5278" s="8">
        <v>868</v>
      </c>
      <c r="I5278" s="8">
        <v>3198</v>
      </c>
    </row>
    <row r="5279" spans="1:9" x14ac:dyDescent="0.2">
      <c r="A5279" t="s">
        <v>1093</v>
      </c>
      <c r="B5279" t="s">
        <v>1136</v>
      </c>
      <c r="C5279" t="str">
        <f t="shared" si="258"/>
        <v>33751920000000</v>
      </c>
      <c r="D5279" t="s">
        <v>6647</v>
      </c>
      <c r="E5279" t="str">
        <f>"33751926110084"</f>
        <v>33751926110084</v>
      </c>
      <c r="F5279" s="8">
        <v>449</v>
      </c>
      <c r="G5279" s="8">
        <v>7758</v>
      </c>
      <c r="H5279" s="8">
        <v>868</v>
      </c>
      <c r="I5279" s="8">
        <v>3198</v>
      </c>
    </row>
    <row r="5280" spans="1:9" x14ac:dyDescent="0.2">
      <c r="A5280" t="s">
        <v>1093</v>
      </c>
      <c r="B5280" t="s">
        <v>1136</v>
      </c>
      <c r="C5280" t="str">
        <f t="shared" si="258"/>
        <v>33751920000000</v>
      </c>
      <c r="D5280" t="s">
        <v>6648</v>
      </c>
      <c r="E5280" t="str">
        <f>"33751926107254"</f>
        <v>33751926107254</v>
      </c>
      <c r="F5280" s="8">
        <v>589</v>
      </c>
      <c r="G5280" s="8">
        <v>7584</v>
      </c>
      <c r="H5280" s="8">
        <v>868</v>
      </c>
      <c r="I5280" s="8">
        <v>3198</v>
      </c>
    </row>
    <row r="5281" spans="1:9" x14ac:dyDescent="0.2">
      <c r="A5281" t="s">
        <v>1093</v>
      </c>
      <c r="B5281" t="s">
        <v>1136</v>
      </c>
      <c r="C5281" t="str">
        <f t="shared" si="258"/>
        <v>33751920000000</v>
      </c>
      <c r="D5281" t="s">
        <v>6649</v>
      </c>
      <c r="E5281" t="str">
        <f>"33751920108480"</f>
        <v>33751920108480</v>
      </c>
      <c r="F5281" s="8">
        <v>76</v>
      </c>
      <c r="G5281" s="8">
        <v>7892</v>
      </c>
      <c r="H5281" s="8">
        <v>868</v>
      </c>
      <c r="I5281" s="8">
        <v>3198</v>
      </c>
    </row>
    <row r="5282" spans="1:9" x14ac:dyDescent="0.2">
      <c r="A5282" t="s">
        <v>1093</v>
      </c>
      <c r="B5282" t="s">
        <v>1136</v>
      </c>
      <c r="C5282" t="str">
        <f t="shared" si="258"/>
        <v>33751920000000</v>
      </c>
      <c r="D5282" t="s">
        <v>6650</v>
      </c>
      <c r="E5282" t="str">
        <f>"33751926118822"</f>
        <v>33751926118822</v>
      </c>
      <c r="F5282" s="8">
        <v>60</v>
      </c>
      <c r="G5282" s="8">
        <v>7791</v>
      </c>
      <c r="H5282" s="8">
        <v>868</v>
      </c>
      <c r="I5282" s="8">
        <v>3198</v>
      </c>
    </row>
    <row r="5283" spans="1:9" x14ac:dyDescent="0.2">
      <c r="A5283" t="s">
        <v>1093</v>
      </c>
      <c r="B5283" t="s">
        <v>1136</v>
      </c>
      <c r="C5283" t="str">
        <f t="shared" si="258"/>
        <v>33751920000000</v>
      </c>
      <c r="D5283" t="s">
        <v>6651</v>
      </c>
      <c r="E5283" t="str">
        <f>"33751920108506"</f>
        <v>33751920108506</v>
      </c>
      <c r="F5283" s="8">
        <v>61</v>
      </c>
      <c r="G5283" s="8">
        <v>7776</v>
      </c>
      <c r="H5283" s="8">
        <v>868</v>
      </c>
      <c r="I5283" s="8">
        <v>3198</v>
      </c>
    </row>
    <row r="5284" spans="1:9" x14ac:dyDescent="0.2">
      <c r="A5284" t="s">
        <v>1093</v>
      </c>
      <c r="B5284" t="s">
        <v>1136</v>
      </c>
      <c r="C5284" t="str">
        <f t="shared" si="258"/>
        <v>33751920000000</v>
      </c>
      <c r="D5284" t="s">
        <v>2340</v>
      </c>
      <c r="E5284" t="str">
        <f>"33751926114243"</f>
        <v>33751926114243</v>
      </c>
      <c r="F5284" s="8">
        <v>94</v>
      </c>
      <c r="G5284" s="8">
        <v>7735</v>
      </c>
      <c r="H5284" s="8">
        <v>868</v>
      </c>
      <c r="I5284" s="8">
        <v>3198</v>
      </c>
    </row>
    <row r="5285" spans="1:9" x14ac:dyDescent="0.2">
      <c r="A5285" t="s">
        <v>1093</v>
      </c>
      <c r="B5285" t="s">
        <v>1136</v>
      </c>
      <c r="C5285" t="str">
        <f t="shared" si="258"/>
        <v>33751920000000</v>
      </c>
      <c r="D5285" t="s">
        <v>6652</v>
      </c>
      <c r="E5285" t="str">
        <f>"33751926109417"</f>
        <v>33751926109417</v>
      </c>
      <c r="F5285" s="8">
        <v>460</v>
      </c>
      <c r="G5285" s="8">
        <v>7222</v>
      </c>
      <c r="H5285" s="8">
        <v>868</v>
      </c>
      <c r="I5285" s="8">
        <v>3198</v>
      </c>
    </row>
    <row r="5286" spans="1:9" x14ac:dyDescent="0.2">
      <c r="A5286" t="s">
        <v>1093</v>
      </c>
      <c r="B5286" t="s">
        <v>1136</v>
      </c>
      <c r="C5286" t="str">
        <f t="shared" si="258"/>
        <v>33751920000000</v>
      </c>
      <c r="D5286" t="s">
        <v>6653</v>
      </c>
      <c r="E5286" t="str">
        <f>"33751926112098"</f>
        <v>33751926112098</v>
      </c>
      <c r="F5286" s="8">
        <v>123</v>
      </c>
      <c r="G5286" s="8">
        <v>7515</v>
      </c>
      <c r="H5286" s="8">
        <v>868</v>
      </c>
      <c r="I5286" s="8">
        <v>3198</v>
      </c>
    </row>
    <row r="5287" spans="1:9" x14ac:dyDescent="0.2">
      <c r="A5287" t="s">
        <v>1093</v>
      </c>
      <c r="B5287" t="s">
        <v>1136</v>
      </c>
      <c r="C5287" t="str">
        <f t="shared" si="258"/>
        <v>33751920000000</v>
      </c>
      <c r="D5287" t="s">
        <v>6654</v>
      </c>
      <c r="E5287" t="str">
        <f>"33751923330743"</f>
        <v>33751923330743</v>
      </c>
      <c r="F5287" s="8">
        <v>150</v>
      </c>
      <c r="G5287" s="8">
        <v>7363</v>
      </c>
      <c r="H5287" s="8">
        <v>868</v>
      </c>
      <c r="I5287" s="8">
        <v>3198</v>
      </c>
    </row>
    <row r="5288" spans="1:9" x14ac:dyDescent="0.2">
      <c r="A5288" t="s">
        <v>1093</v>
      </c>
      <c r="B5288" t="s">
        <v>1136</v>
      </c>
      <c r="C5288" t="str">
        <f t="shared" si="258"/>
        <v>33751920000000</v>
      </c>
      <c r="D5288" t="s">
        <v>6655</v>
      </c>
      <c r="E5288" t="str">
        <f>"33751926116453"</f>
        <v>33751926116453</v>
      </c>
      <c r="F5288" s="8">
        <v>533</v>
      </c>
      <c r="G5288" s="8">
        <v>6900</v>
      </c>
      <c r="H5288" s="8">
        <v>868</v>
      </c>
      <c r="I5288" s="8">
        <v>3198</v>
      </c>
    </row>
    <row r="5289" spans="1:9" x14ac:dyDescent="0.2">
      <c r="A5289" t="s">
        <v>1093</v>
      </c>
      <c r="B5289" t="s">
        <v>1136</v>
      </c>
      <c r="C5289" t="str">
        <f t="shared" si="258"/>
        <v>33751920000000</v>
      </c>
      <c r="D5289" t="s">
        <v>6656</v>
      </c>
      <c r="E5289" t="str">
        <f>"33751920113696"</f>
        <v>33751920113696</v>
      </c>
      <c r="F5289" s="8">
        <v>57</v>
      </c>
      <c r="G5289" s="8">
        <v>7297</v>
      </c>
      <c r="H5289" s="8">
        <v>868</v>
      </c>
      <c r="I5289" s="8">
        <v>3198</v>
      </c>
    </row>
    <row r="5290" spans="1:9" x14ac:dyDescent="0.2">
      <c r="A5290" t="s">
        <v>1093</v>
      </c>
      <c r="B5290" t="s">
        <v>1136</v>
      </c>
      <c r="C5290" t="str">
        <f t="shared" si="258"/>
        <v>33751920000000</v>
      </c>
      <c r="D5290" t="s">
        <v>6657</v>
      </c>
      <c r="E5290" t="str">
        <f>"33751920108498"</f>
        <v>33751920108498</v>
      </c>
      <c r="F5290" s="8">
        <v>376</v>
      </c>
      <c r="G5290" s="8">
        <v>6952</v>
      </c>
      <c r="H5290" s="8">
        <v>868</v>
      </c>
      <c r="I5290" s="8">
        <v>3198</v>
      </c>
    </row>
    <row r="5291" spans="1:9" x14ac:dyDescent="0.2">
      <c r="A5291" t="s">
        <v>1093</v>
      </c>
      <c r="B5291" t="s">
        <v>1136</v>
      </c>
      <c r="C5291" t="str">
        <f t="shared" si="258"/>
        <v>33751920000000</v>
      </c>
      <c r="D5291" t="s">
        <v>6658</v>
      </c>
      <c r="E5291" t="str">
        <f>"33751920101097"</f>
        <v>33751920101097</v>
      </c>
      <c r="F5291" s="8">
        <v>57</v>
      </c>
      <c r="G5291" s="8">
        <v>7182</v>
      </c>
      <c r="H5291" s="8">
        <v>868</v>
      </c>
      <c r="I5291" s="8">
        <v>3198</v>
      </c>
    </row>
    <row r="5292" spans="1:9" x14ac:dyDescent="0.2">
      <c r="A5292" t="s">
        <v>1093</v>
      </c>
      <c r="B5292" t="s">
        <v>1136</v>
      </c>
      <c r="C5292" t="str">
        <f t="shared" si="258"/>
        <v>33751920000000</v>
      </c>
      <c r="D5292" t="s">
        <v>6659</v>
      </c>
      <c r="E5292" t="str">
        <f>"33751920105734"</f>
        <v>33751920105734</v>
      </c>
      <c r="F5292" s="8">
        <v>93</v>
      </c>
      <c r="G5292" s="8">
        <v>7018</v>
      </c>
      <c r="H5292" s="8">
        <v>868</v>
      </c>
      <c r="I5292" s="8">
        <v>3198</v>
      </c>
    </row>
    <row r="5293" spans="1:9" x14ac:dyDescent="0.2">
      <c r="A5293" t="s">
        <v>1093</v>
      </c>
      <c r="B5293" t="s">
        <v>1136</v>
      </c>
      <c r="C5293" t="str">
        <f t="shared" si="258"/>
        <v>33751920000000</v>
      </c>
      <c r="D5293" t="s">
        <v>6660</v>
      </c>
      <c r="E5293" t="str">
        <f>"33751926032825"</f>
        <v>33751926032825</v>
      </c>
      <c r="F5293" s="8">
        <v>102</v>
      </c>
      <c r="G5293" s="8">
        <v>6872</v>
      </c>
      <c r="H5293" s="8">
        <v>868</v>
      </c>
      <c r="I5293" s="8">
        <v>3198</v>
      </c>
    </row>
    <row r="5294" spans="1:9" x14ac:dyDescent="0.2">
      <c r="A5294" t="s">
        <v>1093</v>
      </c>
      <c r="B5294" t="s">
        <v>1136</v>
      </c>
      <c r="C5294" t="str">
        <f t="shared" si="258"/>
        <v>33751920000000</v>
      </c>
      <c r="D5294" t="s">
        <v>6661</v>
      </c>
      <c r="E5294" t="str">
        <f>"33751923330370"</f>
        <v>33751923330370</v>
      </c>
      <c r="F5294" s="8">
        <v>79</v>
      </c>
      <c r="G5294" s="8">
        <v>6650</v>
      </c>
      <c r="H5294" s="8">
        <v>868</v>
      </c>
      <c r="I5294" s="8">
        <v>3198</v>
      </c>
    </row>
    <row r="5295" spans="1:9" x14ac:dyDescent="0.2">
      <c r="A5295" t="s">
        <v>1093</v>
      </c>
      <c r="B5295" t="s">
        <v>1136</v>
      </c>
      <c r="C5295" t="str">
        <f t="shared" si="258"/>
        <v>33751920000000</v>
      </c>
      <c r="D5295" t="s">
        <v>6662</v>
      </c>
      <c r="E5295" t="str">
        <f>"33751920101105"</f>
        <v>33751920101105</v>
      </c>
      <c r="F5295" s="8">
        <v>108</v>
      </c>
      <c r="G5295" s="8">
        <v>6458</v>
      </c>
      <c r="H5295" s="8">
        <v>868</v>
      </c>
      <c r="I5295" s="8">
        <v>3198</v>
      </c>
    </row>
    <row r="5296" spans="1:9" x14ac:dyDescent="0.2">
      <c r="A5296" t="s">
        <v>1093</v>
      </c>
      <c r="B5296" t="s">
        <v>1136</v>
      </c>
      <c r="C5296" t="str">
        <f t="shared" si="258"/>
        <v>33751920000000</v>
      </c>
      <c r="D5296" t="s">
        <v>6663</v>
      </c>
      <c r="E5296" t="str">
        <f>"33751920105759"</f>
        <v>33751920105759</v>
      </c>
      <c r="F5296" s="8">
        <v>124</v>
      </c>
      <c r="G5296" s="8">
        <v>6371</v>
      </c>
      <c r="H5296" s="8">
        <v>868</v>
      </c>
      <c r="I5296" s="8">
        <v>3198</v>
      </c>
    </row>
    <row r="5297" spans="1:9" x14ac:dyDescent="0.2">
      <c r="A5297" t="s">
        <v>1093</v>
      </c>
      <c r="B5297" t="s">
        <v>1136</v>
      </c>
      <c r="C5297" t="str">
        <f t="shared" si="258"/>
        <v>33751920000000</v>
      </c>
      <c r="D5297" t="s">
        <v>6664</v>
      </c>
      <c r="E5297" t="str">
        <f>"33751923330636"</f>
        <v>33751923330636</v>
      </c>
      <c r="F5297" s="8">
        <v>346</v>
      </c>
      <c r="G5297" s="8">
        <v>6117</v>
      </c>
      <c r="H5297" s="8">
        <v>868</v>
      </c>
      <c r="I5297" s="8">
        <v>3198</v>
      </c>
    </row>
    <row r="5298" spans="1:9" x14ac:dyDescent="0.2">
      <c r="A5298" t="s">
        <v>1093</v>
      </c>
      <c r="B5298" t="s">
        <v>1136</v>
      </c>
      <c r="C5298" t="str">
        <f t="shared" si="258"/>
        <v>33751920000000</v>
      </c>
      <c r="D5298" t="s">
        <v>6665</v>
      </c>
      <c r="E5298" t="str">
        <f>"33751920105742"</f>
        <v>33751920105742</v>
      </c>
      <c r="F5298" s="8">
        <v>37</v>
      </c>
      <c r="G5298" s="8">
        <v>6322</v>
      </c>
      <c r="H5298" s="8">
        <v>868</v>
      </c>
      <c r="I5298" s="8">
        <v>3198</v>
      </c>
    </row>
    <row r="5299" spans="1:9" x14ac:dyDescent="0.2">
      <c r="A5299" t="s">
        <v>1093</v>
      </c>
      <c r="B5299" t="s">
        <v>1136</v>
      </c>
      <c r="C5299" t="str">
        <f t="shared" si="258"/>
        <v>33751920000000</v>
      </c>
      <c r="D5299" t="s">
        <v>6666</v>
      </c>
      <c r="E5299" t="str">
        <f>"33751926116438"</f>
        <v>33751926116438</v>
      </c>
      <c r="F5299" s="8">
        <v>80</v>
      </c>
      <c r="G5299" s="8">
        <v>5433</v>
      </c>
      <c r="H5299" s="8">
        <v>868</v>
      </c>
      <c r="I5299" s="8">
        <v>3198</v>
      </c>
    </row>
    <row r="5300" spans="1:9" x14ac:dyDescent="0.2">
      <c r="A5300" t="s">
        <v>1093</v>
      </c>
      <c r="B5300" t="s">
        <v>1136</v>
      </c>
      <c r="C5300" t="str">
        <f t="shared" si="258"/>
        <v>33751920000000</v>
      </c>
      <c r="D5300" t="s">
        <v>5315</v>
      </c>
      <c r="E5300" t="str">
        <f>"33751926106017"</f>
        <v>33751926106017</v>
      </c>
      <c r="F5300" s="8" t="s">
        <v>30</v>
      </c>
      <c r="G5300" s="8" t="s">
        <v>30</v>
      </c>
      <c r="H5300" s="8" t="s">
        <v>30</v>
      </c>
      <c r="I5300" s="8" t="s">
        <v>30</v>
      </c>
    </row>
    <row r="5301" spans="1:9" x14ac:dyDescent="0.2">
      <c r="A5301" t="s">
        <v>1093</v>
      </c>
      <c r="B5301" t="s">
        <v>1137</v>
      </c>
      <c r="C5301" t="str">
        <f t="shared" ref="C5301:C5322" si="259">"33752420000000"</f>
        <v>33752420000000</v>
      </c>
      <c r="D5301" t="s">
        <v>6667</v>
      </c>
      <c r="E5301" t="str">
        <f>"33752420109652"</f>
        <v>33752420109652</v>
      </c>
      <c r="F5301" s="8">
        <v>23</v>
      </c>
      <c r="G5301" s="8">
        <v>25656</v>
      </c>
      <c r="H5301" s="8">
        <v>1537</v>
      </c>
      <c r="I5301" s="8">
        <v>3606</v>
      </c>
    </row>
    <row r="5302" spans="1:9" x14ac:dyDescent="0.2">
      <c r="A5302" t="s">
        <v>1093</v>
      </c>
      <c r="B5302" t="s">
        <v>1137</v>
      </c>
      <c r="C5302" t="str">
        <f t="shared" si="259"/>
        <v>33752420000000</v>
      </c>
      <c r="D5302" t="s">
        <v>6668</v>
      </c>
      <c r="E5302" t="str">
        <f>"33752423330560"</f>
        <v>33752423330560</v>
      </c>
      <c r="F5302" s="8">
        <v>1542</v>
      </c>
      <c r="G5302" s="8">
        <v>18323</v>
      </c>
      <c r="H5302" s="8">
        <v>1537</v>
      </c>
      <c r="I5302" s="8">
        <v>3606</v>
      </c>
    </row>
    <row r="5303" spans="1:9" x14ac:dyDescent="0.2">
      <c r="A5303" t="s">
        <v>1093</v>
      </c>
      <c r="B5303" t="s">
        <v>1137</v>
      </c>
      <c r="C5303" t="str">
        <f t="shared" si="259"/>
        <v>33752420000000</v>
      </c>
      <c r="D5303" t="s">
        <v>6669</v>
      </c>
      <c r="E5303" t="str">
        <f>"33752420123190"</f>
        <v>33752420123190</v>
      </c>
      <c r="F5303" s="8">
        <v>365</v>
      </c>
      <c r="G5303" s="8">
        <v>13187</v>
      </c>
      <c r="H5303" s="8">
        <v>1537</v>
      </c>
      <c r="I5303" s="8">
        <v>3606</v>
      </c>
    </row>
    <row r="5304" spans="1:9" x14ac:dyDescent="0.2">
      <c r="A5304" t="s">
        <v>1093</v>
      </c>
      <c r="B5304" t="s">
        <v>1137</v>
      </c>
      <c r="C5304" t="str">
        <f t="shared" si="259"/>
        <v>33752420000000</v>
      </c>
      <c r="D5304" t="s">
        <v>6670</v>
      </c>
      <c r="E5304" t="str">
        <f>"33752420112102"</f>
        <v>33752420112102</v>
      </c>
      <c r="F5304" s="8">
        <v>1204</v>
      </c>
      <c r="G5304" s="8">
        <v>9598</v>
      </c>
      <c r="H5304" s="8">
        <v>1537</v>
      </c>
      <c r="I5304" s="8">
        <v>3606</v>
      </c>
    </row>
    <row r="5305" spans="1:9" x14ac:dyDescent="0.2">
      <c r="A5305" t="s">
        <v>1093</v>
      </c>
      <c r="B5305" t="s">
        <v>1137</v>
      </c>
      <c r="C5305" t="str">
        <f t="shared" si="259"/>
        <v>33752420000000</v>
      </c>
      <c r="D5305" t="s">
        <v>6671</v>
      </c>
      <c r="E5305" t="str">
        <f>"33752426032874"</f>
        <v>33752426032874</v>
      </c>
      <c r="F5305" s="8">
        <v>1030</v>
      </c>
      <c r="G5305" s="8">
        <v>9061</v>
      </c>
      <c r="H5305" s="8">
        <v>1537</v>
      </c>
      <c r="I5305" s="8">
        <v>3606</v>
      </c>
    </row>
    <row r="5306" spans="1:9" x14ac:dyDescent="0.2">
      <c r="A5306" t="s">
        <v>1093</v>
      </c>
      <c r="B5306" t="s">
        <v>1137</v>
      </c>
      <c r="C5306" t="str">
        <f t="shared" si="259"/>
        <v>33752420000000</v>
      </c>
      <c r="D5306" t="s">
        <v>6672</v>
      </c>
      <c r="E5306" t="str">
        <f>"33752426114458"</f>
        <v>33752426114458</v>
      </c>
      <c r="F5306" s="8">
        <v>1193</v>
      </c>
      <c r="G5306" s="8">
        <v>8232</v>
      </c>
      <c r="H5306" s="8">
        <v>1537</v>
      </c>
      <c r="I5306" s="8">
        <v>3606</v>
      </c>
    </row>
    <row r="5307" spans="1:9" x14ac:dyDescent="0.2">
      <c r="A5307" t="s">
        <v>1093</v>
      </c>
      <c r="B5307" t="s">
        <v>1137</v>
      </c>
      <c r="C5307" t="str">
        <f t="shared" si="259"/>
        <v>33752420000000</v>
      </c>
      <c r="D5307" t="s">
        <v>6673</v>
      </c>
      <c r="E5307" t="str">
        <f>"33752420109108"</f>
        <v>33752420109108</v>
      </c>
      <c r="F5307" s="8">
        <v>674</v>
      </c>
      <c r="G5307" s="8">
        <v>8559</v>
      </c>
      <c r="H5307" s="8">
        <v>1537</v>
      </c>
      <c r="I5307" s="8">
        <v>3606</v>
      </c>
    </row>
    <row r="5308" spans="1:9" x14ac:dyDescent="0.2">
      <c r="A5308" t="s">
        <v>1093</v>
      </c>
      <c r="B5308" t="s">
        <v>1137</v>
      </c>
      <c r="C5308" t="str">
        <f t="shared" si="259"/>
        <v>33752420000000</v>
      </c>
      <c r="D5308" t="s">
        <v>6674</v>
      </c>
      <c r="E5308" t="str">
        <f>"33752423330552"</f>
        <v>33752423330552</v>
      </c>
      <c r="F5308" s="8">
        <v>497</v>
      </c>
      <c r="G5308" s="8">
        <v>8642</v>
      </c>
      <c r="H5308" s="8">
        <v>1537</v>
      </c>
      <c r="I5308" s="8">
        <v>3606</v>
      </c>
    </row>
    <row r="5309" spans="1:9" x14ac:dyDescent="0.2">
      <c r="A5309" t="s">
        <v>1093</v>
      </c>
      <c r="B5309" t="s">
        <v>1137</v>
      </c>
      <c r="C5309" t="str">
        <f t="shared" si="259"/>
        <v>33752420000000</v>
      </c>
      <c r="D5309" t="s">
        <v>6675</v>
      </c>
      <c r="E5309" t="str">
        <f>"33752426108039"</f>
        <v>33752426108039</v>
      </c>
      <c r="F5309" s="8">
        <v>1386</v>
      </c>
      <c r="G5309" s="8">
        <v>7640</v>
      </c>
      <c r="H5309" s="8">
        <v>1537</v>
      </c>
      <c r="I5309" s="8">
        <v>3606</v>
      </c>
    </row>
    <row r="5310" spans="1:9" x14ac:dyDescent="0.2">
      <c r="A5310" t="s">
        <v>1093</v>
      </c>
      <c r="B5310" t="s">
        <v>1137</v>
      </c>
      <c r="C5310" t="str">
        <f t="shared" si="259"/>
        <v>33752420000000</v>
      </c>
      <c r="D5310" t="s">
        <v>6676</v>
      </c>
      <c r="E5310" t="str">
        <f>"33752426109565"</f>
        <v>33752426109565</v>
      </c>
      <c r="F5310" s="8">
        <v>381</v>
      </c>
      <c r="G5310" s="8">
        <v>8093</v>
      </c>
      <c r="H5310" s="8">
        <v>1537</v>
      </c>
      <c r="I5310" s="8">
        <v>3606</v>
      </c>
    </row>
    <row r="5311" spans="1:9" x14ac:dyDescent="0.2">
      <c r="A5311" t="s">
        <v>1093</v>
      </c>
      <c r="B5311" t="s">
        <v>1137</v>
      </c>
      <c r="C5311" t="str">
        <f t="shared" si="259"/>
        <v>33752420000000</v>
      </c>
      <c r="D5311" t="s">
        <v>5546</v>
      </c>
      <c r="E5311" t="str">
        <f>"33752426111033"</f>
        <v>33752426111033</v>
      </c>
      <c r="F5311" s="8">
        <v>551</v>
      </c>
      <c r="G5311" s="8">
        <v>7914</v>
      </c>
      <c r="H5311" s="8">
        <v>1537</v>
      </c>
      <c r="I5311" s="8">
        <v>3606</v>
      </c>
    </row>
    <row r="5312" spans="1:9" x14ac:dyDescent="0.2">
      <c r="A5312" t="s">
        <v>1093</v>
      </c>
      <c r="B5312" t="s">
        <v>1137</v>
      </c>
      <c r="C5312" t="str">
        <f t="shared" si="259"/>
        <v>33752420000000</v>
      </c>
      <c r="D5312" t="s">
        <v>4005</v>
      </c>
      <c r="E5312" t="str">
        <f>"33752420100941"</f>
        <v>33752420100941</v>
      </c>
      <c r="F5312" s="8">
        <v>446</v>
      </c>
      <c r="G5312" s="8">
        <v>7648</v>
      </c>
      <c r="H5312" s="8">
        <v>1537</v>
      </c>
      <c r="I5312" s="8">
        <v>3606</v>
      </c>
    </row>
    <row r="5313" spans="1:9" x14ac:dyDescent="0.2">
      <c r="A5313" t="s">
        <v>1093</v>
      </c>
      <c r="B5313" t="s">
        <v>1137</v>
      </c>
      <c r="C5313" t="str">
        <f t="shared" si="259"/>
        <v>33752420000000</v>
      </c>
      <c r="D5313" t="s">
        <v>1708</v>
      </c>
      <c r="E5313" t="str">
        <f>"33752420106096"</f>
        <v>33752420106096</v>
      </c>
      <c r="F5313" s="8">
        <v>554</v>
      </c>
      <c r="G5313" s="8">
        <v>7444</v>
      </c>
      <c r="H5313" s="8">
        <v>1537</v>
      </c>
      <c r="I5313" s="8">
        <v>3606</v>
      </c>
    </row>
    <row r="5314" spans="1:9" x14ac:dyDescent="0.2">
      <c r="A5314" t="s">
        <v>1093</v>
      </c>
      <c r="B5314" t="s">
        <v>1137</v>
      </c>
      <c r="C5314" t="str">
        <f t="shared" si="259"/>
        <v>33752420000000</v>
      </c>
      <c r="D5314" t="s">
        <v>6677</v>
      </c>
      <c r="E5314" t="str">
        <f>"33752426111447"</f>
        <v>33752426111447</v>
      </c>
      <c r="F5314" s="8">
        <v>458</v>
      </c>
      <c r="G5314" s="8">
        <v>7423</v>
      </c>
      <c r="H5314" s="8">
        <v>1537</v>
      </c>
      <c r="I5314" s="8">
        <v>3606</v>
      </c>
    </row>
    <row r="5315" spans="1:9" x14ac:dyDescent="0.2">
      <c r="A5315" t="s">
        <v>1093</v>
      </c>
      <c r="B5315" t="s">
        <v>1137</v>
      </c>
      <c r="C5315" t="str">
        <f t="shared" si="259"/>
        <v>33752420000000</v>
      </c>
      <c r="D5315" t="s">
        <v>2824</v>
      </c>
      <c r="E5315" t="str">
        <f>"33752420100958"</f>
        <v>33752420100958</v>
      </c>
      <c r="F5315" s="8">
        <v>565</v>
      </c>
      <c r="G5315" s="8">
        <v>7245</v>
      </c>
      <c r="H5315" s="8">
        <v>1537</v>
      </c>
      <c r="I5315" s="8">
        <v>3606</v>
      </c>
    </row>
    <row r="5316" spans="1:9" x14ac:dyDescent="0.2">
      <c r="A5316" t="s">
        <v>1093</v>
      </c>
      <c r="B5316" t="s">
        <v>1137</v>
      </c>
      <c r="C5316" t="str">
        <f t="shared" si="259"/>
        <v>33752420000000</v>
      </c>
      <c r="D5316" t="s">
        <v>6678</v>
      </c>
      <c r="E5316" t="str">
        <f>"33752426032866"</f>
        <v>33752426032866</v>
      </c>
      <c r="F5316" s="8">
        <v>976</v>
      </c>
      <c r="G5316" s="8">
        <v>6706</v>
      </c>
      <c r="H5316" s="8">
        <v>1537</v>
      </c>
      <c r="I5316" s="8">
        <v>3606</v>
      </c>
    </row>
    <row r="5317" spans="1:9" x14ac:dyDescent="0.2">
      <c r="A5317" t="s">
        <v>1093</v>
      </c>
      <c r="B5317" t="s">
        <v>1137</v>
      </c>
      <c r="C5317" t="str">
        <f t="shared" si="259"/>
        <v>33752420000000</v>
      </c>
      <c r="D5317" t="s">
        <v>6679</v>
      </c>
      <c r="E5317" t="str">
        <f>"33752420109124"</f>
        <v>33752420109124</v>
      </c>
      <c r="F5317" s="8">
        <v>705</v>
      </c>
      <c r="G5317" s="8">
        <v>6895</v>
      </c>
      <c r="H5317" s="8">
        <v>1537</v>
      </c>
      <c r="I5317" s="8">
        <v>3606</v>
      </c>
    </row>
    <row r="5318" spans="1:9" x14ac:dyDescent="0.2">
      <c r="A5318" t="s">
        <v>1093</v>
      </c>
      <c r="B5318" t="s">
        <v>1137</v>
      </c>
      <c r="C5318" t="str">
        <f t="shared" si="259"/>
        <v>33752420000000</v>
      </c>
      <c r="D5318" t="s">
        <v>6680</v>
      </c>
      <c r="E5318" t="str">
        <f>"33752420133306"</f>
        <v>33752420133306</v>
      </c>
      <c r="F5318" s="8">
        <v>292</v>
      </c>
      <c r="G5318" s="8">
        <v>7043</v>
      </c>
      <c r="H5318" s="8">
        <v>1537</v>
      </c>
      <c r="I5318" s="8">
        <v>3606</v>
      </c>
    </row>
    <row r="5319" spans="1:9" x14ac:dyDescent="0.2">
      <c r="A5319" t="s">
        <v>1093</v>
      </c>
      <c r="B5319" t="s">
        <v>1137</v>
      </c>
      <c r="C5319" t="str">
        <f t="shared" si="259"/>
        <v>33752420000000</v>
      </c>
      <c r="D5319" t="s">
        <v>6681</v>
      </c>
      <c r="E5319" t="str">
        <f>"33752420109116"</f>
        <v>33752420109116</v>
      </c>
      <c r="F5319" s="8">
        <v>413</v>
      </c>
      <c r="G5319" s="8">
        <v>6905</v>
      </c>
      <c r="H5319" s="8">
        <v>1537</v>
      </c>
      <c r="I5319" s="8">
        <v>3606</v>
      </c>
    </row>
    <row r="5320" spans="1:9" x14ac:dyDescent="0.2">
      <c r="A5320" t="s">
        <v>1093</v>
      </c>
      <c r="B5320" t="s">
        <v>1137</v>
      </c>
      <c r="C5320" t="str">
        <f t="shared" si="259"/>
        <v>33752420000000</v>
      </c>
      <c r="D5320" t="s">
        <v>6682</v>
      </c>
      <c r="E5320" t="str">
        <f>"33752426108047"</f>
        <v>33752426108047</v>
      </c>
      <c r="F5320" s="8">
        <v>224</v>
      </c>
      <c r="G5320" s="8">
        <v>6846</v>
      </c>
      <c r="H5320" s="8">
        <v>1537</v>
      </c>
      <c r="I5320" s="8">
        <v>3606</v>
      </c>
    </row>
    <row r="5321" spans="1:9" x14ac:dyDescent="0.2">
      <c r="A5321" t="s">
        <v>1093</v>
      </c>
      <c r="B5321" t="s">
        <v>1137</v>
      </c>
      <c r="C5321" t="str">
        <f t="shared" si="259"/>
        <v>33752420000000</v>
      </c>
      <c r="D5321" t="s">
        <v>6683</v>
      </c>
      <c r="E5321" t="str">
        <f>"33752420117424"</f>
        <v>33752420117424</v>
      </c>
      <c r="F5321" s="8">
        <v>494</v>
      </c>
      <c r="G5321" s="8">
        <v>6165</v>
      </c>
      <c r="H5321" s="8">
        <v>1537</v>
      </c>
      <c r="I5321" s="8">
        <v>3606</v>
      </c>
    </row>
    <row r="5322" spans="1:9" x14ac:dyDescent="0.2">
      <c r="A5322" t="s">
        <v>1093</v>
      </c>
      <c r="B5322" t="s">
        <v>1137</v>
      </c>
      <c r="C5322" t="str">
        <f t="shared" si="259"/>
        <v>33752420000000</v>
      </c>
      <c r="D5322" t="s">
        <v>6684</v>
      </c>
      <c r="E5322" t="str">
        <f>"33752420112094"</f>
        <v>33752420112094</v>
      </c>
      <c r="F5322" s="8">
        <v>375</v>
      </c>
      <c r="G5322" s="8">
        <v>6256</v>
      </c>
      <c r="H5322" s="8">
        <v>1537</v>
      </c>
      <c r="I5322" s="8">
        <v>3606</v>
      </c>
    </row>
    <row r="5323" spans="1:9" x14ac:dyDescent="0.2">
      <c r="A5323" t="s">
        <v>1138</v>
      </c>
      <c r="B5323" t="s">
        <v>1140</v>
      </c>
      <c r="C5323" t="str">
        <f>"34672800000000"</f>
        <v>34672800000000</v>
      </c>
      <c r="D5323" t="s">
        <v>6685</v>
      </c>
      <c r="E5323" t="str">
        <f>"34672806032890"</f>
        <v>34672806032890</v>
      </c>
      <c r="F5323" s="8">
        <v>1857</v>
      </c>
      <c r="G5323" s="8">
        <v>9721</v>
      </c>
      <c r="H5323" s="8">
        <v>0</v>
      </c>
      <c r="I5323" s="8">
        <v>0</v>
      </c>
    </row>
    <row r="5324" spans="1:9" x14ac:dyDescent="0.2">
      <c r="A5324" t="s">
        <v>1138</v>
      </c>
      <c r="B5324" t="s">
        <v>1144</v>
      </c>
      <c r="C5324" t="str">
        <f>"34322760000000"</f>
        <v>34322760000000</v>
      </c>
      <c r="D5324" t="s">
        <v>6686</v>
      </c>
      <c r="E5324" t="str">
        <f>"34322760330027"</f>
        <v>34322760330027</v>
      </c>
      <c r="F5324" s="8">
        <v>0</v>
      </c>
      <c r="G5324" s="8">
        <v>90974</v>
      </c>
      <c r="H5324" s="8">
        <v>1028</v>
      </c>
      <c r="I5324" s="8">
        <v>6695</v>
      </c>
    </row>
    <row r="5325" spans="1:9" x14ac:dyDescent="0.2">
      <c r="A5325" t="s">
        <v>1138</v>
      </c>
      <c r="B5325" t="s">
        <v>1144</v>
      </c>
      <c r="C5325" t="str">
        <f>"34322760000000"</f>
        <v>34322760000000</v>
      </c>
      <c r="D5325" t="s">
        <v>6687</v>
      </c>
      <c r="E5325" t="str">
        <f>"34322763931250"</f>
        <v>34322763931250</v>
      </c>
      <c r="F5325" s="8">
        <v>4908</v>
      </c>
      <c r="G5325" s="8">
        <v>74268</v>
      </c>
      <c r="H5325" s="8">
        <v>1028</v>
      </c>
      <c r="I5325" s="8">
        <v>6695</v>
      </c>
    </row>
    <row r="5326" spans="1:9" x14ac:dyDescent="0.2">
      <c r="A5326" t="s">
        <v>1138</v>
      </c>
      <c r="B5326" t="s">
        <v>1144</v>
      </c>
      <c r="C5326" t="str">
        <f>"34322760000000"</f>
        <v>34322760000000</v>
      </c>
      <c r="D5326" t="s">
        <v>6688</v>
      </c>
      <c r="E5326" t="str">
        <f>"34322765637780"</f>
        <v>34322765637780</v>
      </c>
      <c r="F5326" s="8">
        <v>2897</v>
      </c>
      <c r="G5326" s="8">
        <v>53672</v>
      </c>
      <c r="H5326" s="8">
        <v>1028</v>
      </c>
      <c r="I5326" s="8">
        <v>6695</v>
      </c>
    </row>
    <row r="5327" spans="1:9" x14ac:dyDescent="0.2">
      <c r="A5327" t="s">
        <v>1138</v>
      </c>
      <c r="B5327" t="s">
        <v>1144</v>
      </c>
      <c r="C5327" t="str">
        <f>"34322760000000"</f>
        <v>34322760000000</v>
      </c>
      <c r="D5327" t="s">
        <v>6689</v>
      </c>
      <c r="E5327" t="str">
        <f>"34322763990025"</f>
        <v>34322763990025</v>
      </c>
      <c r="F5327" s="8">
        <v>1968</v>
      </c>
      <c r="G5327" s="8">
        <v>37583</v>
      </c>
      <c r="H5327" s="8">
        <v>1028</v>
      </c>
      <c r="I5327" s="8">
        <v>6695</v>
      </c>
    </row>
    <row r="5328" spans="1:9" x14ac:dyDescent="0.2">
      <c r="A5328" t="s">
        <v>1138</v>
      </c>
      <c r="B5328" t="s">
        <v>1150</v>
      </c>
      <c r="C5328" t="str">
        <f t="shared" ref="C5328:C5334" si="260">"34739730000000"</f>
        <v>34739730000000</v>
      </c>
      <c r="D5328" t="s">
        <v>6690</v>
      </c>
      <c r="E5328" t="str">
        <f>"34739733430451"</f>
        <v>34739733430451</v>
      </c>
      <c r="F5328" s="8">
        <v>3234</v>
      </c>
      <c r="G5328" s="8">
        <v>15461</v>
      </c>
      <c r="H5328" s="8">
        <v>1500</v>
      </c>
      <c r="I5328" s="8">
        <v>4591</v>
      </c>
    </row>
    <row r="5329" spans="1:9" x14ac:dyDescent="0.2">
      <c r="A5329" t="s">
        <v>1138</v>
      </c>
      <c r="B5329" t="s">
        <v>1150</v>
      </c>
      <c r="C5329" t="str">
        <f t="shared" si="260"/>
        <v>34739730000000</v>
      </c>
      <c r="D5329" t="s">
        <v>6691</v>
      </c>
      <c r="E5329" t="str">
        <f>"34739736032924"</f>
        <v>34739736032924</v>
      </c>
      <c r="F5329" s="8">
        <v>1955</v>
      </c>
      <c r="G5329" s="8">
        <v>7801</v>
      </c>
      <c r="H5329" s="8">
        <v>1500</v>
      </c>
      <c r="I5329" s="8">
        <v>4591</v>
      </c>
    </row>
    <row r="5330" spans="1:9" x14ac:dyDescent="0.2">
      <c r="A5330" t="s">
        <v>1138</v>
      </c>
      <c r="B5330" t="s">
        <v>1150</v>
      </c>
      <c r="C5330" t="str">
        <f t="shared" si="260"/>
        <v>34739730000000</v>
      </c>
      <c r="D5330" t="s">
        <v>6692</v>
      </c>
      <c r="E5330" t="str">
        <f>"34739730108621"</f>
        <v>34739730108621</v>
      </c>
      <c r="F5330" s="8">
        <v>1375</v>
      </c>
      <c r="G5330" s="8">
        <v>6936</v>
      </c>
      <c r="H5330" s="8">
        <v>1500</v>
      </c>
      <c r="I5330" s="8">
        <v>4591</v>
      </c>
    </row>
    <row r="5331" spans="1:9" x14ac:dyDescent="0.2">
      <c r="A5331" t="s">
        <v>1138</v>
      </c>
      <c r="B5331" t="s">
        <v>1150</v>
      </c>
      <c r="C5331" t="str">
        <f t="shared" si="260"/>
        <v>34739730000000</v>
      </c>
      <c r="D5331" t="s">
        <v>6693</v>
      </c>
      <c r="E5331" t="str">
        <f>"34739736108948"</f>
        <v>34739736108948</v>
      </c>
      <c r="F5331" s="8">
        <v>1680</v>
      </c>
      <c r="G5331" s="8">
        <v>6295</v>
      </c>
      <c r="H5331" s="8">
        <v>1500</v>
      </c>
      <c r="I5331" s="8">
        <v>4591</v>
      </c>
    </row>
    <row r="5332" spans="1:9" x14ac:dyDescent="0.2">
      <c r="A5332" t="s">
        <v>1138</v>
      </c>
      <c r="B5332" t="s">
        <v>1150</v>
      </c>
      <c r="C5332" t="str">
        <f t="shared" si="260"/>
        <v>34739730000000</v>
      </c>
      <c r="D5332" t="s">
        <v>6694</v>
      </c>
      <c r="E5332" t="str">
        <f>"34739733430378"</f>
        <v>34739733430378</v>
      </c>
      <c r="F5332" s="8">
        <v>280</v>
      </c>
      <c r="G5332" s="8">
        <v>7486</v>
      </c>
      <c r="H5332" s="8">
        <v>1500</v>
      </c>
      <c r="I5332" s="8">
        <v>4591</v>
      </c>
    </row>
    <row r="5333" spans="1:9" x14ac:dyDescent="0.2">
      <c r="A5333" t="s">
        <v>1138</v>
      </c>
      <c r="B5333" t="s">
        <v>1150</v>
      </c>
      <c r="C5333" t="str">
        <f t="shared" si="260"/>
        <v>34739730000000</v>
      </c>
      <c r="D5333" t="s">
        <v>6695</v>
      </c>
      <c r="E5333" t="str">
        <f>"34739736107734"</f>
        <v>34739736107734</v>
      </c>
      <c r="F5333" s="8">
        <v>1055</v>
      </c>
      <c r="G5333" s="8">
        <v>6432</v>
      </c>
      <c r="H5333" s="8">
        <v>1500</v>
      </c>
      <c r="I5333" s="8">
        <v>4591</v>
      </c>
    </row>
    <row r="5334" spans="1:9" x14ac:dyDescent="0.2">
      <c r="A5334" t="s">
        <v>1138</v>
      </c>
      <c r="B5334" t="s">
        <v>1150</v>
      </c>
      <c r="C5334" t="str">
        <f t="shared" si="260"/>
        <v>34739730000000</v>
      </c>
      <c r="D5334" t="s">
        <v>6696</v>
      </c>
      <c r="E5334" t="str">
        <f>"34739736032908"</f>
        <v>34739736032908</v>
      </c>
      <c r="F5334" s="8">
        <v>1517</v>
      </c>
      <c r="G5334" s="8">
        <v>5504</v>
      </c>
      <c r="H5334" s="8">
        <v>1500</v>
      </c>
      <c r="I5334" s="8">
        <v>4591</v>
      </c>
    </row>
    <row r="5335" spans="1:9" x14ac:dyDescent="0.2">
      <c r="A5335" t="s">
        <v>1138</v>
      </c>
      <c r="B5335" t="s">
        <v>1154</v>
      </c>
      <c r="C5335" t="str">
        <f t="shared" ref="C5335:C5366" si="261">"34673140000000"</f>
        <v>34673140000000</v>
      </c>
      <c r="D5335" t="s">
        <v>6697</v>
      </c>
      <c r="E5335" t="str">
        <f>"34673143432002"</f>
        <v>34673143432002</v>
      </c>
      <c r="F5335" s="8">
        <v>2495</v>
      </c>
      <c r="G5335" s="8">
        <v>45157</v>
      </c>
      <c r="H5335" s="8">
        <v>179495</v>
      </c>
      <c r="I5335" s="8">
        <v>3036</v>
      </c>
    </row>
    <row r="5336" spans="1:9" x14ac:dyDescent="0.2">
      <c r="A5336" t="s">
        <v>1138</v>
      </c>
      <c r="B5336" t="s">
        <v>1154</v>
      </c>
      <c r="C5336" t="str">
        <f t="shared" si="261"/>
        <v>34673140000000</v>
      </c>
      <c r="D5336" t="s">
        <v>6698</v>
      </c>
      <c r="E5336" t="str">
        <f>"34673143430311"</f>
        <v>34673143430311</v>
      </c>
      <c r="F5336" s="8">
        <v>318</v>
      </c>
      <c r="G5336" s="8">
        <v>17637</v>
      </c>
      <c r="H5336" s="8">
        <v>70047</v>
      </c>
      <c r="I5336" s="8">
        <v>7774</v>
      </c>
    </row>
    <row r="5337" spans="1:9" x14ac:dyDescent="0.2">
      <c r="A5337" t="s">
        <v>1138</v>
      </c>
      <c r="B5337" t="s">
        <v>1154</v>
      </c>
      <c r="C5337" t="str">
        <f t="shared" si="261"/>
        <v>34673140000000</v>
      </c>
      <c r="D5337" t="s">
        <v>6699</v>
      </c>
      <c r="E5337" t="str">
        <f>"34673143430329"</f>
        <v>34673143430329</v>
      </c>
      <c r="F5337" s="8">
        <v>101</v>
      </c>
      <c r="G5337" s="8">
        <v>17541</v>
      </c>
      <c r="H5337" s="8">
        <v>69482</v>
      </c>
      <c r="I5337" s="8">
        <v>7816</v>
      </c>
    </row>
    <row r="5338" spans="1:9" x14ac:dyDescent="0.2">
      <c r="A5338" t="s">
        <v>1138</v>
      </c>
      <c r="B5338" t="s">
        <v>1154</v>
      </c>
      <c r="C5338" t="str">
        <f t="shared" si="261"/>
        <v>34673140000000</v>
      </c>
      <c r="D5338" t="s">
        <v>6700</v>
      </c>
      <c r="E5338" t="str">
        <f>"34673146032999"</f>
        <v>34673146032999</v>
      </c>
      <c r="F5338" s="8">
        <v>190</v>
      </c>
      <c r="G5338" s="8">
        <v>24075</v>
      </c>
      <c r="H5338" s="8">
        <v>58611</v>
      </c>
      <c r="I5338" s="8">
        <v>5695</v>
      </c>
    </row>
    <row r="5339" spans="1:9" x14ac:dyDescent="0.2">
      <c r="A5339" t="s">
        <v>1138</v>
      </c>
      <c r="B5339" t="s">
        <v>1154</v>
      </c>
      <c r="C5339" t="str">
        <f t="shared" si="261"/>
        <v>34673140000000</v>
      </c>
      <c r="D5339" t="s">
        <v>6701</v>
      </c>
      <c r="E5339" t="str">
        <f>"34673143430352"</f>
        <v>34673143430352</v>
      </c>
      <c r="F5339" s="8">
        <v>33756</v>
      </c>
      <c r="G5339" s="8">
        <v>7250</v>
      </c>
      <c r="H5339" s="8">
        <v>21274</v>
      </c>
      <c r="I5339" s="8">
        <v>18911</v>
      </c>
    </row>
    <row r="5340" spans="1:9" x14ac:dyDescent="0.2">
      <c r="A5340" t="s">
        <v>1138</v>
      </c>
      <c r="B5340" t="s">
        <v>1154</v>
      </c>
      <c r="C5340" t="str">
        <f t="shared" si="261"/>
        <v>34673140000000</v>
      </c>
      <c r="D5340" t="s">
        <v>6702</v>
      </c>
      <c r="E5340" t="str">
        <f>"34673146033013"</f>
        <v>34673146033013</v>
      </c>
      <c r="F5340" s="8">
        <v>0</v>
      </c>
      <c r="G5340" s="8">
        <v>8930</v>
      </c>
      <c r="H5340" s="8">
        <v>25415</v>
      </c>
      <c r="I5340" s="8">
        <v>15354</v>
      </c>
    </row>
    <row r="5341" spans="1:9" x14ac:dyDescent="0.2">
      <c r="A5341" t="s">
        <v>1138</v>
      </c>
      <c r="B5341" t="s">
        <v>1154</v>
      </c>
      <c r="C5341" t="str">
        <f t="shared" si="261"/>
        <v>34673140000000</v>
      </c>
      <c r="D5341" t="s">
        <v>6703</v>
      </c>
      <c r="E5341" t="str">
        <f>"34673146033096"</f>
        <v>34673146033096</v>
      </c>
      <c r="F5341" s="8">
        <v>1</v>
      </c>
      <c r="G5341" s="8">
        <v>7833</v>
      </c>
      <c r="H5341" s="8">
        <v>23349</v>
      </c>
      <c r="I5341" s="8">
        <v>17504</v>
      </c>
    </row>
    <row r="5342" spans="1:9" x14ac:dyDescent="0.2">
      <c r="A5342" t="s">
        <v>1138</v>
      </c>
      <c r="B5342" t="s">
        <v>1154</v>
      </c>
      <c r="C5342" t="str">
        <f t="shared" si="261"/>
        <v>34673140000000</v>
      </c>
      <c r="D5342" t="s">
        <v>6704</v>
      </c>
      <c r="E5342" t="str">
        <f>"34673146033039"</f>
        <v>34673146033039</v>
      </c>
      <c r="F5342" s="8">
        <v>3</v>
      </c>
      <c r="G5342" s="8">
        <v>8643</v>
      </c>
      <c r="H5342" s="8">
        <v>22206</v>
      </c>
      <c r="I5342" s="8">
        <v>15864</v>
      </c>
    </row>
    <row r="5343" spans="1:9" x14ac:dyDescent="0.2">
      <c r="A5343" t="s">
        <v>1138</v>
      </c>
      <c r="B5343" t="s">
        <v>1154</v>
      </c>
      <c r="C5343" t="str">
        <f t="shared" si="261"/>
        <v>34673140000000</v>
      </c>
      <c r="D5343" t="s">
        <v>6705</v>
      </c>
      <c r="E5343" t="str">
        <f>"34673146033088"</f>
        <v>34673146033088</v>
      </c>
      <c r="F5343" s="8">
        <v>677</v>
      </c>
      <c r="G5343" s="8">
        <v>18303</v>
      </c>
      <c r="H5343" s="8">
        <v>17371</v>
      </c>
      <c r="I5343" s="8">
        <v>7491</v>
      </c>
    </row>
    <row r="5344" spans="1:9" x14ac:dyDescent="0.2">
      <c r="A5344" t="s">
        <v>1138</v>
      </c>
      <c r="B5344" t="s">
        <v>1154</v>
      </c>
      <c r="C5344" t="str">
        <f t="shared" si="261"/>
        <v>34673140000000</v>
      </c>
      <c r="D5344" t="s">
        <v>6706</v>
      </c>
      <c r="E5344" t="str">
        <f>"34673146107916"</f>
        <v>34673146107916</v>
      </c>
      <c r="F5344" s="8">
        <v>1231</v>
      </c>
      <c r="G5344" s="8">
        <v>14602</v>
      </c>
      <c r="H5344" s="8">
        <v>17801</v>
      </c>
      <c r="I5344" s="8">
        <v>9390</v>
      </c>
    </row>
    <row r="5345" spans="1:9" x14ac:dyDescent="0.2">
      <c r="A5345" t="s">
        <v>1138</v>
      </c>
      <c r="B5345" t="s">
        <v>1154</v>
      </c>
      <c r="C5345" t="str">
        <f t="shared" si="261"/>
        <v>34673140000000</v>
      </c>
      <c r="D5345" t="s">
        <v>6707</v>
      </c>
      <c r="E5345" t="str">
        <f>"34673146033112"</f>
        <v>34673146033112</v>
      </c>
      <c r="F5345" s="8">
        <v>996</v>
      </c>
      <c r="G5345" s="8">
        <v>17032</v>
      </c>
      <c r="H5345" s="8">
        <v>16601</v>
      </c>
      <c r="I5345" s="8">
        <v>8050</v>
      </c>
    </row>
    <row r="5346" spans="1:9" x14ac:dyDescent="0.2">
      <c r="A5346" t="s">
        <v>1138</v>
      </c>
      <c r="B5346" t="s">
        <v>1154</v>
      </c>
      <c r="C5346" t="str">
        <f t="shared" si="261"/>
        <v>34673140000000</v>
      </c>
      <c r="D5346" t="s">
        <v>6708</v>
      </c>
      <c r="E5346" t="str">
        <f>"34673146033054"</f>
        <v>34673146033054</v>
      </c>
      <c r="F5346" s="8">
        <v>1015</v>
      </c>
      <c r="G5346" s="8">
        <v>14595</v>
      </c>
      <c r="H5346" s="8">
        <v>14603</v>
      </c>
      <c r="I5346" s="8">
        <v>9394</v>
      </c>
    </row>
    <row r="5347" spans="1:9" x14ac:dyDescent="0.2">
      <c r="A5347" t="s">
        <v>1138</v>
      </c>
      <c r="B5347" t="s">
        <v>1154</v>
      </c>
      <c r="C5347" t="str">
        <f t="shared" si="261"/>
        <v>34673140000000</v>
      </c>
      <c r="D5347" t="s">
        <v>6709</v>
      </c>
      <c r="E5347" t="str">
        <f>"34673146120026"</f>
        <v>34673146120026</v>
      </c>
      <c r="F5347" s="8">
        <v>278</v>
      </c>
      <c r="G5347" s="8">
        <v>8731</v>
      </c>
      <c r="H5347" s="8">
        <v>14728</v>
      </c>
      <c r="I5347" s="8">
        <v>15704</v>
      </c>
    </row>
    <row r="5348" spans="1:9" x14ac:dyDescent="0.2">
      <c r="A5348" t="s">
        <v>1138</v>
      </c>
      <c r="B5348" t="s">
        <v>1154</v>
      </c>
      <c r="C5348" t="str">
        <f t="shared" si="261"/>
        <v>34673140000000</v>
      </c>
      <c r="D5348" t="s">
        <v>6710</v>
      </c>
      <c r="E5348" t="str">
        <f>"34673146077291"</f>
        <v>34673146077291</v>
      </c>
      <c r="F5348" s="8">
        <v>1022</v>
      </c>
      <c r="G5348" s="8">
        <v>15154</v>
      </c>
      <c r="H5348" s="8">
        <v>13830</v>
      </c>
      <c r="I5348" s="8">
        <v>9048</v>
      </c>
    </row>
    <row r="5349" spans="1:9" x14ac:dyDescent="0.2">
      <c r="A5349" t="s">
        <v>1138</v>
      </c>
      <c r="B5349" t="s">
        <v>1154</v>
      </c>
      <c r="C5349" t="str">
        <f t="shared" si="261"/>
        <v>34673140000000</v>
      </c>
      <c r="D5349" t="s">
        <v>6711</v>
      </c>
      <c r="E5349" t="str">
        <f>"34673140131516"</f>
        <v>34673140131516</v>
      </c>
      <c r="F5349" s="8">
        <v>199</v>
      </c>
      <c r="G5349" s="8">
        <v>6467</v>
      </c>
      <c r="H5349" s="8">
        <v>10976</v>
      </c>
      <c r="I5349" s="8">
        <v>21201</v>
      </c>
    </row>
    <row r="5350" spans="1:9" x14ac:dyDescent="0.2">
      <c r="A5350" t="s">
        <v>1138</v>
      </c>
      <c r="B5350" t="s">
        <v>1154</v>
      </c>
      <c r="C5350" t="str">
        <f t="shared" si="261"/>
        <v>34673140000000</v>
      </c>
      <c r="D5350" t="s">
        <v>6712</v>
      </c>
      <c r="E5350" t="str">
        <f>"34673146032981"</f>
        <v>34673146032981</v>
      </c>
      <c r="F5350" s="8">
        <v>573</v>
      </c>
      <c r="G5350" s="8">
        <v>7079</v>
      </c>
      <c r="H5350" s="8">
        <v>11643</v>
      </c>
      <c r="I5350" s="8">
        <v>19368</v>
      </c>
    </row>
    <row r="5351" spans="1:9" x14ac:dyDescent="0.2">
      <c r="A5351" t="s">
        <v>1138</v>
      </c>
      <c r="B5351" t="s">
        <v>1154</v>
      </c>
      <c r="C5351" t="str">
        <f t="shared" si="261"/>
        <v>34673140000000</v>
      </c>
      <c r="D5351" t="s">
        <v>6713</v>
      </c>
      <c r="E5351" t="str">
        <f>"34673146120034"</f>
        <v>34673146120034</v>
      </c>
      <c r="F5351" s="8">
        <v>223</v>
      </c>
      <c r="G5351" s="8">
        <v>7530</v>
      </c>
      <c r="H5351" s="8">
        <v>12541</v>
      </c>
      <c r="I5351" s="8">
        <v>18208</v>
      </c>
    </row>
    <row r="5352" spans="1:9" x14ac:dyDescent="0.2">
      <c r="A5352" t="s">
        <v>1138</v>
      </c>
      <c r="B5352" t="s">
        <v>1154</v>
      </c>
      <c r="C5352" t="str">
        <f t="shared" si="261"/>
        <v>34673140000000</v>
      </c>
      <c r="D5352" t="s">
        <v>6714</v>
      </c>
      <c r="E5352" t="str">
        <f>"34673146113179"</f>
        <v>34673146113179</v>
      </c>
      <c r="F5352" s="8">
        <v>637</v>
      </c>
      <c r="G5352" s="8">
        <v>7854</v>
      </c>
      <c r="H5352" s="8">
        <v>12451</v>
      </c>
      <c r="I5352" s="8">
        <v>17457</v>
      </c>
    </row>
    <row r="5353" spans="1:9" x14ac:dyDescent="0.2">
      <c r="A5353" t="s">
        <v>1138</v>
      </c>
      <c r="B5353" t="s">
        <v>1154</v>
      </c>
      <c r="C5353" t="str">
        <f t="shared" si="261"/>
        <v>34673140000000</v>
      </c>
      <c r="D5353" t="s">
        <v>6715</v>
      </c>
      <c r="E5353" t="str">
        <f>"34673146101844"</f>
        <v>34673146101844</v>
      </c>
      <c r="F5353" s="8">
        <v>0</v>
      </c>
      <c r="G5353" s="8">
        <v>9651</v>
      </c>
      <c r="H5353" s="8">
        <v>14529</v>
      </c>
      <c r="I5353" s="8">
        <v>14207</v>
      </c>
    </row>
    <row r="5354" spans="1:9" x14ac:dyDescent="0.2">
      <c r="A5354" t="s">
        <v>1138</v>
      </c>
      <c r="B5354" t="s">
        <v>1154</v>
      </c>
      <c r="C5354" t="str">
        <f t="shared" si="261"/>
        <v>34673140000000</v>
      </c>
      <c r="D5354" t="s">
        <v>6716</v>
      </c>
      <c r="E5354" t="str">
        <f>"34673146098743"</f>
        <v>34673146098743</v>
      </c>
      <c r="F5354" s="8">
        <v>335</v>
      </c>
      <c r="G5354" s="8">
        <v>8836</v>
      </c>
      <c r="H5354" s="8">
        <v>13379</v>
      </c>
      <c r="I5354" s="8">
        <v>15517</v>
      </c>
    </row>
    <row r="5355" spans="1:9" x14ac:dyDescent="0.2">
      <c r="A5355" t="s">
        <v>1138</v>
      </c>
      <c r="B5355" t="s">
        <v>1154</v>
      </c>
      <c r="C5355" t="str">
        <f t="shared" si="261"/>
        <v>34673140000000</v>
      </c>
      <c r="D5355" t="s">
        <v>6717</v>
      </c>
      <c r="E5355" t="str">
        <f>"34673146118053"</f>
        <v>34673146118053</v>
      </c>
      <c r="F5355" s="8">
        <v>24</v>
      </c>
      <c r="G5355" s="8">
        <v>7871</v>
      </c>
      <c r="H5355" s="8">
        <v>12000</v>
      </c>
      <c r="I5355" s="8">
        <v>17419</v>
      </c>
    </row>
    <row r="5356" spans="1:9" x14ac:dyDescent="0.2">
      <c r="A5356" t="s">
        <v>1138</v>
      </c>
      <c r="B5356" t="s">
        <v>1154</v>
      </c>
      <c r="C5356" t="str">
        <f t="shared" si="261"/>
        <v>34673140000000</v>
      </c>
      <c r="D5356" t="s">
        <v>6718</v>
      </c>
      <c r="E5356" t="str">
        <f>"34673146118046"</f>
        <v>34673146118046</v>
      </c>
      <c r="F5356" s="8">
        <v>149</v>
      </c>
      <c r="G5356" s="8">
        <v>7167</v>
      </c>
      <c r="H5356" s="8">
        <v>10690</v>
      </c>
      <c r="I5356" s="8">
        <v>19131</v>
      </c>
    </row>
    <row r="5357" spans="1:9" x14ac:dyDescent="0.2">
      <c r="A5357" t="s">
        <v>1138</v>
      </c>
      <c r="B5357" t="s">
        <v>1154</v>
      </c>
      <c r="C5357" t="str">
        <f t="shared" si="261"/>
        <v>34673140000000</v>
      </c>
      <c r="D5357" t="s">
        <v>6719</v>
      </c>
      <c r="E5357" t="str">
        <f>"34673146109516"</f>
        <v>34673146109516</v>
      </c>
      <c r="F5357" s="8">
        <v>264</v>
      </c>
      <c r="G5357" s="8">
        <v>7073</v>
      </c>
      <c r="H5357" s="8">
        <v>10233</v>
      </c>
      <c r="I5357" s="8">
        <v>19385</v>
      </c>
    </row>
    <row r="5358" spans="1:9" x14ac:dyDescent="0.2">
      <c r="A5358" t="s">
        <v>1138</v>
      </c>
      <c r="B5358" t="s">
        <v>1154</v>
      </c>
      <c r="C5358" t="str">
        <f t="shared" si="261"/>
        <v>34673140000000</v>
      </c>
      <c r="D5358" t="s">
        <v>4208</v>
      </c>
      <c r="E5358" t="str">
        <f>"34673140114702"</f>
        <v>34673140114702</v>
      </c>
      <c r="F5358" s="8">
        <v>14</v>
      </c>
      <c r="G5358" s="8">
        <v>7557</v>
      </c>
      <c r="H5358" s="8">
        <v>11004</v>
      </c>
      <c r="I5358" s="8">
        <v>18143</v>
      </c>
    </row>
    <row r="5359" spans="1:9" x14ac:dyDescent="0.2">
      <c r="A5359" t="s">
        <v>1138</v>
      </c>
      <c r="B5359" t="s">
        <v>1154</v>
      </c>
      <c r="C5359" t="str">
        <f t="shared" si="261"/>
        <v>34673140000000</v>
      </c>
      <c r="D5359" t="s">
        <v>6720</v>
      </c>
      <c r="E5359" t="str">
        <f>"34673146110985"</f>
        <v>34673146110985</v>
      </c>
      <c r="F5359" s="8">
        <v>542</v>
      </c>
      <c r="G5359" s="8">
        <v>6617</v>
      </c>
      <c r="H5359" s="8">
        <v>8837</v>
      </c>
      <c r="I5359" s="8">
        <v>20721</v>
      </c>
    </row>
    <row r="5360" spans="1:9" x14ac:dyDescent="0.2">
      <c r="A5360" t="s">
        <v>1138</v>
      </c>
      <c r="B5360" t="s">
        <v>1154</v>
      </c>
      <c r="C5360" t="str">
        <f t="shared" si="261"/>
        <v>34673140000000</v>
      </c>
      <c r="D5360" t="s">
        <v>6721</v>
      </c>
      <c r="E5360" t="str">
        <f>"34673140135400"</f>
        <v>34673140135400</v>
      </c>
      <c r="F5360" s="8">
        <v>15</v>
      </c>
      <c r="G5360" s="8">
        <v>5586</v>
      </c>
      <c r="H5360" s="8">
        <v>6562</v>
      </c>
      <c r="I5360" s="8">
        <v>24545</v>
      </c>
    </row>
    <row r="5361" spans="1:9" x14ac:dyDescent="0.2">
      <c r="A5361" t="s">
        <v>1138</v>
      </c>
      <c r="B5361" t="s">
        <v>1154</v>
      </c>
      <c r="C5361" t="str">
        <f t="shared" si="261"/>
        <v>34673140000000</v>
      </c>
      <c r="D5361" t="s">
        <v>6722</v>
      </c>
      <c r="E5361" t="str">
        <f>"34673146033047"</f>
        <v>34673146033047</v>
      </c>
      <c r="F5361" s="8">
        <v>7</v>
      </c>
      <c r="G5361" s="8">
        <v>7081</v>
      </c>
      <c r="H5361" s="8">
        <v>10077</v>
      </c>
      <c r="I5361" s="8">
        <v>19363</v>
      </c>
    </row>
    <row r="5362" spans="1:9" x14ac:dyDescent="0.2">
      <c r="A5362" t="s">
        <v>1138</v>
      </c>
      <c r="B5362" t="s">
        <v>1154</v>
      </c>
      <c r="C5362" t="str">
        <f t="shared" si="261"/>
        <v>34673140000000</v>
      </c>
      <c r="D5362" t="s">
        <v>6723</v>
      </c>
      <c r="E5362" t="str">
        <f>"34673146120018"</f>
        <v>34673146120018</v>
      </c>
      <c r="F5362" s="8">
        <v>928</v>
      </c>
      <c r="G5362" s="8">
        <v>7220</v>
      </c>
      <c r="H5362" s="8">
        <v>9234</v>
      </c>
      <c r="I5362" s="8">
        <v>18990</v>
      </c>
    </row>
    <row r="5363" spans="1:9" x14ac:dyDescent="0.2">
      <c r="A5363" t="s">
        <v>1138</v>
      </c>
      <c r="B5363" t="s">
        <v>1154</v>
      </c>
      <c r="C5363" t="str">
        <f t="shared" si="261"/>
        <v>34673140000000</v>
      </c>
      <c r="D5363" t="s">
        <v>6724</v>
      </c>
      <c r="E5363" t="str">
        <f>"34673140108720"</f>
        <v>34673140108720</v>
      </c>
      <c r="F5363" s="8">
        <v>127</v>
      </c>
      <c r="G5363" s="8">
        <v>7479</v>
      </c>
      <c r="H5363" s="8">
        <v>10368</v>
      </c>
      <c r="I5363" s="8">
        <v>18332</v>
      </c>
    </row>
    <row r="5364" spans="1:9" x14ac:dyDescent="0.2">
      <c r="A5364" t="s">
        <v>1138</v>
      </c>
      <c r="B5364" t="s">
        <v>1154</v>
      </c>
      <c r="C5364" t="str">
        <f t="shared" si="261"/>
        <v>34673140000000</v>
      </c>
      <c r="D5364" t="s">
        <v>6725</v>
      </c>
      <c r="E5364" t="str">
        <f>"34673146107718"</f>
        <v>34673146107718</v>
      </c>
      <c r="F5364" s="8">
        <v>923</v>
      </c>
      <c r="G5364" s="8">
        <v>13544</v>
      </c>
      <c r="H5364" s="8">
        <v>11565</v>
      </c>
      <c r="I5364" s="8">
        <v>10123</v>
      </c>
    </row>
    <row r="5365" spans="1:9" x14ac:dyDescent="0.2">
      <c r="A5365" t="s">
        <v>1138</v>
      </c>
      <c r="B5365" t="s">
        <v>1154</v>
      </c>
      <c r="C5365" t="str">
        <f t="shared" si="261"/>
        <v>34673140000000</v>
      </c>
      <c r="D5365" t="s">
        <v>6726</v>
      </c>
      <c r="E5365" t="str">
        <f>"34673146112106"</f>
        <v>34673146112106</v>
      </c>
      <c r="F5365" s="8">
        <v>16</v>
      </c>
      <c r="G5365" s="8">
        <v>10122</v>
      </c>
      <c r="H5365" s="8">
        <v>12326</v>
      </c>
      <c r="I5365" s="8">
        <v>13546</v>
      </c>
    </row>
    <row r="5366" spans="1:9" x14ac:dyDescent="0.2">
      <c r="A5366" t="s">
        <v>1138</v>
      </c>
      <c r="B5366" t="s">
        <v>1154</v>
      </c>
      <c r="C5366" t="str">
        <f t="shared" si="261"/>
        <v>34673140000000</v>
      </c>
      <c r="D5366" t="s">
        <v>6727</v>
      </c>
      <c r="E5366" t="str">
        <f>"34673140108738"</f>
        <v>34673140108738</v>
      </c>
      <c r="F5366" s="8">
        <v>3</v>
      </c>
      <c r="G5366" s="8">
        <v>7734</v>
      </c>
      <c r="H5366" s="8">
        <v>10245</v>
      </c>
      <c r="I5366" s="8">
        <v>17728</v>
      </c>
    </row>
    <row r="5367" spans="1:9" x14ac:dyDescent="0.2">
      <c r="A5367" t="s">
        <v>1138</v>
      </c>
      <c r="B5367" t="s">
        <v>1154</v>
      </c>
      <c r="C5367" t="str">
        <f t="shared" ref="C5367:C5400" si="262">"34673140000000"</f>
        <v>34673140000000</v>
      </c>
      <c r="D5367" t="s">
        <v>6728</v>
      </c>
      <c r="E5367" t="str">
        <f>"34673146107700"</f>
        <v>34673146107700</v>
      </c>
      <c r="F5367" s="8">
        <v>94</v>
      </c>
      <c r="G5367" s="8">
        <v>8308</v>
      </c>
      <c r="H5367" s="8">
        <v>10703</v>
      </c>
      <c r="I5367" s="8">
        <v>16503</v>
      </c>
    </row>
    <row r="5368" spans="1:9" x14ac:dyDescent="0.2">
      <c r="A5368" t="s">
        <v>1138</v>
      </c>
      <c r="B5368" t="s">
        <v>1154</v>
      </c>
      <c r="C5368" t="str">
        <f t="shared" si="262"/>
        <v>34673140000000</v>
      </c>
      <c r="D5368" t="s">
        <v>6729</v>
      </c>
      <c r="E5368" t="str">
        <f>"34673140105932"</f>
        <v>34673140105932</v>
      </c>
      <c r="F5368" s="8">
        <v>169</v>
      </c>
      <c r="G5368" s="8">
        <v>7442</v>
      </c>
      <c r="H5368" s="8">
        <v>9375</v>
      </c>
      <c r="I5368" s="8">
        <v>18424</v>
      </c>
    </row>
    <row r="5369" spans="1:9" x14ac:dyDescent="0.2">
      <c r="A5369" t="s">
        <v>1138</v>
      </c>
      <c r="B5369" t="s">
        <v>1154</v>
      </c>
      <c r="C5369" t="str">
        <f t="shared" si="262"/>
        <v>34673140000000</v>
      </c>
      <c r="D5369" t="s">
        <v>6730</v>
      </c>
      <c r="E5369" t="str">
        <f>"34673146110118"</f>
        <v>34673146110118</v>
      </c>
      <c r="F5369" s="8">
        <v>22</v>
      </c>
      <c r="G5369" s="8">
        <v>8199</v>
      </c>
      <c r="H5369" s="8">
        <v>10318</v>
      </c>
      <c r="I5369" s="8">
        <v>16723</v>
      </c>
    </row>
    <row r="5370" spans="1:9" x14ac:dyDescent="0.2">
      <c r="A5370" t="s">
        <v>1138</v>
      </c>
      <c r="B5370" t="s">
        <v>1154</v>
      </c>
      <c r="C5370" t="str">
        <f t="shared" si="262"/>
        <v>34673140000000</v>
      </c>
      <c r="D5370" t="s">
        <v>6731</v>
      </c>
      <c r="E5370" t="str">
        <f>"34673140111112"</f>
        <v>34673140111112</v>
      </c>
      <c r="F5370" s="8">
        <v>9</v>
      </c>
      <c r="G5370" s="8">
        <v>7670</v>
      </c>
      <c r="H5370" s="8">
        <v>9594</v>
      </c>
      <c r="I5370" s="8">
        <v>17876</v>
      </c>
    </row>
    <row r="5371" spans="1:9" x14ac:dyDescent="0.2">
      <c r="A5371" t="s">
        <v>1138</v>
      </c>
      <c r="B5371" t="s">
        <v>1154</v>
      </c>
      <c r="C5371" t="str">
        <f t="shared" si="262"/>
        <v>34673140000000</v>
      </c>
      <c r="D5371" t="s">
        <v>6732</v>
      </c>
      <c r="E5371" t="str">
        <f>"34673140105908"</f>
        <v>34673140105908</v>
      </c>
      <c r="F5371" s="8">
        <v>24</v>
      </c>
      <c r="G5371" s="8">
        <v>7277</v>
      </c>
      <c r="H5371" s="8">
        <v>8882</v>
      </c>
      <c r="I5371" s="8">
        <v>18841</v>
      </c>
    </row>
    <row r="5372" spans="1:9" x14ac:dyDescent="0.2">
      <c r="A5372" t="s">
        <v>1138</v>
      </c>
      <c r="B5372" t="s">
        <v>1154</v>
      </c>
      <c r="C5372" t="str">
        <f t="shared" si="262"/>
        <v>34673140000000</v>
      </c>
      <c r="D5372" t="s">
        <v>6733</v>
      </c>
      <c r="E5372" t="str">
        <f>"34673146033021"</f>
        <v>34673146033021</v>
      </c>
      <c r="F5372" s="8">
        <v>1182</v>
      </c>
      <c r="G5372" s="8">
        <v>12982</v>
      </c>
      <c r="H5372" s="8">
        <v>10281</v>
      </c>
      <c r="I5372" s="8">
        <v>10561</v>
      </c>
    </row>
    <row r="5373" spans="1:9" x14ac:dyDescent="0.2">
      <c r="A5373" t="s">
        <v>1138</v>
      </c>
      <c r="B5373" t="s">
        <v>1154</v>
      </c>
      <c r="C5373" t="str">
        <f t="shared" si="262"/>
        <v>34673140000000</v>
      </c>
      <c r="D5373" t="s">
        <v>6734</v>
      </c>
      <c r="E5373" t="str">
        <f>"34673146059174"</f>
        <v>34673146059174</v>
      </c>
      <c r="F5373" s="8">
        <v>490</v>
      </c>
      <c r="G5373" s="8">
        <v>7884</v>
      </c>
      <c r="H5373" s="8">
        <v>9060</v>
      </c>
      <c r="I5373" s="8">
        <v>17391</v>
      </c>
    </row>
    <row r="5374" spans="1:9" x14ac:dyDescent="0.2">
      <c r="A5374" t="s">
        <v>1138</v>
      </c>
      <c r="B5374" t="s">
        <v>1154</v>
      </c>
      <c r="C5374" t="str">
        <f t="shared" si="262"/>
        <v>34673140000000</v>
      </c>
      <c r="D5374" t="s">
        <v>6735</v>
      </c>
      <c r="E5374" t="str">
        <f>"34673146116818"</f>
        <v>34673146116818</v>
      </c>
      <c r="F5374" s="8">
        <v>9</v>
      </c>
      <c r="G5374" s="8">
        <v>8838</v>
      </c>
      <c r="H5374" s="8">
        <v>10306</v>
      </c>
      <c r="I5374" s="8">
        <v>15514</v>
      </c>
    </row>
    <row r="5375" spans="1:9" x14ac:dyDescent="0.2">
      <c r="A5375" t="s">
        <v>1138</v>
      </c>
      <c r="B5375" t="s">
        <v>1154</v>
      </c>
      <c r="C5375" t="str">
        <f t="shared" si="262"/>
        <v>34673140000000</v>
      </c>
      <c r="D5375" t="s">
        <v>6736</v>
      </c>
      <c r="E5375" t="str">
        <f>"34673146106355"</f>
        <v>34673146106355</v>
      </c>
      <c r="F5375" s="8">
        <v>695</v>
      </c>
      <c r="G5375" s="8">
        <v>13560</v>
      </c>
      <c r="H5375" s="8">
        <v>10269</v>
      </c>
      <c r="I5375" s="8">
        <v>10111</v>
      </c>
    </row>
    <row r="5376" spans="1:9" x14ac:dyDescent="0.2">
      <c r="A5376" t="s">
        <v>1138</v>
      </c>
      <c r="B5376" t="s">
        <v>1154</v>
      </c>
      <c r="C5376" t="str">
        <f t="shared" si="262"/>
        <v>34673140000000</v>
      </c>
      <c r="D5376" t="s">
        <v>6737</v>
      </c>
      <c r="E5376" t="str">
        <f>"34673146098750"</f>
        <v>34673146098750</v>
      </c>
      <c r="F5376" s="8">
        <v>1170</v>
      </c>
      <c r="G5376" s="8">
        <v>13389</v>
      </c>
      <c r="H5376" s="8">
        <v>9780</v>
      </c>
      <c r="I5376" s="8">
        <v>10240</v>
      </c>
    </row>
    <row r="5377" spans="1:9" x14ac:dyDescent="0.2">
      <c r="A5377" t="s">
        <v>1138</v>
      </c>
      <c r="B5377" t="s">
        <v>1154</v>
      </c>
      <c r="C5377" t="str">
        <f t="shared" si="262"/>
        <v>34673140000000</v>
      </c>
      <c r="D5377" t="s">
        <v>1894</v>
      </c>
      <c r="E5377" t="str">
        <f>"34673146033062"</f>
        <v>34673146033062</v>
      </c>
      <c r="F5377" s="8">
        <v>418</v>
      </c>
      <c r="G5377" s="8">
        <v>13067</v>
      </c>
      <c r="H5377" s="8">
        <v>10572</v>
      </c>
      <c r="I5377" s="8">
        <v>10493</v>
      </c>
    </row>
    <row r="5378" spans="1:9" x14ac:dyDescent="0.2">
      <c r="A5378" t="s">
        <v>1138</v>
      </c>
      <c r="B5378" t="s">
        <v>1154</v>
      </c>
      <c r="C5378" t="str">
        <f t="shared" si="262"/>
        <v>34673140000000</v>
      </c>
      <c r="D5378" t="s">
        <v>6738</v>
      </c>
      <c r="E5378" t="str">
        <f>"34673140101790"</f>
        <v>34673140101790</v>
      </c>
      <c r="F5378" s="8">
        <v>16</v>
      </c>
      <c r="G5378" s="8">
        <v>8577</v>
      </c>
      <c r="H5378" s="8">
        <v>9937</v>
      </c>
      <c r="I5378" s="8">
        <v>15986</v>
      </c>
    </row>
    <row r="5379" spans="1:9" x14ac:dyDescent="0.2">
      <c r="A5379" t="s">
        <v>1138</v>
      </c>
      <c r="B5379" t="s">
        <v>1154</v>
      </c>
      <c r="C5379" t="str">
        <f t="shared" si="262"/>
        <v>34673140000000</v>
      </c>
      <c r="D5379" t="s">
        <v>6739</v>
      </c>
      <c r="E5379" t="str">
        <f>"34673140135392"</f>
        <v>34673140135392</v>
      </c>
      <c r="F5379" s="8">
        <v>8</v>
      </c>
      <c r="G5379" s="8">
        <v>13160</v>
      </c>
      <c r="H5379" s="8">
        <v>10743</v>
      </c>
      <c r="I5379" s="8">
        <v>10419</v>
      </c>
    </row>
    <row r="5380" spans="1:9" x14ac:dyDescent="0.2">
      <c r="A5380" t="s">
        <v>1138</v>
      </c>
      <c r="B5380" t="s">
        <v>1154</v>
      </c>
      <c r="C5380" t="str">
        <f t="shared" si="262"/>
        <v>34673140000000</v>
      </c>
      <c r="D5380" t="s">
        <v>6740</v>
      </c>
      <c r="E5380" t="str">
        <f>"34673146033005"</f>
        <v>34673146033005</v>
      </c>
      <c r="F5380" s="8">
        <v>777</v>
      </c>
      <c r="G5380" s="8">
        <v>13062</v>
      </c>
      <c r="H5380" s="8">
        <v>9926</v>
      </c>
      <c r="I5380" s="8">
        <v>10497</v>
      </c>
    </row>
    <row r="5381" spans="1:9" x14ac:dyDescent="0.2">
      <c r="A5381" t="s">
        <v>1138</v>
      </c>
      <c r="B5381" t="s">
        <v>1154</v>
      </c>
      <c r="C5381" t="str">
        <f t="shared" si="262"/>
        <v>34673140000000</v>
      </c>
      <c r="D5381" t="s">
        <v>6741</v>
      </c>
      <c r="E5381" t="str">
        <f>"34673146109821"</f>
        <v>34673146109821</v>
      </c>
      <c r="F5381" s="8">
        <v>406</v>
      </c>
      <c r="G5381" s="8">
        <v>8285</v>
      </c>
      <c r="H5381" s="8">
        <v>8928</v>
      </c>
      <c r="I5381" s="8">
        <v>16549</v>
      </c>
    </row>
    <row r="5382" spans="1:9" x14ac:dyDescent="0.2">
      <c r="A5382" t="s">
        <v>1138</v>
      </c>
      <c r="B5382" t="s">
        <v>1154</v>
      </c>
      <c r="C5382" t="str">
        <f t="shared" si="262"/>
        <v>34673140000000</v>
      </c>
      <c r="D5382" t="s">
        <v>6742</v>
      </c>
      <c r="E5382" t="str">
        <f>"34673146113187"</f>
        <v>34673146113187</v>
      </c>
      <c r="F5382" s="8">
        <v>390</v>
      </c>
      <c r="G5382" s="8">
        <v>13164</v>
      </c>
      <c r="H5382" s="8">
        <v>9995</v>
      </c>
      <c r="I5382" s="8">
        <v>10415</v>
      </c>
    </row>
    <row r="5383" spans="1:9" x14ac:dyDescent="0.2">
      <c r="A5383" t="s">
        <v>1138</v>
      </c>
      <c r="B5383" t="s">
        <v>1154</v>
      </c>
      <c r="C5383" t="str">
        <f t="shared" si="262"/>
        <v>34673140000000</v>
      </c>
      <c r="D5383" t="s">
        <v>6743</v>
      </c>
      <c r="E5383" t="str">
        <f>"34673146061808"</f>
        <v>34673146061808</v>
      </c>
      <c r="F5383" s="8">
        <v>31</v>
      </c>
      <c r="G5383" s="8">
        <v>9373</v>
      </c>
      <c r="H5383" s="8">
        <v>9746</v>
      </c>
      <c r="I5383" s="8">
        <v>14628</v>
      </c>
    </row>
    <row r="5384" spans="1:9" x14ac:dyDescent="0.2">
      <c r="A5384" t="s">
        <v>1138</v>
      </c>
      <c r="B5384" t="s">
        <v>1154</v>
      </c>
      <c r="C5384" t="str">
        <f t="shared" si="262"/>
        <v>34673140000000</v>
      </c>
      <c r="D5384" t="s">
        <v>6744</v>
      </c>
      <c r="E5384" t="str">
        <f>"34673146113831"</f>
        <v>34673146113831</v>
      </c>
      <c r="F5384" s="8">
        <v>215</v>
      </c>
      <c r="G5384" s="8">
        <v>7267</v>
      </c>
      <c r="H5384" s="8">
        <v>7265</v>
      </c>
      <c r="I5384" s="8">
        <v>18867</v>
      </c>
    </row>
    <row r="5385" spans="1:9" x14ac:dyDescent="0.2">
      <c r="A5385" t="s">
        <v>1138</v>
      </c>
      <c r="B5385" t="s">
        <v>1154</v>
      </c>
      <c r="C5385" t="str">
        <f t="shared" si="262"/>
        <v>34673140000000</v>
      </c>
      <c r="D5385" t="s">
        <v>6745</v>
      </c>
      <c r="E5385" t="str">
        <f>"34673146033104"</f>
        <v>34673146033104</v>
      </c>
      <c r="F5385" s="8">
        <v>570</v>
      </c>
      <c r="G5385" s="8">
        <v>13017</v>
      </c>
      <c r="H5385" s="8">
        <v>9060</v>
      </c>
      <c r="I5385" s="8">
        <v>10533</v>
      </c>
    </row>
    <row r="5386" spans="1:9" x14ac:dyDescent="0.2">
      <c r="A5386" t="s">
        <v>1138</v>
      </c>
      <c r="B5386" t="s">
        <v>1154</v>
      </c>
      <c r="C5386" t="str">
        <f t="shared" si="262"/>
        <v>34673140000000</v>
      </c>
      <c r="D5386" t="s">
        <v>6746</v>
      </c>
      <c r="E5386" t="str">
        <f>"34673140116871"</f>
        <v>34673140116871</v>
      </c>
      <c r="F5386" s="8">
        <v>45</v>
      </c>
      <c r="G5386" s="8">
        <v>8289</v>
      </c>
      <c r="H5386" s="8">
        <v>8253</v>
      </c>
      <c r="I5386" s="8">
        <v>16541</v>
      </c>
    </row>
    <row r="5387" spans="1:9" x14ac:dyDescent="0.2">
      <c r="A5387" t="s">
        <v>1138</v>
      </c>
      <c r="B5387" t="s">
        <v>1154</v>
      </c>
      <c r="C5387" t="str">
        <f t="shared" si="262"/>
        <v>34673140000000</v>
      </c>
      <c r="D5387" t="s">
        <v>6747</v>
      </c>
      <c r="E5387" t="str">
        <f>"34673146112031"</f>
        <v>34673146112031</v>
      </c>
      <c r="F5387" s="8">
        <v>57</v>
      </c>
      <c r="G5387" s="8">
        <v>8268</v>
      </c>
      <c r="H5387" s="8">
        <v>7897</v>
      </c>
      <c r="I5387" s="8">
        <v>16583</v>
      </c>
    </row>
    <row r="5388" spans="1:9" x14ac:dyDescent="0.2">
      <c r="A5388" t="s">
        <v>1138</v>
      </c>
      <c r="B5388" t="s">
        <v>1154</v>
      </c>
      <c r="C5388" t="str">
        <f t="shared" si="262"/>
        <v>34673140000000</v>
      </c>
      <c r="D5388" t="s">
        <v>6748</v>
      </c>
      <c r="E5388" t="str">
        <f>"34673140105924"</f>
        <v>34673140105924</v>
      </c>
      <c r="F5388" s="8">
        <v>274</v>
      </c>
      <c r="G5388" s="8">
        <v>7907</v>
      </c>
      <c r="H5388" s="8">
        <v>7091</v>
      </c>
      <c r="I5388" s="8">
        <v>17340</v>
      </c>
    </row>
    <row r="5389" spans="1:9" x14ac:dyDescent="0.2">
      <c r="A5389" t="s">
        <v>1138</v>
      </c>
      <c r="B5389" t="s">
        <v>1154</v>
      </c>
      <c r="C5389" t="str">
        <f t="shared" si="262"/>
        <v>34673140000000</v>
      </c>
      <c r="D5389" t="s">
        <v>6749</v>
      </c>
      <c r="E5389" t="str">
        <f>"34673146120000"</f>
        <v>34673146120000</v>
      </c>
      <c r="F5389" s="8">
        <v>7</v>
      </c>
      <c r="G5389" s="8">
        <v>7381</v>
      </c>
      <c r="H5389" s="8">
        <v>6444</v>
      </c>
      <c r="I5389" s="8">
        <v>18576</v>
      </c>
    </row>
    <row r="5390" spans="1:9" x14ac:dyDescent="0.2">
      <c r="A5390" t="s">
        <v>1138</v>
      </c>
      <c r="B5390" t="s">
        <v>1154</v>
      </c>
      <c r="C5390" t="str">
        <f t="shared" si="262"/>
        <v>34673140000000</v>
      </c>
      <c r="D5390" t="s">
        <v>6750</v>
      </c>
      <c r="E5390" t="str">
        <f>"34673140108746"</f>
        <v>34673140108746</v>
      </c>
      <c r="F5390" s="8">
        <v>2</v>
      </c>
      <c r="G5390" s="8">
        <v>7882</v>
      </c>
      <c r="H5390" s="8">
        <v>6303</v>
      </c>
      <c r="I5390" s="8">
        <v>17395</v>
      </c>
    </row>
    <row r="5391" spans="1:9" x14ac:dyDescent="0.2">
      <c r="A5391" t="s">
        <v>1138</v>
      </c>
      <c r="B5391" t="s">
        <v>1154</v>
      </c>
      <c r="C5391" t="str">
        <f t="shared" si="262"/>
        <v>34673140000000</v>
      </c>
      <c r="D5391" t="s">
        <v>3266</v>
      </c>
      <c r="E5391" t="str">
        <f>"34673143430170"</f>
        <v>34673143430170</v>
      </c>
      <c r="F5391" s="8">
        <v>617</v>
      </c>
      <c r="G5391" s="8">
        <v>7929</v>
      </c>
      <c r="H5391" s="8">
        <v>4884</v>
      </c>
      <c r="I5391" s="8">
        <v>17292</v>
      </c>
    </row>
    <row r="5392" spans="1:9" x14ac:dyDescent="0.2">
      <c r="A5392" t="s">
        <v>1138</v>
      </c>
      <c r="B5392" t="s">
        <v>1154</v>
      </c>
      <c r="C5392" t="str">
        <f t="shared" si="262"/>
        <v>34673140000000</v>
      </c>
      <c r="D5392" t="s">
        <v>6751</v>
      </c>
      <c r="E5392" t="str">
        <f>"34673143430477"</f>
        <v>34673143430477</v>
      </c>
      <c r="F5392" s="8">
        <v>491</v>
      </c>
      <c r="G5392" s="8">
        <v>8532</v>
      </c>
      <c r="H5392" s="8">
        <v>4989</v>
      </c>
      <c r="I5392" s="8">
        <v>16070</v>
      </c>
    </row>
    <row r="5393" spans="1:9" x14ac:dyDescent="0.2">
      <c r="A5393" t="s">
        <v>1138</v>
      </c>
      <c r="B5393" t="s">
        <v>1154</v>
      </c>
      <c r="C5393" t="str">
        <f t="shared" si="262"/>
        <v>34673140000000</v>
      </c>
      <c r="D5393" t="s">
        <v>6752</v>
      </c>
      <c r="E5393" t="str">
        <f>"34673143430618"</f>
        <v>34673143430618</v>
      </c>
      <c r="F5393" s="8">
        <v>17</v>
      </c>
      <c r="G5393" s="8">
        <v>7019</v>
      </c>
      <c r="H5393" s="8">
        <v>3316</v>
      </c>
      <c r="I5393" s="8">
        <v>19534</v>
      </c>
    </row>
    <row r="5394" spans="1:9" x14ac:dyDescent="0.2">
      <c r="A5394" t="s">
        <v>1138</v>
      </c>
      <c r="B5394" t="s">
        <v>1154</v>
      </c>
      <c r="C5394" t="str">
        <f t="shared" si="262"/>
        <v>34673140000000</v>
      </c>
      <c r="D5394" t="s">
        <v>6753</v>
      </c>
      <c r="E5394" t="str">
        <f>"34673140105916"</f>
        <v>34673140105916</v>
      </c>
      <c r="F5394" s="8">
        <v>399</v>
      </c>
      <c r="G5394" s="8">
        <v>7487</v>
      </c>
      <c r="H5394" s="8">
        <v>3659</v>
      </c>
      <c r="I5394" s="8">
        <v>18313</v>
      </c>
    </row>
    <row r="5395" spans="1:9" x14ac:dyDescent="0.2">
      <c r="A5395" t="s">
        <v>1138</v>
      </c>
      <c r="B5395" t="s">
        <v>1154</v>
      </c>
      <c r="C5395" t="str">
        <f t="shared" si="262"/>
        <v>34673140000000</v>
      </c>
      <c r="D5395" t="s">
        <v>6754</v>
      </c>
      <c r="E5395" t="str">
        <f>"34673140116897"</f>
        <v>34673140116897</v>
      </c>
      <c r="F5395" s="8">
        <v>44</v>
      </c>
      <c r="G5395" s="8">
        <v>7625</v>
      </c>
      <c r="H5395" s="8">
        <v>4152</v>
      </c>
      <c r="I5395" s="8">
        <v>17981</v>
      </c>
    </row>
    <row r="5396" spans="1:9" x14ac:dyDescent="0.2">
      <c r="A5396" t="s">
        <v>1138</v>
      </c>
      <c r="B5396" t="s">
        <v>1154</v>
      </c>
      <c r="C5396" t="str">
        <f t="shared" si="262"/>
        <v>34673140000000</v>
      </c>
      <c r="D5396" t="s">
        <v>6755</v>
      </c>
      <c r="E5396" t="str">
        <f>"34673143430873"</f>
        <v>34673143430873</v>
      </c>
      <c r="F5396" s="8">
        <v>26</v>
      </c>
      <c r="G5396" s="8">
        <v>6910</v>
      </c>
      <c r="H5396" s="8">
        <v>2988</v>
      </c>
      <c r="I5396" s="8">
        <v>19842</v>
      </c>
    </row>
    <row r="5397" spans="1:9" x14ac:dyDescent="0.2">
      <c r="A5397" t="s">
        <v>1138</v>
      </c>
      <c r="B5397" t="s">
        <v>1154</v>
      </c>
      <c r="C5397" t="str">
        <f t="shared" si="262"/>
        <v>34673140000000</v>
      </c>
      <c r="D5397" t="s">
        <v>6756</v>
      </c>
      <c r="E5397" t="str">
        <f>"34673143430592"</f>
        <v>34673143430592</v>
      </c>
      <c r="F5397" s="8">
        <v>44</v>
      </c>
      <c r="G5397" s="8">
        <v>7870</v>
      </c>
      <c r="H5397" s="8">
        <v>4074</v>
      </c>
      <c r="I5397" s="8">
        <v>17422</v>
      </c>
    </row>
    <row r="5398" spans="1:9" x14ac:dyDescent="0.2">
      <c r="A5398" t="s">
        <v>1138</v>
      </c>
      <c r="B5398" t="s">
        <v>1154</v>
      </c>
      <c r="C5398" t="str">
        <f t="shared" si="262"/>
        <v>34673140000000</v>
      </c>
      <c r="D5398" t="s">
        <v>6757</v>
      </c>
      <c r="E5398" t="str">
        <f>"34673143432572"</f>
        <v>34673143432572</v>
      </c>
      <c r="F5398" s="8">
        <v>10</v>
      </c>
      <c r="G5398" s="8">
        <v>8463</v>
      </c>
      <c r="H5398" s="8">
        <v>4647</v>
      </c>
      <c r="I5398" s="8">
        <v>16201</v>
      </c>
    </row>
    <row r="5399" spans="1:9" x14ac:dyDescent="0.2">
      <c r="A5399" t="s">
        <v>1138</v>
      </c>
      <c r="B5399" t="s">
        <v>1154</v>
      </c>
      <c r="C5399" t="str">
        <f t="shared" si="262"/>
        <v>34673140000000</v>
      </c>
      <c r="D5399" t="s">
        <v>6758</v>
      </c>
      <c r="E5399" t="str">
        <f>"34673140108753"</f>
        <v>34673140108753</v>
      </c>
      <c r="F5399" s="8">
        <v>36</v>
      </c>
      <c r="G5399" s="8">
        <v>7636</v>
      </c>
      <c r="H5399" s="8">
        <v>3352</v>
      </c>
      <c r="I5399" s="8">
        <v>17956</v>
      </c>
    </row>
    <row r="5400" spans="1:9" x14ac:dyDescent="0.2">
      <c r="A5400" t="s">
        <v>1138</v>
      </c>
      <c r="B5400" t="s">
        <v>1154</v>
      </c>
      <c r="C5400" t="str">
        <f t="shared" si="262"/>
        <v>34673140000000</v>
      </c>
      <c r="D5400" t="s">
        <v>6759</v>
      </c>
      <c r="E5400" t="str">
        <f>"34673146112254"</f>
        <v>34673146112254</v>
      </c>
      <c r="F5400" s="8">
        <v>79</v>
      </c>
      <c r="G5400" s="8">
        <v>9188</v>
      </c>
      <c r="H5400" s="8">
        <v>0</v>
      </c>
      <c r="I5400" s="8">
        <v>0</v>
      </c>
    </row>
    <row r="5401" spans="1:9" x14ac:dyDescent="0.2">
      <c r="A5401" t="s">
        <v>1138</v>
      </c>
      <c r="B5401" t="s">
        <v>1155</v>
      </c>
      <c r="C5401" t="str">
        <f>"34673220000000"</f>
        <v>34673220000000</v>
      </c>
      <c r="D5401" t="s">
        <v>6760</v>
      </c>
      <c r="E5401" t="str">
        <f>"34673226033120"</f>
        <v>34673226033120</v>
      </c>
      <c r="F5401" s="8">
        <v>1666</v>
      </c>
      <c r="G5401" s="8">
        <v>8998</v>
      </c>
      <c r="H5401" s="8">
        <v>593</v>
      </c>
      <c r="I5401" s="8">
        <v>2333</v>
      </c>
    </row>
    <row r="5402" spans="1:9" x14ac:dyDescent="0.2">
      <c r="A5402" t="s">
        <v>1138</v>
      </c>
      <c r="B5402" t="s">
        <v>1155</v>
      </c>
      <c r="C5402" t="str">
        <f>"34673220000000"</f>
        <v>34673220000000</v>
      </c>
      <c r="D5402" t="s">
        <v>6761</v>
      </c>
      <c r="E5402" t="str">
        <f>"34673226033138"</f>
        <v>34673226033138</v>
      </c>
      <c r="F5402" s="8">
        <v>1666</v>
      </c>
      <c r="G5402" s="8">
        <v>8998</v>
      </c>
      <c r="H5402" s="8">
        <v>593</v>
      </c>
      <c r="I5402" s="8">
        <v>2333</v>
      </c>
    </row>
    <row r="5403" spans="1:9" x14ac:dyDescent="0.2">
      <c r="A5403" t="s">
        <v>1138</v>
      </c>
      <c r="B5403" t="s">
        <v>1155</v>
      </c>
      <c r="C5403" t="str">
        <f>"34673220000000"</f>
        <v>34673220000000</v>
      </c>
      <c r="D5403" t="s">
        <v>6762</v>
      </c>
      <c r="E5403" t="str">
        <f>"34673220127860"</f>
        <v>34673220127860</v>
      </c>
      <c r="F5403" s="8">
        <v>827</v>
      </c>
      <c r="G5403" s="8">
        <v>10517</v>
      </c>
      <c r="H5403" s="8">
        <v>0</v>
      </c>
      <c r="I5403" s="8">
        <v>210</v>
      </c>
    </row>
    <row r="5404" spans="1:9" x14ac:dyDescent="0.2">
      <c r="A5404" t="s">
        <v>1138</v>
      </c>
      <c r="B5404" t="s">
        <v>1156</v>
      </c>
      <c r="C5404" t="str">
        <f t="shared" ref="C5404:C5436" si="263">"34673300000000"</f>
        <v>34673300000000</v>
      </c>
      <c r="D5404" t="s">
        <v>6763</v>
      </c>
      <c r="E5404" t="str">
        <f>"34673303430667"</f>
        <v>34673303430667</v>
      </c>
      <c r="F5404" s="8">
        <v>1592</v>
      </c>
      <c r="G5404" s="8">
        <v>39111</v>
      </c>
      <c r="H5404" s="8">
        <v>691</v>
      </c>
      <c r="I5404" s="8">
        <v>4669</v>
      </c>
    </row>
    <row r="5405" spans="1:9" x14ac:dyDescent="0.2">
      <c r="A5405" t="s">
        <v>1138</v>
      </c>
      <c r="B5405" t="s">
        <v>1156</v>
      </c>
      <c r="C5405" t="str">
        <f t="shared" si="263"/>
        <v>34673300000000</v>
      </c>
      <c r="D5405" t="s">
        <v>6764</v>
      </c>
      <c r="E5405" t="str">
        <f>"34673303430709"</f>
        <v>34673303430709</v>
      </c>
      <c r="F5405" s="8">
        <v>1818</v>
      </c>
      <c r="G5405" s="8">
        <v>14625</v>
      </c>
      <c r="H5405" s="8">
        <v>813</v>
      </c>
      <c r="I5405" s="8">
        <v>7276</v>
      </c>
    </row>
    <row r="5406" spans="1:9" x14ac:dyDescent="0.2">
      <c r="A5406" t="s">
        <v>1138</v>
      </c>
      <c r="B5406" t="s">
        <v>1156</v>
      </c>
      <c r="C5406" t="str">
        <f t="shared" si="263"/>
        <v>34673300000000</v>
      </c>
      <c r="D5406" t="s">
        <v>6765</v>
      </c>
      <c r="E5406" t="str">
        <f>"34673303434792"</f>
        <v>34673303434792</v>
      </c>
      <c r="F5406" s="8">
        <v>1434</v>
      </c>
      <c r="G5406" s="8">
        <v>13741</v>
      </c>
      <c r="H5406" s="8">
        <v>695</v>
      </c>
      <c r="I5406" s="8">
        <v>4224</v>
      </c>
    </row>
    <row r="5407" spans="1:9" x14ac:dyDescent="0.2">
      <c r="A5407" t="s">
        <v>1138</v>
      </c>
      <c r="B5407" t="s">
        <v>1156</v>
      </c>
      <c r="C5407" t="str">
        <f t="shared" si="263"/>
        <v>34673300000000</v>
      </c>
      <c r="D5407" t="s">
        <v>6766</v>
      </c>
      <c r="E5407" t="str">
        <f>"34673306033153"</f>
        <v>34673306033153</v>
      </c>
      <c r="F5407" s="8">
        <v>417</v>
      </c>
      <c r="G5407" s="8">
        <v>10067</v>
      </c>
      <c r="H5407" s="8">
        <v>1148</v>
      </c>
      <c r="I5407" s="8">
        <v>4996</v>
      </c>
    </row>
    <row r="5408" spans="1:9" x14ac:dyDescent="0.2">
      <c r="A5408" t="s">
        <v>1138</v>
      </c>
      <c r="B5408" t="s">
        <v>1156</v>
      </c>
      <c r="C5408" t="str">
        <f t="shared" si="263"/>
        <v>34673300000000</v>
      </c>
      <c r="D5408" t="s">
        <v>6767</v>
      </c>
      <c r="E5408" t="str">
        <f>"34673300111278"</f>
        <v>34673300111278</v>
      </c>
      <c r="F5408" s="8">
        <v>495</v>
      </c>
      <c r="G5408" s="8">
        <v>8726</v>
      </c>
      <c r="H5408" s="8">
        <v>823</v>
      </c>
      <c r="I5408" s="8">
        <v>4619</v>
      </c>
    </row>
    <row r="5409" spans="1:9" x14ac:dyDescent="0.2">
      <c r="A5409" t="s">
        <v>1138</v>
      </c>
      <c r="B5409" t="s">
        <v>1156</v>
      </c>
      <c r="C5409" t="str">
        <f t="shared" si="263"/>
        <v>34673300000000</v>
      </c>
      <c r="D5409" t="s">
        <v>6768</v>
      </c>
      <c r="E5409" t="str">
        <f>"34673306033229"</f>
        <v>34673306033229</v>
      </c>
      <c r="F5409" s="8">
        <v>527</v>
      </c>
      <c r="G5409" s="8">
        <v>8096</v>
      </c>
      <c r="H5409" s="8">
        <v>1109</v>
      </c>
      <c r="I5409" s="8">
        <v>4481</v>
      </c>
    </row>
    <row r="5410" spans="1:9" x14ac:dyDescent="0.2">
      <c r="A5410" t="s">
        <v>1138</v>
      </c>
      <c r="B5410" t="s">
        <v>1156</v>
      </c>
      <c r="C5410" t="str">
        <f t="shared" si="263"/>
        <v>34673300000000</v>
      </c>
      <c r="D5410" t="s">
        <v>6769</v>
      </c>
      <c r="E5410" t="str">
        <f>"34673306033211"</f>
        <v>34673306033211</v>
      </c>
      <c r="F5410" s="8">
        <v>440</v>
      </c>
      <c r="G5410" s="8">
        <v>8308</v>
      </c>
      <c r="H5410" s="8">
        <v>1115</v>
      </c>
      <c r="I5410" s="8">
        <v>4310</v>
      </c>
    </row>
    <row r="5411" spans="1:9" x14ac:dyDescent="0.2">
      <c r="A5411" t="s">
        <v>1138</v>
      </c>
      <c r="B5411" t="s">
        <v>1156</v>
      </c>
      <c r="C5411" t="str">
        <f t="shared" si="263"/>
        <v>34673300000000</v>
      </c>
      <c r="D5411" t="s">
        <v>6770</v>
      </c>
      <c r="E5411" t="str">
        <f>"34673306033278"</f>
        <v>34673306033278</v>
      </c>
      <c r="F5411" s="8">
        <v>1378</v>
      </c>
      <c r="G5411" s="8">
        <v>7220</v>
      </c>
      <c r="H5411" s="8">
        <v>1071</v>
      </c>
      <c r="I5411" s="8">
        <v>4222</v>
      </c>
    </row>
    <row r="5412" spans="1:9" x14ac:dyDescent="0.2">
      <c r="A5412" t="s">
        <v>1138</v>
      </c>
      <c r="B5412" t="s">
        <v>1156</v>
      </c>
      <c r="C5412" t="str">
        <f t="shared" si="263"/>
        <v>34673300000000</v>
      </c>
      <c r="D5412" t="s">
        <v>6771</v>
      </c>
      <c r="E5412" t="str">
        <f>"34673306033187"</f>
        <v>34673306033187</v>
      </c>
      <c r="F5412" s="8">
        <v>490</v>
      </c>
      <c r="G5412" s="8">
        <v>7885</v>
      </c>
      <c r="H5412" s="8">
        <v>1062</v>
      </c>
      <c r="I5412" s="8">
        <v>4191</v>
      </c>
    </row>
    <row r="5413" spans="1:9" x14ac:dyDescent="0.2">
      <c r="A5413" t="s">
        <v>1138</v>
      </c>
      <c r="B5413" t="s">
        <v>1156</v>
      </c>
      <c r="C5413" t="str">
        <f t="shared" si="263"/>
        <v>34673300000000</v>
      </c>
      <c r="D5413" t="s">
        <v>6772</v>
      </c>
      <c r="E5413" t="str">
        <f>"34673306059208"</f>
        <v>34673306059208</v>
      </c>
      <c r="F5413" s="8">
        <v>526</v>
      </c>
      <c r="G5413" s="8">
        <v>7500</v>
      </c>
      <c r="H5413" s="8">
        <v>702</v>
      </c>
      <c r="I5413" s="8">
        <v>4863</v>
      </c>
    </row>
    <row r="5414" spans="1:9" x14ac:dyDescent="0.2">
      <c r="A5414" t="s">
        <v>1138</v>
      </c>
      <c r="B5414" t="s">
        <v>1156</v>
      </c>
      <c r="C5414" t="str">
        <f t="shared" si="263"/>
        <v>34673300000000</v>
      </c>
      <c r="D5414" t="s">
        <v>6773</v>
      </c>
      <c r="E5414" t="str">
        <f>"34673303431533"</f>
        <v>34673303431533</v>
      </c>
      <c r="F5414" s="8">
        <v>388</v>
      </c>
      <c r="G5414" s="8">
        <v>7291</v>
      </c>
      <c r="H5414" s="8">
        <v>673</v>
      </c>
      <c r="I5414" s="8">
        <v>4633</v>
      </c>
    </row>
    <row r="5415" spans="1:9" x14ac:dyDescent="0.2">
      <c r="A5415" t="s">
        <v>1138</v>
      </c>
      <c r="B5415" t="s">
        <v>1156</v>
      </c>
      <c r="C5415" t="str">
        <f t="shared" si="263"/>
        <v>34673300000000</v>
      </c>
      <c r="D5415" t="s">
        <v>6774</v>
      </c>
      <c r="E5415" t="str">
        <f>"34673303430501"</f>
        <v>34673303430501</v>
      </c>
      <c r="F5415" s="8">
        <v>182</v>
      </c>
      <c r="G5415" s="8">
        <v>7979</v>
      </c>
      <c r="H5415" s="8">
        <v>625</v>
      </c>
      <c r="I5415" s="8">
        <v>4090</v>
      </c>
    </row>
    <row r="5416" spans="1:9" x14ac:dyDescent="0.2">
      <c r="A5416" t="s">
        <v>1138</v>
      </c>
      <c r="B5416" t="s">
        <v>1156</v>
      </c>
      <c r="C5416" t="str">
        <f t="shared" si="263"/>
        <v>34673300000000</v>
      </c>
      <c r="D5416" t="s">
        <v>6775</v>
      </c>
      <c r="E5416" t="str">
        <f>"34673306033146"</f>
        <v>34673306033146</v>
      </c>
      <c r="F5416" s="8">
        <v>625</v>
      </c>
      <c r="G5416" s="8">
        <v>7381</v>
      </c>
      <c r="H5416" s="8">
        <v>644</v>
      </c>
      <c r="I5416" s="8">
        <v>3956</v>
      </c>
    </row>
    <row r="5417" spans="1:9" x14ac:dyDescent="0.2">
      <c r="A5417" t="s">
        <v>1138</v>
      </c>
      <c r="B5417" t="s">
        <v>1156</v>
      </c>
      <c r="C5417" t="str">
        <f t="shared" si="263"/>
        <v>34673300000000</v>
      </c>
      <c r="D5417" t="s">
        <v>6776</v>
      </c>
      <c r="E5417" t="str">
        <f>"34673306059190"</f>
        <v>34673306059190</v>
      </c>
      <c r="F5417" s="8">
        <v>499</v>
      </c>
      <c r="G5417" s="8">
        <v>6671</v>
      </c>
      <c r="H5417" s="8">
        <v>743</v>
      </c>
      <c r="I5417" s="8">
        <v>4681</v>
      </c>
    </row>
    <row r="5418" spans="1:9" x14ac:dyDescent="0.2">
      <c r="A5418" t="s">
        <v>1138</v>
      </c>
      <c r="B5418" t="s">
        <v>1156</v>
      </c>
      <c r="C5418" t="str">
        <f t="shared" si="263"/>
        <v>34673300000000</v>
      </c>
      <c r="D5418" t="s">
        <v>6777</v>
      </c>
      <c r="E5418" t="str">
        <f>"34673306033179"</f>
        <v>34673306033179</v>
      </c>
      <c r="F5418" s="8">
        <v>1688</v>
      </c>
      <c r="G5418" s="8">
        <v>6112</v>
      </c>
      <c r="H5418" s="8">
        <v>1047</v>
      </c>
      <c r="I5418" s="8">
        <v>3730</v>
      </c>
    </row>
    <row r="5419" spans="1:9" x14ac:dyDescent="0.2">
      <c r="A5419" t="s">
        <v>1138</v>
      </c>
      <c r="B5419" t="s">
        <v>1156</v>
      </c>
      <c r="C5419" t="str">
        <f t="shared" si="263"/>
        <v>34673300000000</v>
      </c>
      <c r="D5419" t="s">
        <v>6778</v>
      </c>
      <c r="E5419" t="str">
        <f>"34673306106892"</f>
        <v>34673306106892</v>
      </c>
      <c r="F5419" s="8">
        <v>42</v>
      </c>
      <c r="G5419" s="8">
        <v>7765</v>
      </c>
      <c r="H5419" s="8">
        <v>657</v>
      </c>
      <c r="I5419" s="8">
        <v>4045</v>
      </c>
    </row>
    <row r="5420" spans="1:9" x14ac:dyDescent="0.2">
      <c r="A5420" t="s">
        <v>1138</v>
      </c>
      <c r="B5420" t="s">
        <v>1156</v>
      </c>
      <c r="C5420" t="str">
        <f t="shared" si="263"/>
        <v>34673300000000</v>
      </c>
      <c r="D5420" t="s">
        <v>6779</v>
      </c>
      <c r="E5420" t="str">
        <f>"34673306109755"</f>
        <v>34673306109755</v>
      </c>
      <c r="F5420" s="8">
        <v>186</v>
      </c>
      <c r="G5420" s="8">
        <v>7500</v>
      </c>
      <c r="H5420" s="8">
        <v>634</v>
      </c>
      <c r="I5420" s="8">
        <v>3834</v>
      </c>
    </row>
    <row r="5421" spans="1:9" x14ac:dyDescent="0.2">
      <c r="A5421" t="s">
        <v>1138</v>
      </c>
      <c r="B5421" t="s">
        <v>1156</v>
      </c>
      <c r="C5421" t="str">
        <f t="shared" si="263"/>
        <v>34673300000000</v>
      </c>
      <c r="D5421" t="s">
        <v>6780</v>
      </c>
      <c r="E5421" t="str">
        <f>"34673306033286"</f>
        <v>34673306033286</v>
      </c>
      <c r="F5421" s="8">
        <v>535</v>
      </c>
      <c r="G5421" s="8">
        <v>6842</v>
      </c>
      <c r="H5421" s="8">
        <v>1031</v>
      </c>
      <c r="I5421" s="8">
        <v>3698</v>
      </c>
    </row>
    <row r="5422" spans="1:9" x14ac:dyDescent="0.2">
      <c r="A5422" t="s">
        <v>1138</v>
      </c>
      <c r="B5422" t="s">
        <v>1156</v>
      </c>
      <c r="C5422" t="str">
        <f t="shared" si="263"/>
        <v>34673300000000</v>
      </c>
      <c r="D5422" t="s">
        <v>6781</v>
      </c>
      <c r="E5422" t="str">
        <f>"34673306107965"</f>
        <v>34673306107965</v>
      </c>
      <c r="F5422" s="8">
        <v>57</v>
      </c>
      <c r="G5422" s="8">
        <v>7353</v>
      </c>
      <c r="H5422" s="8">
        <v>647</v>
      </c>
      <c r="I5422" s="8">
        <v>3976</v>
      </c>
    </row>
    <row r="5423" spans="1:9" x14ac:dyDescent="0.2">
      <c r="A5423" t="s">
        <v>1138</v>
      </c>
      <c r="B5423" t="s">
        <v>1156</v>
      </c>
      <c r="C5423" t="str">
        <f t="shared" si="263"/>
        <v>34673300000000</v>
      </c>
      <c r="D5423" t="s">
        <v>6782</v>
      </c>
      <c r="E5423" t="str">
        <f>"34673306112916"</f>
        <v>34673306112916</v>
      </c>
      <c r="F5423" s="8">
        <v>168</v>
      </c>
      <c r="G5423" s="8">
        <v>7159</v>
      </c>
      <c r="H5423" s="8">
        <v>663</v>
      </c>
      <c r="I5423" s="8">
        <v>3961</v>
      </c>
    </row>
    <row r="5424" spans="1:9" x14ac:dyDescent="0.2">
      <c r="A5424" t="s">
        <v>1138</v>
      </c>
      <c r="B5424" t="s">
        <v>1156</v>
      </c>
      <c r="C5424" t="str">
        <f t="shared" si="263"/>
        <v>34673300000000</v>
      </c>
      <c r="D5424" t="s">
        <v>6783</v>
      </c>
      <c r="E5424" t="str">
        <f>"34673306033203"</f>
        <v>34673306033203</v>
      </c>
      <c r="F5424" s="8">
        <v>298</v>
      </c>
      <c r="G5424" s="8">
        <v>6899</v>
      </c>
      <c r="H5424" s="8">
        <v>709</v>
      </c>
      <c r="I5424" s="8">
        <v>3975</v>
      </c>
    </row>
    <row r="5425" spans="1:9" x14ac:dyDescent="0.2">
      <c r="A5425" t="s">
        <v>1138</v>
      </c>
      <c r="B5425" t="s">
        <v>1156</v>
      </c>
      <c r="C5425" t="str">
        <f t="shared" si="263"/>
        <v>34673300000000</v>
      </c>
      <c r="D5425" t="s">
        <v>6784</v>
      </c>
      <c r="E5425" t="str">
        <f>"34673306118574"</f>
        <v>34673306118574</v>
      </c>
      <c r="F5425" s="8">
        <v>207</v>
      </c>
      <c r="G5425" s="8">
        <v>6691</v>
      </c>
      <c r="H5425" s="8">
        <v>654</v>
      </c>
      <c r="I5425" s="8">
        <v>4086</v>
      </c>
    </row>
    <row r="5426" spans="1:9" x14ac:dyDescent="0.2">
      <c r="A5426" t="s">
        <v>1138</v>
      </c>
      <c r="B5426" t="s">
        <v>1156</v>
      </c>
      <c r="C5426" t="str">
        <f t="shared" si="263"/>
        <v>34673300000000</v>
      </c>
      <c r="D5426" t="s">
        <v>6785</v>
      </c>
      <c r="E5426" t="str">
        <f>"34673300113621"</f>
        <v>34673300113621</v>
      </c>
      <c r="F5426" s="8">
        <v>124</v>
      </c>
      <c r="G5426" s="8">
        <v>6881</v>
      </c>
      <c r="H5426" s="8">
        <v>649</v>
      </c>
      <c r="I5426" s="8">
        <v>3969</v>
      </c>
    </row>
    <row r="5427" spans="1:9" x14ac:dyDescent="0.2">
      <c r="A5427" t="s">
        <v>1138</v>
      </c>
      <c r="B5427" t="s">
        <v>1156</v>
      </c>
      <c r="C5427" t="str">
        <f t="shared" si="263"/>
        <v>34673300000000</v>
      </c>
      <c r="D5427" t="s">
        <v>6786</v>
      </c>
      <c r="E5427" t="str">
        <f>"34673306118012"</f>
        <v>34673306118012</v>
      </c>
      <c r="F5427" s="8">
        <v>291</v>
      </c>
      <c r="G5427" s="8">
        <v>6401</v>
      </c>
      <c r="H5427" s="8">
        <v>633</v>
      </c>
      <c r="I5427" s="8">
        <v>4292</v>
      </c>
    </row>
    <row r="5428" spans="1:9" x14ac:dyDescent="0.2">
      <c r="A5428" t="s">
        <v>1138</v>
      </c>
      <c r="B5428" t="s">
        <v>1156</v>
      </c>
      <c r="C5428" t="str">
        <f t="shared" si="263"/>
        <v>34673300000000</v>
      </c>
      <c r="D5428" t="s">
        <v>6787</v>
      </c>
      <c r="E5428" t="str">
        <f>"34673306115638"</f>
        <v>34673306115638</v>
      </c>
      <c r="F5428" s="8">
        <v>25</v>
      </c>
      <c r="G5428" s="8">
        <v>6849</v>
      </c>
      <c r="H5428" s="8">
        <v>646</v>
      </c>
      <c r="I5428" s="8">
        <v>3871</v>
      </c>
    </row>
    <row r="5429" spans="1:9" x14ac:dyDescent="0.2">
      <c r="A5429" t="s">
        <v>1138</v>
      </c>
      <c r="B5429" t="s">
        <v>1156</v>
      </c>
      <c r="C5429" t="str">
        <f t="shared" si="263"/>
        <v>34673300000000</v>
      </c>
      <c r="D5429" t="s">
        <v>6788</v>
      </c>
      <c r="E5429" t="str">
        <f>"34673306059182"</f>
        <v>34673306059182</v>
      </c>
      <c r="F5429" s="8">
        <v>123</v>
      </c>
      <c r="G5429" s="8">
        <v>5688</v>
      </c>
      <c r="H5429" s="8">
        <v>641</v>
      </c>
      <c r="I5429" s="8">
        <v>4621</v>
      </c>
    </row>
    <row r="5430" spans="1:9" x14ac:dyDescent="0.2">
      <c r="A5430" t="s">
        <v>1138</v>
      </c>
      <c r="B5430" t="s">
        <v>1156</v>
      </c>
      <c r="C5430" t="str">
        <f t="shared" si="263"/>
        <v>34673300000000</v>
      </c>
      <c r="D5430" t="s">
        <v>6789</v>
      </c>
      <c r="E5430" t="str">
        <f>"34673300100404"</f>
        <v>34673300100404</v>
      </c>
      <c r="F5430" s="8">
        <v>106</v>
      </c>
      <c r="G5430" s="8">
        <v>6347</v>
      </c>
      <c r="H5430" s="8">
        <v>648</v>
      </c>
      <c r="I5430" s="8">
        <v>3717</v>
      </c>
    </row>
    <row r="5431" spans="1:9" x14ac:dyDescent="0.2">
      <c r="A5431" t="s">
        <v>1138</v>
      </c>
      <c r="B5431" t="s">
        <v>1156</v>
      </c>
      <c r="C5431" t="str">
        <f t="shared" si="263"/>
        <v>34673300000000</v>
      </c>
      <c r="D5431" t="s">
        <v>6525</v>
      </c>
      <c r="E5431" t="str">
        <f>"34673300113571"</f>
        <v>34673300113571</v>
      </c>
      <c r="F5431" s="8">
        <v>77</v>
      </c>
      <c r="G5431" s="8">
        <v>6293</v>
      </c>
      <c r="H5431" s="8">
        <v>627</v>
      </c>
      <c r="I5431" s="8">
        <v>3762</v>
      </c>
    </row>
    <row r="5432" spans="1:9" x14ac:dyDescent="0.2">
      <c r="A5432" t="s">
        <v>1138</v>
      </c>
      <c r="B5432" t="s">
        <v>1156</v>
      </c>
      <c r="C5432" t="str">
        <f t="shared" si="263"/>
        <v>34673300000000</v>
      </c>
      <c r="D5432" t="s">
        <v>6790</v>
      </c>
      <c r="E5432" t="str">
        <f>"34673303433216"</f>
        <v>34673303433216</v>
      </c>
      <c r="F5432" s="8">
        <v>174</v>
      </c>
      <c r="G5432" s="8">
        <v>5883</v>
      </c>
      <c r="H5432" s="8">
        <v>637</v>
      </c>
      <c r="I5432" s="8">
        <v>3970</v>
      </c>
    </row>
    <row r="5433" spans="1:9" x14ac:dyDescent="0.2">
      <c r="A5433" t="s">
        <v>1138</v>
      </c>
      <c r="B5433" t="s">
        <v>1156</v>
      </c>
      <c r="C5433" t="str">
        <f t="shared" si="263"/>
        <v>34673300000000</v>
      </c>
      <c r="D5433" t="s">
        <v>6791</v>
      </c>
      <c r="E5433" t="str">
        <f>"34673300129676"</f>
        <v>34673300129676</v>
      </c>
      <c r="F5433" s="8">
        <v>34</v>
      </c>
      <c r="G5433" s="8">
        <v>6017</v>
      </c>
      <c r="H5433" s="8">
        <v>649</v>
      </c>
      <c r="I5433" s="8">
        <v>3418</v>
      </c>
    </row>
    <row r="5434" spans="1:9" x14ac:dyDescent="0.2">
      <c r="A5434" t="s">
        <v>1138</v>
      </c>
      <c r="B5434" t="s">
        <v>1156</v>
      </c>
      <c r="C5434" t="str">
        <f t="shared" si="263"/>
        <v>34673300000000</v>
      </c>
      <c r="D5434" t="s">
        <v>6792</v>
      </c>
      <c r="E5434" t="str">
        <f>"34673306033252"</f>
        <v>34673306033252</v>
      </c>
      <c r="F5434" s="8">
        <v>117</v>
      </c>
      <c r="G5434" s="8">
        <v>5771</v>
      </c>
      <c r="H5434" s="8">
        <v>670</v>
      </c>
      <c r="I5434" s="8">
        <v>3494</v>
      </c>
    </row>
    <row r="5435" spans="1:9" x14ac:dyDescent="0.2">
      <c r="A5435" t="s">
        <v>1138</v>
      </c>
      <c r="B5435" t="s">
        <v>1156</v>
      </c>
      <c r="C5435" t="str">
        <f t="shared" si="263"/>
        <v>34673300000000</v>
      </c>
      <c r="D5435" t="s">
        <v>6793</v>
      </c>
      <c r="E5435" t="str">
        <f>"34673300106757"</f>
        <v>34673300106757</v>
      </c>
      <c r="F5435" s="8">
        <v>12</v>
      </c>
      <c r="G5435" s="8">
        <v>5220</v>
      </c>
      <c r="H5435" s="8">
        <v>600</v>
      </c>
      <c r="I5435" s="8">
        <v>3639</v>
      </c>
    </row>
    <row r="5436" spans="1:9" x14ac:dyDescent="0.2">
      <c r="A5436" t="s">
        <v>1138</v>
      </c>
      <c r="B5436" t="s">
        <v>1156</v>
      </c>
      <c r="C5436" t="str">
        <f t="shared" si="263"/>
        <v>34673300000000</v>
      </c>
      <c r="D5436" t="s">
        <v>6794</v>
      </c>
      <c r="E5436" t="str">
        <f>"34673306033237"</f>
        <v>34673306033237</v>
      </c>
      <c r="F5436" s="8" t="s">
        <v>30</v>
      </c>
      <c r="G5436" s="8" t="s">
        <v>30</v>
      </c>
      <c r="H5436" s="8" t="s">
        <v>30</v>
      </c>
      <c r="I5436" s="8" t="s">
        <v>30</v>
      </c>
    </row>
    <row r="5437" spans="1:9" x14ac:dyDescent="0.2">
      <c r="A5437" t="s">
        <v>1138</v>
      </c>
      <c r="B5437" t="s">
        <v>1159</v>
      </c>
      <c r="C5437" t="str">
        <f t="shared" ref="C5437:C5442" si="264">"34673480000000"</f>
        <v>34673480000000</v>
      </c>
      <c r="D5437" t="s">
        <v>6795</v>
      </c>
      <c r="E5437" t="str">
        <f>"34673480100040"</f>
        <v>34673480100040</v>
      </c>
      <c r="F5437" s="8">
        <v>371</v>
      </c>
      <c r="G5437" s="8">
        <v>8767</v>
      </c>
      <c r="H5437" s="8">
        <v>315</v>
      </c>
      <c r="I5437" s="8">
        <v>741</v>
      </c>
    </row>
    <row r="5438" spans="1:9" x14ac:dyDescent="0.2">
      <c r="A5438" t="s">
        <v>1138</v>
      </c>
      <c r="B5438" t="s">
        <v>1159</v>
      </c>
      <c r="C5438" t="str">
        <f t="shared" si="264"/>
        <v>34673480000000</v>
      </c>
      <c r="D5438" t="s">
        <v>6796</v>
      </c>
      <c r="E5438" t="str">
        <f>"34673480119420"</f>
        <v>34673480119420</v>
      </c>
      <c r="F5438" s="8">
        <v>244</v>
      </c>
      <c r="G5438" s="8">
        <v>8220</v>
      </c>
      <c r="H5438" s="8">
        <v>501</v>
      </c>
      <c r="I5438" s="8">
        <v>1179</v>
      </c>
    </row>
    <row r="5439" spans="1:9" x14ac:dyDescent="0.2">
      <c r="A5439" t="s">
        <v>1138</v>
      </c>
      <c r="B5439" t="s">
        <v>1159</v>
      </c>
      <c r="C5439" t="str">
        <f t="shared" si="264"/>
        <v>34673480000000</v>
      </c>
      <c r="D5439" t="s">
        <v>6797</v>
      </c>
      <c r="E5439" t="str">
        <f>"34673486110654"</f>
        <v>34673486110654</v>
      </c>
      <c r="F5439" s="8">
        <v>604</v>
      </c>
      <c r="G5439" s="8">
        <v>7805</v>
      </c>
      <c r="H5439" s="8">
        <v>478</v>
      </c>
      <c r="I5439" s="8">
        <v>1124</v>
      </c>
    </row>
    <row r="5440" spans="1:9" x14ac:dyDescent="0.2">
      <c r="A5440" t="s">
        <v>1138</v>
      </c>
      <c r="B5440" t="s">
        <v>1159</v>
      </c>
      <c r="C5440" t="str">
        <f t="shared" si="264"/>
        <v>34673480000000</v>
      </c>
      <c r="D5440" t="s">
        <v>6798</v>
      </c>
      <c r="E5440" t="str">
        <f>"34673486033310"</f>
        <v>34673486033310</v>
      </c>
      <c r="F5440" s="8">
        <v>319</v>
      </c>
      <c r="G5440" s="8">
        <v>6885</v>
      </c>
      <c r="H5440" s="8">
        <v>452</v>
      </c>
      <c r="I5440" s="8">
        <v>1063</v>
      </c>
    </row>
    <row r="5441" spans="1:9" x14ac:dyDescent="0.2">
      <c r="A5441" t="s">
        <v>1138</v>
      </c>
      <c r="B5441" t="s">
        <v>1159</v>
      </c>
      <c r="C5441" t="str">
        <f t="shared" si="264"/>
        <v>34673480000000</v>
      </c>
      <c r="D5441" t="s">
        <v>6799</v>
      </c>
      <c r="E5441" t="str">
        <f>"34673486114185"</f>
        <v>34673486114185</v>
      </c>
      <c r="F5441" s="8">
        <v>251</v>
      </c>
      <c r="G5441" s="8">
        <v>6726</v>
      </c>
      <c r="H5441" s="8">
        <v>456</v>
      </c>
      <c r="I5441" s="8">
        <v>1073</v>
      </c>
    </row>
    <row r="5442" spans="1:9" x14ac:dyDescent="0.2">
      <c r="A5442" t="s">
        <v>1138</v>
      </c>
      <c r="B5442" t="s">
        <v>1159</v>
      </c>
      <c r="C5442" t="str">
        <f t="shared" si="264"/>
        <v>34673480000000</v>
      </c>
      <c r="D5442" t="s">
        <v>6800</v>
      </c>
      <c r="E5442" t="str">
        <f>"34673480107946"</f>
        <v>34673480107946</v>
      </c>
      <c r="F5442" s="8">
        <v>305</v>
      </c>
      <c r="G5442" s="8">
        <v>5318</v>
      </c>
      <c r="H5442" s="8">
        <v>449</v>
      </c>
      <c r="I5442" s="8">
        <v>1057</v>
      </c>
    </row>
    <row r="5443" spans="1:9" x14ac:dyDescent="0.2">
      <c r="A5443" t="s">
        <v>1138</v>
      </c>
      <c r="B5443" t="s">
        <v>1160</v>
      </c>
      <c r="C5443" t="str">
        <f>"34673550000000"</f>
        <v>34673550000000</v>
      </c>
      <c r="D5443" t="s">
        <v>6801</v>
      </c>
      <c r="E5443" t="str">
        <f>"34673553432903"</f>
        <v>34673553432903</v>
      </c>
      <c r="F5443" s="8">
        <v>367</v>
      </c>
      <c r="G5443" s="8">
        <v>9605</v>
      </c>
      <c r="H5443" s="8">
        <v>611</v>
      </c>
      <c r="I5443" s="8">
        <v>4243</v>
      </c>
    </row>
    <row r="5444" spans="1:9" x14ac:dyDescent="0.2">
      <c r="A5444" t="s">
        <v>1138</v>
      </c>
      <c r="B5444" t="s">
        <v>1160</v>
      </c>
      <c r="C5444" t="str">
        <f>"34673550000000"</f>
        <v>34673550000000</v>
      </c>
      <c r="D5444" t="s">
        <v>6802</v>
      </c>
      <c r="E5444" t="str">
        <f>"34673550119131"</f>
        <v>34673550119131</v>
      </c>
      <c r="F5444" s="8">
        <v>566</v>
      </c>
      <c r="G5444" s="8">
        <v>8479</v>
      </c>
      <c r="H5444" s="8">
        <v>611</v>
      </c>
      <c r="I5444" s="8">
        <v>4243</v>
      </c>
    </row>
    <row r="5445" spans="1:9" x14ac:dyDescent="0.2">
      <c r="A5445" t="s">
        <v>1138</v>
      </c>
      <c r="B5445" t="s">
        <v>1160</v>
      </c>
      <c r="C5445" t="str">
        <f>"34673550000000"</f>
        <v>34673550000000</v>
      </c>
      <c r="D5445" t="s">
        <v>6803</v>
      </c>
      <c r="E5445" t="str">
        <f>"34673553433471"</f>
        <v>34673553433471</v>
      </c>
      <c r="F5445" s="8">
        <v>393</v>
      </c>
      <c r="G5445" s="8">
        <v>8466</v>
      </c>
      <c r="H5445" s="8">
        <v>611</v>
      </c>
      <c r="I5445" s="8">
        <v>4243</v>
      </c>
    </row>
    <row r="5446" spans="1:9" x14ac:dyDescent="0.2">
      <c r="A5446" t="s">
        <v>1138</v>
      </c>
      <c r="B5446" t="s">
        <v>1170</v>
      </c>
      <c r="C5446" t="str">
        <f t="shared" ref="C5446:C5463" si="265">"34752830000000"</f>
        <v>34752830000000</v>
      </c>
      <c r="D5446" t="s">
        <v>6804</v>
      </c>
      <c r="E5446" t="str">
        <f>"34752833430626"</f>
        <v>34752833430626</v>
      </c>
      <c r="F5446" s="8">
        <v>89</v>
      </c>
      <c r="G5446" s="8">
        <v>15669</v>
      </c>
      <c r="H5446" s="8">
        <v>1767</v>
      </c>
      <c r="I5446" s="8">
        <v>4405</v>
      </c>
    </row>
    <row r="5447" spans="1:9" x14ac:dyDescent="0.2">
      <c r="A5447" t="s">
        <v>1138</v>
      </c>
      <c r="B5447" t="s">
        <v>1170</v>
      </c>
      <c r="C5447" t="str">
        <f t="shared" si="265"/>
        <v>34752830000000</v>
      </c>
      <c r="D5447" t="s">
        <v>6805</v>
      </c>
      <c r="E5447" t="str">
        <f>"34752836117527"</f>
        <v>34752836117527</v>
      </c>
      <c r="F5447" s="8">
        <v>49</v>
      </c>
      <c r="G5447" s="8">
        <v>6905</v>
      </c>
      <c r="H5447" s="8">
        <v>2179</v>
      </c>
      <c r="I5447" s="8">
        <v>4399</v>
      </c>
    </row>
    <row r="5448" spans="1:9" x14ac:dyDescent="0.2">
      <c r="A5448" t="s">
        <v>1138</v>
      </c>
      <c r="B5448" t="s">
        <v>1170</v>
      </c>
      <c r="C5448" t="str">
        <f t="shared" si="265"/>
        <v>34752830000000</v>
      </c>
      <c r="D5448" t="s">
        <v>6806</v>
      </c>
      <c r="E5448" t="str">
        <f>"34752836107981"</f>
        <v>34752836107981</v>
      </c>
      <c r="F5448" s="8">
        <v>275</v>
      </c>
      <c r="G5448" s="8">
        <v>6486</v>
      </c>
      <c r="H5448" s="8">
        <v>2179</v>
      </c>
      <c r="I5448" s="8">
        <v>4399</v>
      </c>
    </row>
    <row r="5449" spans="1:9" x14ac:dyDescent="0.2">
      <c r="A5449" t="s">
        <v>1138</v>
      </c>
      <c r="B5449" t="s">
        <v>1170</v>
      </c>
      <c r="C5449" t="str">
        <f t="shared" si="265"/>
        <v>34752830000000</v>
      </c>
      <c r="D5449" t="s">
        <v>6807</v>
      </c>
      <c r="E5449" t="str">
        <f>"34752833430584"</f>
        <v>34752833430584</v>
      </c>
      <c r="F5449" s="8">
        <v>162</v>
      </c>
      <c r="G5449" s="8">
        <v>6474</v>
      </c>
      <c r="H5449" s="8">
        <v>2180</v>
      </c>
      <c r="I5449" s="8">
        <v>4405</v>
      </c>
    </row>
    <row r="5450" spans="1:9" x14ac:dyDescent="0.2">
      <c r="A5450" t="s">
        <v>1138</v>
      </c>
      <c r="B5450" t="s">
        <v>1170</v>
      </c>
      <c r="C5450" t="str">
        <f t="shared" si="265"/>
        <v>34752830000000</v>
      </c>
      <c r="D5450" t="s">
        <v>6808</v>
      </c>
      <c r="E5450" t="str">
        <f>"34752830102277"</f>
        <v>34752830102277</v>
      </c>
      <c r="F5450" s="8">
        <v>100</v>
      </c>
      <c r="G5450" s="8">
        <v>6527</v>
      </c>
      <c r="H5450" s="8">
        <v>2179</v>
      </c>
      <c r="I5450" s="8">
        <v>4390</v>
      </c>
    </row>
    <row r="5451" spans="1:9" x14ac:dyDescent="0.2">
      <c r="A5451" t="s">
        <v>1138</v>
      </c>
      <c r="B5451" t="s">
        <v>1170</v>
      </c>
      <c r="C5451" t="str">
        <f t="shared" si="265"/>
        <v>34752830000000</v>
      </c>
      <c r="D5451" t="s">
        <v>6809</v>
      </c>
      <c r="E5451" t="str">
        <f>"34752836118624"</f>
        <v>34752836118624</v>
      </c>
      <c r="F5451" s="8">
        <v>62</v>
      </c>
      <c r="G5451" s="8">
        <v>6567</v>
      </c>
      <c r="H5451" s="8">
        <v>1992</v>
      </c>
      <c r="I5451" s="8">
        <v>4390</v>
      </c>
    </row>
    <row r="5452" spans="1:9" x14ac:dyDescent="0.2">
      <c r="A5452" t="s">
        <v>1138</v>
      </c>
      <c r="B5452" t="s">
        <v>1170</v>
      </c>
      <c r="C5452" t="str">
        <f t="shared" si="265"/>
        <v>34752830000000</v>
      </c>
      <c r="D5452" t="s">
        <v>6810</v>
      </c>
      <c r="E5452" t="str">
        <f>"34752836117535"</f>
        <v>34752836117535</v>
      </c>
      <c r="F5452" s="8">
        <v>94</v>
      </c>
      <c r="G5452" s="8">
        <v>5863</v>
      </c>
      <c r="H5452" s="8">
        <v>2179</v>
      </c>
      <c r="I5452" s="8">
        <v>4390</v>
      </c>
    </row>
    <row r="5453" spans="1:9" x14ac:dyDescent="0.2">
      <c r="A5453" t="s">
        <v>1138</v>
      </c>
      <c r="B5453" t="s">
        <v>1170</v>
      </c>
      <c r="C5453" t="str">
        <f t="shared" si="265"/>
        <v>34752830000000</v>
      </c>
      <c r="D5453" t="s">
        <v>3923</v>
      </c>
      <c r="E5453" t="str">
        <f>"34752836104731"</f>
        <v>34752836104731</v>
      </c>
      <c r="F5453" s="8">
        <v>147</v>
      </c>
      <c r="G5453" s="8">
        <v>5714</v>
      </c>
      <c r="H5453" s="8">
        <v>2179</v>
      </c>
      <c r="I5453" s="8">
        <v>4399</v>
      </c>
    </row>
    <row r="5454" spans="1:9" x14ac:dyDescent="0.2">
      <c r="A5454" t="s">
        <v>1138</v>
      </c>
      <c r="B5454" t="s">
        <v>1170</v>
      </c>
      <c r="C5454" t="str">
        <f t="shared" si="265"/>
        <v>34752830000000</v>
      </c>
      <c r="D5454" t="s">
        <v>6811</v>
      </c>
      <c r="E5454" t="str">
        <f>"34752830111138"</f>
        <v>34752830111138</v>
      </c>
      <c r="F5454" s="8">
        <v>18</v>
      </c>
      <c r="G5454" s="8">
        <v>5878</v>
      </c>
      <c r="H5454" s="8">
        <v>1992</v>
      </c>
      <c r="I5454" s="8">
        <v>4390</v>
      </c>
    </row>
    <row r="5455" spans="1:9" x14ac:dyDescent="0.2">
      <c r="A5455" t="s">
        <v>1138</v>
      </c>
      <c r="B5455" t="s">
        <v>1170</v>
      </c>
      <c r="C5455" t="str">
        <f t="shared" si="265"/>
        <v>34752830000000</v>
      </c>
      <c r="D5455" t="s">
        <v>6812</v>
      </c>
      <c r="E5455" t="str">
        <f>"34752830108860"</f>
        <v>34752830108860</v>
      </c>
      <c r="F5455" s="8">
        <v>1385</v>
      </c>
      <c r="G5455" s="8">
        <v>10811</v>
      </c>
      <c r="H5455" s="8">
        <v>0</v>
      </c>
      <c r="I5455" s="8">
        <v>0</v>
      </c>
    </row>
    <row r="5456" spans="1:9" x14ac:dyDescent="0.2">
      <c r="A5456" t="s">
        <v>1138</v>
      </c>
      <c r="B5456" t="s">
        <v>1170</v>
      </c>
      <c r="C5456" t="str">
        <f t="shared" si="265"/>
        <v>34752830000000</v>
      </c>
      <c r="D5456" t="s">
        <v>6813</v>
      </c>
      <c r="E5456" t="str">
        <f>"34752836100432"</f>
        <v>34752836100432</v>
      </c>
      <c r="F5456" s="8">
        <v>357</v>
      </c>
      <c r="G5456" s="8">
        <v>5225</v>
      </c>
      <c r="H5456" s="8">
        <v>2179</v>
      </c>
      <c r="I5456" s="8">
        <v>4399</v>
      </c>
    </row>
    <row r="5457" spans="1:9" x14ac:dyDescent="0.2">
      <c r="A5457" t="s">
        <v>1138</v>
      </c>
      <c r="B5457" t="s">
        <v>1170</v>
      </c>
      <c r="C5457" t="str">
        <f t="shared" si="265"/>
        <v>34752830000000</v>
      </c>
      <c r="D5457" t="s">
        <v>6814</v>
      </c>
      <c r="E5457" t="str">
        <f>"34752830135194"</f>
        <v>34752830135194</v>
      </c>
      <c r="F5457" s="8">
        <v>100</v>
      </c>
      <c r="G5457" s="8">
        <v>5534</v>
      </c>
      <c r="H5457" s="8">
        <v>1992</v>
      </c>
      <c r="I5457" s="8">
        <v>4390</v>
      </c>
    </row>
    <row r="5458" spans="1:9" x14ac:dyDescent="0.2">
      <c r="A5458" t="s">
        <v>1138</v>
      </c>
      <c r="B5458" t="s">
        <v>1170</v>
      </c>
      <c r="C5458" t="str">
        <f t="shared" si="265"/>
        <v>34752830000000</v>
      </c>
      <c r="D5458" t="s">
        <v>6815</v>
      </c>
      <c r="E5458" t="str">
        <f>"34752830102236"</f>
        <v>34752830102236</v>
      </c>
      <c r="F5458" s="8">
        <v>42</v>
      </c>
      <c r="G5458" s="8">
        <v>5532</v>
      </c>
      <c r="H5458" s="8">
        <v>1993</v>
      </c>
      <c r="I5458" s="8">
        <v>4405</v>
      </c>
    </row>
    <row r="5459" spans="1:9" x14ac:dyDescent="0.2">
      <c r="A5459" t="s">
        <v>1138</v>
      </c>
      <c r="B5459" t="s">
        <v>1170</v>
      </c>
      <c r="C5459" t="str">
        <f t="shared" si="265"/>
        <v>34752830000000</v>
      </c>
      <c r="D5459" t="s">
        <v>6816</v>
      </c>
      <c r="E5459" t="str">
        <f>"34752830116806"</f>
        <v>34752830116806</v>
      </c>
      <c r="F5459" s="8">
        <v>63</v>
      </c>
      <c r="G5459" s="8">
        <v>5320</v>
      </c>
      <c r="H5459" s="8">
        <v>2179</v>
      </c>
      <c r="I5459" s="8">
        <v>4390</v>
      </c>
    </row>
    <row r="5460" spans="1:9" x14ac:dyDescent="0.2">
      <c r="A5460" t="s">
        <v>1138</v>
      </c>
      <c r="B5460" t="s">
        <v>1170</v>
      </c>
      <c r="C5460" t="str">
        <f t="shared" si="265"/>
        <v>34752830000000</v>
      </c>
      <c r="D5460" t="s">
        <v>6817</v>
      </c>
      <c r="E5460" t="str">
        <f>"34752830112425"</f>
        <v>34752830112425</v>
      </c>
      <c r="F5460" s="8">
        <v>1221</v>
      </c>
      <c r="G5460" s="8">
        <v>9814</v>
      </c>
      <c r="H5460" s="8">
        <v>0</v>
      </c>
      <c r="I5460" s="8">
        <v>0</v>
      </c>
    </row>
    <row r="5461" spans="1:9" x14ac:dyDescent="0.2">
      <c r="A5461" t="s">
        <v>1138</v>
      </c>
      <c r="B5461" t="s">
        <v>1170</v>
      </c>
      <c r="C5461" t="str">
        <f t="shared" si="265"/>
        <v>34752830000000</v>
      </c>
      <c r="D5461" t="s">
        <v>6818</v>
      </c>
      <c r="E5461" t="str">
        <f>"34752830134049"</f>
        <v>34752830134049</v>
      </c>
      <c r="F5461" s="8">
        <v>1231</v>
      </c>
      <c r="G5461" s="8">
        <v>9597</v>
      </c>
      <c r="H5461" s="8">
        <v>0</v>
      </c>
      <c r="I5461" s="8">
        <v>0</v>
      </c>
    </row>
    <row r="5462" spans="1:9" x14ac:dyDescent="0.2">
      <c r="A5462" t="s">
        <v>1138</v>
      </c>
      <c r="B5462" t="s">
        <v>1170</v>
      </c>
      <c r="C5462" t="str">
        <f t="shared" si="265"/>
        <v>34752830000000</v>
      </c>
      <c r="D5462" t="s">
        <v>6819</v>
      </c>
      <c r="E5462" t="str">
        <f>"34752830126060"</f>
        <v>34752830126060</v>
      </c>
      <c r="F5462" s="8">
        <v>1312</v>
      </c>
      <c r="G5462" s="8">
        <v>8795</v>
      </c>
      <c r="H5462" s="8">
        <v>0</v>
      </c>
      <c r="I5462" s="8">
        <v>0</v>
      </c>
    </row>
    <row r="5463" spans="1:9" x14ac:dyDescent="0.2">
      <c r="A5463" t="s">
        <v>1138</v>
      </c>
      <c r="B5463" t="s">
        <v>1170</v>
      </c>
      <c r="C5463" t="str">
        <f t="shared" si="265"/>
        <v>34752830000000</v>
      </c>
      <c r="D5463" t="s">
        <v>6820</v>
      </c>
      <c r="E5463" t="str">
        <f>"34752830120113"</f>
        <v>34752830120113</v>
      </c>
      <c r="F5463" s="8">
        <v>1205</v>
      </c>
      <c r="G5463" s="8">
        <v>8071</v>
      </c>
      <c r="H5463" s="8">
        <v>0</v>
      </c>
      <c r="I5463" s="8">
        <v>0</v>
      </c>
    </row>
    <row r="5464" spans="1:9" x14ac:dyDescent="0.2">
      <c r="A5464" t="s">
        <v>1138</v>
      </c>
      <c r="B5464" t="s">
        <v>1173</v>
      </c>
      <c r="C5464" t="str">
        <f t="shared" ref="C5464:C5474" si="266">"34674130000000"</f>
        <v>34674130000000</v>
      </c>
      <c r="D5464" t="s">
        <v>6821</v>
      </c>
      <c r="E5464" t="str">
        <f>"34674130107383"</f>
        <v>34674130107383</v>
      </c>
      <c r="F5464" s="8">
        <v>301</v>
      </c>
      <c r="G5464" s="8">
        <v>60146</v>
      </c>
      <c r="H5464" s="8">
        <v>769</v>
      </c>
      <c r="I5464" s="8">
        <v>1514</v>
      </c>
    </row>
    <row r="5465" spans="1:9" x14ac:dyDescent="0.2">
      <c r="A5465" t="s">
        <v>1138</v>
      </c>
      <c r="B5465" t="s">
        <v>1173</v>
      </c>
      <c r="C5465" t="str">
        <f t="shared" si="266"/>
        <v>34674130000000</v>
      </c>
      <c r="D5465" t="s">
        <v>6822</v>
      </c>
      <c r="E5465" t="str">
        <f>"34674133430550"</f>
        <v>34674133430550</v>
      </c>
      <c r="F5465" s="8">
        <v>956</v>
      </c>
      <c r="G5465" s="8">
        <v>18245</v>
      </c>
      <c r="H5465" s="8">
        <v>769</v>
      </c>
      <c r="I5465" s="8">
        <v>1514</v>
      </c>
    </row>
    <row r="5466" spans="1:9" x14ac:dyDescent="0.2">
      <c r="A5466" t="s">
        <v>1138</v>
      </c>
      <c r="B5466" t="s">
        <v>1173</v>
      </c>
      <c r="C5466" t="str">
        <f t="shared" si="266"/>
        <v>34674130000000</v>
      </c>
      <c r="D5466" t="s">
        <v>6823</v>
      </c>
      <c r="E5466" t="str">
        <f>"34674136033641"</f>
        <v>34674136033641</v>
      </c>
      <c r="F5466" s="8">
        <v>1377</v>
      </c>
      <c r="G5466" s="8">
        <v>9962</v>
      </c>
      <c r="H5466" s="8">
        <v>769</v>
      </c>
      <c r="I5466" s="8">
        <v>1514</v>
      </c>
    </row>
    <row r="5467" spans="1:9" x14ac:dyDescent="0.2">
      <c r="A5467" t="s">
        <v>1138</v>
      </c>
      <c r="B5467" t="s">
        <v>1173</v>
      </c>
      <c r="C5467" t="str">
        <f t="shared" si="266"/>
        <v>34674130000000</v>
      </c>
      <c r="D5467" t="s">
        <v>2333</v>
      </c>
      <c r="E5467" t="str">
        <f>"34674136033708"</f>
        <v>34674136033708</v>
      </c>
      <c r="F5467" s="8">
        <v>952</v>
      </c>
      <c r="G5467" s="8">
        <v>9962</v>
      </c>
      <c r="H5467" s="8">
        <v>769</v>
      </c>
      <c r="I5467" s="8">
        <v>1514</v>
      </c>
    </row>
    <row r="5468" spans="1:9" x14ac:dyDescent="0.2">
      <c r="A5468" t="s">
        <v>1138</v>
      </c>
      <c r="B5468" t="s">
        <v>1173</v>
      </c>
      <c r="C5468" t="str">
        <f t="shared" si="266"/>
        <v>34674130000000</v>
      </c>
      <c r="D5468" t="s">
        <v>6824</v>
      </c>
      <c r="E5468" t="str">
        <f>"34674136033666"</f>
        <v>34674136033666</v>
      </c>
      <c r="F5468" s="8">
        <v>1135</v>
      </c>
      <c r="G5468" s="8">
        <v>9043</v>
      </c>
      <c r="H5468" s="8">
        <v>769</v>
      </c>
      <c r="I5468" s="8">
        <v>1514</v>
      </c>
    </row>
    <row r="5469" spans="1:9" x14ac:dyDescent="0.2">
      <c r="A5469" t="s">
        <v>1138</v>
      </c>
      <c r="B5469" t="s">
        <v>1173</v>
      </c>
      <c r="C5469" t="str">
        <f t="shared" si="266"/>
        <v>34674130000000</v>
      </c>
      <c r="D5469" t="s">
        <v>6825</v>
      </c>
      <c r="E5469" t="str">
        <f>"34674135731708"</f>
        <v>34674135731708</v>
      </c>
      <c r="F5469" s="8">
        <v>1587</v>
      </c>
      <c r="G5469" s="8">
        <v>8006</v>
      </c>
      <c r="H5469" s="8">
        <v>769</v>
      </c>
      <c r="I5469" s="8">
        <v>1514</v>
      </c>
    </row>
    <row r="5470" spans="1:9" x14ac:dyDescent="0.2">
      <c r="A5470" t="s">
        <v>1138</v>
      </c>
      <c r="B5470" t="s">
        <v>1173</v>
      </c>
      <c r="C5470" t="str">
        <f t="shared" si="266"/>
        <v>34674130000000</v>
      </c>
      <c r="D5470" t="s">
        <v>2577</v>
      </c>
      <c r="E5470" t="str">
        <f>"34674136033690"</f>
        <v>34674136033690</v>
      </c>
      <c r="F5470" s="8">
        <v>616</v>
      </c>
      <c r="G5470" s="8">
        <v>8788</v>
      </c>
      <c r="H5470" s="8">
        <v>769</v>
      </c>
      <c r="I5470" s="8">
        <v>1514</v>
      </c>
    </row>
    <row r="5471" spans="1:9" x14ac:dyDescent="0.2">
      <c r="A5471" t="s">
        <v>1138</v>
      </c>
      <c r="B5471" t="s">
        <v>1173</v>
      </c>
      <c r="C5471" t="str">
        <f t="shared" si="266"/>
        <v>34674130000000</v>
      </c>
      <c r="D5471" t="s">
        <v>6826</v>
      </c>
      <c r="E5471" t="str">
        <f>"34674134835302"</f>
        <v>34674134835302</v>
      </c>
      <c r="F5471" s="8">
        <v>628</v>
      </c>
      <c r="G5471" s="8">
        <v>8685</v>
      </c>
      <c r="H5471" s="8">
        <v>769</v>
      </c>
      <c r="I5471" s="8">
        <v>1514</v>
      </c>
    </row>
    <row r="5472" spans="1:9" x14ac:dyDescent="0.2">
      <c r="A5472" t="s">
        <v>1138</v>
      </c>
      <c r="B5472" t="s">
        <v>1173</v>
      </c>
      <c r="C5472" t="str">
        <f t="shared" si="266"/>
        <v>34674130000000</v>
      </c>
      <c r="D5472" t="s">
        <v>6827</v>
      </c>
      <c r="E5472" t="str">
        <f>"34674136033716"</f>
        <v>34674136033716</v>
      </c>
      <c r="F5472" s="8">
        <v>941</v>
      </c>
      <c r="G5472" s="8">
        <v>7066</v>
      </c>
      <c r="H5472" s="8">
        <v>769</v>
      </c>
      <c r="I5472" s="8">
        <v>1514</v>
      </c>
    </row>
    <row r="5473" spans="1:9" x14ac:dyDescent="0.2">
      <c r="A5473" t="s">
        <v>1138</v>
      </c>
      <c r="B5473" t="s">
        <v>1173</v>
      </c>
      <c r="C5473" t="str">
        <f t="shared" si="266"/>
        <v>34674130000000</v>
      </c>
      <c r="D5473" t="s">
        <v>6828</v>
      </c>
      <c r="E5473" t="str">
        <f>"34674130112078"</f>
        <v>34674130112078</v>
      </c>
      <c r="F5473" s="8">
        <v>599</v>
      </c>
      <c r="G5473" s="8">
        <v>6714</v>
      </c>
      <c r="H5473" s="8">
        <v>769</v>
      </c>
      <c r="I5473" s="8">
        <v>1514</v>
      </c>
    </row>
    <row r="5474" spans="1:9" x14ac:dyDescent="0.2">
      <c r="A5474" t="s">
        <v>1138</v>
      </c>
      <c r="B5474" t="s">
        <v>1173</v>
      </c>
      <c r="C5474" t="str">
        <f t="shared" si="266"/>
        <v>34674130000000</v>
      </c>
      <c r="D5474" t="s">
        <v>6829</v>
      </c>
      <c r="E5474" t="str">
        <f>"34674133430469"</f>
        <v>34674133430469</v>
      </c>
      <c r="F5474" s="8">
        <v>513</v>
      </c>
      <c r="G5474" s="8">
        <v>4434</v>
      </c>
      <c r="H5474" s="8">
        <v>769</v>
      </c>
      <c r="I5474" s="8">
        <v>1514</v>
      </c>
    </row>
    <row r="5475" spans="1:9" x14ac:dyDescent="0.2">
      <c r="A5475" t="s">
        <v>1138</v>
      </c>
      <c r="B5475" t="s">
        <v>1174</v>
      </c>
      <c r="C5475" t="str">
        <f>"34674210000000"</f>
        <v>34674210000000</v>
      </c>
      <c r="D5475" t="s">
        <v>1174</v>
      </c>
      <c r="E5475" t="str">
        <f>"34674216033740"</f>
        <v>34674216033740</v>
      </c>
      <c r="F5475" s="8">
        <v>1470</v>
      </c>
      <c r="G5475" s="8">
        <v>8575</v>
      </c>
      <c r="H5475" s="8">
        <v>2322</v>
      </c>
      <c r="I5475" s="8">
        <v>2933</v>
      </c>
    </row>
    <row r="5476" spans="1:9" x14ac:dyDescent="0.2">
      <c r="A5476" t="s">
        <v>1138</v>
      </c>
      <c r="B5476" t="s">
        <v>1174</v>
      </c>
      <c r="C5476" t="str">
        <f>"34674210000000"</f>
        <v>34674210000000</v>
      </c>
      <c r="D5476" t="s">
        <v>6830</v>
      </c>
      <c r="E5476" t="str">
        <f>"34674216033724"</f>
        <v>34674216033724</v>
      </c>
      <c r="F5476" s="8">
        <v>1400</v>
      </c>
      <c r="G5476" s="8">
        <v>7279</v>
      </c>
      <c r="H5476" s="8">
        <v>2322</v>
      </c>
      <c r="I5476" s="8">
        <v>2933</v>
      </c>
    </row>
    <row r="5477" spans="1:9" x14ac:dyDescent="0.2">
      <c r="A5477" t="s">
        <v>1138</v>
      </c>
      <c r="B5477" t="s">
        <v>1174</v>
      </c>
      <c r="C5477" t="str">
        <f>"34674210000000"</f>
        <v>34674210000000</v>
      </c>
      <c r="D5477" t="s">
        <v>6831</v>
      </c>
      <c r="E5477" t="str">
        <f>"34674216033757"</f>
        <v>34674216033757</v>
      </c>
      <c r="F5477" s="8">
        <v>960</v>
      </c>
      <c r="G5477" s="8">
        <v>7572</v>
      </c>
      <c r="H5477" s="8">
        <v>2322</v>
      </c>
      <c r="I5477" s="8">
        <v>2933</v>
      </c>
    </row>
    <row r="5478" spans="1:9" x14ac:dyDescent="0.2">
      <c r="A5478" t="s">
        <v>1138</v>
      </c>
      <c r="B5478" t="s">
        <v>1174</v>
      </c>
      <c r="C5478" t="str">
        <f>"34674210000000"</f>
        <v>34674210000000</v>
      </c>
      <c r="D5478" t="s">
        <v>6832</v>
      </c>
      <c r="E5478" t="str">
        <f>"34674216033732"</f>
        <v>34674216033732</v>
      </c>
      <c r="F5478" s="8">
        <v>790</v>
      </c>
      <c r="G5478" s="8">
        <v>6711</v>
      </c>
      <c r="H5478" s="8">
        <v>2322</v>
      </c>
      <c r="I5478" s="8">
        <v>2933</v>
      </c>
    </row>
    <row r="5479" spans="1:9" x14ac:dyDescent="0.2">
      <c r="A5479" t="s">
        <v>1138</v>
      </c>
      <c r="B5479" t="s">
        <v>1174</v>
      </c>
      <c r="C5479" t="str">
        <f>"34674210000000"</f>
        <v>34674210000000</v>
      </c>
      <c r="D5479" t="s">
        <v>4144</v>
      </c>
      <c r="E5479" t="str">
        <f>"34674216112296"</f>
        <v>34674216112296</v>
      </c>
      <c r="F5479" s="8">
        <v>716</v>
      </c>
      <c r="G5479" s="8">
        <v>6667</v>
      </c>
      <c r="H5479" s="8">
        <v>2322</v>
      </c>
      <c r="I5479" s="8">
        <v>2933</v>
      </c>
    </row>
    <row r="5480" spans="1:9" x14ac:dyDescent="0.2">
      <c r="A5480" t="s">
        <v>1138</v>
      </c>
      <c r="B5480" t="s">
        <v>1176</v>
      </c>
      <c r="C5480" t="str">
        <f t="shared" ref="C5480:C5511" si="267">"34674390000000"</f>
        <v>34674390000000</v>
      </c>
      <c r="D5480" t="s">
        <v>6833</v>
      </c>
      <c r="E5480" t="str">
        <f>"34674396117097"</f>
        <v>34674396117097</v>
      </c>
      <c r="F5480" s="8">
        <v>26596</v>
      </c>
      <c r="G5480" s="8">
        <v>79872</v>
      </c>
      <c r="H5480" s="8">
        <v>1872</v>
      </c>
      <c r="I5480" s="8">
        <v>5091</v>
      </c>
    </row>
    <row r="5481" spans="1:9" x14ac:dyDescent="0.2">
      <c r="A5481" t="s">
        <v>1138</v>
      </c>
      <c r="B5481" t="s">
        <v>1176</v>
      </c>
      <c r="C5481" t="str">
        <f t="shared" si="267"/>
        <v>34674390000000</v>
      </c>
      <c r="D5481" t="s">
        <v>6834</v>
      </c>
      <c r="E5481" t="str">
        <f>"34674390113209"</f>
        <v>34674390113209</v>
      </c>
      <c r="F5481" s="8">
        <v>4524</v>
      </c>
      <c r="G5481" s="8">
        <v>53189</v>
      </c>
      <c r="H5481" s="8">
        <v>1872</v>
      </c>
      <c r="I5481" s="8">
        <v>5091</v>
      </c>
    </row>
    <row r="5482" spans="1:9" x14ac:dyDescent="0.2">
      <c r="A5482" t="s">
        <v>1138</v>
      </c>
      <c r="B5482" t="s">
        <v>1176</v>
      </c>
      <c r="C5482" t="str">
        <f t="shared" si="267"/>
        <v>34674390000000</v>
      </c>
      <c r="D5482" t="s">
        <v>6835</v>
      </c>
      <c r="E5482" t="str">
        <f>"34674396034060"</f>
        <v>34674396034060</v>
      </c>
      <c r="F5482" s="8">
        <v>7719</v>
      </c>
      <c r="G5482" s="8">
        <v>9750</v>
      </c>
      <c r="H5482" s="8">
        <v>1872</v>
      </c>
      <c r="I5482" s="8">
        <v>5091</v>
      </c>
    </row>
    <row r="5483" spans="1:9" x14ac:dyDescent="0.2">
      <c r="A5483" t="s">
        <v>1138</v>
      </c>
      <c r="B5483" t="s">
        <v>1176</v>
      </c>
      <c r="C5483" t="str">
        <f t="shared" si="267"/>
        <v>34674390000000</v>
      </c>
      <c r="D5483" t="s">
        <v>6836</v>
      </c>
      <c r="E5483" t="str">
        <f>"34674396034334"</f>
        <v>34674396034334</v>
      </c>
      <c r="F5483" s="8">
        <v>7938</v>
      </c>
      <c r="G5483" s="8">
        <v>7791</v>
      </c>
      <c r="H5483" s="8">
        <v>1872</v>
      </c>
      <c r="I5483" s="8">
        <v>5091</v>
      </c>
    </row>
    <row r="5484" spans="1:9" x14ac:dyDescent="0.2">
      <c r="A5484" t="s">
        <v>1138</v>
      </c>
      <c r="B5484" t="s">
        <v>1176</v>
      </c>
      <c r="C5484" t="str">
        <f t="shared" si="267"/>
        <v>34674390000000</v>
      </c>
      <c r="D5484" t="s">
        <v>6837</v>
      </c>
      <c r="E5484" t="str">
        <f>"34674393430154"</f>
        <v>34674393430154</v>
      </c>
      <c r="F5484" s="8">
        <v>3947</v>
      </c>
      <c r="G5484" s="8">
        <v>11532</v>
      </c>
      <c r="H5484" s="8">
        <v>1872</v>
      </c>
      <c r="I5484" s="8">
        <v>5091</v>
      </c>
    </row>
    <row r="5485" spans="1:9" x14ac:dyDescent="0.2">
      <c r="A5485" t="s">
        <v>1138</v>
      </c>
      <c r="B5485" t="s">
        <v>1176</v>
      </c>
      <c r="C5485" t="str">
        <f t="shared" si="267"/>
        <v>34674390000000</v>
      </c>
      <c r="D5485" t="s">
        <v>2889</v>
      </c>
      <c r="E5485" t="str">
        <f>"34674396071336"</f>
        <v>34674396071336</v>
      </c>
      <c r="F5485" s="8">
        <v>6393</v>
      </c>
      <c r="G5485" s="8">
        <v>8195</v>
      </c>
      <c r="H5485" s="8">
        <v>1872</v>
      </c>
      <c r="I5485" s="8">
        <v>5091</v>
      </c>
    </row>
    <row r="5486" spans="1:9" x14ac:dyDescent="0.2">
      <c r="A5486" t="s">
        <v>1138</v>
      </c>
      <c r="B5486" t="s">
        <v>1176</v>
      </c>
      <c r="C5486" t="str">
        <f t="shared" si="267"/>
        <v>34674390000000</v>
      </c>
      <c r="D5486" t="s">
        <v>6838</v>
      </c>
      <c r="E5486" t="str">
        <f>"34674396033997"</f>
        <v>34674396033997</v>
      </c>
      <c r="F5486" s="8">
        <v>5414</v>
      </c>
      <c r="G5486" s="8">
        <v>8778</v>
      </c>
      <c r="H5486" s="8">
        <v>1872</v>
      </c>
      <c r="I5486" s="8">
        <v>5091</v>
      </c>
    </row>
    <row r="5487" spans="1:9" x14ac:dyDescent="0.2">
      <c r="A5487" t="s">
        <v>1138</v>
      </c>
      <c r="B5487" t="s">
        <v>1176</v>
      </c>
      <c r="C5487" t="str">
        <f t="shared" si="267"/>
        <v>34674390000000</v>
      </c>
      <c r="D5487" t="s">
        <v>6839</v>
      </c>
      <c r="E5487" t="str">
        <f>"34674390108951"</f>
        <v>34674390108951</v>
      </c>
      <c r="F5487" s="8">
        <v>203</v>
      </c>
      <c r="G5487" s="8">
        <v>13964</v>
      </c>
      <c r="H5487" s="8">
        <v>1872</v>
      </c>
      <c r="I5487" s="8">
        <v>5091</v>
      </c>
    </row>
    <row r="5488" spans="1:9" x14ac:dyDescent="0.2">
      <c r="A5488" t="s">
        <v>1138</v>
      </c>
      <c r="B5488" t="s">
        <v>1176</v>
      </c>
      <c r="C5488" t="str">
        <f t="shared" si="267"/>
        <v>34674390000000</v>
      </c>
      <c r="D5488" t="s">
        <v>3444</v>
      </c>
      <c r="E5488" t="str">
        <f>"34674396033807"</f>
        <v>34674396033807</v>
      </c>
      <c r="F5488" s="8">
        <v>388</v>
      </c>
      <c r="G5488" s="8">
        <v>12151</v>
      </c>
      <c r="H5488" s="8">
        <v>1872</v>
      </c>
      <c r="I5488" s="8">
        <v>5091</v>
      </c>
    </row>
    <row r="5489" spans="1:9" x14ac:dyDescent="0.2">
      <c r="A5489" t="s">
        <v>1138</v>
      </c>
      <c r="B5489" t="s">
        <v>1176</v>
      </c>
      <c r="C5489" t="str">
        <f t="shared" si="267"/>
        <v>34674390000000</v>
      </c>
      <c r="D5489" t="s">
        <v>6840</v>
      </c>
      <c r="E5489" t="str">
        <f>"34674396059356"</f>
        <v>34674396059356</v>
      </c>
      <c r="F5489" s="8">
        <v>197</v>
      </c>
      <c r="G5489" s="8">
        <v>11819</v>
      </c>
      <c r="H5489" s="8">
        <v>1872</v>
      </c>
      <c r="I5489" s="8">
        <v>5091</v>
      </c>
    </row>
    <row r="5490" spans="1:9" x14ac:dyDescent="0.2">
      <c r="A5490" t="s">
        <v>1138</v>
      </c>
      <c r="B5490" t="s">
        <v>1176</v>
      </c>
      <c r="C5490" t="str">
        <f t="shared" si="267"/>
        <v>34674390000000</v>
      </c>
      <c r="D5490" t="s">
        <v>6841</v>
      </c>
      <c r="E5490" t="str">
        <f>"34674396034037"</f>
        <v>34674396034037</v>
      </c>
      <c r="F5490" s="8">
        <v>3560</v>
      </c>
      <c r="G5490" s="8">
        <v>8438</v>
      </c>
      <c r="H5490" s="8">
        <v>1872</v>
      </c>
      <c r="I5490" s="8">
        <v>5091</v>
      </c>
    </row>
    <row r="5491" spans="1:9" x14ac:dyDescent="0.2">
      <c r="A5491" t="s">
        <v>1138</v>
      </c>
      <c r="B5491" t="s">
        <v>1176</v>
      </c>
      <c r="C5491" t="str">
        <f t="shared" si="267"/>
        <v>34674390000000</v>
      </c>
      <c r="D5491" t="s">
        <v>6842</v>
      </c>
      <c r="E5491" t="str">
        <f>"34674390101899"</f>
        <v>34674390101899</v>
      </c>
      <c r="F5491" s="8">
        <v>974</v>
      </c>
      <c r="G5491" s="8">
        <v>10814</v>
      </c>
      <c r="H5491" s="8">
        <v>1872</v>
      </c>
      <c r="I5491" s="8">
        <v>5091</v>
      </c>
    </row>
    <row r="5492" spans="1:9" x14ac:dyDescent="0.2">
      <c r="A5492" t="s">
        <v>1138</v>
      </c>
      <c r="B5492" t="s">
        <v>1176</v>
      </c>
      <c r="C5492" t="str">
        <f t="shared" si="267"/>
        <v>34674390000000</v>
      </c>
      <c r="D5492" t="s">
        <v>6843</v>
      </c>
      <c r="E5492" t="str">
        <f>"34674390101907"</f>
        <v>34674390101907</v>
      </c>
      <c r="F5492" s="8">
        <v>269</v>
      </c>
      <c r="G5492" s="8">
        <v>10780</v>
      </c>
      <c r="H5492" s="8">
        <v>1872</v>
      </c>
      <c r="I5492" s="8">
        <v>5091</v>
      </c>
    </row>
    <row r="5493" spans="1:9" x14ac:dyDescent="0.2">
      <c r="A5493" t="s">
        <v>1138</v>
      </c>
      <c r="B5493" t="s">
        <v>1176</v>
      </c>
      <c r="C5493" t="str">
        <f t="shared" si="267"/>
        <v>34674390000000</v>
      </c>
      <c r="D5493" t="s">
        <v>5647</v>
      </c>
      <c r="E5493" t="str">
        <f>"34674390101881"</f>
        <v>34674390101881</v>
      </c>
      <c r="F5493" s="8">
        <v>998</v>
      </c>
      <c r="G5493" s="8">
        <v>9983</v>
      </c>
      <c r="H5493" s="8">
        <v>1872</v>
      </c>
      <c r="I5493" s="8">
        <v>5091</v>
      </c>
    </row>
    <row r="5494" spans="1:9" x14ac:dyDescent="0.2">
      <c r="A5494" t="s">
        <v>1138</v>
      </c>
      <c r="B5494" t="s">
        <v>1176</v>
      </c>
      <c r="C5494" t="str">
        <f t="shared" si="267"/>
        <v>34674390000000</v>
      </c>
      <c r="D5494" t="s">
        <v>6844</v>
      </c>
      <c r="E5494" t="str">
        <f>"34674396059323"</f>
        <v>34674396059323</v>
      </c>
      <c r="F5494" s="8">
        <v>2525</v>
      </c>
      <c r="G5494" s="8">
        <v>8239</v>
      </c>
      <c r="H5494" s="8">
        <v>1872</v>
      </c>
      <c r="I5494" s="8">
        <v>5091</v>
      </c>
    </row>
    <row r="5495" spans="1:9" x14ac:dyDescent="0.2">
      <c r="A5495" t="s">
        <v>1138</v>
      </c>
      <c r="B5495" t="s">
        <v>1176</v>
      </c>
      <c r="C5495" t="str">
        <f t="shared" si="267"/>
        <v>34674390000000</v>
      </c>
      <c r="D5495" t="s">
        <v>6845</v>
      </c>
      <c r="E5495" t="str">
        <f>"34674396033831"</f>
        <v>34674396033831</v>
      </c>
      <c r="F5495" s="8">
        <v>682</v>
      </c>
      <c r="G5495" s="8">
        <v>10064</v>
      </c>
      <c r="H5495" s="8">
        <v>1872</v>
      </c>
      <c r="I5495" s="8">
        <v>5091</v>
      </c>
    </row>
    <row r="5496" spans="1:9" x14ac:dyDescent="0.2">
      <c r="A5496" t="s">
        <v>1138</v>
      </c>
      <c r="B5496" t="s">
        <v>1176</v>
      </c>
      <c r="C5496" t="str">
        <f t="shared" si="267"/>
        <v>34674390000000</v>
      </c>
      <c r="D5496" t="s">
        <v>6846</v>
      </c>
      <c r="E5496" t="str">
        <f>"34674396096150"</f>
        <v>34674396096150</v>
      </c>
      <c r="F5496" s="8">
        <v>263</v>
      </c>
      <c r="G5496" s="8">
        <v>10373</v>
      </c>
      <c r="H5496" s="8">
        <v>1872</v>
      </c>
      <c r="I5496" s="8">
        <v>5091</v>
      </c>
    </row>
    <row r="5497" spans="1:9" x14ac:dyDescent="0.2">
      <c r="A5497" t="s">
        <v>1138</v>
      </c>
      <c r="B5497" t="s">
        <v>1176</v>
      </c>
      <c r="C5497" t="str">
        <f t="shared" si="267"/>
        <v>34674390000000</v>
      </c>
      <c r="D5497" t="s">
        <v>6847</v>
      </c>
      <c r="E5497" t="str">
        <f>"34674396034177"</f>
        <v>34674396034177</v>
      </c>
      <c r="F5497" s="8">
        <v>527</v>
      </c>
      <c r="G5497" s="8">
        <v>9954</v>
      </c>
      <c r="H5497" s="8">
        <v>1872</v>
      </c>
      <c r="I5497" s="8">
        <v>5091</v>
      </c>
    </row>
    <row r="5498" spans="1:9" x14ac:dyDescent="0.2">
      <c r="A5498" t="s">
        <v>1138</v>
      </c>
      <c r="B5498" t="s">
        <v>1176</v>
      </c>
      <c r="C5498" t="str">
        <f t="shared" si="267"/>
        <v>34674390000000</v>
      </c>
      <c r="D5498" t="s">
        <v>6848</v>
      </c>
      <c r="E5498" t="str">
        <f>"34674396034052"</f>
        <v>34674396034052</v>
      </c>
      <c r="F5498" s="8">
        <v>586</v>
      </c>
      <c r="G5498" s="8">
        <v>9879</v>
      </c>
      <c r="H5498" s="8">
        <v>1872</v>
      </c>
      <c r="I5498" s="8">
        <v>5091</v>
      </c>
    </row>
    <row r="5499" spans="1:9" x14ac:dyDescent="0.2">
      <c r="A5499" t="s">
        <v>1138</v>
      </c>
      <c r="B5499" t="s">
        <v>1176</v>
      </c>
      <c r="C5499" t="str">
        <f t="shared" si="267"/>
        <v>34674390000000</v>
      </c>
      <c r="D5499" t="s">
        <v>6849</v>
      </c>
      <c r="E5499" t="str">
        <f>"34674396034029"</f>
        <v>34674396034029</v>
      </c>
      <c r="F5499" s="8">
        <v>407</v>
      </c>
      <c r="G5499" s="8">
        <v>9871</v>
      </c>
      <c r="H5499" s="8">
        <v>1872</v>
      </c>
      <c r="I5499" s="8">
        <v>5091</v>
      </c>
    </row>
    <row r="5500" spans="1:9" x14ac:dyDescent="0.2">
      <c r="A5500" t="s">
        <v>1138</v>
      </c>
      <c r="B5500" t="s">
        <v>1176</v>
      </c>
      <c r="C5500" t="str">
        <f t="shared" si="267"/>
        <v>34674390000000</v>
      </c>
      <c r="D5500" t="s">
        <v>6850</v>
      </c>
      <c r="E5500" t="str">
        <f>"34674396061832"</f>
        <v>34674396061832</v>
      </c>
      <c r="F5500" s="8">
        <v>211</v>
      </c>
      <c r="G5500" s="8">
        <v>10026</v>
      </c>
      <c r="H5500" s="8">
        <v>1872</v>
      </c>
      <c r="I5500" s="8">
        <v>5091</v>
      </c>
    </row>
    <row r="5501" spans="1:9" x14ac:dyDescent="0.2">
      <c r="A5501" t="s">
        <v>1138</v>
      </c>
      <c r="B5501" t="s">
        <v>1176</v>
      </c>
      <c r="C5501" t="str">
        <f t="shared" si="267"/>
        <v>34674390000000</v>
      </c>
      <c r="D5501" t="s">
        <v>6851</v>
      </c>
      <c r="E5501" t="str">
        <f>"34674396107239"</f>
        <v>34674396107239</v>
      </c>
      <c r="F5501" s="8">
        <v>257</v>
      </c>
      <c r="G5501" s="8">
        <v>9779</v>
      </c>
      <c r="H5501" s="8">
        <v>1872</v>
      </c>
      <c r="I5501" s="8">
        <v>5091</v>
      </c>
    </row>
    <row r="5502" spans="1:9" x14ac:dyDescent="0.2">
      <c r="A5502" t="s">
        <v>1138</v>
      </c>
      <c r="B5502" t="s">
        <v>1176</v>
      </c>
      <c r="C5502" t="str">
        <f t="shared" si="267"/>
        <v>34674390000000</v>
      </c>
      <c r="D5502" t="s">
        <v>6852</v>
      </c>
      <c r="E5502" t="str">
        <f>"34674396034201"</f>
        <v>34674396034201</v>
      </c>
      <c r="F5502" s="8">
        <v>2746</v>
      </c>
      <c r="G5502" s="8">
        <v>7268</v>
      </c>
      <c r="H5502" s="8">
        <v>1872</v>
      </c>
      <c r="I5502" s="8">
        <v>5091</v>
      </c>
    </row>
    <row r="5503" spans="1:9" x14ac:dyDescent="0.2">
      <c r="A5503" t="s">
        <v>1138</v>
      </c>
      <c r="B5503" t="s">
        <v>1176</v>
      </c>
      <c r="C5503" t="str">
        <f t="shared" si="267"/>
        <v>34674390000000</v>
      </c>
      <c r="D5503" t="s">
        <v>2070</v>
      </c>
      <c r="E5503" t="str">
        <f>"34674396059364"</f>
        <v>34674396059364</v>
      </c>
      <c r="F5503" s="8">
        <v>1358</v>
      </c>
      <c r="G5503" s="8">
        <v>8626</v>
      </c>
      <c r="H5503" s="8">
        <v>1872</v>
      </c>
      <c r="I5503" s="8">
        <v>5091</v>
      </c>
    </row>
    <row r="5504" spans="1:9" x14ac:dyDescent="0.2">
      <c r="A5504" t="s">
        <v>1138</v>
      </c>
      <c r="B5504" t="s">
        <v>1176</v>
      </c>
      <c r="C5504" t="str">
        <f t="shared" si="267"/>
        <v>34674390000000</v>
      </c>
      <c r="D5504" t="s">
        <v>4838</v>
      </c>
      <c r="E5504" t="str">
        <f>"34674396059299"</f>
        <v>34674396059299</v>
      </c>
      <c r="F5504" s="8">
        <v>1273</v>
      </c>
      <c r="G5504" s="8">
        <v>8664</v>
      </c>
      <c r="H5504" s="8">
        <v>1872</v>
      </c>
      <c r="I5504" s="8">
        <v>5091</v>
      </c>
    </row>
    <row r="5505" spans="1:9" x14ac:dyDescent="0.2">
      <c r="A5505" t="s">
        <v>1138</v>
      </c>
      <c r="B5505" t="s">
        <v>1176</v>
      </c>
      <c r="C5505" t="str">
        <f t="shared" si="267"/>
        <v>34674390000000</v>
      </c>
      <c r="D5505" t="s">
        <v>2465</v>
      </c>
      <c r="E5505" t="str">
        <f>"34674396034136"</f>
        <v>34674396034136</v>
      </c>
      <c r="F5505" s="8">
        <v>500</v>
      </c>
      <c r="G5505" s="8">
        <v>9427</v>
      </c>
      <c r="H5505" s="8">
        <v>1872</v>
      </c>
      <c r="I5505" s="8">
        <v>5091</v>
      </c>
    </row>
    <row r="5506" spans="1:9" x14ac:dyDescent="0.2">
      <c r="A5506" t="s">
        <v>1138</v>
      </c>
      <c r="B5506" t="s">
        <v>1176</v>
      </c>
      <c r="C5506" t="str">
        <f t="shared" si="267"/>
        <v>34674390000000</v>
      </c>
      <c r="D5506" t="s">
        <v>6853</v>
      </c>
      <c r="E5506" t="str">
        <f>"34674393430519"</f>
        <v>34674393430519</v>
      </c>
      <c r="F5506" s="8">
        <v>590</v>
      </c>
      <c r="G5506" s="8">
        <v>9273</v>
      </c>
      <c r="H5506" s="8">
        <v>1872</v>
      </c>
      <c r="I5506" s="8">
        <v>5091</v>
      </c>
    </row>
    <row r="5507" spans="1:9" x14ac:dyDescent="0.2">
      <c r="A5507" t="s">
        <v>1138</v>
      </c>
      <c r="B5507" t="s">
        <v>1176</v>
      </c>
      <c r="C5507" t="str">
        <f t="shared" si="267"/>
        <v>34674390000000</v>
      </c>
      <c r="D5507" t="s">
        <v>6854</v>
      </c>
      <c r="E5507" t="str">
        <f>"34674396033765"</f>
        <v>34674396033765</v>
      </c>
      <c r="F5507" s="8">
        <v>463</v>
      </c>
      <c r="G5507" s="8">
        <v>9264</v>
      </c>
      <c r="H5507" s="8">
        <v>1872</v>
      </c>
      <c r="I5507" s="8">
        <v>5091</v>
      </c>
    </row>
    <row r="5508" spans="1:9" x14ac:dyDescent="0.2">
      <c r="A5508" t="s">
        <v>1138</v>
      </c>
      <c r="B5508" t="s">
        <v>1176</v>
      </c>
      <c r="C5508" t="str">
        <f t="shared" si="267"/>
        <v>34674390000000</v>
      </c>
      <c r="D5508" t="s">
        <v>6855</v>
      </c>
      <c r="E5508" t="str">
        <f>"34674396033955"</f>
        <v>34674396033955</v>
      </c>
      <c r="F5508" s="8">
        <v>701</v>
      </c>
      <c r="G5508" s="8">
        <v>8948</v>
      </c>
      <c r="H5508" s="8">
        <v>1872</v>
      </c>
      <c r="I5508" s="8">
        <v>5091</v>
      </c>
    </row>
    <row r="5509" spans="1:9" x14ac:dyDescent="0.2">
      <c r="A5509" t="s">
        <v>1138</v>
      </c>
      <c r="B5509" t="s">
        <v>1176</v>
      </c>
      <c r="C5509" t="str">
        <f t="shared" si="267"/>
        <v>34674390000000</v>
      </c>
      <c r="D5509" t="s">
        <v>6856</v>
      </c>
      <c r="E5509" t="str">
        <f>"34674396034003"</f>
        <v>34674396034003</v>
      </c>
      <c r="F5509" s="8">
        <v>295</v>
      </c>
      <c r="G5509" s="8">
        <v>9320</v>
      </c>
      <c r="H5509" s="8">
        <v>1872</v>
      </c>
      <c r="I5509" s="8">
        <v>5091</v>
      </c>
    </row>
    <row r="5510" spans="1:9" x14ac:dyDescent="0.2">
      <c r="A5510" t="s">
        <v>1138</v>
      </c>
      <c r="B5510" t="s">
        <v>1176</v>
      </c>
      <c r="C5510" t="str">
        <f t="shared" si="267"/>
        <v>34674390000000</v>
      </c>
      <c r="D5510" t="s">
        <v>6857</v>
      </c>
      <c r="E5510" t="str">
        <f>"34674396034284"</f>
        <v>34674396034284</v>
      </c>
      <c r="F5510" s="8">
        <v>653</v>
      </c>
      <c r="G5510" s="8">
        <v>8867</v>
      </c>
      <c r="H5510" s="8">
        <v>1872</v>
      </c>
      <c r="I5510" s="8">
        <v>5091</v>
      </c>
    </row>
    <row r="5511" spans="1:9" x14ac:dyDescent="0.2">
      <c r="A5511" t="s">
        <v>1138</v>
      </c>
      <c r="B5511" t="s">
        <v>1176</v>
      </c>
      <c r="C5511" t="str">
        <f t="shared" si="267"/>
        <v>34674390000000</v>
      </c>
      <c r="D5511" t="s">
        <v>6858</v>
      </c>
      <c r="E5511" t="str">
        <f>"34674396034276"</f>
        <v>34674396034276</v>
      </c>
      <c r="F5511" s="8">
        <v>62</v>
      </c>
      <c r="G5511" s="8">
        <v>9312</v>
      </c>
      <c r="H5511" s="8">
        <v>1872</v>
      </c>
      <c r="I5511" s="8">
        <v>5091</v>
      </c>
    </row>
    <row r="5512" spans="1:9" x14ac:dyDescent="0.2">
      <c r="A5512" t="s">
        <v>1138</v>
      </c>
      <c r="B5512" t="s">
        <v>1176</v>
      </c>
      <c r="C5512" t="str">
        <f t="shared" ref="C5512:C5543" si="268">"34674390000000"</f>
        <v>34674390000000</v>
      </c>
      <c r="D5512" t="s">
        <v>6859</v>
      </c>
      <c r="E5512" t="str">
        <f>"34674393434636"</f>
        <v>34674393434636</v>
      </c>
      <c r="F5512" s="8">
        <v>1280</v>
      </c>
      <c r="G5512" s="8">
        <v>8042</v>
      </c>
      <c r="H5512" s="8">
        <v>1872</v>
      </c>
      <c r="I5512" s="8">
        <v>5091</v>
      </c>
    </row>
    <row r="5513" spans="1:9" x14ac:dyDescent="0.2">
      <c r="A5513" t="s">
        <v>1138</v>
      </c>
      <c r="B5513" t="s">
        <v>1176</v>
      </c>
      <c r="C5513" t="str">
        <f t="shared" si="268"/>
        <v>34674390000000</v>
      </c>
      <c r="D5513" t="s">
        <v>2300</v>
      </c>
      <c r="E5513" t="str">
        <f>"34674396034250"</f>
        <v>34674396034250</v>
      </c>
      <c r="F5513" s="8">
        <v>136</v>
      </c>
      <c r="G5513" s="8">
        <v>9092</v>
      </c>
      <c r="H5513" s="8">
        <v>1872</v>
      </c>
      <c r="I5513" s="8">
        <v>5091</v>
      </c>
    </row>
    <row r="5514" spans="1:9" x14ac:dyDescent="0.2">
      <c r="A5514" t="s">
        <v>1138</v>
      </c>
      <c r="B5514" t="s">
        <v>1176</v>
      </c>
      <c r="C5514" t="str">
        <f t="shared" si="268"/>
        <v>34674390000000</v>
      </c>
      <c r="D5514" t="s">
        <v>2094</v>
      </c>
      <c r="E5514" t="str">
        <f>"34674390133777"</f>
        <v>34674390133777</v>
      </c>
      <c r="F5514" s="8">
        <v>560</v>
      </c>
      <c r="G5514" s="8">
        <v>8651</v>
      </c>
      <c r="H5514" s="8">
        <v>1872</v>
      </c>
      <c r="I5514" s="8">
        <v>5091</v>
      </c>
    </row>
    <row r="5515" spans="1:9" x14ac:dyDescent="0.2">
      <c r="A5515" t="s">
        <v>1138</v>
      </c>
      <c r="B5515" t="s">
        <v>1176</v>
      </c>
      <c r="C5515" t="str">
        <f t="shared" si="268"/>
        <v>34674390000000</v>
      </c>
      <c r="D5515" t="s">
        <v>6860</v>
      </c>
      <c r="E5515" t="str">
        <f>"34674396110662"</f>
        <v>34674396110662</v>
      </c>
      <c r="F5515" s="8">
        <v>593</v>
      </c>
      <c r="G5515" s="8">
        <v>8574</v>
      </c>
      <c r="H5515" s="8">
        <v>1872</v>
      </c>
      <c r="I5515" s="8">
        <v>5091</v>
      </c>
    </row>
    <row r="5516" spans="1:9" x14ac:dyDescent="0.2">
      <c r="A5516" t="s">
        <v>1138</v>
      </c>
      <c r="B5516" t="s">
        <v>1176</v>
      </c>
      <c r="C5516" t="str">
        <f t="shared" si="268"/>
        <v>34674390000000</v>
      </c>
      <c r="D5516" t="s">
        <v>6861</v>
      </c>
      <c r="E5516" t="str">
        <f>"34674393431012"</f>
        <v>34674393431012</v>
      </c>
      <c r="F5516" s="8">
        <v>301</v>
      </c>
      <c r="G5516" s="8">
        <v>8835</v>
      </c>
      <c r="H5516" s="8">
        <v>1872</v>
      </c>
      <c r="I5516" s="8">
        <v>5091</v>
      </c>
    </row>
    <row r="5517" spans="1:9" x14ac:dyDescent="0.2">
      <c r="A5517" t="s">
        <v>1138</v>
      </c>
      <c r="B5517" t="s">
        <v>1176</v>
      </c>
      <c r="C5517" t="str">
        <f t="shared" si="268"/>
        <v>34674390000000</v>
      </c>
      <c r="D5517" t="s">
        <v>6862</v>
      </c>
      <c r="E5517" t="str">
        <f>"34674396034045"</f>
        <v>34674396034045</v>
      </c>
      <c r="F5517" s="8">
        <v>1138</v>
      </c>
      <c r="G5517" s="8">
        <v>7993</v>
      </c>
      <c r="H5517" s="8">
        <v>1872</v>
      </c>
      <c r="I5517" s="8">
        <v>5091</v>
      </c>
    </row>
    <row r="5518" spans="1:9" x14ac:dyDescent="0.2">
      <c r="A5518" t="s">
        <v>1138</v>
      </c>
      <c r="B5518" t="s">
        <v>1176</v>
      </c>
      <c r="C5518" t="str">
        <f t="shared" si="268"/>
        <v>34674390000000</v>
      </c>
      <c r="D5518" t="s">
        <v>6863</v>
      </c>
      <c r="E5518" t="str">
        <f>"34674396033880"</f>
        <v>34674396033880</v>
      </c>
      <c r="F5518" s="8">
        <v>159</v>
      </c>
      <c r="G5518" s="8">
        <v>8931</v>
      </c>
      <c r="H5518" s="8">
        <v>1872</v>
      </c>
      <c r="I5518" s="8">
        <v>5091</v>
      </c>
    </row>
    <row r="5519" spans="1:9" x14ac:dyDescent="0.2">
      <c r="A5519" t="s">
        <v>1138</v>
      </c>
      <c r="B5519" t="s">
        <v>1176</v>
      </c>
      <c r="C5519" t="str">
        <f t="shared" si="268"/>
        <v>34674390000000</v>
      </c>
      <c r="D5519" t="s">
        <v>6864</v>
      </c>
      <c r="E5519" t="str">
        <f>"34674396059273"</f>
        <v>34674396059273</v>
      </c>
      <c r="F5519" s="8">
        <v>274</v>
      </c>
      <c r="G5519" s="8">
        <v>8751</v>
      </c>
      <c r="H5519" s="8">
        <v>1872</v>
      </c>
      <c r="I5519" s="8">
        <v>5091</v>
      </c>
    </row>
    <row r="5520" spans="1:9" x14ac:dyDescent="0.2">
      <c r="A5520" t="s">
        <v>1138</v>
      </c>
      <c r="B5520" t="s">
        <v>1176</v>
      </c>
      <c r="C5520" t="str">
        <f t="shared" si="268"/>
        <v>34674390000000</v>
      </c>
      <c r="D5520" t="s">
        <v>6865</v>
      </c>
      <c r="E5520" t="str">
        <f>"34674396033914"</f>
        <v>34674396033914</v>
      </c>
      <c r="F5520" s="8">
        <v>515</v>
      </c>
      <c r="G5520" s="8">
        <v>8321</v>
      </c>
      <c r="H5520" s="8">
        <v>1872</v>
      </c>
      <c r="I5520" s="8">
        <v>5091</v>
      </c>
    </row>
    <row r="5521" spans="1:9" x14ac:dyDescent="0.2">
      <c r="A5521" t="s">
        <v>1138</v>
      </c>
      <c r="B5521" t="s">
        <v>1176</v>
      </c>
      <c r="C5521" t="str">
        <f t="shared" si="268"/>
        <v>34674390000000</v>
      </c>
      <c r="D5521" t="s">
        <v>6866</v>
      </c>
      <c r="E5521" t="str">
        <f>"34674396034011"</f>
        <v>34674396034011</v>
      </c>
      <c r="F5521" s="8">
        <v>187</v>
      </c>
      <c r="G5521" s="8">
        <v>8634</v>
      </c>
      <c r="H5521" s="8">
        <v>1872</v>
      </c>
      <c r="I5521" s="8">
        <v>5091</v>
      </c>
    </row>
    <row r="5522" spans="1:9" x14ac:dyDescent="0.2">
      <c r="A5522" t="s">
        <v>1138</v>
      </c>
      <c r="B5522" t="s">
        <v>1176</v>
      </c>
      <c r="C5522" t="str">
        <f t="shared" si="268"/>
        <v>34674390000000</v>
      </c>
      <c r="D5522" t="s">
        <v>6867</v>
      </c>
      <c r="E5522" t="str">
        <f>"34674396034235"</f>
        <v>34674396034235</v>
      </c>
      <c r="F5522" s="8">
        <v>866</v>
      </c>
      <c r="G5522" s="8">
        <v>7952</v>
      </c>
      <c r="H5522" s="8">
        <v>1872</v>
      </c>
      <c r="I5522" s="8">
        <v>5091</v>
      </c>
    </row>
    <row r="5523" spans="1:9" x14ac:dyDescent="0.2">
      <c r="A5523" t="s">
        <v>1138</v>
      </c>
      <c r="B5523" t="s">
        <v>1176</v>
      </c>
      <c r="C5523" t="str">
        <f t="shared" si="268"/>
        <v>34674390000000</v>
      </c>
      <c r="D5523" t="s">
        <v>6868</v>
      </c>
      <c r="E5523" t="str">
        <f>"34674390131136"</f>
        <v>34674390131136</v>
      </c>
      <c r="F5523" s="8">
        <v>1059</v>
      </c>
      <c r="G5523" s="8">
        <v>7676</v>
      </c>
      <c r="H5523" s="8">
        <v>1872</v>
      </c>
      <c r="I5523" s="8">
        <v>5091</v>
      </c>
    </row>
    <row r="5524" spans="1:9" x14ac:dyDescent="0.2">
      <c r="A5524" t="s">
        <v>1138</v>
      </c>
      <c r="B5524" t="s">
        <v>1176</v>
      </c>
      <c r="C5524" t="str">
        <f t="shared" si="268"/>
        <v>34674390000000</v>
      </c>
      <c r="D5524" t="s">
        <v>6869</v>
      </c>
      <c r="E5524" t="str">
        <f>"34674396033823"</f>
        <v>34674396033823</v>
      </c>
      <c r="F5524" s="8">
        <v>232</v>
      </c>
      <c r="G5524" s="8">
        <v>8468</v>
      </c>
      <c r="H5524" s="8">
        <v>1872</v>
      </c>
      <c r="I5524" s="8">
        <v>5091</v>
      </c>
    </row>
    <row r="5525" spans="1:9" x14ac:dyDescent="0.2">
      <c r="A5525" t="s">
        <v>1138</v>
      </c>
      <c r="B5525" t="s">
        <v>1176</v>
      </c>
      <c r="C5525" t="str">
        <f t="shared" si="268"/>
        <v>34674390000000</v>
      </c>
      <c r="D5525" t="s">
        <v>6870</v>
      </c>
      <c r="E5525" t="str">
        <f>"34674396059307"</f>
        <v>34674396059307</v>
      </c>
      <c r="F5525" s="8">
        <v>958</v>
      </c>
      <c r="G5525" s="8">
        <v>7642</v>
      </c>
      <c r="H5525" s="8">
        <v>1872</v>
      </c>
      <c r="I5525" s="8">
        <v>5091</v>
      </c>
    </row>
    <row r="5526" spans="1:9" x14ac:dyDescent="0.2">
      <c r="A5526" t="s">
        <v>1138</v>
      </c>
      <c r="B5526" t="s">
        <v>1176</v>
      </c>
      <c r="C5526" t="str">
        <f t="shared" si="268"/>
        <v>34674390000000</v>
      </c>
      <c r="D5526" t="s">
        <v>6871</v>
      </c>
      <c r="E5526" t="str">
        <f>"34674390101972"</f>
        <v>34674390101972</v>
      </c>
      <c r="F5526" s="8">
        <v>217</v>
      </c>
      <c r="G5526" s="8">
        <v>8270</v>
      </c>
      <c r="H5526" s="8">
        <v>1872</v>
      </c>
      <c r="I5526" s="8">
        <v>5091</v>
      </c>
    </row>
    <row r="5527" spans="1:9" x14ac:dyDescent="0.2">
      <c r="A5527" t="s">
        <v>1138</v>
      </c>
      <c r="B5527" t="s">
        <v>1176</v>
      </c>
      <c r="C5527" t="str">
        <f t="shared" si="268"/>
        <v>34674390000000</v>
      </c>
      <c r="D5527" t="s">
        <v>6872</v>
      </c>
      <c r="E5527" t="str">
        <f>"34674396034219"</f>
        <v>34674396034219</v>
      </c>
      <c r="F5527" s="8">
        <v>221</v>
      </c>
      <c r="G5527" s="8">
        <v>8192</v>
      </c>
      <c r="H5527" s="8">
        <v>1872</v>
      </c>
      <c r="I5527" s="8">
        <v>5091</v>
      </c>
    </row>
    <row r="5528" spans="1:9" x14ac:dyDescent="0.2">
      <c r="A5528" t="s">
        <v>1138</v>
      </c>
      <c r="B5528" t="s">
        <v>1176</v>
      </c>
      <c r="C5528" t="str">
        <f t="shared" si="268"/>
        <v>34674390000000</v>
      </c>
      <c r="D5528" t="s">
        <v>6792</v>
      </c>
      <c r="E5528" t="str">
        <f>"34674396034292"</f>
        <v>34674396034292</v>
      </c>
      <c r="F5528" s="8">
        <v>52</v>
      </c>
      <c r="G5528" s="8">
        <v>8244</v>
      </c>
      <c r="H5528" s="8">
        <v>1872</v>
      </c>
      <c r="I5528" s="8">
        <v>5091</v>
      </c>
    </row>
    <row r="5529" spans="1:9" x14ac:dyDescent="0.2">
      <c r="A5529" t="s">
        <v>1138</v>
      </c>
      <c r="B5529" t="s">
        <v>1176</v>
      </c>
      <c r="C5529" t="str">
        <f t="shared" si="268"/>
        <v>34674390000000</v>
      </c>
      <c r="D5529" t="s">
        <v>6873</v>
      </c>
      <c r="E5529" t="str">
        <f>"34674396034169"</f>
        <v>34674396034169</v>
      </c>
      <c r="F5529" s="8">
        <v>203</v>
      </c>
      <c r="G5529" s="8">
        <v>7915</v>
      </c>
      <c r="H5529" s="8">
        <v>1872</v>
      </c>
      <c r="I5529" s="8">
        <v>5091</v>
      </c>
    </row>
    <row r="5530" spans="1:9" x14ac:dyDescent="0.2">
      <c r="A5530" t="s">
        <v>1138</v>
      </c>
      <c r="B5530" t="s">
        <v>1176</v>
      </c>
      <c r="C5530" t="str">
        <f t="shared" si="268"/>
        <v>34674390000000</v>
      </c>
      <c r="D5530" t="s">
        <v>6874</v>
      </c>
      <c r="E5530" t="str">
        <f>"34674396033815"</f>
        <v>34674396033815</v>
      </c>
      <c r="F5530" s="8">
        <v>46</v>
      </c>
      <c r="G5530" s="8">
        <v>8057</v>
      </c>
      <c r="H5530" s="8">
        <v>1872</v>
      </c>
      <c r="I5530" s="8">
        <v>5091</v>
      </c>
    </row>
    <row r="5531" spans="1:9" x14ac:dyDescent="0.2">
      <c r="A5531" t="s">
        <v>1138</v>
      </c>
      <c r="B5531" t="s">
        <v>1176</v>
      </c>
      <c r="C5531" t="str">
        <f t="shared" si="268"/>
        <v>34674390000000</v>
      </c>
      <c r="D5531" t="s">
        <v>2137</v>
      </c>
      <c r="E5531" t="str">
        <f>"34674393434768"</f>
        <v>34674393434768</v>
      </c>
      <c r="F5531" s="8">
        <v>218</v>
      </c>
      <c r="G5531" s="8">
        <v>7864</v>
      </c>
      <c r="H5531" s="8">
        <v>1872</v>
      </c>
      <c r="I5531" s="8">
        <v>5091</v>
      </c>
    </row>
    <row r="5532" spans="1:9" x14ac:dyDescent="0.2">
      <c r="A5532" t="s">
        <v>1138</v>
      </c>
      <c r="B5532" t="s">
        <v>1176</v>
      </c>
      <c r="C5532" t="str">
        <f t="shared" si="268"/>
        <v>34674390000000</v>
      </c>
      <c r="D5532" t="s">
        <v>6875</v>
      </c>
      <c r="E5532" t="str">
        <f>"34674396111389"</f>
        <v>34674396111389</v>
      </c>
      <c r="F5532" s="8">
        <v>174</v>
      </c>
      <c r="G5532" s="8">
        <v>7853</v>
      </c>
      <c r="H5532" s="8">
        <v>1872</v>
      </c>
      <c r="I5532" s="8">
        <v>5091</v>
      </c>
    </row>
    <row r="5533" spans="1:9" x14ac:dyDescent="0.2">
      <c r="A5533" t="s">
        <v>1138</v>
      </c>
      <c r="B5533" t="s">
        <v>1176</v>
      </c>
      <c r="C5533" t="str">
        <f t="shared" si="268"/>
        <v>34674390000000</v>
      </c>
      <c r="D5533" t="s">
        <v>6876</v>
      </c>
      <c r="E5533" t="str">
        <f>"34674396059281"</f>
        <v>34674396059281</v>
      </c>
      <c r="F5533" s="8">
        <v>251</v>
      </c>
      <c r="G5533" s="8">
        <v>7700</v>
      </c>
      <c r="H5533" s="8">
        <v>1872</v>
      </c>
      <c r="I5533" s="8">
        <v>5091</v>
      </c>
    </row>
    <row r="5534" spans="1:9" x14ac:dyDescent="0.2">
      <c r="A5534" t="s">
        <v>1138</v>
      </c>
      <c r="B5534" t="s">
        <v>1176</v>
      </c>
      <c r="C5534" t="str">
        <f t="shared" si="268"/>
        <v>34674390000000</v>
      </c>
      <c r="D5534" t="s">
        <v>6786</v>
      </c>
      <c r="E5534" t="str">
        <f>"34674396066690"</f>
        <v>34674396066690</v>
      </c>
      <c r="F5534" s="8">
        <v>47</v>
      </c>
      <c r="G5534" s="8">
        <v>7896</v>
      </c>
      <c r="H5534" s="8">
        <v>1872</v>
      </c>
      <c r="I5534" s="8">
        <v>5091</v>
      </c>
    </row>
    <row r="5535" spans="1:9" x14ac:dyDescent="0.2">
      <c r="A5535" t="s">
        <v>1138</v>
      </c>
      <c r="B5535" t="s">
        <v>1176</v>
      </c>
      <c r="C5535" t="str">
        <f t="shared" si="268"/>
        <v>34674390000000</v>
      </c>
      <c r="D5535" t="s">
        <v>6877</v>
      </c>
      <c r="E5535" t="str">
        <f>"34674396097083"</f>
        <v>34674396097083</v>
      </c>
      <c r="F5535" s="8">
        <v>512</v>
      </c>
      <c r="G5535" s="8">
        <v>7375</v>
      </c>
      <c r="H5535" s="8">
        <v>1872</v>
      </c>
      <c r="I5535" s="8">
        <v>5091</v>
      </c>
    </row>
    <row r="5536" spans="1:9" x14ac:dyDescent="0.2">
      <c r="A5536" t="s">
        <v>1138</v>
      </c>
      <c r="B5536" t="s">
        <v>1176</v>
      </c>
      <c r="C5536" t="str">
        <f t="shared" si="268"/>
        <v>34674390000000</v>
      </c>
      <c r="D5536" t="s">
        <v>6878</v>
      </c>
      <c r="E5536" t="str">
        <f>"34674396034185"</f>
        <v>34674396034185</v>
      </c>
      <c r="F5536" s="8">
        <v>1478</v>
      </c>
      <c r="G5536" s="8">
        <v>6386</v>
      </c>
      <c r="H5536" s="8">
        <v>1872</v>
      </c>
      <c r="I5536" s="8">
        <v>5091</v>
      </c>
    </row>
    <row r="5537" spans="1:9" x14ac:dyDescent="0.2">
      <c r="A5537" t="s">
        <v>1138</v>
      </c>
      <c r="B5537" t="s">
        <v>1176</v>
      </c>
      <c r="C5537" t="str">
        <f t="shared" si="268"/>
        <v>34674390000000</v>
      </c>
      <c r="D5537" t="s">
        <v>3863</v>
      </c>
      <c r="E5537" t="str">
        <f>"34674396099808"</f>
        <v>34674396099808</v>
      </c>
      <c r="F5537" s="8">
        <v>659</v>
      </c>
      <c r="G5537" s="8">
        <v>7138</v>
      </c>
      <c r="H5537" s="8">
        <v>1872</v>
      </c>
      <c r="I5537" s="8">
        <v>5091</v>
      </c>
    </row>
    <row r="5538" spans="1:9" x14ac:dyDescent="0.2">
      <c r="A5538" t="s">
        <v>1138</v>
      </c>
      <c r="B5538" t="s">
        <v>1176</v>
      </c>
      <c r="C5538" t="str">
        <f t="shared" si="268"/>
        <v>34674390000000</v>
      </c>
      <c r="D5538" t="s">
        <v>6879</v>
      </c>
      <c r="E5538" t="str">
        <f>"34674396034078"</f>
        <v>34674396034078</v>
      </c>
      <c r="F5538" s="8">
        <v>46</v>
      </c>
      <c r="G5538" s="8">
        <v>7703</v>
      </c>
      <c r="H5538" s="8">
        <v>1872</v>
      </c>
      <c r="I5538" s="8">
        <v>5091</v>
      </c>
    </row>
    <row r="5539" spans="1:9" x14ac:dyDescent="0.2">
      <c r="A5539" t="s">
        <v>1138</v>
      </c>
      <c r="B5539" t="s">
        <v>1176</v>
      </c>
      <c r="C5539" t="str">
        <f t="shared" si="268"/>
        <v>34674390000000</v>
      </c>
      <c r="D5539" t="s">
        <v>6880</v>
      </c>
      <c r="E5539" t="str">
        <f>"34674396119440"</f>
        <v>34674396119440</v>
      </c>
      <c r="F5539" s="8">
        <v>1057</v>
      </c>
      <c r="G5539" s="8">
        <v>6584</v>
      </c>
      <c r="H5539" s="8">
        <v>1872</v>
      </c>
      <c r="I5539" s="8">
        <v>5091</v>
      </c>
    </row>
    <row r="5540" spans="1:9" x14ac:dyDescent="0.2">
      <c r="A5540" t="s">
        <v>1138</v>
      </c>
      <c r="B5540" t="s">
        <v>1176</v>
      </c>
      <c r="C5540" t="str">
        <f t="shared" si="268"/>
        <v>34674390000000</v>
      </c>
      <c r="D5540" t="s">
        <v>5861</v>
      </c>
      <c r="E5540" t="str">
        <f>"34674396033906"</f>
        <v>34674396033906</v>
      </c>
      <c r="F5540" s="8">
        <v>288</v>
      </c>
      <c r="G5540" s="8">
        <v>7329</v>
      </c>
      <c r="H5540" s="8">
        <v>1872</v>
      </c>
      <c r="I5540" s="8">
        <v>5091</v>
      </c>
    </row>
    <row r="5541" spans="1:9" x14ac:dyDescent="0.2">
      <c r="A5541" t="s">
        <v>1138</v>
      </c>
      <c r="B5541" t="s">
        <v>1176</v>
      </c>
      <c r="C5541" t="str">
        <f t="shared" si="268"/>
        <v>34674390000000</v>
      </c>
      <c r="D5541" t="s">
        <v>6881</v>
      </c>
      <c r="E5541" t="str">
        <f>"34674396059315"</f>
        <v>34674396059315</v>
      </c>
      <c r="F5541" s="8">
        <v>43</v>
      </c>
      <c r="G5541" s="8">
        <v>7540</v>
      </c>
      <c r="H5541" s="8">
        <v>1872</v>
      </c>
      <c r="I5541" s="8">
        <v>5091</v>
      </c>
    </row>
    <row r="5542" spans="1:9" x14ac:dyDescent="0.2">
      <c r="A5542" t="s">
        <v>1138</v>
      </c>
      <c r="B5542" t="s">
        <v>1176</v>
      </c>
      <c r="C5542" t="str">
        <f t="shared" si="268"/>
        <v>34674390000000</v>
      </c>
      <c r="D5542" t="s">
        <v>6882</v>
      </c>
      <c r="E5542" t="str">
        <f>"34674390114546"</f>
        <v>34674390114546</v>
      </c>
      <c r="F5542" s="8">
        <v>203</v>
      </c>
      <c r="G5542" s="8">
        <v>7312</v>
      </c>
      <c r="H5542" s="8">
        <v>1872</v>
      </c>
      <c r="I5542" s="8">
        <v>5091</v>
      </c>
    </row>
    <row r="5543" spans="1:9" x14ac:dyDescent="0.2">
      <c r="A5543" t="s">
        <v>1138</v>
      </c>
      <c r="B5543" t="s">
        <v>1176</v>
      </c>
      <c r="C5543" t="str">
        <f t="shared" si="268"/>
        <v>34674390000000</v>
      </c>
      <c r="D5543" t="s">
        <v>6883</v>
      </c>
      <c r="E5543" t="str">
        <f>"34674396033948"</f>
        <v>34674396033948</v>
      </c>
      <c r="F5543" s="8">
        <v>560</v>
      </c>
      <c r="G5543" s="8">
        <v>6886</v>
      </c>
      <c r="H5543" s="8">
        <v>1872</v>
      </c>
      <c r="I5543" s="8">
        <v>5091</v>
      </c>
    </row>
    <row r="5544" spans="1:9" x14ac:dyDescent="0.2">
      <c r="A5544" t="s">
        <v>1138</v>
      </c>
      <c r="B5544" t="s">
        <v>1176</v>
      </c>
      <c r="C5544" t="str">
        <f t="shared" ref="C5544:C5552" si="269">"34674390000000"</f>
        <v>34674390000000</v>
      </c>
      <c r="D5544" t="s">
        <v>6884</v>
      </c>
      <c r="E5544" t="str">
        <f>"34674396034326"</f>
        <v>34674396034326</v>
      </c>
      <c r="F5544" s="8">
        <v>568</v>
      </c>
      <c r="G5544" s="8">
        <v>6869</v>
      </c>
      <c r="H5544" s="8">
        <v>1872</v>
      </c>
      <c r="I5544" s="8">
        <v>5091</v>
      </c>
    </row>
    <row r="5545" spans="1:9" x14ac:dyDescent="0.2">
      <c r="A5545" t="s">
        <v>1138</v>
      </c>
      <c r="B5545" t="s">
        <v>1176</v>
      </c>
      <c r="C5545" t="str">
        <f t="shared" si="269"/>
        <v>34674390000000</v>
      </c>
      <c r="D5545" t="s">
        <v>6885</v>
      </c>
      <c r="E5545" t="str">
        <f>"34674393435419"</f>
        <v>34674393435419</v>
      </c>
      <c r="F5545" s="8">
        <v>183</v>
      </c>
      <c r="G5545" s="8">
        <v>7234</v>
      </c>
      <c r="H5545" s="8">
        <v>1872</v>
      </c>
      <c r="I5545" s="8">
        <v>5091</v>
      </c>
    </row>
    <row r="5546" spans="1:9" x14ac:dyDescent="0.2">
      <c r="A5546" t="s">
        <v>1138</v>
      </c>
      <c r="B5546" t="s">
        <v>1176</v>
      </c>
      <c r="C5546" t="str">
        <f t="shared" si="269"/>
        <v>34674390000000</v>
      </c>
      <c r="D5546" t="s">
        <v>1692</v>
      </c>
      <c r="E5546" t="str">
        <f>"34674396034193"</f>
        <v>34674396034193</v>
      </c>
      <c r="F5546" s="8">
        <v>575</v>
      </c>
      <c r="G5546" s="8">
        <v>6660</v>
      </c>
      <c r="H5546" s="8">
        <v>1872</v>
      </c>
      <c r="I5546" s="8">
        <v>5091</v>
      </c>
    </row>
    <row r="5547" spans="1:9" x14ac:dyDescent="0.2">
      <c r="A5547" t="s">
        <v>1138</v>
      </c>
      <c r="B5547" t="s">
        <v>1176</v>
      </c>
      <c r="C5547" t="str">
        <f t="shared" si="269"/>
        <v>34674390000000</v>
      </c>
      <c r="D5547" t="s">
        <v>6886</v>
      </c>
      <c r="E5547" t="str">
        <f>"34674393430865"</f>
        <v>34674393430865</v>
      </c>
      <c r="F5547" s="8">
        <v>172</v>
      </c>
      <c r="G5547" s="8">
        <v>6971</v>
      </c>
      <c r="H5547" s="8">
        <v>1872</v>
      </c>
      <c r="I5547" s="8">
        <v>5091</v>
      </c>
    </row>
    <row r="5548" spans="1:9" x14ac:dyDescent="0.2">
      <c r="A5548" t="s">
        <v>1138</v>
      </c>
      <c r="B5548" t="s">
        <v>1176</v>
      </c>
      <c r="C5548" t="str">
        <f t="shared" si="269"/>
        <v>34674390000000</v>
      </c>
      <c r="D5548" t="s">
        <v>6887</v>
      </c>
      <c r="E5548" t="str">
        <f>"34674396096168"</f>
        <v>34674396096168</v>
      </c>
      <c r="F5548" s="8">
        <v>42</v>
      </c>
      <c r="G5548" s="8">
        <v>7002</v>
      </c>
      <c r="H5548" s="8">
        <v>1872</v>
      </c>
      <c r="I5548" s="8">
        <v>5091</v>
      </c>
    </row>
    <row r="5549" spans="1:9" x14ac:dyDescent="0.2">
      <c r="A5549" t="s">
        <v>1138</v>
      </c>
      <c r="B5549" t="s">
        <v>1176</v>
      </c>
      <c r="C5549" t="str">
        <f t="shared" si="269"/>
        <v>34674390000000</v>
      </c>
      <c r="D5549" t="s">
        <v>6888</v>
      </c>
      <c r="E5549" t="str">
        <f>"34674396034243"</f>
        <v>34674396034243</v>
      </c>
      <c r="F5549" s="8">
        <v>49</v>
      </c>
      <c r="G5549" s="8">
        <v>6936</v>
      </c>
      <c r="H5549" s="8">
        <v>1872</v>
      </c>
      <c r="I5549" s="8">
        <v>5091</v>
      </c>
    </row>
    <row r="5550" spans="1:9" x14ac:dyDescent="0.2">
      <c r="A5550" t="s">
        <v>1138</v>
      </c>
      <c r="B5550" t="s">
        <v>1176</v>
      </c>
      <c r="C5550" t="str">
        <f t="shared" si="269"/>
        <v>34674390000000</v>
      </c>
      <c r="D5550" t="s">
        <v>6889</v>
      </c>
      <c r="E5550" t="str">
        <f>"34674396034227"</f>
        <v>34674396034227</v>
      </c>
      <c r="F5550" s="8">
        <v>110</v>
      </c>
      <c r="G5550" s="8">
        <v>6760</v>
      </c>
      <c r="H5550" s="8">
        <v>1872</v>
      </c>
      <c r="I5550" s="8">
        <v>5091</v>
      </c>
    </row>
    <row r="5551" spans="1:9" x14ac:dyDescent="0.2">
      <c r="A5551" t="s">
        <v>1138</v>
      </c>
      <c r="B5551" t="s">
        <v>1176</v>
      </c>
      <c r="C5551" t="str">
        <f t="shared" si="269"/>
        <v>34674390000000</v>
      </c>
      <c r="D5551" t="s">
        <v>6890</v>
      </c>
      <c r="E5551" t="str">
        <f>"34674396033930"</f>
        <v>34674396033930</v>
      </c>
      <c r="F5551" s="8">
        <v>423</v>
      </c>
      <c r="G5551" s="8">
        <v>6416</v>
      </c>
      <c r="H5551" s="8">
        <v>1872</v>
      </c>
      <c r="I5551" s="8">
        <v>5091</v>
      </c>
    </row>
    <row r="5552" spans="1:9" x14ac:dyDescent="0.2">
      <c r="A5552" t="s">
        <v>1138</v>
      </c>
      <c r="B5552" t="s">
        <v>1176</v>
      </c>
      <c r="C5552" t="str">
        <f t="shared" si="269"/>
        <v>34674390000000</v>
      </c>
      <c r="D5552" t="s">
        <v>6891</v>
      </c>
      <c r="E5552" t="str">
        <f>"34674396033799"</f>
        <v>34674396033799</v>
      </c>
      <c r="F5552" s="8">
        <v>562</v>
      </c>
      <c r="G5552" s="8">
        <v>3329</v>
      </c>
      <c r="H5552" s="8">
        <v>1872</v>
      </c>
      <c r="I5552" s="8">
        <v>5091</v>
      </c>
    </row>
    <row r="5553" spans="1:9" x14ac:dyDescent="0.2">
      <c r="A5553" t="s">
        <v>1138</v>
      </c>
      <c r="B5553" t="s">
        <v>1177</v>
      </c>
      <c r="C5553" t="str">
        <f t="shared" ref="C5553:C5559" si="270">"34103480000000"</f>
        <v>34103480000000</v>
      </c>
      <c r="D5553" t="s">
        <v>6892</v>
      </c>
      <c r="E5553" t="str">
        <f>"34103480106229"</f>
        <v>34103480106229</v>
      </c>
      <c r="F5553" s="8">
        <v>2598</v>
      </c>
      <c r="G5553" s="8">
        <v>62778</v>
      </c>
      <c r="H5553" s="8">
        <v>292</v>
      </c>
      <c r="I5553" s="8">
        <v>3595</v>
      </c>
    </row>
    <row r="5554" spans="1:9" x14ac:dyDescent="0.2">
      <c r="A5554" t="s">
        <v>1138</v>
      </c>
      <c r="B5554" t="s">
        <v>1177</v>
      </c>
      <c r="C5554" t="str">
        <f t="shared" si="270"/>
        <v>34103480000000</v>
      </c>
      <c r="D5554" t="s">
        <v>6893</v>
      </c>
      <c r="E5554" t="str">
        <f>"34103480106302"</f>
        <v>34103480106302</v>
      </c>
      <c r="F5554" s="8">
        <v>2598</v>
      </c>
      <c r="G5554" s="8">
        <v>59541</v>
      </c>
      <c r="H5554" s="8">
        <v>292</v>
      </c>
      <c r="I5554" s="8">
        <v>3595</v>
      </c>
    </row>
    <row r="5555" spans="1:9" x14ac:dyDescent="0.2">
      <c r="A5555" t="s">
        <v>1138</v>
      </c>
      <c r="B5555" t="s">
        <v>1177</v>
      </c>
      <c r="C5555" t="str">
        <f t="shared" si="270"/>
        <v>34103480000000</v>
      </c>
      <c r="D5555" t="s">
        <v>6894</v>
      </c>
      <c r="E5555" t="str">
        <f>"34103480106294"</f>
        <v>34103480106294</v>
      </c>
      <c r="F5555" s="8">
        <v>2598</v>
      </c>
      <c r="G5555" s="8">
        <v>59188</v>
      </c>
      <c r="H5555" s="8">
        <v>292</v>
      </c>
      <c r="I5555" s="8">
        <v>3595</v>
      </c>
    </row>
    <row r="5556" spans="1:9" x14ac:dyDescent="0.2">
      <c r="A5556" t="s">
        <v>1138</v>
      </c>
      <c r="B5556" t="s">
        <v>1177</v>
      </c>
      <c r="C5556" t="str">
        <f t="shared" si="270"/>
        <v>34103480000000</v>
      </c>
      <c r="D5556" t="s">
        <v>6895</v>
      </c>
      <c r="E5556" t="str">
        <f>"34103480106278"</f>
        <v>34103480106278</v>
      </c>
      <c r="F5556" s="8">
        <v>5725</v>
      </c>
      <c r="G5556" s="8">
        <v>29408</v>
      </c>
      <c r="H5556" s="8">
        <v>292</v>
      </c>
      <c r="I5556" s="8">
        <v>3595</v>
      </c>
    </row>
    <row r="5557" spans="1:9" x14ac:dyDescent="0.2">
      <c r="A5557" t="s">
        <v>1138</v>
      </c>
      <c r="B5557" t="s">
        <v>1177</v>
      </c>
      <c r="C5557" t="str">
        <f t="shared" si="270"/>
        <v>34103480000000</v>
      </c>
      <c r="D5557" t="s">
        <v>6896</v>
      </c>
      <c r="E5557" t="str">
        <f>"34103480118745"</f>
        <v>34103480118745</v>
      </c>
      <c r="F5557" s="8">
        <v>4466</v>
      </c>
      <c r="G5557" s="8">
        <v>17757</v>
      </c>
      <c r="H5557" s="8">
        <v>292</v>
      </c>
      <c r="I5557" s="8">
        <v>3595</v>
      </c>
    </row>
    <row r="5558" spans="1:9" x14ac:dyDescent="0.2">
      <c r="A5558" t="s">
        <v>1138</v>
      </c>
      <c r="B5558" t="s">
        <v>1177</v>
      </c>
      <c r="C5558" t="str">
        <f t="shared" si="270"/>
        <v>34103480000000</v>
      </c>
      <c r="D5558" t="s">
        <v>6897</v>
      </c>
      <c r="E5558" t="str">
        <f>"34103480106245"</f>
        <v>34103480106245</v>
      </c>
      <c r="F5558" s="8">
        <v>4977</v>
      </c>
      <c r="G5558" s="8">
        <v>13746</v>
      </c>
      <c r="H5558" s="8">
        <v>292</v>
      </c>
      <c r="I5558" s="8">
        <v>3595</v>
      </c>
    </row>
    <row r="5559" spans="1:9" x14ac:dyDescent="0.2">
      <c r="A5559" t="s">
        <v>1138</v>
      </c>
      <c r="B5559" t="s">
        <v>1177</v>
      </c>
      <c r="C5559" t="str">
        <f t="shared" si="270"/>
        <v>34103480000000</v>
      </c>
      <c r="D5559" t="s">
        <v>6898</v>
      </c>
      <c r="E5559" t="str">
        <f>"34103480106237"</f>
        <v>34103480106237</v>
      </c>
      <c r="F5559" s="8">
        <v>3067</v>
      </c>
      <c r="G5559" s="8">
        <v>11604</v>
      </c>
      <c r="H5559" s="8">
        <v>292</v>
      </c>
      <c r="I5559" s="8">
        <v>3595</v>
      </c>
    </row>
    <row r="5560" spans="1:9" x14ac:dyDescent="0.2">
      <c r="A5560" t="s">
        <v>1138</v>
      </c>
      <c r="B5560" t="s">
        <v>1178</v>
      </c>
      <c r="C5560" t="str">
        <f t="shared" ref="C5560:C5591" si="271">"34674470000000"</f>
        <v>34674470000000</v>
      </c>
      <c r="D5560" t="s">
        <v>6899</v>
      </c>
      <c r="E5560" t="str">
        <f>"34674476034938"</f>
        <v>34674476034938</v>
      </c>
      <c r="F5560" s="8">
        <v>5794</v>
      </c>
      <c r="G5560" s="8">
        <v>39193</v>
      </c>
      <c r="H5560" s="8">
        <v>931</v>
      </c>
      <c r="I5560" s="8">
        <v>4646</v>
      </c>
    </row>
    <row r="5561" spans="1:9" x14ac:dyDescent="0.2">
      <c r="A5561" t="s">
        <v>1138</v>
      </c>
      <c r="B5561" t="s">
        <v>1178</v>
      </c>
      <c r="C5561" t="str">
        <f t="shared" si="271"/>
        <v>34674470000000</v>
      </c>
      <c r="D5561" t="s">
        <v>6900</v>
      </c>
      <c r="E5561" t="str">
        <f>"34674473430394"</f>
        <v>34674473430394</v>
      </c>
      <c r="F5561" s="8">
        <v>2243</v>
      </c>
      <c r="G5561" s="8">
        <v>27845</v>
      </c>
      <c r="H5561" s="8">
        <v>931</v>
      </c>
      <c r="I5561" s="8">
        <v>4646</v>
      </c>
    </row>
    <row r="5562" spans="1:9" x14ac:dyDescent="0.2">
      <c r="A5562" t="s">
        <v>1138</v>
      </c>
      <c r="B5562" t="s">
        <v>1178</v>
      </c>
      <c r="C5562" t="str">
        <f t="shared" si="271"/>
        <v>34674470000000</v>
      </c>
      <c r="D5562" t="s">
        <v>6901</v>
      </c>
      <c r="E5562" t="str">
        <f>"34674476034664"</f>
        <v>34674476034664</v>
      </c>
      <c r="F5562" s="8">
        <v>3385</v>
      </c>
      <c r="G5562" s="8">
        <v>21128</v>
      </c>
      <c r="H5562" s="8">
        <v>931</v>
      </c>
      <c r="I5562" s="8">
        <v>4646</v>
      </c>
    </row>
    <row r="5563" spans="1:9" x14ac:dyDescent="0.2">
      <c r="A5563" t="s">
        <v>1138</v>
      </c>
      <c r="B5563" t="s">
        <v>1178</v>
      </c>
      <c r="C5563" t="str">
        <f t="shared" si="271"/>
        <v>34674470000000</v>
      </c>
      <c r="D5563" t="s">
        <v>6902</v>
      </c>
      <c r="E5563" t="str">
        <f>"34674470135772"</f>
        <v>34674470135772</v>
      </c>
      <c r="F5563" s="8">
        <v>597</v>
      </c>
      <c r="G5563" s="8">
        <v>14305</v>
      </c>
      <c r="H5563" s="8">
        <v>931</v>
      </c>
      <c r="I5563" s="8">
        <v>4646</v>
      </c>
    </row>
    <row r="5564" spans="1:9" x14ac:dyDescent="0.2">
      <c r="A5564" t="s">
        <v>1138</v>
      </c>
      <c r="B5564" t="s">
        <v>1178</v>
      </c>
      <c r="C5564" t="str">
        <f t="shared" si="271"/>
        <v>34674470000000</v>
      </c>
      <c r="D5564" t="s">
        <v>6903</v>
      </c>
      <c r="E5564" t="str">
        <f>"34674476034912"</f>
        <v>34674476034912</v>
      </c>
      <c r="F5564" s="8">
        <v>1274</v>
      </c>
      <c r="G5564" s="8">
        <v>9846</v>
      </c>
      <c r="H5564" s="8">
        <v>931</v>
      </c>
      <c r="I5564" s="8">
        <v>4646</v>
      </c>
    </row>
    <row r="5565" spans="1:9" x14ac:dyDescent="0.2">
      <c r="A5565" t="s">
        <v>1138</v>
      </c>
      <c r="B5565" t="s">
        <v>1178</v>
      </c>
      <c r="C5565" t="str">
        <f t="shared" si="271"/>
        <v>34674470000000</v>
      </c>
      <c r="D5565" t="s">
        <v>6904</v>
      </c>
      <c r="E5565" t="str">
        <f>"34674473438504"</f>
        <v>34674473438504</v>
      </c>
      <c r="F5565" s="8">
        <v>1212</v>
      </c>
      <c r="G5565" s="8">
        <v>9884</v>
      </c>
      <c r="H5565" s="8">
        <v>931</v>
      </c>
      <c r="I5565" s="8">
        <v>4646</v>
      </c>
    </row>
    <row r="5566" spans="1:9" x14ac:dyDescent="0.2">
      <c r="A5566" t="s">
        <v>1138</v>
      </c>
      <c r="B5566" t="s">
        <v>1178</v>
      </c>
      <c r="C5566" t="str">
        <f t="shared" si="271"/>
        <v>34674470000000</v>
      </c>
      <c r="D5566" t="s">
        <v>6905</v>
      </c>
      <c r="E5566" t="str">
        <f>"34674476034573"</f>
        <v>34674476034573</v>
      </c>
      <c r="F5566" s="8">
        <v>1671</v>
      </c>
      <c r="G5566" s="8">
        <v>9302</v>
      </c>
      <c r="H5566" s="8">
        <v>931</v>
      </c>
      <c r="I5566" s="8">
        <v>4646</v>
      </c>
    </row>
    <row r="5567" spans="1:9" x14ac:dyDescent="0.2">
      <c r="A5567" t="s">
        <v>1138</v>
      </c>
      <c r="B5567" t="s">
        <v>1178</v>
      </c>
      <c r="C5567" t="str">
        <f t="shared" si="271"/>
        <v>34674470000000</v>
      </c>
      <c r="D5567" t="s">
        <v>6906</v>
      </c>
      <c r="E5567" t="str">
        <f>"34674476034466"</f>
        <v>34674476034466</v>
      </c>
      <c r="F5567" s="8">
        <v>1904</v>
      </c>
      <c r="G5567" s="8">
        <v>8945</v>
      </c>
      <c r="H5567" s="8">
        <v>931</v>
      </c>
      <c r="I5567" s="8">
        <v>4646</v>
      </c>
    </row>
    <row r="5568" spans="1:9" x14ac:dyDescent="0.2">
      <c r="A5568" t="s">
        <v>1138</v>
      </c>
      <c r="B5568" t="s">
        <v>1178</v>
      </c>
      <c r="C5568" t="str">
        <f t="shared" si="271"/>
        <v>34674470000000</v>
      </c>
      <c r="D5568" t="s">
        <v>6907</v>
      </c>
      <c r="E5568" t="str">
        <f>"34674473430758"</f>
        <v>34674473430758</v>
      </c>
      <c r="F5568" s="8">
        <v>131</v>
      </c>
      <c r="G5568" s="8">
        <v>10565</v>
      </c>
      <c r="H5568" s="8">
        <v>931</v>
      </c>
      <c r="I5568" s="8">
        <v>4646</v>
      </c>
    </row>
    <row r="5569" spans="1:9" x14ac:dyDescent="0.2">
      <c r="A5569" t="s">
        <v>1138</v>
      </c>
      <c r="B5569" t="s">
        <v>1178</v>
      </c>
      <c r="C5569" t="str">
        <f t="shared" si="271"/>
        <v>34674470000000</v>
      </c>
      <c r="D5569" t="s">
        <v>6908</v>
      </c>
      <c r="E5569" t="str">
        <f>"34674473430097"</f>
        <v>34674473430097</v>
      </c>
      <c r="F5569" s="8">
        <v>635</v>
      </c>
      <c r="G5569" s="8">
        <v>9846</v>
      </c>
      <c r="H5569" s="8">
        <v>931</v>
      </c>
      <c r="I5569" s="8">
        <v>4646</v>
      </c>
    </row>
    <row r="5570" spans="1:9" x14ac:dyDescent="0.2">
      <c r="A5570" t="s">
        <v>1138</v>
      </c>
      <c r="B5570" t="s">
        <v>1178</v>
      </c>
      <c r="C5570" t="str">
        <f t="shared" si="271"/>
        <v>34674470000000</v>
      </c>
      <c r="D5570" t="s">
        <v>6909</v>
      </c>
      <c r="E5570" t="str">
        <f>"34674476034839"</f>
        <v>34674476034839</v>
      </c>
      <c r="F5570" s="8">
        <v>1356</v>
      </c>
      <c r="G5570" s="8">
        <v>8500</v>
      </c>
      <c r="H5570" s="8">
        <v>931</v>
      </c>
      <c r="I5570" s="8">
        <v>4646</v>
      </c>
    </row>
    <row r="5571" spans="1:9" x14ac:dyDescent="0.2">
      <c r="A5571" t="s">
        <v>1138</v>
      </c>
      <c r="B5571" t="s">
        <v>1178</v>
      </c>
      <c r="C5571" t="str">
        <f t="shared" si="271"/>
        <v>34674470000000</v>
      </c>
      <c r="D5571" t="s">
        <v>6910</v>
      </c>
      <c r="E5571" t="str">
        <f>"34674476034383"</f>
        <v>34674476034383</v>
      </c>
      <c r="F5571" s="8">
        <v>1966</v>
      </c>
      <c r="G5571" s="8">
        <v>7819</v>
      </c>
      <c r="H5571" s="8">
        <v>931</v>
      </c>
      <c r="I5571" s="8">
        <v>4646</v>
      </c>
    </row>
    <row r="5572" spans="1:9" x14ac:dyDescent="0.2">
      <c r="A5572" t="s">
        <v>1138</v>
      </c>
      <c r="B5572" t="s">
        <v>1178</v>
      </c>
      <c r="C5572" t="str">
        <f t="shared" si="271"/>
        <v>34674470000000</v>
      </c>
      <c r="D5572" t="s">
        <v>6911</v>
      </c>
      <c r="E5572" t="str">
        <f>"34674473430048"</f>
        <v>34674473430048</v>
      </c>
      <c r="F5572" s="8">
        <v>533</v>
      </c>
      <c r="G5572" s="8">
        <v>8853</v>
      </c>
      <c r="H5572" s="8">
        <v>931</v>
      </c>
      <c r="I5572" s="8">
        <v>4646</v>
      </c>
    </row>
    <row r="5573" spans="1:9" x14ac:dyDescent="0.2">
      <c r="A5573" t="s">
        <v>1138</v>
      </c>
      <c r="B5573" t="s">
        <v>1178</v>
      </c>
      <c r="C5573" t="str">
        <f t="shared" si="271"/>
        <v>34674470000000</v>
      </c>
      <c r="D5573" t="s">
        <v>6912</v>
      </c>
      <c r="E5573" t="str">
        <f>"34674476034714"</f>
        <v>34674476034714</v>
      </c>
      <c r="F5573" s="8">
        <v>1726</v>
      </c>
      <c r="G5573" s="8">
        <v>7639</v>
      </c>
      <c r="H5573" s="8">
        <v>931</v>
      </c>
      <c r="I5573" s="8">
        <v>4646</v>
      </c>
    </row>
    <row r="5574" spans="1:9" x14ac:dyDescent="0.2">
      <c r="A5574" t="s">
        <v>1138</v>
      </c>
      <c r="B5574" t="s">
        <v>1178</v>
      </c>
      <c r="C5574" t="str">
        <f t="shared" si="271"/>
        <v>34674470000000</v>
      </c>
      <c r="D5574" t="s">
        <v>6913</v>
      </c>
      <c r="E5574" t="str">
        <f>"34674476103816"</f>
        <v>34674476103816</v>
      </c>
      <c r="F5574" s="8">
        <v>849</v>
      </c>
      <c r="G5574" s="8">
        <v>8413</v>
      </c>
      <c r="H5574" s="8">
        <v>931</v>
      </c>
      <c r="I5574" s="8">
        <v>4646</v>
      </c>
    </row>
    <row r="5575" spans="1:9" x14ac:dyDescent="0.2">
      <c r="A5575" t="s">
        <v>1138</v>
      </c>
      <c r="B5575" t="s">
        <v>1178</v>
      </c>
      <c r="C5575" t="str">
        <f t="shared" si="271"/>
        <v>34674470000000</v>
      </c>
      <c r="D5575" t="s">
        <v>4341</v>
      </c>
      <c r="E5575" t="str">
        <f>"34674476034367"</f>
        <v>34674476034367</v>
      </c>
      <c r="F5575" s="8">
        <v>1499</v>
      </c>
      <c r="G5575" s="8">
        <v>7694</v>
      </c>
      <c r="H5575" s="8">
        <v>931</v>
      </c>
      <c r="I5575" s="8">
        <v>4646</v>
      </c>
    </row>
    <row r="5576" spans="1:9" x14ac:dyDescent="0.2">
      <c r="A5576" t="s">
        <v>1138</v>
      </c>
      <c r="B5576" t="s">
        <v>1178</v>
      </c>
      <c r="C5576" t="str">
        <f t="shared" si="271"/>
        <v>34674470000000</v>
      </c>
      <c r="D5576" t="s">
        <v>6914</v>
      </c>
      <c r="E5576" t="str">
        <f>"34674473432838"</f>
        <v>34674473432838</v>
      </c>
      <c r="F5576" s="8">
        <v>1790</v>
      </c>
      <c r="G5576" s="8">
        <v>7401</v>
      </c>
      <c r="H5576" s="8">
        <v>931</v>
      </c>
      <c r="I5576" s="8">
        <v>4646</v>
      </c>
    </row>
    <row r="5577" spans="1:9" x14ac:dyDescent="0.2">
      <c r="A5577" t="s">
        <v>1138</v>
      </c>
      <c r="B5577" t="s">
        <v>1178</v>
      </c>
      <c r="C5577" t="str">
        <f t="shared" si="271"/>
        <v>34674470000000</v>
      </c>
      <c r="D5577" t="s">
        <v>3996</v>
      </c>
      <c r="E5577" t="str">
        <f>"34674476034870"</f>
        <v>34674476034870</v>
      </c>
      <c r="F5577" s="8">
        <v>1164</v>
      </c>
      <c r="G5577" s="8">
        <v>7819</v>
      </c>
      <c r="H5577" s="8">
        <v>931</v>
      </c>
      <c r="I5577" s="8">
        <v>4646</v>
      </c>
    </row>
    <row r="5578" spans="1:9" x14ac:dyDescent="0.2">
      <c r="A5578" t="s">
        <v>1138</v>
      </c>
      <c r="B5578" t="s">
        <v>1178</v>
      </c>
      <c r="C5578" t="str">
        <f t="shared" si="271"/>
        <v>34674470000000</v>
      </c>
      <c r="D5578" t="s">
        <v>6915</v>
      </c>
      <c r="E5578" t="str">
        <f>"34674476034391"</f>
        <v>34674476034391</v>
      </c>
      <c r="F5578" s="8">
        <v>1659</v>
      </c>
      <c r="G5578" s="8">
        <v>7316</v>
      </c>
      <c r="H5578" s="8">
        <v>931</v>
      </c>
      <c r="I5578" s="8">
        <v>4646</v>
      </c>
    </row>
    <row r="5579" spans="1:9" x14ac:dyDescent="0.2">
      <c r="A5579" t="s">
        <v>1138</v>
      </c>
      <c r="B5579" t="s">
        <v>1178</v>
      </c>
      <c r="C5579" t="str">
        <f t="shared" si="271"/>
        <v>34674470000000</v>
      </c>
      <c r="D5579" t="s">
        <v>6916</v>
      </c>
      <c r="E5579" t="str">
        <f>"34674476034433"</f>
        <v>34674476034433</v>
      </c>
      <c r="F5579" s="8">
        <v>1353</v>
      </c>
      <c r="G5579" s="8">
        <v>7572</v>
      </c>
      <c r="H5579" s="8">
        <v>931</v>
      </c>
      <c r="I5579" s="8">
        <v>4646</v>
      </c>
    </row>
    <row r="5580" spans="1:9" x14ac:dyDescent="0.2">
      <c r="A5580" t="s">
        <v>1138</v>
      </c>
      <c r="B5580" t="s">
        <v>1178</v>
      </c>
      <c r="C5580" t="str">
        <f t="shared" si="271"/>
        <v>34674470000000</v>
      </c>
      <c r="D5580" t="s">
        <v>6917</v>
      </c>
      <c r="E5580" t="str">
        <f>"34674476034680"</f>
        <v>34674476034680</v>
      </c>
      <c r="F5580" s="8">
        <v>1281</v>
      </c>
      <c r="G5580" s="8">
        <v>7536</v>
      </c>
      <c r="H5580" s="8">
        <v>931</v>
      </c>
      <c r="I5580" s="8">
        <v>4646</v>
      </c>
    </row>
    <row r="5581" spans="1:9" x14ac:dyDescent="0.2">
      <c r="A5581" t="s">
        <v>1138</v>
      </c>
      <c r="B5581" t="s">
        <v>1178</v>
      </c>
      <c r="C5581" t="str">
        <f t="shared" si="271"/>
        <v>34674470000000</v>
      </c>
      <c r="D5581" t="s">
        <v>6918</v>
      </c>
      <c r="E5581" t="str">
        <f>"34674476034755"</f>
        <v>34674476034755</v>
      </c>
      <c r="F5581" s="8">
        <v>1401</v>
      </c>
      <c r="G5581" s="8">
        <v>7392</v>
      </c>
      <c r="H5581" s="8">
        <v>931</v>
      </c>
      <c r="I5581" s="8">
        <v>4646</v>
      </c>
    </row>
    <row r="5582" spans="1:9" x14ac:dyDescent="0.2">
      <c r="A5582" t="s">
        <v>1138</v>
      </c>
      <c r="B5582" t="s">
        <v>1178</v>
      </c>
      <c r="C5582" t="str">
        <f t="shared" si="271"/>
        <v>34674470000000</v>
      </c>
      <c r="D5582" t="s">
        <v>6919</v>
      </c>
      <c r="E5582" t="str">
        <f>"34674476034524"</f>
        <v>34674476034524</v>
      </c>
      <c r="F5582" s="8">
        <v>2473</v>
      </c>
      <c r="G5582" s="8">
        <v>6257</v>
      </c>
      <c r="H5582" s="8">
        <v>931</v>
      </c>
      <c r="I5582" s="8">
        <v>4646</v>
      </c>
    </row>
    <row r="5583" spans="1:9" x14ac:dyDescent="0.2">
      <c r="A5583" t="s">
        <v>1138</v>
      </c>
      <c r="B5583" t="s">
        <v>1178</v>
      </c>
      <c r="C5583" t="str">
        <f t="shared" si="271"/>
        <v>34674470000000</v>
      </c>
      <c r="D5583" t="s">
        <v>6920</v>
      </c>
      <c r="E5583" t="str">
        <f>"34674476034672"</f>
        <v>34674476034672</v>
      </c>
      <c r="F5583" s="8">
        <v>698</v>
      </c>
      <c r="G5583" s="8">
        <v>7867</v>
      </c>
      <c r="H5583" s="8">
        <v>931</v>
      </c>
      <c r="I5583" s="8">
        <v>4646</v>
      </c>
    </row>
    <row r="5584" spans="1:9" x14ac:dyDescent="0.2">
      <c r="A5584" t="s">
        <v>1138</v>
      </c>
      <c r="B5584" t="s">
        <v>1178</v>
      </c>
      <c r="C5584" t="str">
        <f t="shared" si="271"/>
        <v>34674470000000</v>
      </c>
      <c r="D5584" t="s">
        <v>6921</v>
      </c>
      <c r="E5584" t="str">
        <f>"34674476034516"</f>
        <v>34674476034516</v>
      </c>
      <c r="F5584" s="8">
        <v>398</v>
      </c>
      <c r="G5584" s="8">
        <v>8100</v>
      </c>
      <c r="H5584" s="8">
        <v>931</v>
      </c>
      <c r="I5584" s="8">
        <v>4646</v>
      </c>
    </row>
    <row r="5585" spans="1:9" x14ac:dyDescent="0.2">
      <c r="A5585" t="s">
        <v>1138</v>
      </c>
      <c r="B5585" t="s">
        <v>1178</v>
      </c>
      <c r="C5585" t="str">
        <f t="shared" si="271"/>
        <v>34674470000000</v>
      </c>
      <c r="D5585" t="s">
        <v>6922</v>
      </c>
      <c r="E5585" t="str">
        <f>"34674476034656"</f>
        <v>34674476034656</v>
      </c>
      <c r="F5585" s="8">
        <v>1110</v>
      </c>
      <c r="G5585" s="8">
        <v>7271</v>
      </c>
      <c r="H5585" s="8">
        <v>931</v>
      </c>
      <c r="I5585" s="8">
        <v>4646</v>
      </c>
    </row>
    <row r="5586" spans="1:9" x14ac:dyDescent="0.2">
      <c r="A5586" t="s">
        <v>1138</v>
      </c>
      <c r="B5586" t="s">
        <v>1178</v>
      </c>
      <c r="C5586" t="str">
        <f t="shared" si="271"/>
        <v>34674470000000</v>
      </c>
      <c r="D5586" t="s">
        <v>6923</v>
      </c>
      <c r="E5586" t="str">
        <f>"34674476105928"</f>
        <v>34674476105928</v>
      </c>
      <c r="F5586" s="8">
        <v>307</v>
      </c>
      <c r="G5586" s="8">
        <v>8029</v>
      </c>
      <c r="H5586" s="8">
        <v>931</v>
      </c>
      <c r="I5586" s="8">
        <v>4646</v>
      </c>
    </row>
    <row r="5587" spans="1:9" x14ac:dyDescent="0.2">
      <c r="A5587" t="s">
        <v>1138</v>
      </c>
      <c r="B5587" t="s">
        <v>1178</v>
      </c>
      <c r="C5587" t="str">
        <f t="shared" si="271"/>
        <v>34674470000000</v>
      </c>
      <c r="D5587" t="s">
        <v>6924</v>
      </c>
      <c r="E5587" t="str">
        <f>"34674476034375"</f>
        <v>34674476034375</v>
      </c>
      <c r="F5587" s="8">
        <v>386</v>
      </c>
      <c r="G5587" s="8">
        <v>7763</v>
      </c>
      <c r="H5587" s="8">
        <v>931</v>
      </c>
      <c r="I5587" s="8">
        <v>4646</v>
      </c>
    </row>
    <row r="5588" spans="1:9" x14ac:dyDescent="0.2">
      <c r="A5588" t="s">
        <v>1138</v>
      </c>
      <c r="B5588" t="s">
        <v>1178</v>
      </c>
      <c r="C5588" t="str">
        <f t="shared" si="271"/>
        <v>34674470000000</v>
      </c>
      <c r="D5588" t="s">
        <v>6925</v>
      </c>
      <c r="E5588" t="str">
        <f>"34674476034771"</f>
        <v>34674476034771</v>
      </c>
      <c r="F5588" s="8">
        <v>370</v>
      </c>
      <c r="G5588" s="8">
        <v>7755</v>
      </c>
      <c r="H5588" s="8">
        <v>931</v>
      </c>
      <c r="I5588" s="8">
        <v>4646</v>
      </c>
    </row>
    <row r="5589" spans="1:9" x14ac:dyDescent="0.2">
      <c r="A5589" t="s">
        <v>1138</v>
      </c>
      <c r="B5589" t="s">
        <v>1178</v>
      </c>
      <c r="C5589" t="str">
        <f t="shared" si="271"/>
        <v>34674470000000</v>
      </c>
      <c r="D5589" t="s">
        <v>6926</v>
      </c>
      <c r="E5589" t="str">
        <f>"34674476034961"</f>
        <v>34674476034961</v>
      </c>
      <c r="F5589" s="8">
        <v>1407</v>
      </c>
      <c r="G5589" s="8">
        <v>6632</v>
      </c>
      <c r="H5589" s="8">
        <v>931</v>
      </c>
      <c r="I5589" s="8">
        <v>4646</v>
      </c>
    </row>
    <row r="5590" spans="1:9" x14ac:dyDescent="0.2">
      <c r="A5590" t="s">
        <v>1138</v>
      </c>
      <c r="B5590" t="s">
        <v>1178</v>
      </c>
      <c r="C5590" t="str">
        <f t="shared" si="271"/>
        <v>34674470000000</v>
      </c>
      <c r="D5590" t="s">
        <v>6927</v>
      </c>
      <c r="E5590" t="str">
        <f>"34674476034540"</f>
        <v>34674476034540</v>
      </c>
      <c r="F5590" s="8">
        <v>1134</v>
      </c>
      <c r="G5590" s="8">
        <v>6816</v>
      </c>
      <c r="H5590" s="8">
        <v>931</v>
      </c>
      <c r="I5590" s="8">
        <v>4646</v>
      </c>
    </row>
    <row r="5591" spans="1:9" x14ac:dyDescent="0.2">
      <c r="A5591" t="s">
        <v>1138</v>
      </c>
      <c r="B5591" t="s">
        <v>1178</v>
      </c>
      <c r="C5591" t="str">
        <f t="shared" si="271"/>
        <v>34674470000000</v>
      </c>
      <c r="D5591" t="s">
        <v>6928</v>
      </c>
      <c r="E5591" t="str">
        <f>"34674476034946"</f>
        <v>34674476034946</v>
      </c>
      <c r="F5591" s="8">
        <v>900</v>
      </c>
      <c r="G5591" s="8">
        <v>7029</v>
      </c>
      <c r="H5591" s="8">
        <v>931</v>
      </c>
      <c r="I5591" s="8">
        <v>4646</v>
      </c>
    </row>
    <row r="5592" spans="1:9" x14ac:dyDescent="0.2">
      <c r="A5592" t="s">
        <v>1138</v>
      </c>
      <c r="B5592" t="s">
        <v>1178</v>
      </c>
      <c r="C5592" t="str">
        <f t="shared" ref="C5592:C5626" si="272">"34674470000000"</f>
        <v>34674470000000</v>
      </c>
      <c r="D5592" t="s">
        <v>6929</v>
      </c>
      <c r="E5592" t="str">
        <f>"34674473431111"</f>
        <v>34674473431111</v>
      </c>
      <c r="F5592" s="8">
        <v>398</v>
      </c>
      <c r="G5592" s="8">
        <v>7505</v>
      </c>
      <c r="H5592" s="8">
        <v>931</v>
      </c>
      <c r="I5592" s="8">
        <v>4646</v>
      </c>
    </row>
    <row r="5593" spans="1:9" x14ac:dyDescent="0.2">
      <c r="A5593" t="s">
        <v>1138</v>
      </c>
      <c r="B5593" t="s">
        <v>1178</v>
      </c>
      <c r="C5593" t="str">
        <f t="shared" si="272"/>
        <v>34674470000000</v>
      </c>
      <c r="D5593" t="s">
        <v>6930</v>
      </c>
      <c r="E5593" t="str">
        <f>"34674476034631"</f>
        <v>34674476034631</v>
      </c>
      <c r="F5593" s="8">
        <v>835</v>
      </c>
      <c r="G5593" s="8">
        <v>7054</v>
      </c>
      <c r="H5593" s="8">
        <v>931</v>
      </c>
      <c r="I5593" s="8">
        <v>4646</v>
      </c>
    </row>
    <row r="5594" spans="1:9" x14ac:dyDescent="0.2">
      <c r="A5594" t="s">
        <v>1138</v>
      </c>
      <c r="B5594" t="s">
        <v>1178</v>
      </c>
      <c r="C5594" t="str">
        <f t="shared" si="272"/>
        <v>34674470000000</v>
      </c>
      <c r="D5594" t="s">
        <v>6931</v>
      </c>
      <c r="E5594" t="str">
        <f>"34674476034896"</f>
        <v>34674476034896</v>
      </c>
      <c r="F5594" s="8">
        <v>408</v>
      </c>
      <c r="G5594" s="8">
        <v>7443</v>
      </c>
      <c r="H5594" s="8">
        <v>931</v>
      </c>
      <c r="I5594" s="8">
        <v>4646</v>
      </c>
    </row>
    <row r="5595" spans="1:9" x14ac:dyDescent="0.2">
      <c r="A5595" t="s">
        <v>1138</v>
      </c>
      <c r="B5595" t="s">
        <v>1178</v>
      </c>
      <c r="C5595" t="str">
        <f t="shared" si="272"/>
        <v>34674470000000</v>
      </c>
      <c r="D5595" t="s">
        <v>6932</v>
      </c>
      <c r="E5595" t="str">
        <f>"34674476034623"</f>
        <v>34674476034623</v>
      </c>
      <c r="F5595" s="8">
        <v>1281</v>
      </c>
      <c r="G5595" s="8">
        <v>6490</v>
      </c>
      <c r="H5595" s="8">
        <v>931</v>
      </c>
      <c r="I5595" s="8">
        <v>4646</v>
      </c>
    </row>
    <row r="5596" spans="1:9" x14ac:dyDescent="0.2">
      <c r="A5596" t="s">
        <v>1138</v>
      </c>
      <c r="B5596" t="s">
        <v>1178</v>
      </c>
      <c r="C5596" t="str">
        <f t="shared" si="272"/>
        <v>34674470000000</v>
      </c>
      <c r="D5596" t="s">
        <v>6933</v>
      </c>
      <c r="E5596" t="str">
        <f>"34674476034441"</f>
        <v>34674476034441</v>
      </c>
      <c r="F5596" s="8">
        <v>999</v>
      </c>
      <c r="G5596" s="8">
        <v>6765</v>
      </c>
      <c r="H5596" s="8">
        <v>931</v>
      </c>
      <c r="I5596" s="8">
        <v>4646</v>
      </c>
    </row>
    <row r="5597" spans="1:9" x14ac:dyDescent="0.2">
      <c r="A5597" t="s">
        <v>1138</v>
      </c>
      <c r="B5597" t="s">
        <v>1178</v>
      </c>
      <c r="C5597" t="str">
        <f t="shared" si="272"/>
        <v>34674470000000</v>
      </c>
      <c r="D5597" t="s">
        <v>6934</v>
      </c>
      <c r="E5597" t="str">
        <f>"34674476034482"</f>
        <v>34674476034482</v>
      </c>
      <c r="F5597" s="8">
        <v>640</v>
      </c>
      <c r="G5597" s="8">
        <v>7097</v>
      </c>
      <c r="H5597" s="8">
        <v>931</v>
      </c>
      <c r="I5597" s="8">
        <v>4646</v>
      </c>
    </row>
    <row r="5598" spans="1:9" x14ac:dyDescent="0.2">
      <c r="A5598" t="s">
        <v>1138</v>
      </c>
      <c r="B5598" t="s">
        <v>1178</v>
      </c>
      <c r="C5598" t="str">
        <f t="shared" si="272"/>
        <v>34674470000000</v>
      </c>
      <c r="D5598" t="s">
        <v>6935</v>
      </c>
      <c r="E5598" t="str">
        <f>"34674476034706"</f>
        <v>34674476034706</v>
      </c>
      <c r="F5598" s="8">
        <v>792</v>
      </c>
      <c r="G5598" s="8">
        <v>6781</v>
      </c>
      <c r="H5598" s="8">
        <v>931</v>
      </c>
      <c r="I5598" s="8">
        <v>4646</v>
      </c>
    </row>
    <row r="5599" spans="1:9" x14ac:dyDescent="0.2">
      <c r="A5599" t="s">
        <v>1138</v>
      </c>
      <c r="B5599" t="s">
        <v>1178</v>
      </c>
      <c r="C5599" t="str">
        <f t="shared" si="272"/>
        <v>34674470000000</v>
      </c>
      <c r="D5599" t="s">
        <v>6936</v>
      </c>
      <c r="E5599" t="str">
        <f>"34674476034342"</f>
        <v>34674476034342</v>
      </c>
      <c r="F5599" s="8">
        <v>658</v>
      </c>
      <c r="G5599" s="8">
        <v>6854</v>
      </c>
      <c r="H5599" s="8">
        <v>931</v>
      </c>
      <c r="I5599" s="8">
        <v>4646</v>
      </c>
    </row>
    <row r="5600" spans="1:9" x14ac:dyDescent="0.2">
      <c r="A5600" t="s">
        <v>1138</v>
      </c>
      <c r="B5600" t="s">
        <v>1178</v>
      </c>
      <c r="C5600" t="str">
        <f t="shared" si="272"/>
        <v>34674470000000</v>
      </c>
      <c r="D5600" t="s">
        <v>6937</v>
      </c>
      <c r="E5600" t="str">
        <f>"34674473432317"</f>
        <v>34674473432317</v>
      </c>
      <c r="F5600" s="8">
        <v>304</v>
      </c>
      <c r="G5600" s="8">
        <v>7183</v>
      </c>
      <c r="H5600" s="8">
        <v>931</v>
      </c>
      <c r="I5600" s="8">
        <v>4646</v>
      </c>
    </row>
    <row r="5601" spans="1:9" x14ac:dyDescent="0.2">
      <c r="A5601" t="s">
        <v>1138</v>
      </c>
      <c r="B5601" t="s">
        <v>1178</v>
      </c>
      <c r="C5601" t="str">
        <f t="shared" si="272"/>
        <v>34674470000000</v>
      </c>
      <c r="D5601" t="s">
        <v>6938</v>
      </c>
      <c r="E5601" t="str">
        <f>"34674473432051"</f>
        <v>34674473432051</v>
      </c>
      <c r="F5601" s="8">
        <v>341</v>
      </c>
      <c r="G5601" s="8">
        <v>7134</v>
      </c>
      <c r="H5601" s="8">
        <v>931</v>
      </c>
      <c r="I5601" s="8">
        <v>4646</v>
      </c>
    </row>
    <row r="5602" spans="1:9" x14ac:dyDescent="0.2">
      <c r="A5602" t="s">
        <v>1138</v>
      </c>
      <c r="B5602" t="s">
        <v>1178</v>
      </c>
      <c r="C5602" t="str">
        <f t="shared" si="272"/>
        <v>34674470000000</v>
      </c>
      <c r="D5602" t="s">
        <v>6939</v>
      </c>
      <c r="E5602" t="str">
        <f>"34674476034920"</f>
        <v>34674476034920</v>
      </c>
      <c r="F5602" s="8">
        <v>1093</v>
      </c>
      <c r="G5602" s="8">
        <v>6333</v>
      </c>
      <c r="H5602" s="8">
        <v>931</v>
      </c>
      <c r="I5602" s="8">
        <v>4646</v>
      </c>
    </row>
    <row r="5603" spans="1:9" x14ac:dyDescent="0.2">
      <c r="A5603" t="s">
        <v>1138</v>
      </c>
      <c r="B5603" t="s">
        <v>1178</v>
      </c>
      <c r="C5603" t="str">
        <f t="shared" si="272"/>
        <v>34674470000000</v>
      </c>
      <c r="D5603" t="s">
        <v>6940</v>
      </c>
      <c r="E5603" t="str">
        <f>"34674476034599"</f>
        <v>34674476034599</v>
      </c>
      <c r="F5603" s="8">
        <v>1339</v>
      </c>
      <c r="G5603" s="8">
        <v>6086</v>
      </c>
      <c r="H5603" s="8">
        <v>931</v>
      </c>
      <c r="I5603" s="8">
        <v>4646</v>
      </c>
    </row>
    <row r="5604" spans="1:9" x14ac:dyDescent="0.2">
      <c r="A5604" t="s">
        <v>1138</v>
      </c>
      <c r="B5604" t="s">
        <v>1178</v>
      </c>
      <c r="C5604" t="str">
        <f t="shared" si="272"/>
        <v>34674470000000</v>
      </c>
      <c r="D5604" t="s">
        <v>6941</v>
      </c>
      <c r="E5604" t="str">
        <f>"34674476034813"</f>
        <v>34674476034813</v>
      </c>
      <c r="F5604" s="8">
        <v>1163</v>
      </c>
      <c r="G5604" s="8">
        <v>6213</v>
      </c>
      <c r="H5604" s="8">
        <v>931</v>
      </c>
      <c r="I5604" s="8">
        <v>4646</v>
      </c>
    </row>
    <row r="5605" spans="1:9" x14ac:dyDescent="0.2">
      <c r="A5605" t="s">
        <v>1138</v>
      </c>
      <c r="B5605" t="s">
        <v>1178</v>
      </c>
      <c r="C5605" t="str">
        <f t="shared" si="272"/>
        <v>34674470000000</v>
      </c>
      <c r="D5605" t="s">
        <v>6942</v>
      </c>
      <c r="E5605" t="str">
        <f>"34674473430493"</f>
        <v>34674473430493</v>
      </c>
      <c r="F5605" s="8">
        <v>327</v>
      </c>
      <c r="G5605" s="8">
        <v>6971</v>
      </c>
      <c r="H5605" s="8">
        <v>931</v>
      </c>
      <c r="I5605" s="8">
        <v>4646</v>
      </c>
    </row>
    <row r="5606" spans="1:9" x14ac:dyDescent="0.2">
      <c r="A5606" t="s">
        <v>1138</v>
      </c>
      <c r="B5606" t="s">
        <v>1178</v>
      </c>
      <c r="C5606" t="str">
        <f t="shared" si="272"/>
        <v>34674470000000</v>
      </c>
      <c r="D5606" t="s">
        <v>4891</v>
      </c>
      <c r="E5606" t="str">
        <f>"34674476034953"</f>
        <v>34674476034953</v>
      </c>
      <c r="F5606" s="8">
        <v>496</v>
      </c>
      <c r="G5606" s="8">
        <v>6766</v>
      </c>
      <c r="H5606" s="8">
        <v>931</v>
      </c>
      <c r="I5606" s="8">
        <v>4646</v>
      </c>
    </row>
    <row r="5607" spans="1:9" x14ac:dyDescent="0.2">
      <c r="A5607" t="s">
        <v>1138</v>
      </c>
      <c r="B5607" t="s">
        <v>1178</v>
      </c>
      <c r="C5607" t="str">
        <f t="shared" si="272"/>
        <v>34674470000000</v>
      </c>
      <c r="D5607" t="s">
        <v>6943</v>
      </c>
      <c r="E5607" t="str">
        <f>"34674476034821"</f>
        <v>34674476034821</v>
      </c>
      <c r="F5607" s="8">
        <v>374</v>
      </c>
      <c r="G5607" s="8">
        <v>6868</v>
      </c>
      <c r="H5607" s="8">
        <v>931</v>
      </c>
      <c r="I5607" s="8">
        <v>4646</v>
      </c>
    </row>
    <row r="5608" spans="1:9" x14ac:dyDescent="0.2">
      <c r="A5608" t="s">
        <v>1138</v>
      </c>
      <c r="B5608" t="s">
        <v>1178</v>
      </c>
      <c r="C5608" t="str">
        <f t="shared" si="272"/>
        <v>34674470000000</v>
      </c>
      <c r="D5608" t="s">
        <v>6944</v>
      </c>
      <c r="E5608" t="str">
        <f>"34674476034425"</f>
        <v>34674476034425</v>
      </c>
      <c r="F5608" s="8">
        <v>249</v>
      </c>
      <c r="G5608" s="8">
        <v>6974</v>
      </c>
      <c r="H5608" s="8">
        <v>931</v>
      </c>
      <c r="I5608" s="8">
        <v>4646</v>
      </c>
    </row>
    <row r="5609" spans="1:9" x14ac:dyDescent="0.2">
      <c r="A5609" t="s">
        <v>1138</v>
      </c>
      <c r="B5609" t="s">
        <v>1178</v>
      </c>
      <c r="C5609" t="str">
        <f t="shared" si="272"/>
        <v>34674470000000</v>
      </c>
      <c r="D5609" t="s">
        <v>6945</v>
      </c>
      <c r="E5609" t="str">
        <f>"34674476034490"</f>
        <v>34674476034490</v>
      </c>
      <c r="F5609" s="8">
        <v>750</v>
      </c>
      <c r="G5609" s="8">
        <v>6449</v>
      </c>
      <c r="H5609" s="8">
        <v>931</v>
      </c>
      <c r="I5609" s="8">
        <v>4646</v>
      </c>
    </row>
    <row r="5610" spans="1:9" x14ac:dyDescent="0.2">
      <c r="A5610" t="s">
        <v>1138</v>
      </c>
      <c r="B5610" t="s">
        <v>1178</v>
      </c>
      <c r="C5610" t="str">
        <f t="shared" si="272"/>
        <v>34674470000000</v>
      </c>
      <c r="D5610" t="s">
        <v>4564</v>
      </c>
      <c r="E5610" t="str">
        <f>"34674476034409"</f>
        <v>34674476034409</v>
      </c>
      <c r="F5610" s="8">
        <v>342</v>
      </c>
      <c r="G5610" s="8">
        <v>6792</v>
      </c>
      <c r="H5610" s="8">
        <v>931</v>
      </c>
      <c r="I5610" s="8">
        <v>4646</v>
      </c>
    </row>
    <row r="5611" spans="1:9" x14ac:dyDescent="0.2">
      <c r="A5611" t="s">
        <v>1138</v>
      </c>
      <c r="B5611" t="s">
        <v>1178</v>
      </c>
      <c r="C5611" t="str">
        <f t="shared" si="272"/>
        <v>34674470000000</v>
      </c>
      <c r="D5611" t="s">
        <v>6946</v>
      </c>
      <c r="E5611" t="str">
        <f>"34674473430386"</f>
        <v>34674473430386</v>
      </c>
      <c r="F5611" s="8">
        <v>1020</v>
      </c>
      <c r="G5611" s="8">
        <v>6082</v>
      </c>
      <c r="H5611" s="8">
        <v>931</v>
      </c>
      <c r="I5611" s="8">
        <v>4646</v>
      </c>
    </row>
    <row r="5612" spans="1:9" x14ac:dyDescent="0.2">
      <c r="A5612" t="s">
        <v>1138</v>
      </c>
      <c r="B5612" t="s">
        <v>1178</v>
      </c>
      <c r="C5612" t="str">
        <f t="shared" si="272"/>
        <v>34674470000000</v>
      </c>
      <c r="D5612" t="s">
        <v>6947</v>
      </c>
      <c r="E5612" t="str">
        <f>"34674473435930"</f>
        <v>34674473435930</v>
      </c>
      <c r="F5612" s="8">
        <v>353</v>
      </c>
      <c r="G5612" s="8">
        <v>6706</v>
      </c>
      <c r="H5612" s="8">
        <v>931</v>
      </c>
      <c r="I5612" s="8">
        <v>4646</v>
      </c>
    </row>
    <row r="5613" spans="1:9" x14ac:dyDescent="0.2">
      <c r="A5613" t="s">
        <v>1138</v>
      </c>
      <c r="B5613" t="s">
        <v>1178</v>
      </c>
      <c r="C5613" t="str">
        <f t="shared" si="272"/>
        <v>34674470000000</v>
      </c>
      <c r="D5613" t="s">
        <v>6948</v>
      </c>
      <c r="E5613" t="str">
        <f>"34674476097810"</f>
        <v>34674476097810</v>
      </c>
      <c r="F5613" s="8">
        <v>397</v>
      </c>
      <c r="G5613" s="8">
        <v>6655</v>
      </c>
      <c r="H5613" s="8">
        <v>931</v>
      </c>
      <c r="I5613" s="8">
        <v>4646</v>
      </c>
    </row>
    <row r="5614" spans="1:9" x14ac:dyDescent="0.2">
      <c r="A5614" t="s">
        <v>1138</v>
      </c>
      <c r="B5614" t="s">
        <v>1178</v>
      </c>
      <c r="C5614" t="str">
        <f t="shared" si="272"/>
        <v>34674470000000</v>
      </c>
      <c r="D5614" t="s">
        <v>6949</v>
      </c>
      <c r="E5614" t="str">
        <f>"34674476068670"</f>
        <v>34674476068670</v>
      </c>
      <c r="F5614" s="8">
        <v>217</v>
      </c>
      <c r="G5614" s="8">
        <v>6761</v>
      </c>
      <c r="H5614" s="8">
        <v>931</v>
      </c>
      <c r="I5614" s="8">
        <v>4646</v>
      </c>
    </row>
    <row r="5615" spans="1:9" x14ac:dyDescent="0.2">
      <c r="A5615" t="s">
        <v>1138</v>
      </c>
      <c r="B5615" t="s">
        <v>1178</v>
      </c>
      <c r="C5615" t="str">
        <f t="shared" si="272"/>
        <v>34674470000000</v>
      </c>
      <c r="D5615" t="s">
        <v>6950</v>
      </c>
      <c r="E5615" t="str">
        <f>"34674476034581"</f>
        <v>34674476034581</v>
      </c>
      <c r="F5615" s="8">
        <v>210</v>
      </c>
      <c r="G5615" s="8">
        <v>6711</v>
      </c>
      <c r="H5615" s="8">
        <v>931</v>
      </c>
      <c r="I5615" s="8">
        <v>4646</v>
      </c>
    </row>
    <row r="5616" spans="1:9" x14ac:dyDescent="0.2">
      <c r="A5616" t="s">
        <v>1138</v>
      </c>
      <c r="B5616" t="s">
        <v>1178</v>
      </c>
      <c r="C5616" t="str">
        <f t="shared" si="272"/>
        <v>34674470000000</v>
      </c>
      <c r="D5616" t="s">
        <v>6951</v>
      </c>
      <c r="E5616" t="str">
        <f>"34674476034847"</f>
        <v>34674476034847</v>
      </c>
      <c r="F5616" s="8">
        <v>289</v>
      </c>
      <c r="G5616" s="8">
        <v>6531</v>
      </c>
      <c r="H5616" s="8">
        <v>931</v>
      </c>
      <c r="I5616" s="8">
        <v>4646</v>
      </c>
    </row>
    <row r="5617" spans="1:9" x14ac:dyDescent="0.2">
      <c r="A5617" t="s">
        <v>1138</v>
      </c>
      <c r="B5617" t="s">
        <v>1178</v>
      </c>
      <c r="C5617" t="str">
        <f t="shared" si="272"/>
        <v>34674470000000</v>
      </c>
      <c r="D5617" t="s">
        <v>6952</v>
      </c>
      <c r="E5617" t="str">
        <f>"34674473436714"</f>
        <v>34674473436714</v>
      </c>
      <c r="F5617" s="8">
        <v>252</v>
      </c>
      <c r="G5617" s="8">
        <v>6506</v>
      </c>
      <c r="H5617" s="8">
        <v>931</v>
      </c>
      <c r="I5617" s="8">
        <v>4646</v>
      </c>
    </row>
    <row r="5618" spans="1:9" x14ac:dyDescent="0.2">
      <c r="A5618" t="s">
        <v>1138</v>
      </c>
      <c r="B5618" t="s">
        <v>1178</v>
      </c>
      <c r="C5618" t="str">
        <f t="shared" si="272"/>
        <v>34674470000000</v>
      </c>
      <c r="D5618" t="s">
        <v>6953</v>
      </c>
      <c r="E5618" t="str">
        <f>"34674476111363"</f>
        <v>34674476111363</v>
      </c>
      <c r="F5618" s="8">
        <v>219</v>
      </c>
      <c r="G5618" s="8">
        <v>6515</v>
      </c>
      <c r="H5618" s="8">
        <v>931</v>
      </c>
      <c r="I5618" s="8">
        <v>4646</v>
      </c>
    </row>
    <row r="5619" spans="1:9" x14ac:dyDescent="0.2">
      <c r="A5619" t="s">
        <v>1138</v>
      </c>
      <c r="B5619" t="s">
        <v>1178</v>
      </c>
      <c r="C5619" t="str">
        <f t="shared" si="272"/>
        <v>34674470000000</v>
      </c>
      <c r="D5619" t="s">
        <v>6954</v>
      </c>
      <c r="E5619" t="str">
        <f>"34674476034359"</f>
        <v>34674476034359</v>
      </c>
      <c r="F5619" s="8">
        <v>284</v>
      </c>
      <c r="G5619" s="8">
        <v>6448</v>
      </c>
      <c r="H5619" s="8">
        <v>931</v>
      </c>
      <c r="I5619" s="8">
        <v>4646</v>
      </c>
    </row>
    <row r="5620" spans="1:9" x14ac:dyDescent="0.2">
      <c r="A5620" t="s">
        <v>1138</v>
      </c>
      <c r="B5620" t="s">
        <v>1178</v>
      </c>
      <c r="C5620" t="str">
        <f t="shared" si="272"/>
        <v>34674470000000</v>
      </c>
      <c r="D5620" t="s">
        <v>6955</v>
      </c>
      <c r="E5620" t="str">
        <f>"34674476034458"</f>
        <v>34674476034458</v>
      </c>
      <c r="F5620" s="8">
        <v>320</v>
      </c>
      <c r="G5620" s="8">
        <v>6287</v>
      </c>
      <c r="H5620" s="8">
        <v>931</v>
      </c>
      <c r="I5620" s="8">
        <v>4646</v>
      </c>
    </row>
    <row r="5621" spans="1:9" x14ac:dyDescent="0.2">
      <c r="A5621" t="s">
        <v>1138</v>
      </c>
      <c r="B5621" t="s">
        <v>1178</v>
      </c>
      <c r="C5621" t="str">
        <f t="shared" si="272"/>
        <v>34674470000000</v>
      </c>
      <c r="D5621" t="s">
        <v>6956</v>
      </c>
      <c r="E5621" t="str">
        <f>"34674476034797"</f>
        <v>34674476034797</v>
      </c>
      <c r="F5621" s="8">
        <v>170</v>
      </c>
      <c r="G5621" s="8">
        <v>6331</v>
      </c>
      <c r="H5621" s="8">
        <v>931</v>
      </c>
      <c r="I5621" s="8">
        <v>4646</v>
      </c>
    </row>
    <row r="5622" spans="1:9" x14ac:dyDescent="0.2">
      <c r="A5622" t="s">
        <v>1138</v>
      </c>
      <c r="B5622" t="s">
        <v>1178</v>
      </c>
      <c r="C5622" t="str">
        <f t="shared" si="272"/>
        <v>34674470000000</v>
      </c>
      <c r="D5622" t="s">
        <v>6957</v>
      </c>
      <c r="E5622" t="str">
        <f>"34674476034508"</f>
        <v>34674476034508</v>
      </c>
      <c r="F5622" s="8">
        <v>355</v>
      </c>
      <c r="G5622" s="8">
        <v>6082</v>
      </c>
      <c r="H5622" s="8">
        <v>931</v>
      </c>
      <c r="I5622" s="8">
        <v>4646</v>
      </c>
    </row>
    <row r="5623" spans="1:9" x14ac:dyDescent="0.2">
      <c r="A5623" t="s">
        <v>1138</v>
      </c>
      <c r="B5623" t="s">
        <v>1178</v>
      </c>
      <c r="C5623" t="str">
        <f t="shared" si="272"/>
        <v>34674470000000</v>
      </c>
      <c r="D5623" t="s">
        <v>6958</v>
      </c>
      <c r="E5623" t="str">
        <f>"34674476034730"</f>
        <v>34674476034730</v>
      </c>
      <c r="F5623" s="8">
        <v>287</v>
      </c>
      <c r="G5623" s="8">
        <v>5947</v>
      </c>
      <c r="H5623" s="8">
        <v>931</v>
      </c>
      <c r="I5623" s="8">
        <v>4646</v>
      </c>
    </row>
    <row r="5624" spans="1:9" x14ac:dyDescent="0.2">
      <c r="A5624" t="s">
        <v>1138</v>
      </c>
      <c r="B5624" t="s">
        <v>1178</v>
      </c>
      <c r="C5624" t="str">
        <f t="shared" si="272"/>
        <v>34674470000000</v>
      </c>
      <c r="D5624" t="s">
        <v>6959</v>
      </c>
      <c r="E5624" t="str">
        <f>"34674476034904"</f>
        <v>34674476034904</v>
      </c>
      <c r="F5624" s="8">
        <v>224</v>
      </c>
      <c r="G5624" s="8">
        <v>5888</v>
      </c>
      <c r="H5624" s="8">
        <v>931</v>
      </c>
      <c r="I5624" s="8">
        <v>4646</v>
      </c>
    </row>
    <row r="5625" spans="1:9" x14ac:dyDescent="0.2">
      <c r="A5625" t="s">
        <v>1138</v>
      </c>
      <c r="B5625" t="s">
        <v>1178</v>
      </c>
      <c r="C5625" t="str">
        <f t="shared" si="272"/>
        <v>34674470000000</v>
      </c>
      <c r="D5625" t="s">
        <v>6960</v>
      </c>
      <c r="E5625" t="str">
        <f>"34674470127449"</f>
        <v>34674470127449</v>
      </c>
      <c r="F5625" s="8">
        <v>0</v>
      </c>
      <c r="G5625" s="8">
        <v>0</v>
      </c>
      <c r="H5625" s="8">
        <v>931</v>
      </c>
      <c r="I5625" s="8">
        <v>4646</v>
      </c>
    </row>
    <row r="5626" spans="1:9" x14ac:dyDescent="0.2">
      <c r="A5626" t="s">
        <v>1138</v>
      </c>
      <c r="B5626" t="s">
        <v>1178</v>
      </c>
      <c r="C5626" t="str">
        <f t="shared" si="272"/>
        <v>34674470000000</v>
      </c>
      <c r="D5626" t="s">
        <v>6961</v>
      </c>
      <c r="E5626" t="str">
        <f>"34674476110506"</f>
        <v>34674476110506</v>
      </c>
      <c r="F5626" s="8">
        <v>0</v>
      </c>
      <c r="G5626" s="8">
        <v>0</v>
      </c>
      <c r="H5626" s="8">
        <v>931</v>
      </c>
      <c r="I5626" s="8">
        <v>4646</v>
      </c>
    </row>
    <row r="5627" spans="1:9" x14ac:dyDescent="0.2">
      <c r="A5627" t="s">
        <v>1138</v>
      </c>
      <c r="B5627" t="s">
        <v>1185</v>
      </c>
      <c r="C5627" t="str">
        <f t="shared" ref="C5627:C5670" si="273">"34765050000000"</f>
        <v>34765050000000</v>
      </c>
      <c r="D5627" t="s">
        <v>6962</v>
      </c>
      <c r="E5627" t="str">
        <f>"34765050125203"</f>
        <v>34765050125203</v>
      </c>
      <c r="F5627" s="8">
        <v>19627</v>
      </c>
      <c r="G5627" s="8">
        <v>88839</v>
      </c>
      <c r="H5627" s="8">
        <v>7017</v>
      </c>
      <c r="I5627" s="8">
        <v>13154</v>
      </c>
    </row>
    <row r="5628" spans="1:9" x14ac:dyDescent="0.2">
      <c r="A5628" t="s">
        <v>1138</v>
      </c>
      <c r="B5628" t="s">
        <v>1185</v>
      </c>
      <c r="C5628" t="str">
        <f t="shared" si="273"/>
        <v>34765050000000</v>
      </c>
      <c r="D5628" t="s">
        <v>6963</v>
      </c>
      <c r="E5628" t="str">
        <f>"34765056069736"</f>
        <v>34765056069736</v>
      </c>
      <c r="F5628" s="8">
        <v>9386</v>
      </c>
      <c r="G5628" s="8">
        <v>17842</v>
      </c>
      <c r="H5628" s="8">
        <v>3519</v>
      </c>
      <c r="I5628" s="8">
        <v>9610</v>
      </c>
    </row>
    <row r="5629" spans="1:9" x14ac:dyDescent="0.2">
      <c r="A5629" t="s">
        <v>1138</v>
      </c>
      <c r="B5629" t="s">
        <v>1185</v>
      </c>
      <c r="C5629" t="str">
        <f t="shared" si="273"/>
        <v>34765050000000</v>
      </c>
      <c r="D5629" t="s">
        <v>6964</v>
      </c>
      <c r="E5629" t="str">
        <f>"34765053430881"</f>
        <v>34765053430881</v>
      </c>
      <c r="F5629" s="8">
        <v>2517</v>
      </c>
      <c r="G5629" s="8">
        <v>15868</v>
      </c>
      <c r="H5629" s="8">
        <v>2343</v>
      </c>
      <c r="I5629" s="8">
        <v>4025</v>
      </c>
    </row>
    <row r="5630" spans="1:9" x14ac:dyDescent="0.2">
      <c r="A5630" t="s">
        <v>1138</v>
      </c>
      <c r="B5630" t="s">
        <v>1185</v>
      </c>
      <c r="C5630" t="str">
        <f t="shared" si="273"/>
        <v>34765050000000</v>
      </c>
      <c r="D5630" t="s">
        <v>6965</v>
      </c>
      <c r="E5630" t="str">
        <f>"34765053430261"</f>
        <v>34765053430261</v>
      </c>
      <c r="F5630" s="8">
        <v>1597</v>
      </c>
      <c r="G5630" s="8">
        <v>15355</v>
      </c>
      <c r="H5630" s="8">
        <v>2824</v>
      </c>
      <c r="I5630" s="8">
        <v>4802</v>
      </c>
    </row>
    <row r="5631" spans="1:9" x14ac:dyDescent="0.2">
      <c r="A5631" t="s">
        <v>1138</v>
      </c>
      <c r="B5631" t="s">
        <v>1185</v>
      </c>
      <c r="C5631" t="str">
        <f t="shared" si="273"/>
        <v>34765050000000</v>
      </c>
      <c r="D5631" t="s">
        <v>6966</v>
      </c>
      <c r="E5631" t="str">
        <f>"34765056059257"</f>
        <v>34765056059257</v>
      </c>
      <c r="F5631" s="8">
        <v>1551</v>
      </c>
      <c r="G5631" s="8">
        <v>10850</v>
      </c>
      <c r="H5631" s="8">
        <v>2686</v>
      </c>
      <c r="I5631" s="8">
        <v>5433</v>
      </c>
    </row>
    <row r="5632" spans="1:9" x14ac:dyDescent="0.2">
      <c r="A5632" t="s">
        <v>1138</v>
      </c>
      <c r="B5632" t="s">
        <v>1185</v>
      </c>
      <c r="C5632" t="str">
        <f t="shared" si="273"/>
        <v>34765050000000</v>
      </c>
      <c r="D5632" t="s">
        <v>6967</v>
      </c>
      <c r="E5632" t="str">
        <f>"34765053434370"</f>
        <v>34765053434370</v>
      </c>
      <c r="F5632" s="8">
        <v>1412</v>
      </c>
      <c r="G5632" s="8">
        <v>9164</v>
      </c>
      <c r="H5632" s="8">
        <v>3075</v>
      </c>
      <c r="I5632" s="8">
        <v>5393</v>
      </c>
    </row>
    <row r="5633" spans="1:9" x14ac:dyDescent="0.2">
      <c r="A5633" t="s">
        <v>1138</v>
      </c>
      <c r="B5633" t="s">
        <v>1185</v>
      </c>
      <c r="C5633" t="str">
        <f t="shared" si="273"/>
        <v>34765050000000</v>
      </c>
      <c r="D5633" t="s">
        <v>6968</v>
      </c>
      <c r="E5633" t="str">
        <f>"34765056059265"</f>
        <v>34765056059265</v>
      </c>
      <c r="F5633" s="8">
        <v>1941</v>
      </c>
      <c r="G5633" s="8">
        <v>9598</v>
      </c>
      <c r="H5633" s="8">
        <v>2637</v>
      </c>
      <c r="I5633" s="8">
        <v>4574</v>
      </c>
    </row>
    <row r="5634" spans="1:9" x14ac:dyDescent="0.2">
      <c r="A5634" t="s">
        <v>1138</v>
      </c>
      <c r="B5634" t="s">
        <v>1185</v>
      </c>
      <c r="C5634" t="str">
        <f t="shared" si="273"/>
        <v>34765050000000</v>
      </c>
      <c r="D5634" t="s">
        <v>6969</v>
      </c>
      <c r="E5634" t="str">
        <f>"34765056033518"</f>
        <v>34765056033518</v>
      </c>
      <c r="F5634" s="8">
        <v>1798</v>
      </c>
      <c r="G5634" s="8">
        <v>9467</v>
      </c>
      <c r="H5634" s="8">
        <v>2540</v>
      </c>
      <c r="I5634" s="8">
        <v>4674</v>
      </c>
    </row>
    <row r="5635" spans="1:9" x14ac:dyDescent="0.2">
      <c r="A5635" t="s">
        <v>1138</v>
      </c>
      <c r="B5635" t="s">
        <v>1185</v>
      </c>
      <c r="C5635" t="str">
        <f t="shared" si="273"/>
        <v>34765050000000</v>
      </c>
      <c r="D5635" t="s">
        <v>6970</v>
      </c>
      <c r="E5635" t="str">
        <f>"34765056102784"</f>
        <v>34765056102784</v>
      </c>
      <c r="F5635" s="8">
        <v>1809</v>
      </c>
      <c r="G5635" s="8">
        <v>9075</v>
      </c>
      <c r="H5635" s="8">
        <v>2799</v>
      </c>
      <c r="I5635" s="8">
        <v>4662</v>
      </c>
    </row>
    <row r="5636" spans="1:9" x14ac:dyDescent="0.2">
      <c r="A5636" t="s">
        <v>1138</v>
      </c>
      <c r="B5636" t="s">
        <v>1185</v>
      </c>
      <c r="C5636" t="str">
        <f t="shared" si="273"/>
        <v>34765050000000</v>
      </c>
      <c r="D5636" t="s">
        <v>6971</v>
      </c>
      <c r="E5636" t="str">
        <f>"34765050100487"</f>
        <v>34765050100487</v>
      </c>
      <c r="F5636" s="8">
        <v>1307</v>
      </c>
      <c r="G5636" s="8">
        <v>9514</v>
      </c>
      <c r="H5636" s="8">
        <v>2446</v>
      </c>
      <c r="I5636" s="8">
        <v>3995</v>
      </c>
    </row>
    <row r="5637" spans="1:9" x14ac:dyDescent="0.2">
      <c r="A5637" t="s">
        <v>1138</v>
      </c>
      <c r="B5637" t="s">
        <v>1185</v>
      </c>
      <c r="C5637" t="str">
        <f t="shared" si="273"/>
        <v>34765050000000</v>
      </c>
      <c r="D5637" t="s">
        <v>6972</v>
      </c>
      <c r="E5637" t="str">
        <f>"34765056059232"</f>
        <v>34765056059232</v>
      </c>
      <c r="F5637" s="8">
        <v>1285</v>
      </c>
      <c r="G5637" s="8">
        <v>8907</v>
      </c>
      <c r="H5637" s="8">
        <v>2657</v>
      </c>
      <c r="I5637" s="8">
        <v>4390</v>
      </c>
    </row>
    <row r="5638" spans="1:9" x14ac:dyDescent="0.2">
      <c r="A5638" t="s">
        <v>1138</v>
      </c>
      <c r="B5638" t="s">
        <v>1185</v>
      </c>
      <c r="C5638" t="str">
        <f t="shared" si="273"/>
        <v>34765050000000</v>
      </c>
      <c r="D5638" t="s">
        <v>1656</v>
      </c>
      <c r="E5638" t="str">
        <f>"34765056033575"</f>
        <v>34765056033575</v>
      </c>
      <c r="F5638" s="8">
        <v>1374</v>
      </c>
      <c r="G5638" s="8">
        <v>9175</v>
      </c>
      <c r="H5638" s="8">
        <v>2407</v>
      </c>
      <c r="I5638" s="8">
        <v>4228</v>
      </c>
    </row>
    <row r="5639" spans="1:9" x14ac:dyDescent="0.2">
      <c r="A5639" t="s">
        <v>1138</v>
      </c>
      <c r="B5639" t="s">
        <v>1185</v>
      </c>
      <c r="C5639" t="str">
        <f t="shared" si="273"/>
        <v>34765050000000</v>
      </c>
      <c r="D5639" t="s">
        <v>6973</v>
      </c>
      <c r="E5639" t="str">
        <f>"34765050108795"</f>
        <v>34765050108795</v>
      </c>
      <c r="F5639" s="8">
        <v>1000</v>
      </c>
      <c r="G5639" s="8">
        <v>9336</v>
      </c>
      <c r="H5639" s="8">
        <v>2490</v>
      </c>
      <c r="I5639" s="8">
        <v>3856</v>
      </c>
    </row>
    <row r="5640" spans="1:9" x14ac:dyDescent="0.2">
      <c r="A5640" t="s">
        <v>1138</v>
      </c>
      <c r="B5640" t="s">
        <v>1185</v>
      </c>
      <c r="C5640" t="str">
        <f t="shared" si="273"/>
        <v>34765050000000</v>
      </c>
      <c r="D5640" t="s">
        <v>6974</v>
      </c>
      <c r="E5640" t="str">
        <f>"34765056033450"</f>
        <v>34765056033450</v>
      </c>
      <c r="F5640" s="8">
        <v>1368</v>
      </c>
      <c r="G5640" s="8">
        <v>8287</v>
      </c>
      <c r="H5640" s="8">
        <v>2606</v>
      </c>
      <c r="I5640" s="8">
        <v>4394</v>
      </c>
    </row>
    <row r="5641" spans="1:9" x14ac:dyDescent="0.2">
      <c r="A5641" t="s">
        <v>1138</v>
      </c>
      <c r="B5641" t="s">
        <v>1185</v>
      </c>
      <c r="C5641" t="str">
        <f t="shared" si="273"/>
        <v>34765050000000</v>
      </c>
      <c r="D5641" t="s">
        <v>2331</v>
      </c>
      <c r="E5641" t="str">
        <f>"34765053433265"</f>
        <v>34765053433265</v>
      </c>
      <c r="F5641" s="8">
        <v>999</v>
      </c>
      <c r="G5641" s="8">
        <v>7935</v>
      </c>
      <c r="H5641" s="8">
        <v>2770</v>
      </c>
      <c r="I5641" s="8">
        <v>4745</v>
      </c>
    </row>
    <row r="5642" spans="1:9" x14ac:dyDescent="0.2">
      <c r="A5642" t="s">
        <v>1138</v>
      </c>
      <c r="B5642" t="s">
        <v>1185</v>
      </c>
      <c r="C5642" t="str">
        <f t="shared" si="273"/>
        <v>34765050000000</v>
      </c>
      <c r="D5642" t="s">
        <v>6975</v>
      </c>
      <c r="E5642" t="str">
        <f>"34765053436979"</f>
        <v>34765053436979</v>
      </c>
      <c r="F5642" s="8">
        <v>1048</v>
      </c>
      <c r="G5642" s="8">
        <v>7562</v>
      </c>
      <c r="H5642" s="8">
        <v>2676</v>
      </c>
      <c r="I5642" s="8">
        <v>5163</v>
      </c>
    </row>
    <row r="5643" spans="1:9" x14ac:dyDescent="0.2">
      <c r="A5643" t="s">
        <v>1138</v>
      </c>
      <c r="B5643" t="s">
        <v>1185</v>
      </c>
      <c r="C5643" t="str">
        <f t="shared" si="273"/>
        <v>34765050000000</v>
      </c>
      <c r="D5643" t="s">
        <v>6976</v>
      </c>
      <c r="E5643" t="str">
        <f>"34765056033351"</f>
        <v>34765056033351</v>
      </c>
      <c r="F5643" s="8">
        <v>1926</v>
      </c>
      <c r="G5643" s="8">
        <v>6882</v>
      </c>
      <c r="H5643" s="8">
        <v>2713</v>
      </c>
      <c r="I5643" s="8">
        <v>4819</v>
      </c>
    </row>
    <row r="5644" spans="1:9" x14ac:dyDescent="0.2">
      <c r="A5644" t="s">
        <v>1138</v>
      </c>
      <c r="B5644" t="s">
        <v>1185</v>
      </c>
      <c r="C5644" t="str">
        <f t="shared" si="273"/>
        <v>34765050000000</v>
      </c>
      <c r="D5644" t="s">
        <v>2410</v>
      </c>
      <c r="E5644" t="str">
        <f>"34765056033609"</f>
        <v>34765056033609</v>
      </c>
      <c r="F5644" s="8">
        <v>876</v>
      </c>
      <c r="G5644" s="8">
        <v>8936</v>
      </c>
      <c r="H5644" s="8">
        <v>2532</v>
      </c>
      <c r="I5644" s="8">
        <v>3859</v>
      </c>
    </row>
    <row r="5645" spans="1:9" x14ac:dyDescent="0.2">
      <c r="A5645" t="s">
        <v>1138</v>
      </c>
      <c r="B5645" t="s">
        <v>1185</v>
      </c>
      <c r="C5645" t="str">
        <f t="shared" si="273"/>
        <v>34765050000000</v>
      </c>
      <c r="D5645" t="s">
        <v>6977</v>
      </c>
      <c r="E5645" t="str">
        <f>"34765053433794"</f>
        <v>34765053433794</v>
      </c>
      <c r="F5645" s="8">
        <v>1093</v>
      </c>
      <c r="G5645" s="8">
        <v>7049</v>
      </c>
      <c r="H5645" s="8">
        <v>2631</v>
      </c>
      <c r="I5645" s="8">
        <v>5248</v>
      </c>
    </row>
    <row r="5646" spans="1:9" x14ac:dyDescent="0.2">
      <c r="A5646" t="s">
        <v>1138</v>
      </c>
      <c r="B5646" t="s">
        <v>1185</v>
      </c>
      <c r="C5646" t="str">
        <f t="shared" si="273"/>
        <v>34765050000000</v>
      </c>
      <c r="D5646" t="s">
        <v>5650</v>
      </c>
      <c r="E5646" t="str">
        <f>"34765056033443"</f>
        <v>34765056033443</v>
      </c>
      <c r="F5646" s="8">
        <v>1816</v>
      </c>
      <c r="G5646" s="8">
        <v>7540</v>
      </c>
      <c r="H5646" s="8">
        <v>2598</v>
      </c>
      <c r="I5646" s="8">
        <v>4061</v>
      </c>
    </row>
    <row r="5647" spans="1:9" x14ac:dyDescent="0.2">
      <c r="A5647" t="s">
        <v>1138</v>
      </c>
      <c r="B5647" t="s">
        <v>1185</v>
      </c>
      <c r="C5647" t="str">
        <f t="shared" si="273"/>
        <v>34765050000000</v>
      </c>
      <c r="D5647" t="s">
        <v>6978</v>
      </c>
      <c r="E5647" t="str">
        <f>"34765056033385"</f>
        <v>34765056033385</v>
      </c>
      <c r="F5647" s="8">
        <v>961</v>
      </c>
      <c r="G5647" s="8">
        <v>8057</v>
      </c>
      <c r="H5647" s="8">
        <v>2599</v>
      </c>
      <c r="I5647" s="8">
        <v>4127</v>
      </c>
    </row>
    <row r="5648" spans="1:9" x14ac:dyDescent="0.2">
      <c r="A5648" t="s">
        <v>1138</v>
      </c>
      <c r="B5648" t="s">
        <v>1185</v>
      </c>
      <c r="C5648" t="str">
        <f t="shared" si="273"/>
        <v>34765050000000</v>
      </c>
      <c r="D5648" t="s">
        <v>6979</v>
      </c>
      <c r="E5648" t="str">
        <f>"34765056032940"</f>
        <v>34765056032940</v>
      </c>
      <c r="F5648" s="8">
        <v>1095</v>
      </c>
      <c r="G5648" s="8">
        <v>8084</v>
      </c>
      <c r="H5648" s="8">
        <v>2567</v>
      </c>
      <c r="I5648" s="8">
        <v>3895</v>
      </c>
    </row>
    <row r="5649" spans="1:9" x14ac:dyDescent="0.2">
      <c r="A5649" t="s">
        <v>1138</v>
      </c>
      <c r="B5649" t="s">
        <v>1185</v>
      </c>
      <c r="C5649" t="str">
        <f t="shared" si="273"/>
        <v>34765050000000</v>
      </c>
      <c r="D5649" t="s">
        <v>6980</v>
      </c>
      <c r="E5649" t="str">
        <f>"34765056033336"</f>
        <v>34765056033336</v>
      </c>
      <c r="F5649" s="8">
        <v>888</v>
      </c>
      <c r="G5649" s="8">
        <v>8624</v>
      </c>
      <c r="H5649" s="8">
        <v>2309</v>
      </c>
      <c r="I5649" s="8">
        <v>3552</v>
      </c>
    </row>
    <row r="5650" spans="1:9" x14ac:dyDescent="0.2">
      <c r="A5650" t="s">
        <v>1138</v>
      </c>
      <c r="B5650" t="s">
        <v>1185</v>
      </c>
      <c r="C5650" t="str">
        <f t="shared" si="273"/>
        <v>34765050000000</v>
      </c>
      <c r="D5650" t="s">
        <v>6981</v>
      </c>
      <c r="E5650" t="str">
        <f>"34765056112064"</f>
        <v>34765056112064</v>
      </c>
      <c r="F5650" s="8">
        <v>1300</v>
      </c>
      <c r="G5650" s="8">
        <v>7421</v>
      </c>
      <c r="H5650" s="8">
        <v>2363</v>
      </c>
      <c r="I5650" s="8">
        <v>3935</v>
      </c>
    </row>
    <row r="5651" spans="1:9" x14ac:dyDescent="0.2">
      <c r="A5651" t="s">
        <v>1138</v>
      </c>
      <c r="B5651" t="s">
        <v>1185</v>
      </c>
      <c r="C5651" t="str">
        <f t="shared" si="273"/>
        <v>34765050000000</v>
      </c>
      <c r="D5651" t="s">
        <v>6982</v>
      </c>
      <c r="E5651" t="str">
        <f>"34765056033476"</f>
        <v>34765056033476</v>
      </c>
      <c r="F5651" s="8">
        <v>1058</v>
      </c>
      <c r="G5651" s="8">
        <v>7619</v>
      </c>
      <c r="H5651" s="8">
        <v>2388</v>
      </c>
      <c r="I5651" s="8">
        <v>3866</v>
      </c>
    </row>
    <row r="5652" spans="1:9" x14ac:dyDescent="0.2">
      <c r="A5652" t="s">
        <v>1138</v>
      </c>
      <c r="B5652" t="s">
        <v>1185</v>
      </c>
      <c r="C5652" t="str">
        <f t="shared" si="273"/>
        <v>34765050000000</v>
      </c>
      <c r="D5652" t="s">
        <v>6983</v>
      </c>
      <c r="E5652" t="str">
        <f>"34765053430634"</f>
        <v>34765053430634</v>
      </c>
      <c r="F5652" s="8">
        <v>618</v>
      </c>
      <c r="G5652" s="8">
        <v>8889</v>
      </c>
      <c r="H5652" s="8">
        <v>1897</v>
      </c>
      <c r="I5652" s="8">
        <v>3450</v>
      </c>
    </row>
    <row r="5653" spans="1:9" x14ac:dyDescent="0.2">
      <c r="A5653" t="s">
        <v>1138</v>
      </c>
      <c r="B5653" t="s">
        <v>1185</v>
      </c>
      <c r="C5653" t="str">
        <f t="shared" si="273"/>
        <v>34765050000000</v>
      </c>
      <c r="D5653" t="s">
        <v>6984</v>
      </c>
      <c r="E5653" t="str">
        <f>"34765056033617"</f>
        <v>34765056033617</v>
      </c>
      <c r="F5653" s="8">
        <v>1348</v>
      </c>
      <c r="G5653" s="8">
        <v>7375</v>
      </c>
      <c r="H5653" s="8">
        <v>2372</v>
      </c>
      <c r="I5653" s="8">
        <v>3698</v>
      </c>
    </row>
    <row r="5654" spans="1:9" x14ac:dyDescent="0.2">
      <c r="A5654" t="s">
        <v>1138</v>
      </c>
      <c r="B5654" t="s">
        <v>1185</v>
      </c>
      <c r="C5654" t="str">
        <f t="shared" si="273"/>
        <v>34765050000000</v>
      </c>
      <c r="D5654" t="s">
        <v>5795</v>
      </c>
      <c r="E5654" t="str">
        <f>"34765056033435"</f>
        <v>34765056033435</v>
      </c>
      <c r="F5654" s="8">
        <v>1354</v>
      </c>
      <c r="G5654" s="8">
        <v>7179</v>
      </c>
      <c r="H5654" s="8">
        <v>2553</v>
      </c>
      <c r="I5654" s="8">
        <v>3600</v>
      </c>
    </row>
    <row r="5655" spans="1:9" x14ac:dyDescent="0.2">
      <c r="A5655" t="s">
        <v>1138</v>
      </c>
      <c r="B5655" t="s">
        <v>1185</v>
      </c>
      <c r="C5655" t="str">
        <f t="shared" si="273"/>
        <v>34765050000000</v>
      </c>
      <c r="D5655" t="s">
        <v>6985</v>
      </c>
      <c r="E5655" t="str">
        <f>"34765056032932"</f>
        <v>34765056032932</v>
      </c>
      <c r="F5655" s="8">
        <v>1370</v>
      </c>
      <c r="G5655" s="8">
        <v>7156</v>
      </c>
      <c r="H5655" s="8">
        <v>2388</v>
      </c>
      <c r="I5655" s="8">
        <v>3688</v>
      </c>
    </row>
    <row r="5656" spans="1:9" x14ac:dyDescent="0.2">
      <c r="A5656" t="s">
        <v>1138</v>
      </c>
      <c r="B5656" t="s">
        <v>1185</v>
      </c>
      <c r="C5656" t="str">
        <f t="shared" si="273"/>
        <v>34765050000000</v>
      </c>
      <c r="D5656" t="s">
        <v>6986</v>
      </c>
      <c r="E5656" t="str">
        <f>"34765056032957"</f>
        <v>34765056032957</v>
      </c>
      <c r="F5656" s="8">
        <v>1097</v>
      </c>
      <c r="G5656" s="8">
        <v>7276</v>
      </c>
      <c r="H5656" s="8">
        <v>2363</v>
      </c>
      <c r="I5656" s="8">
        <v>3717</v>
      </c>
    </row>
    <row r="5657" spans="1:9" x14ac:dyDescent="0.2">
      <c r="A5657" t="s">
        <v>1138</v>
      </c>
      <c r="B5657" t="s">
        <v>1185</v>
      </c>
      <c r="C5657" t="str">
        <f t="shared" si="273"/>
        <v>34765050000000</v>
      </c>
      <c r="D5657" t="s">
        <v>6987</v>
      </c>
      <c r="E5657" t="str">
        <f>"34765056033500"</f>
        <v>34765056033500</v>
      </c>
      <c r="F5657" s="8">
        <v>910</v>
      </c>
      <c r="G5657" s="8">
        <v>7171</v>
      </c>
      <c r="H5657" s="8">
        <v>2412</v>
      </c>
      <c r="I5657" s="8">
        <v>3820</v>
      </c>
    </row>
    <row r="5658" spans="1:9" x14ac:dyDescent="0.2">
      <c r="A5658" t="s">
        <v>1138</v>
      </c>
      <c r="B5658" t="s">
        <v>1185</v>
      </c>
      <c r="C5658" t="str">
        <f t="shared" si="273"/>
        <v>34765050000000</v>
      </c>
      <c r="D5658" t="s">
        <v>2229</v>
      </c>
      <c r="E5658" t="str">
        <f>"34765056033583"</f>
        <v>34765056033583</v>
      </c>
      <c r="F5658" s="8">
        <v>777</v>
      </c>
      <c r="G5658" s="8">
        <v>7228</v>
      </c>
      <c r="H5658" s="8">
        <v>2268</v>
      </c>
      <c r="I5658" s="8">
        <v>3693</v>
      </c>
    </row>
    <row r="5659" spans="1:9" x14ac:dyDescent="0.2">
      <c r="A5659" t="s">
        <v>1138</v>
      </c>
      <c r="B5659" t="s">
        <v>1185</v>
      </c>
      <c r="C5659" t="str">
        <f t="shared" si="273"/>
        <v>34765050000000</v>
      </c>
      <c r="D5659" t="s">
        <v>2823</v>
      </c>
      <c r="E5659" t="str">
        <f>"34765056033484"</f>
        <v>34765056033484</v>
      </c>
      <c r="F5659" s="8">
        <v>1031</v>
      </c>
      <c r="G5659" s="8">
        <v>6373</v>
      </c>
      <c r="H5659" s="8">
        <v>2237</v>
      </c>
      <c r="I5659" s="8">
        <v>4306</v>
      </c>
    </row>
    <row r="5660" spans="1:9" x14ac:dyDescent="0.2">
      <c r="A5660" t="s">
        <v>1138</v>
      </c>
      <c r="B5660" t="s">
        <v>1185</v>
      </c>
      <c r="C5660" t="str">
        <f t="shared" si="273"/>
        <v>34765050000000</v>
      </c>
      <c r="D5660" t="s">
        <v>3475</v>
      </c>
      <c r="E5660" t="str">
        <f>"34765056033492"</f>
        <v>34765056033492</v>
      </c>
      <c r="F5660" s="8">
        <v>1046</v>
      </c>
      <c r="G5660" s="8">
        <v>7055</v>
      </c>
      <c r="H5660" s="8">
        <v>2284</v>
      </c>
      <c r="I5660" s="8">
        <v>3468</v>
      </c>
    </row>
    <row r="5661" spans="1:9" x14ac:dyDescent="0.2">
      <c r="A5661" t="s">
        <v>1138</v>
      </c>
      <c r="B5661" t="s">
        <v>1185</v>
      </c>
      <c r="C5661" t="str">
        <f t="shared" si="273"/>
        <v>34765050000000</v>
      </c>
      <c r="D5661" t="s">
        <v>6988</v>
      </c>
      <c r="E5661" t="str">
        <f>"34765056112643"</f>
        <v>34765056112643</v>
      </c>
      <c r="F5661" s="8">
        <v>613</v>
      </c>
      <c r="G5661" s="8">
        <v>7538</v>
      </c>
      <c r="H5661" s="8">
        <v>2160</v>
      </c>
      <c r="I5661" s="8">
        <v>3525</v>
      </c>
    </row>
    <row r="5662" spans="1:9" x14ac:dyDescent="0.2">
      <c r="A5662" t="s">
        <v>1138</v>
      </c>
      <c r="B5662" t="s">
        <v>1185</v>
      </c>
      <c r="C5662" t="str">
        <f t="shared" si="273"/>
        <v>34765050000000</v>
      </c>
      <c r="D5662" t="s">
        <v>6989</v>
      </c>
      <c r="E5662" t="str">
        <f>"34765056033427"</f>
        <v>34765056033427</v>
      </c>
      <c r="F5662" s="8">
        <v>1353</v>
      </c>
      <c r="G5662" s="8">
        <v>6506</v>
      </c>
      <c r="H5662" s="8">
        <v>2390</v>
      </c>
      <c r="I5662" s="8">
        <v>3563</v>
      </c>
    </row>
    <row r="5663" spans="1:9" x14ac:dyDescent="0.2">
      <c r="A5663" t="s">
        <v>1138</v>
      </c>
      <c r="B5663" t="s">
        <v>1185</v>
      </c>
      <c r="C5663" t="str">
        <f t="shared" si="273"/>
        <v>34765050000000</v>
      </c>
      <c r="D5663" t="s">
        <v>6990</v>
      </c>
      <c r="E5663" t="str">
        <f>"34765056066682"</f>
        <v>34765056066682</v>
      </c>
      <c r="F5663" s="8">
        <v>894</v>
      </c>
      <c r="G5663" s="8">
        <v>6817</v>
      </c>
      <c r="H5663" s="8">
        <v>2312</v>
      </c>
      <c r="I5663" s="8">
        <v>3497</v>
      </c>
    </row>
    <row r="5664" spans="1:9" x14ac:dyDescent="0.2">
      <c r="A5664" t="s">
        <v>1138</v>
      </c>
      <c r="B5664" t="s">
        <v>1185</v>
      </c>
      <c r="C5664" t="str">
        <f t="shared" si="273"/>
        <v>34765050000000</v>
      </c>
      <c r="D5664" t="s">
        <v>249</v>
      </c>
      <c r="E5664" t="str">
        <f>"34765056033633"</f>
        <v>34765056033633</v>
      </c>
      <c r="F5664" s="8">
        <v>765</v>
      </c>
      <c r="G5664" s="8">
        <v>6959</v>
      </c>
      <c r="H5664" s="8">
        <v>2269</v>
      </c>
      <c r="I5664" s="8">
        <v>3526</v>
      </c>
    </row>
    <row r="5665" spans="1:9" x14ac:dyDescent="0.2">
      <c r="A5665" t="s">
        <v>1138</v>
      </c>
      <c r="B5665" t="s">
        <v>1185</v>
      </c>
      <c r="C5665" t="str">
        <f t="shared" si="273"/>
        <v>34765050000000</v>
      </c>
      <c r="D5665" t="s">
        <v>2344</v>
      </c>
      <c r="E5665" t="str">
        <f>"34765056033542"</f>
        <v>34765056033542</v>
      </c>
      <c r="F5665" s="8">
        <v>914</v>
      </c>
      <c r="G5665" s="8">
        <v>6677</v>
      </c>
      <c r="H5665" s="8">
        <v>2292</v>
      </c>
      <c r="I5665" s="8">
        <v>3355</v>
      </c>
    </row>
    <row r="5666" spans="1:9" x14ac:dyDescent="0.2">
      <c r="A5666" t="s">
        <v>1138</v>
      </c>
      <c r="B5666" t="s">
        <v>1185</v>
      </c>
      <c r="C5666" t="str">
        <f t="shared" si="273"/>
        <v>34765050000000</v>
      </c>
      <c r="D5666" t="s">
        <v>6991</v>
      </c>
      <c r="E5666" t="str">
        <f>"34765050106450"</f>
        <v>34765050106450</v>
      </c>
      <c r="F5666" s="8">
        <v>873</v>
      </c>
      <c r="G5666" s="8">
        <v>6374</v>
      </c>
      <c r="H5666" s="8">
        <v>2243</v>
      </c>
      <c r="I5666" s="8">
        <v>3637</v>
      </c>
    </row>
    <row r="5667" spans="1:9" x14ac:dyDescent="0.2">
      <c r="A5667" t="s">
        <v>1138</v>
      </c>
      <c r="B5667" t="s">
        <v>1185</v>
      </c>
      <c r="C5667" t="str">
        <f t="shared" si="273"/>
        <v>34765050000000</v>
      </c>
      <c r="D5667" t="s">
        <v>6992</v>
      </c>
      <c r="E5667" t="str">
        <f>"34765056105985"</f>
        <v>34765056105985</v>
      </c>
      <c r="F5667" s="8">
        <v>662</v>
      </c>
      <c r="G5667" s="8">
        <v>6951</v>
      </c>
      <c r="H5667" s="8">
        <v>2182</v>
      </c>
      <c r="I5667" s="8">
        <v>3302</v>
      </c>
    </row>
    <row r="5668" spans="1:9" x14ac:dyDescent="0.2">
      <c r="A5668" t="s">
        <v>1138</v>
      </c>
      <c r="B5668" t="s">
        <v>1185</v>
      </c>
      <c r="C5668" t="str">
        <f t="shared" si="273"/>
        <v>34765050000000</v>
      </c>
      <c r="D5668" t="s">
        <v>6993</v>
      </c>
      <c r="E5668" t="str">
        <f>"34765056033559"</f>
        <v>34765056033559</v>
      </c>
      <c r="F5668" s="8">
        <v>945</v>
      </c>
      <c r="G5668" s="8">
        <v>6084</v>
      </c>
      <c r="H5668" s="8">
        <v>2262</v>
      </c>
      <c r="I5668" s="8">
        <v>3763</v>
      </c>
    </row>
    <row r="5669" spans="1:9" x14ac:dyDescent="0.2">
      <c r="A5669" t="s">
        <v>1138</v>
      </c>
      <c r="B5669" t="s">
        <v>1185</v>
      </c>
      <c r="C5669" t="str">
        <f t="shared" si="273"/>
        <v>34765050000000</v>
      </c>
      <c r="D5669" t="s">
        <v>6994</v>
      </c>
      <c r="E5669" t="str">
        <f>"34765056033419"</f>
        <v>34765056033419</v>
      </c>
      <c r="F5669" s="8">
        <v>1060</v>
      </c>
      <c r="G5669" s="8">
        <v>5734</v>
      </c>
      <c r="H5669" s="8">
        <v>2298</v>
      </c>
      <c r="I5669" s="8">
        <v>3515</v>
      </c>
    </row>
    <row r="5670" spans="1:9" x14ac:dyDescent="0.2">
      <c r="A5670" t="s">
        <v>1138</v>
      </c>
      <c r="B5670" t="s">
        <v>1185</v>
      </c>
      <c r="C5670" t="str">
        <f t="shared" si="273"/>
        <v>34765050000000</v>
      </c>
      <c r="D5670" t="s">
        <v>6995</v>
      </c>
      <c r="E5670" t="str">
        <f>"34765056033526"</f>
        <v>34765056033526</v>
      </c>
      <c r="F5670" s="8">
        <v>727</v>
      </c>
      <c r="G5670" s="8">
        <v>5997</v>
      </c>
      <c r="H5670" s="8">
        <v>2312</v>
      </c>
      <c r="I5670" s="8">
        <v>3421</v>
      </c>
    </row>
    <row r="5671" spans="1:9" x14ac:dyDescent="0.2">
      <c r="A5671" t="s">
        <v>1188</v>
      </c>
      <c r="B5671" t="s">
        <v>1189</v>
      </c>
      <c r="C5671" t="str">
        <f>"35752590000000"</f>
        <v>35752590000000</v>
      </c>
      <c r="D5671" t="s">
        <v>6996</v>
      </c>
      <c r="E5671" t="str">
        <f>"35752596035117"</f>
        <v>35752596035117</v>
      </c>
      <c r="F5671" s="8">
        <v>347</v>
      </c>
      <c r="G5671" s="8">
        <v>8954</v>
      </c>
      <c r="H5671" s="8">
        <v>1339</v>
      </c>
      <c r="I5671" s="8">
        <v>5200</v>
      </c>
    </row>
    <row r="5672" spans="1:9" x14ac:dyDescent="0.2">
      <c r="A5672" t="s">
        <v>1188</v>
      </c>
      <c r="B5672" t="s">
        <v>1189</v>
      </c>
      <c r="C5672" t="str">
        <f>"35752590000000"</f>
        <v>35752590000000</v>
      </c>
      <c r="D5672" t="s">
        <v>6997</v>
      </c>
      <c r="E5672" t="str">
        <f>"35752596049654"</f>
        <v>35752596049654</v>
      </c>
      <c r="F5672" s="8">
        <v>275</v>
      </c>
      <c r="G5672" s="8">
        <v>7116</v>
      </c>
      <c r="H5672" s="8">
        <v>1339</v>
      </c>
      <c r="I5672" s="8">
        <v>5200</v>
      </c>
    </row>
    <row r="5673" spans="1:9" x14ac:dyDescent="0.2">
      <c r="A5673" t="s">
        <v>1188</v>
      </c>
      <c r="B5673" t="s">
        <v>1189</v>
      </c>
      <c r="C5673" t="str">
        <f>"35752590000000"</f>
        <v>35752590000000</v>
      </c>
      <c r="D5673" t="s">
        <v>6998</v>
      </c>
      <c r="E5673" t="str">
        <f>"35752593530060"</f>
        <v>35752593530060</v>
      </c>
      <c r="F5673" s="8">
        <v>577</v>
      </c>
      <c r="G5673" s="8">
        <v>6648</v>
      </c>
      <c r="H5673" s="8">
        <v>1339</v>
      </c>
      <c r="I5673" s="8">
        <v>5200</v>
      </c>
    </row>
    <row r="5674" spans="1:9" x14ac:dyDescent="0.2">
      <c r="A5674" t="s">
        <v>1188</v>
      </c>
      <c r="B5674" t="s">
        <v>1190</v>
      </c>
      <c r="C5674" t="str">
        <f>"35674540000000"</f>
        <v>35674540000000</v>
      </c>
      <c r="D5674" t="s">
        <v>1190</v>
      </c>
      <c r="E5674" t="str">
        <f>"35674546035000"</f>
        <v>35674546035000</v>
      </c>
      <c r="F5674" s="8">
        <v>1056</v>
      </c>
      <c r="G5674" s="8">
        <v>7561</v>
      </c>
      <c r="H5674" s="8">
        <v>7</v>
      </c>
      <c r="I5674" s="8">
        <v>1872</v>
      </c>
    </row>
    <row r="5675" spans="1:9" x14ac:dyDescent="0.2">
      <c r="A5675" t="s">
        <v>1188</v>
      </c>
      <c r="B5675" t="s">
        <v>1191</v>
      </c>
      <c r="C5675" t="str">
        <f>"35674620000000"</f>
        <v>35674620000000</v>
      </c>
      <c r="D5675" t="s">
        <v>4367</v>
      </c>
      <c r="E5675" t="str">
        <f>"35674626035018"</f>
        <v>35674626035018</v>
      </c>
      <c r="F5675" s="8">
        <v>1301</v>
      </c>
      <c r="G5675" s="8">
        <v>9608</v>
      </c>
      <c r="H5675" s="8">
        <v>2203</v>
      </c>
      <c r="I5675" s="8">
        <v>155</v>
      </c>
    </row>
    <row r="5676" spans="1:9" x14ac:dyDescent="0.2">
      <c r="A5676" t="s">
        <v>1188</v>
      </c>
      <c r="B5676" t="s">
        <v>1192</v>
      </c>
      <c r="C5676" t="str">
        <f t="shared" ref="C5676:C5685" si="274">"35674700000000"</f>
        <v>35674700000000</v>
      </c>
      <c r="D5676" t="s">
        <v>6999</v>
      </c>
      <c r="E5676" t="str">
        <f>"35674706035034"</f>
        <v>35674706035034</v>
      </c>
      <c r="F5676" s="8">
        <v>702</v>
      </c>
      <c r="G5676" s="8">
        <v>8320</v>
      </c>
      <c r="H5676" s="8">
        <v>1485</v>
      </c>
      <c r="I5676" s="8">
        <v>2204</v>
      </c>
    </row>
    <row r="5677" spans="1:9" x14ac:dyDescent="0.2">
      <c r="A5677" t="s">
        <v>1188</v>
      </c>
      <c r="B5677" t="s">
        <v>1192</v>
      </c>
      <c r="C5677" t="str">
        <f t="shared" si="274"/>
        <v>35674700000000</v>
      </c>
      <c r="D5677" t="s">
        <v>7000</v>
      </c>
      <c r="E5677" t="str">
        <f>"35674706114557"</f>
        <v>35674706114557</v>
      </c>
      <c r="F5677" s="8">
        <v>377</v>
      </c>
      <c r="G5677" s="8">
        <v>6464</v>
      </c>
      <c r="H5677" s="8">
        <v>1718</v>
      </c>
      <c r="I5677" s="8">
        <v>2204</v>
      </c>
    </row>
    <row r="5678" spans="1:9" x14ac:dyDescent="0.2">
      <c r="A5678" t="s">
        <v>1188</v>
      </c>
      <c r="B5678" t="s">
        <v>1192</v>
      </c>
      <c r="C5678" t="str">
        <f t="shared" si="274"/>
        <v>35674700000000</v>
      </c>
      <c r="D5678" t="s">
        <v>7001</v>
      </c>
      <c r="E5678" t="str">
        <f>"35674706112320"</f>
        <v>35674706112320</v>
      </c>
      <c r="F5678" s="8">
        <v>223</v>
      </c>
      <c r="G5678" s="8">
        <v>6837</v>
      </c>
      <c r="H5678" s="8">
        <v>1449</v>
      </c>
      <c r="I5678" s="8">
        <v>2204</v>
      </c>
    </row>
    <row r="5679" spans="1:9" x14ac:dyDescent="0.2">
      <c r="A5679" t="s">
        <v>1188</v>
      </c>
      <c r="B5679" t="s">
        <v>1192</v>
      </c>
      <c r="C5679" t="str">
        <f t="shared" si="274"/>
        <v>35674700000000</v>
      </c>
      <c r="D5679" t="s">
        <v>7002</v>
      </c>
      <c r="E5679" t="str">
        <f>"35674706107338"</f>
        <v>35674706107338</v>
      </c>
      <c r="F5679" s="8">
        <v>255</v>
      </c>
      <c r="G5679" s="8">
        <v>6620</v>
      </c>
      <c r="H5679" s="8">
        <v>1392</v>
      </c>
      <c r="I5679" s="8">
        <v>2204</v>
      </c>
    </row>
    <row r="5680" spans="1:9" x14ac:dyDescent="0.2">
      <c r="A5680" t="s">
        <v>1188</v>
      </c>
      <c r="B5680" t="s">
        <v>1192</v>
      </c>
      <c r="C5680" t="str">
        <f t="shared" si="274"/>
        <v>35674700000000</v>
      </c>
      <c r="D5680" t="s">
        <v>7003</v>
      </c>
      <c r="E5680" t="str">
        <f>"35674706104509"</f>
        <v>35674706104509</v>
      </c>
      <c r="F5680" s="8">
        <v>214</v>
      </c>
      <c r="G5680" s="8">
        <v>6622</v>
      </c>
      <c r="H5680" s="8">
        <v>1402</v>
      </c>
      <c r="I5680" s="8">
        <v>2204</v>
      </c>
    </row>
    <row r="5681" spans="1:9" x14ac:dyDescent="0.2">
      <c r="A5681" t="s">
        <v>1188</v>
      </c>
      <c r="B5681" t="s">
        <v>1192</v>
      </c>
      <c r="C5681" t="str">
        <f t="shared" si="274"/>
        <v>35674700000000</v>
      </c>
      <c r="D5681" t="s">
        <v>7004</v>
      </c>
      <c r="E5681" t="str">
        <f>"35674706071088"</f>
        <v>35674706071088</v>
      </c>
      <c r="F5681" s="8">
        <v>179</v>
      </c>
      <c r="G5681" s="8">
        <v>6442</v>
      </c>
      <c r="H5681" s="8">
        <v>1428</v>
      </c>
      <c r="I5681" s="8">
        <v>2204</v>
      </c>
    </row>
    <row r="5682" spans="1:9" x14ac:dyDescent="0.2">
      <c r="A5682" t="s">
        <v>1188</v>
      </c>
      <c r="B5682" t="s">
        <v>1192</v>
      </c>
      <c r="C5682" t="str">
        <f t="shared" si="274"/>
        <v>35674700000000</v>
      </c>
      <c r="D5682" t="s">
        <v>7005</v>
      </c>
      <c r="E5682" t="str">
        <f>"35674706035026"</f>
        <v>35674706035026</v>
      </c>
      <c r="F5682" s="8">
        <v>199</v>
      </c>
      <c r="G5682" s="8">
        <v>6445</v>
      </c>
      <c r="H5682" s="8">
        <v>1338</v>
      </c>
      <c r="I5682" s="8">
        <v>2204</v>
      </c>
    </row>
    <row r="5683" spans="1:9" x14ac:dyDescent="0.2">
      <c r="A5683" t="s">
        <v>1188</v>
      </c>
      <c r="B5683" t="s">
        <v>1192</v>
      </c>
      <c r="C5683" t="str">
        <f t="shared" si="274"/>
        <v>35674700000000</v>
      </c>
      <c r="D5683" t="s">
        <v>6457</v>
      </c>
      <c r="E5683" t="str">
        <f>"35674706035042"</f>
        <v>35674706035042</v>
      </c>
      <c r="F5683" s="8">
        <v>254</v>
      </c>
      <c r="G5683" s="8">
        <v>6218</v>
      </c>
      <c r="H5683" s="8">
        <v>1383</v>
      </c>
      <c r="I5683" s="8">
        <v>2204</v>
      </c>
    </row>
    <row r="5684" spans="1:9" x14ac:dyDescent="0.2">
      <c r="A5684" t="s">
        <v>1188</v>
      </c>
      <c r="B5684" t="s">
        <v>1192</v>
      </c>
      <c r="C5684" t="str">
        <f t="shared" si="274"/>
        <v>35674700000000</v>
      </c>
      <c r="D5684" t="s">
        <v>7006</v>
      </c>
      <c r="E5684" t="str">
        <f>"35674700115428"</f>
        <v>35674700115428</v>
      </c>
      <c r="F5684" s="8">
        <v>228</v>
      </c>
      <c r="G5684" s="8">
        <v>5957</v>
      </c>
      <c r="H5684" s="8">
        <v>1257</v>
      </c>
      <c r="I5684" s="8">
        <v>2204</v>
      </c>
    </row>
    <row r="5685" spans="1:9" x14ac:dyDescent="0.2">
      <c r="A5685" t="s">
        <v>1188</v>
      </c>
      <c r="B5685" t="s">
        <v>1192</v>
      </c>
      <c r="C5685" t="str">
        <f t="shared" si="274"/>
        <v>35674700000000</v>
      </c>
      <c r="D5685" t="s">
        <v>882</v>
      </c>
      <c r="E5685" t="str">
        <f>"35674700121400"</f>
        <v>35674700121400</v>
      </c>
      <c r="F5685" s="8">
        <v>2</v>
      </c>
      <c r="G5685" s="8">
        <v>4789</v>
      </c>
      <c r="H5685" s="8">
        <v>1254</v>
      </c>
      <c r="I5685" s="8">
        <v>2204</v>
      </c>
    </row>
    <row r="5686" spans="1:9" x14ac:dyDescent="0.2">
      <c r="A5686" t="s">
        <v>1188</v>
      </c>
      <c r="B5686" t="s">
        <v>1194</v>
      </c>
      <c r="C5686" t="str">
        <f>"35674880000000"</f>
        <v>35674880000000</v>
      </c>
      <c r="D5686" t="s">
        <v>1194</v>
      </c>
      <c r="E5686" t="str">
        <f>"35674886035059"</f>
        <v>35674886035059</v>
      </c>
      <c r="F5686" s="8">
        <v>4280</v>
      </c>
      <c r="G5686" s="8">
        <v>25424</v>
      </c>
      <c r="H5686" s="8">
        <v>158</v>
      </c>
      <c r="I5686" s="8">
        <v>9097</v>
      </c>
    </row>
    <row r="5687" spans="1:9" x14ac:dyDescent="0.2">
      <c r="A5687" t="s">
        <v>1188</v>
      </c>
      <c r="B5687" t="s">
        <v>1195</v>
      </c>
      <c r="C5687" t="str">
        <f>"35675040000000"</f>
        <v>35675040000000</v>
      </c>
      <c r="D5687" t="s">
        <v>7007</v>
      </c>
      <c r="E5687" t="str">
        <f>"35675046095202"</f>
        <v>35675046095202</v>
      </c>
      <c r="F5687" s="8">
        <v>1217</v>
      </c>
      <c r="G5687" s="8">
        <v>8481</v>
      </c>
      <c r="H5687" s="8">
        <v>0</v>
      </c>
      <c r="I5687" s="8">
        <v>0</v>
      </c>
    </row>
    <row r="5688" spans="1:9" x14ac:dyDescent="0.2">
      <c r="A5688" t="s">
        <v>1188</v>
      </c>
      <c r="B5688" t="s">
        <v>1196</v>
      </c>
      <c r="C5688" t="str">
        <f>"35675200000000"</f>
        <v>35675200000000</v>
      </c>
      <c r="D5688" t="s">
        <v>1196</v>
      </c>
      <c r="E5688" t="str">
        <f>"35675206035109"</f>
        <v>35675206035109</v>
      </c>
      <c r="F5688" s="8">
        <v>15400</v>
      </c>
      <c r="G5688" s="8">
        <v>2148</v>
      </c>
      <c r="H5688" s="8">
        <v>51</v>
      </c>
      <c r="I5688" s="8">
        <v>7152</v>
      </c>
    </row>
    <row r="5689" spans="1:9" x14ac:dyDescent="0.2">
      <c r="A5689" t="s">
        <v>1188</v>
      </c>
      <c r="B5689" t="s">
        <v>1197</v>
      </c>
      <c r="C5689" t="str">
        <f>"35103550000000"</f>
        <v>35103550000000</v>
      </c>
      <c r="D5689" t="s">
        <v>7008</v>
      </c>
      <c r="E5689" t="str">
        <f>"35103550132308"</f>
        <v>35103550132308</v>
      </c>
      <c r="F5689" s="8">
        <v>40952</v>
      </c>
      <c r="G5689" s="8">
        <v>50078</v>
      </c>
      <c r="H5689" s="8">
        <v>31080</v>
      </c>
      <c r="I5689" s="8">
        <v>129577</v>
      </c>
    </row>
    <row r="5690" spans="1:9" x14ac:dyDescent="0.2">
      <c r="A5690" t="s">
        <v>1188</v>
      </c>
      <c r="B5690" t="s">
        <v>1197</v>
      </c>
      <c r="C5690" t="str">
        <f>"35103550000000"</f>
        <v>35103550000000</v>
      </c>
      <c r="D5690" t="s">
        <v>7009</v>
      </c>
      <c r="E5690" t="str">
        <f>"35103553530045"</f>
        <v>35103553530045</v>
      </c>
      <c r="F5690" s="8">
        <v>6342</v>
      </c>
      <c r="G5690" s="8">
        <v>55026</v>
      </c>
      <c r="H5690" s="8">
        <v>31080</v>
      </c>
      <c r="I5690" s="8">
        <v>129577</v>
      </c>
    </row>
    <row r="5691" spans="1:9" x14ac:dyDescent="0.2">
      <c r="A5691" t="s">
        <v>1188</v>
      </c>
      <c r="B5691" t="s">
        <v>1197</v>
      </c>
      <c r="C5691" t="str">
        <f>"35103550000000"</f>
        <v>35103550000000</v>
      </c>
      <c r="D5691" t="s">
        <v>7010</v>
      </c>
      <c r="E5691" t="str">
        <f>"35103553530037"</f>
        <v>35103553530037</v>
      </c>
      <c r="F5691" s="8">
        <v>4428</v>
      </c>
      <c r="G5691" s="8">
        <v>30614</v>
      </c>
      <c r="H5691" s="8">
        <v>6216</v>
      </c>
      <c r="I5691" s="8">
        <v>25915</v>
      </c>
    </row>
    <row r="5692" spans="1:9" x14ac:dyDescent="0.2">
      <c r="A5692" t="s">
        <v>1188</v>
      </c>
      <c r="B5692" t="s">
        <v>1198</v>
      </c>
      <c r="C5692" t="str">
        <f>"35675380000000"</f>
        <v>35675380000000</v>
      </c>
      <c r="D5692" t="s">
        <v>7011</v>
      </c>
      <c r="E5692" t="str">
        <f>"35675383530029"</f>
        <v>35675383530029</v>
      </c>
      <c r="F5692" s="8">
        <v>887</v>
      </c>
      <c r="G5692" s="8">
        <v>10168</v>
      </c>
      <c r="H5692" s="8">
        <v>0</v>
      </c>
      <c r="I5692" s="8">
        <v>0</v>
      </c>
    </row>
    <row r="5693" spans="1:9" x14ac:dyDescent="0.2">
      <c r="A5693" t="s">
        <v>1188</v>
      </c>
      <c r="B5693" t="s">
        <v>1198</v>
      </c>
      <c r="C5693" t="str">
        <f>"35675380000000"</f>
        <v>35675380000000</v>
      </c>
      <c r="D5693" t="s">
        <v>1198</v>
      </c>
      <c r="E5693" t="str">
        <f>"35675383537008"</f>
        <v>35675383537008</v>
      </c>
      <c r="F5693" s="8">
        <v>887</v>
      </c>
      <c r="G5693" s="8">
        <v>10168</v>
      </c>
      <c r="H5693" s="8">
        <v>0</v>
      </c>
      <c r="I5693" s="8">
        <v>0</v>
      </c>
    </row>
    <row r="5694" spans="1:9" x14ac:dyDescent="0.2">
      <c r="A5694" t="s">
        <v>1188</v>
      </c>
      <c r="B5694" t="s">
        <v>1199</v>
      </c>
      <c r="C5694" t="str">
        <f>"35675530000000"</f>
        <v>35675530000000</v>
      </c>
      <c r="D5694" t="s">
        <v>1199</v>
      </c>
      <c r="E5694" t="str">
        <f>"35675536035133"</f>
        <v>35675536035133</v>
      </c>
      <c r="F5694" s="8">
        <v>1225</v>
      </c>
      <c r="G5694" s="8">
        <v>7330</v>
      </c>
      <c r="H5694" s="8">
        <v>0</v>
      </c>
      <c r="I5694" s="8">
        <v>1268</v>
      </c>
    </row>
    <row r="5695" spans="1:9" x14ac:dyDescent="0.2">
      <c r="A5695" t="s">
        <v>1188</v>
      </c>
      <c r="B5695" t="s">
        <v>1200</v>
      </c>
      <c r="C5695" t="str">
        <f>"35675610000000"</f>
        <v>35675610000000</v>
      </c>
      <c r="D5695" t="s">
        <v>7012</v>
      </c>
      <c r="E5695" t="str">
        <f>"35675616035141"</f>
        <v>35675616035141</v>
      </c>
      <c r="F5695" s="8">
        <v>1497</v>
      </c>
      <c r="G5695" s="8">
        <v>12188</v>
      </c>
      <c r="H5695" s="8">
        <v>0</v>
      </c>
      <c r="I5695" s="8">
        <v>1687</v>
      </c>
    </row>
    <row r="5696" spans="1:9" x14ac:dyDescent="0.2">
      <c r="A5696" t="s">
        <v>1188</v>
      </c>
      <c r="B5696" t="s">
        <v>1201</v>
      </c>
      <c r="C5696" t="str">
        <f>"35675790000000"</f>
        <v>35675790000000</v>
      </c>
      <c r="D5696" t="s">
        <v>7013</v>
      </c>
      <c r="E5696" t="str">
        <f>"35675796035158"</f>
        <v>35675796035158</v>
      </c>
      <c r="F5696" s="8">
        <v>2737</v>
      </c>
      <c r="G5696" s="8">
        <v>23942</v>
      </c>
      <c r="H5696" s="8">
        <v>255</v>
      </c>
      <c r="I5696" s="8">
        <v>9091</v>
      </c>
    </row>
    <row r="5697" spans="1:9" x14ac:dyDescent="0.2">
      <c r="A5697" t="s">
        <v>1202</v>
      </c>
      <c r="B5697" t="s">
        <v>1204</v>
      </c>
      <c r="C5697" t="str">
        <f t="shared" ref="C5697:C5711" si="275">"36675870000000"</f>
        <v>36675870000000</v>
      </c>
      <c r="D5697" t="s">
        <v>1204</v>
      </c>
      <c r="E5697" t="str">
        <f>"36675876035174"</f>
        <v>36675876035174</v>
      </c>
      <c r="F5697" s="8">
        <v>1405</v>
      </c>
      <c r="G5697" s="8">
        <v>14692</v>
      </c>
      <c r="H5697" s="8">
        <v>1792</v>
      </c>
      <c r="I5697" s="8">
        <v>1642</v>
      </c>
    </row>
    <row r="5698" spans="1:9" x14ac:dyDescent="0.2">
      <c r="A5698" t="s">
        <v>1202</v>
      </c>
      <c r="B5698" t="s">
        <v>1204</v>
      </c>
      <c r="C5698" t="str">
        <f t="shared" si="275"/>
        <v>36675870000000</v>
      </c>
      <c r="D5698" t="s">
        <v>7014</v>
      </c>
      <c r="E5698" t="str">
        <f>"36675870112086"</f>
        <v>36675870112086</v>
      </c>
      <c r="F5698" s="8">
        <v>1461</v>
      </c>
      <c r="G5698" s="8">
        <v>12288</v>
      </c>
      <c r="H5698" s="8">
        <v>1792</v>
      </c>
      <c r="I5698" s="8">
        <v>1642</v>
      </c>
    </row>
    <row r="5699" spans="1:9" x14ac:dyDescent="0.2">
      <c r="A5699" t="s">
        <v>1202</v>
      </c>
      <c r="B5699" t="s">
        <v>1204</v>
      </c>
      <c r="C5699" t="str">
        <f t="shared" si="275"/>
        <v>36675870000000</v>
      </c>
      <c r="D5699" t="s">
        <v>7015</v>
      </c>
      <c r="E5699" t="str">
        <f>"36675876109409"</f>
        <v>36675876109409</v>
      </c>
      <c r="F5699" s="8">
        <v>1142</v>
      </c>
      <c r="G5699" s="8">
        <v>12433</v>
      </c>
      <c r="H5699" s="8">
        <v>1792</v>
      </c>
      <c r="I5699" s="8">
        <v>1642</v>
      </c>
    </row>
    <row r="5700" spans="1:9" x14ac:dyDescent="0.2">
      <c r="A5700" t="s">
        <v>1202</v>
      </c>
      <c r="B5700" t="s">
        <v>1204</v>
      </c>
      <c r="C5700" t="str">
        <f t="shared" si="275"/>
        <v>36675870000000</v>
      </c>
      <c r="D5700" t="s">
        <v>7016</v>
      </c>
      <c r="E5700" t="str">
        <f>"36675870138529"</f>
        <v>36675870138529</v>
      </c>
      <c r="F5700" s="8">
        <v>606</v>
      </c>
      <c r="G5700" s="8">
        <v>12242</v>
      </c>
      <c r="H5700" s="8">
        <v>1792</v>
      </c>
      <c r="I5700" s="8">
        <v>1642</v>
      </c>
    </row>
    <row r="5701" spans="1:9" x14ac:dyDescent="0.2">
      <c r="A5701" t="s">
        <v>1202</v>
      </c>
      <c r="B5701" t="s">
        <v>1204</v>
      </c>
      <c r="C5701" t="str">
        <f t="shared" si="275"/>
        <v>36675870000000</v>
      </c>
      <c r="D5701" t="s">
        <v>7017</v>
      </c>
      <c r="E5701" t="str">
        <f>"36675876116370"</f>
        <v>36675876116370</v>
      </c>
      <c r="F5701" s="8">
        <v>945</v>
      </c>
      <c r="G5701" s="8">
        <v>11114</v>
      </c>
      <c r="H5701" s="8">
        <v>1792</v>
      </c>
      <c r="I5701" s="8">
        <v>1642</v>
      </c>
    </row>
    <row r="5702" spans="1:9" x14ac:dyDescent="0.2">
      <c r="A5702" t="s">
        <v>1202</v>
      </c>
      <c r="B5702" t="s">
        <v>1204</v>
      </c>
      <c r="C5702" t="str">
        <f t="shared" si="275"/>
        <v>36675870000000</v>
      </c>
      <c r="D5702" t="s">
        <v>7018</v>
      </c>
      <c r="E5702" t="str">
        <f>"36675870109470"</f>
        <v>36675870109470</v>
      </c>
      <c r="F5702" s="8">
        <v>1215</v>
      </c>
      <c r="G5702" s="8">
        <v>10710</v>
      </c>
      <c r="H5702" s="8">
        <v>1792</v>
      </c>
      <c r="I5702" s="8">
        <v>1642</v>
      </c>
    </row>
    <row r="5703" spans="1:9" x14ac:dyDescent="0.2">
      <c r="A5703" t="s">
        <v>1202</v>
      </c>
      <c r="B5703" t="s">
        <v>1204</v>
      </c>
      <c r="C5703" t="str">
        <f t="shared" si="275"/>
        <v>36675870000000</v>
      </c>
      <c r="D5703" t="s">
        <v>7019</v>
      </c>
      <c r="E5703" t="str">
        <f>"36675876115117"</f>
        <v>36675876115117</v>
      </c>
      <c r="F5703" s="8">
        <v>797</v>
      </c>
      <c r="G5703" s="8">
        <v>11091</v>
      </c>
      <c r="H5703" s="8">
        <v>1792</v>
      </c>
      <c r="I5703" s="8">
        <v>1642</v>
      </c>
    </row>
    <row r="5704" spans="1:9" x14ac:dyDescent="0.2">
      <c r="A5704" t="s">
        <v>1202</v>
      </c>
      <c r="B5704" t="s">
        <v>1204</v>
      </c>
      <c r="C5704" t="str">
        <f t="shared" si="275"/>
        <v>36675870000000</v>
      </c>
      <c r="D5704" t="s">
        <v>7020</v>
      </c>
      <c r="E5704" t="str">
        <f>"36675870107425"</f>
        <v>36675870107425</v>
      </c>
      <c r="F5704" s="8">
        <v>817</v>
      </c>
      <c r="G5704" s="8">
        <v>11038</v>
      </c>
      <c r="H5704" s="8">
        <v>1792</v>
      </c>
      <c r="I5704" s="8">
        <v>1642</v>
      </c>
    </row>
    <row r="5705" spans="1:9" x14ac:dyDescent="0.2">
      <c r="A5705" t="s">
        <v>1202</v>
      </c>
      <c r="B5705" t="s">
        <v>1204</v>
      </c>
      <c r="C5705" t="str">
        <f t="shared" si="275"/>
        <v>36675870000000</v>
      </c>
      <c r="D5705" t="s">
        <v>7021</v>
      </c>
      <c r="E5705" t="str">
        <f>"36675870131441"</f>
        <v>36675870131441</v>
      </c>
      <c r="F5705" s="8">
        <v>928</v>
      </c>
      <c r="G5705" s="8">
        <v>10920</v>
      </c>
      <c r="H5705" s="8">
        <v>1792</v>
      </c>
      <c r="I5705" s="8">
        <v>1642</v>
      </c>
    </row>
    <row r="5706" spans="1:9" x14ac:dyDescent="0.2">
      <c r="A5706" t="s">
        <v>1202</v>
      </c>
      <c r="B5706" t="s">
        <v>1204</v>
      </c>
      <c r="C5706" t="str">
        <f t="shared" si="275"/>
        <v>36675870000000</v>
      </c>
      <c r="D5706" t="s">
        <v>7022</v>
      </c>
      <c r="E5706" t="str">
        <f>"36675876120604"</f>
        <v>36675876120604</v>
      </c>
      <c r="F5706" s="8">
        <v>860</v>
      </c>
      <c r="G5706" s="8">
        <v>10916</v>
      </c>
      <c r="H5706" s="8">
        <v>1792</v>
      </c>
      <c r="I5706" s="8">
        <v>1642</v>
      </c>
    </row>
    <row r="5707" spans="1:9" x14ac:dyDescent="0.2">
      <c r="A5707" t="s">
        <v>1202</v>
      </c>
      <c r="B5707" t="s">
        <v>1204</v>
      </c>
      <c r="C5707" t="str">
        <f t="shared" si="275"/>
        <v>36675870000000</v>
      </c>
      <c r="D5707" t="s">
        <v>7023</v>
      </c>
      <c r="E5707" t="str">
        <f>"36675876106694"</f>
        <v>36675876106694</v>
      </c>
      <c r="F5707" s="8">
        <v>792</v>
      </c>
      <c r="G5707" s="8">
        <v>10928</v>
      </c>
      <c r="H5707" s="8">
        <v>1792</v>
      </c>
      <c r="I5707" s="8">
        <v>1642</v>
      </c>
    </row>
    <row r="5708" spans="1:9" x14ac:dyDescent="0.2">
      <c r="A5708" t="s">
        <v>1202</v>
      </c>
      <c r="B5708" t="s">
        <v>1204</v>
      </c>
      <c r="C5708" t="str">
        <f t="shared" si="275"/>
        <v>36675870000000</v>
      </c>
      <c r="D5708" t="s">
        <v>7024</v>
      </c>
      <c r="E5708" t="str">
        <f>"36675870107433"</f>
        <v>36675870107433</v>
      </c>
      <c r="F5708" s="8">
        <v>882</v>
      </c>
      <c r="G5708" s="8">
        <v>10454</v>
      </c>
      <c r="H5708" s="8">
        <v>1792</v>
      </c>
      <c r="I5708" s="8">
        <v>1642</v>
      </c>
    </row>
    <row r="5709" spans="1:9" x14ac:dyDescent="0.2">
      <c r="A5709" t="s">
        <v>1202</v>
      </c>
      <c r="B5709" t="s">
        <v>1204</v>
      </c>
      <c r="C5709" t="str">
        <f t="shared" si="275"/>
        <v>36675870000000</v>
      </c>
      <c r="D5709" t="s">
        <v>7025</v>
      </c>
      <c r="E5709" t="str">
        <f>"36675870125898"</f>
        <v>36675870125898</v>
      </c>
      <c r="F5709" s="8">
        <v>941</v>
      </c>
      <c r="G5709" s="8">
        <v>10328</v>
      </c>
      <c r="H5709" s="8">
        <v>1792</v>
      </c>
      <c r="I5709" s="8">
        <v>1642</v>
      </c>
    </row>
    <row r="5710" spans="1:9" x14ac:dyDescent="0.2">
      <c r="A5710" t="s">
        <v>1202</v>
      </c>
      <c r="B5710" t="s">
        <v>1204</v>
      </c>
      <c r="C5710" t="str">
        <f t="shared" si="275"/>
        <v>36675870000000</v>
      </c>
      <c r="D5710" t="s">
        <v>7026</v>
      </c>
      <c r="E5710" t="str">
        <f>"36675870125880"</f>
        <v>36675870125880</v>
      </c>
      <c r="F5710" s="8">
        <v>834</v>
      </c>
      <c r="G5710" s="8">
        <v>10390</v>
      </c>
      <c r="H5710" s="8">
        <v>1792</v>
      </c>
      <c r="I5710" s="8">
        <v>1642</v>
      </c>
    </row>
    <row r="5711" spans="1:9" x14ac:dyDescent="0.2">
      <c r="A5711" t="s">
        <v>1202</v>
      </c>
      <c r="B5711" t="s">
        <v>1204</v>
      </c>
      <c r="C5711" t="str">
        <f t="shared" si="275"/>
        <v>36675870000000</v>
      </c>
      <c r="D5711" t="s">
        <v>7027</v>
      </c>
      <c r="E5711" t="str">
        <f>"36675870107441"</f>
        <v>36675870107441</v>
      </c>
      <c r="F5711" s="8">
        <v>627</v>
      </c>
      <c r="G5711" s="8">
        <v>9608</v>
      </c>
      <c r="H5711" s="8">
        <v>1792</v>
      </c>
      <c r="I5711" s="8">
        <v>1642</v>
      </c>
    </row>
    <row r="5712" spans="1:9" x14ac:dyDescent="0.2">
      <c r="A5712" t="s">
        <v>1202</v>
      </c>
      <c r="B5712" t="s">
        <v>1206</v>
      </c>
      <c r="C5712" t="str">
        <f t="shared" ref="C5712:C5721" si="276">"36675950000000"</f>
        <v>36675950000000</v>
      </c>
      <c r="D5712" t="s">
        <v>7028</v>
      </c>
      <c r="E5712" t="str">
        <f>"36675956094940"</f>
        <v>36675956094940</v>
      </c>
      <c r="F5712" s="8">
        <v>598</v>
      </c>
      <c r="G5712" s="8">
        <v>8663</v>
      </c>
      <c r="H5712" s="8">
        <v>1018</v>
      </c>
      <c r="I5712" s="8">
        <v>3284</v>
      </c>
    </row>
    <row r="5713" spans="1:9" x14ac:dyDescent="0.2">
      <c r="A5713" t="s">
        <v>1202</v>
      </c>
      <c r="B5713" t="s">
        <v>1206</v>
      </c>
      <c r="C5713" t="str">
        <f t="shared" si="276"/>
        <v>36675950000000</v>
      </c>
      <c r="D5713" t="s">
        <v>7029</v>
      </c>
      <c r="E5713" t="str">
        <f>"36675956035232"</f>
        <v>36675956035232</v>
      </c>
      <c r="F5713" s="8">
        <v>309</v>
      </c>
      <c r="G5713" s="8">
        <v>8200</v>
      </c>
      <c r="H5713" s="8">
        <v>1018</v>
      </c>
      <c r="I5713" s="8">
        <v>3284</v>
      </c>
    </row>
    <row r="5714" spans="1:9" x14ac:dyDescent="0.2">
      <c r="A5714" t="s">
        <v>1202</v>
      </c>
      <c r="B5714" t="s">
        <v>1206</v>
      </c>
      <c r="C5714" t="str">
        <f t="shared" si="276"/>
        <v>36675950000000</v>
      </c>
      <c r="D5714" t="s">
        <v>7030</v>
      </c>
      <c r="E5714" t="str">
        <f>"36675956114649"</f>
        <v>36675956114649</v>
      </c>
      <c r="F5714" s="8">
        <v>493</v>
      </c>
      <c r="G5714" s="8">
        <v>7653</v>
      </c>
      <c r="H5714" s="8">
        <v>1018</v>
      </c>
      <c r="I5714" s="8">
        <v>3284</v>
      </c>
    </row>
    <row r="5715" spans="1:9" x14ac:dyDescent="0.2">
      <c r="A5715" t="s">
        <v>1202</v>
      </c>
      <c r="B5715" t="s">
        <v>1206</v>
      </c>
      <c r="C5715" t="str">
        <f t="shared" si="276"/>
        <v>36675950000000</v>
      </c>
      <c r="D5715" t="s">
        <v>7031</v>
      </c>
      <c r="E5715" t="str">
        <f>"36675956101786"</f>
        <v>36675956101786</v>
      </c>
      <c r="F5715" s="8">
        <v>333</v>
      </c>
      <c r="G5715" s="8">
        <v>7448</v>
      </c>
      <c r="H5715" s="8">
        <v>1018</v>
      </c>
      <c r="I5715" s="8">
        <v>3284</v>
      </c>
    </row>
    <row r="5716" spans="1:9" x14ac:dyDescent="0.2">
      <c r="A5716" t="s">
        <v>1202</v>
      </c>
      <c r="B5716" t="s">
        <v>1206</v>
      </c>
      <c r="C5716" t="str">
        <f t="shared" si="276"/>
        <v>36675950000000</v>
      </c>
      <c r="D5716" t="s">
        <v>7032</v>
      </c>
      <c r="E5716" t="str">
        <f>"36675956035224"</f>
        <v>36675956035224</v>
      </c>
      <c r="F5716" s="8">
        <v>397</v>
      </c>
      <c r="G5716" s="8">
        <v>7210</v>
      </c>
      <c r="H5716" s="8">
        <v>1018</v>
      </c>
      <c r="I5716" s="8">
        <v>3284</v>
      </c>
    </row>
    <row r="5717" spans="1:9" x14ac:dyDescent="0.2">
      <c r="A5717" t="s">
        <v>1202</v>
      </c>
      <c r="B5717" t="s">
        <v>1206</v>
      </c>
      <c r="C5717" t="str">
        <f t="shared" si="276"/>
        <v>36675950000000</v>
      </c>
      <c r="D5717" t="s">
        <v>7033</v>
      </c>
      <c r="E5717" t="str">
        <f>"36675956104475"</f>
        <v>36675956104475</v>
      </c>
      <c r="F5717" s="8">
        <v>180</v>
      </c>
      <c r="G5717" s="8">
        <v>7138</v>
      </c>
      <c r="H5717" s="8">
        <v>1018</v>
      </c>
      <c r="I5717" s="8">
        <v>3284</v>
      </c>
    </row>
    <row r="5718" spans="1:9" x14ac:dyDescent="0.2">
      <c r="A5718" t="s">
        <v>1202</v>
      </c>
      <c r="B5718" t="s">
        <v>1206</v>
      </c>
      <c r="C5718" t="str">
        <f t="shared" si="276"/>
        <v>36675950000000</v>
      </c>
      <c r="D5718" t="s">
        <v>1206</v>
      </c>
      <c r="E5718" t="str">
        <f>"36675956035216"</f>
        <v>36675956035216</v>
      </c>
      <c r="F5718" s="8">
        <v>262</v>
      </c>
      <c r="G5718" s="8">
        <v>6916</v>
      </c>
      <c r="H5718" s="8">
        <v>1018</v>
      </c>
      <c r="I5718" s="8">
        <v>3284</v>
      </c>
    </row>
    <row r="5719" spans="1:9" x14ac:dyDescent="0.2">
      <c r="A5719" t="s">
        <v>1202</v>
      </c>
      <c r="B5719" t="s">
        <v>1206</v>
      </c>
      <c r="C5719" t="str">
        <f t="shared" si="276"/>
        <v>36675950000000</v>
      </c>
      <c r="D5719" t="s">
        <v>7034</v>
      </c>
      <c r="E5719" t="str">
        <f>"36675956108930"</f>
        <v>36675956108930</v>
      </c>
      <c r="F5719" s="8">
        <v>219</v>
      </c>
      <c r="G5719" s="8">
        <v>6942</v>
      </c>
      <c r="H5719" s="8">
        <v>1018</v>
      </c>
      <c r="I5719" s="8">
        <v>3284</v>
      </c>
    </row>
    <row r="5720" spans="1:9" x14ac:dyDescent="0.2">
      <c r="A5720" t="s">
        <v>1202</v>
      </c>
      <c r="B5720" t="s">
        <v>1206</v>
      </c>
      <c r="C5720" t="str">
        <f t="shared" si="276"/>
        <v>36675950000000</v>
      </c>
      <c r="D5720" t="s">
        <v>7035</v>
      </c>
      <c r="E5720" t="str">
        <f>"36675956107510"</f>
        <v>36675956107510</v>
      </c>
      <c r="F5720" s="8">
        <v>191</v>
      </c>
      <c r="G5720" s="8">
        <v>6773</v>
      </c>
      <c r="H5720" s="8">
        <v>1018</v>
      </c>
      <c r="I5720" s="8">
        <v>3284</v>
      </c>
    </row>
    <row r="5721" spans="1:9" x14ac:dyDescent="0.2">
      <c r="A5721" t="s">
        <v>1202</v>
      </c>
      <c r="B5721" t="s">
        <v>1206</v>
      </c>
      <c r="C5721" t="str">
        <f t="shared" si="276"/>
        <v>36675950000000</v>
      </c>
      <c r="D5721" t="s">
        <v>7036</v>
      </c>
      <c r="E5721" t="str">
        <f>"36675956098503"</f>
        <v>36675956098503</v>
      </c>
      <c r="F5721" s="8">
        <v>128</v>
      </c>
      <c r="G5721" s="8">
        <v>6833</v>
      </c>
      <c r="H5721" s="8">
        <v>1018</v>
      </c>
      <c r="I5721" s="8">
        <v>3284</v>
      </c>
    </row>
    <row r="5722" spans="1:9" x14ac:dyDescent="0.2">
      <c r="A5722" t="s">
        <v>1202</v>
      </c>
      <c r="B5722" t="s">
        <v>1208</v>
      </c>
      <c r="C5722" t="str">
        <f t="shared" ref="C5722:C5734" si="277">"36750770000000"</f>
        <v>36750770000000</v>
      </c>
      <c r="D5722" t="s">
        <v>7037</v>
      </c>
      <c r="E5722" t="str">
        <f>"36750776035265"</f>
        <v>36750776035265</v>
      </c>
      <c r="F5722" s="8">
        <v>1381</v>
      </c>
      <c r="G5722" s="8">
        <v>8875</v>
      </c>
      <c r="H5722" s="8">
        <v>1300</v>
      </c>
      <c r="I5722" s="8">
        <v>3441</v>
      </c>
    </row>
    <row r="5723" spans="1:9" x14ac:dyDescent="0.2">
      <c r="A5723" t="s">
        <v>1202</v>
      </c>
      <c r="B5723" t="s">
        <v>1208</v>
      </c>
      <c r="C5723" t="str">
        <f t="shared" si="277"/>
        <v>36750770000000</v>
      </c>
      <c r="D5723" t="s">
        <v>7038</v>
      </c>
      <c r="E5723" t="str">
        <f>"36750773631009"</f>
        <v>36750773631009</v>
      </c>
      <c r="F5723" s="8">
        <v>533</v>
      </c>
      <c r="G5723" s="8">
        <v>9462</v>
      </c>
      <c r="H5723" s="8">
        <v>1300</v>
      </c>
      <c r="I5723" s="8">
        <v>3441</v>
      </c>
    </row>
    <row r="5724" spans="1:9" x14ac:dyDescent="0.2">
      <c r="A5724" t="s">
        <v>1202</v>
      </c>
      <c r="B5724" t="s">
        <v>1208</v>
      </c>
      <c r="C5724" t="str">
        <f t="shared" si="277"/>
        <v>36750770000000</v>
      </c>
      <c r="D5724" t="s">
        <v>7039</v>
      </c>
      <c r="E5724" t="str">
        <f>"36750776035257"</f>
        <v>36750776035257</v>
      </c>
      <c r="F5724" s="8">
        <v>1201</v>
      </c>
      <c r="G5724" s="8">
        <v>8671</v>
      </c>
      <c r="H5724" s="8">
        <v>1300</v>
      </c>
      <c r="I5724" s="8">
        <v>3441</v>
      </c>
    </row>
    <row r="5725" spans="1:9" x14ac:dyDescent="0.2">
      <c r="A5725" t="s">
        <v>1202</v>
      </c>
      <c r="B5725" t="s">
        <v>1208</v>
      </c>
      <c r="C5725" t="str">
        <f t="shared" si="277"/>
        <v>36750770000000</v>
      </c>
      <c r="D5725" t="s">
        <v>7040</v>
      </c>
      <c r="E5725" t="str">
        <f>"36750776037337"</f>
        <v>36750776037337</v>
      </c>
      <c r="F5725" s="8">
        <v>780</v>
      </c>
      <c r="G5725" s="8">
        <v>8827</v>
      </c>
      <c r="H5725" s="8">
        <v>1300</v>
      </c>
      <c r="I5725" s="8">
        <v>3441</v>
      </c>
    </row>
    <row r="5726" spans="1:9" x14ac:dyDescent="0.2">
      <c r="A5726" t="s">
        <v>1202</v>
      </c>
      <c r="B5726" t="s">
        <v>1208</v>
      </c>
      <c r="C5726" t="str">
        <f t="shared" si="277"/>
        <v>36750770000000</v>
      </c>
      <c r="D5726" t="s">
        <v>5293</v>
      </c>
      <c r="E5726" t="str">
        <f>"36750770122945"</f>
        <v>36750770122945</v>
      </c>
      <c r="F5726" s="8">
        <v>1634</v>
      </c>
      <c r="G5726" s="8">
        <v>7772</v>
      </c>
      <c r="H5726" s="8">
        <v>1300</v>
      </c>
      <c r="I5726" s="8">
        <v>3441</v>
      </c>
    </row>
    <row r="5727" spans="1:9" x14ac:dyDescent="0.2">
      <c r="A5727" t="s">
        <v>1202</v>
      </c>
      <c r="B5727" t="s">
        <v>1208</v>
      </c>
      <c r="C5727" t="str">
        <f t="shared" si="277"/>
        <v>36750770000000</v>
      </c>
      <c r="D5727" t="s">
        <v>7041</v>
      </c>
      <c r="E5727" t="str">
        <f>"36750773630894"</f>
        <v>36750773630894</v>
      </c>
      <c r="F5727" s="8">
        <v>916</v>
      </c>
      <c r="G5727" s="8">
        <v>8259</v>
      </c>
      <c r="H5727" s="8">
        <v>1300</v>
      </c>
      <c r="I5727" s="8">
        <v>3441</v>
      </c>
    </row>
    <row r="5728" spans="1:9" x14ac:dyDescent="0.2">
      <c r="A5728" t="s">
        <v>1202</v>
      </c>
      <c r="B5728" t="s">
        <v>1208</v>
      </c>
      <c r="C5728" t="str">
        <f t="shared" si="277"/>
        <v>36750770000000</v>
      </c>
      <c r="D5728" t="s">
        <v>7042</v>
      </c>
      <c r="E5728" t="str">
        <f>"36750776035240"</f>
        <v>36750776035240</v>
      </c>
      <c r="F5728" s="8">
        <v>1187</v>
      </c>
      <c r="G5728" s="8">
        <v>7541</v>
      </c>
      <c r="H5728" s="8">
        <v>1300</v>
      </c>
      <c r="I5728" s="8">
        <v>3441</v>
      </c>
    </row>
    <row r="5729" spans="1:9" x14ac:dyDescent="0.2">
      <c r="A5729" t="s">
        <v>1202</v>
      </c>
      <c r="B5729" t="s">
        <v>1208</v>
      </c>
      <c r="C5729" t="str">
        <f t="shared" si="277"/>
        <v>36750770000000</v>
      </c>
      <c r="D5729" t="s">
        <v>7043</v>
      </c>
      <c r="E5729" t="str">
        <f>"36750773630423"</f>
        <v>36750773630423</v>
      </c>
      <c r="F5729" s="8">
        <v>1037</v>
      </c>
      <c r="G5729" s="8">
        <v>7517</v>
      </c>
      <c r="H5729" s="8">
        <v>1300</v>
      </c>
      <c r="I5729" s="8">
        <v>3441</v>
      </c>
    </row>
    <row r="5730" spans="1:9" x14ac:dyDescent="0.2">
      <c r="A5730" t="s">
        <v>1202</v>
      </c>
      <c r="B5730" t="s">
        <v>1208</v>
      </c>
      <c r="C5730" t="str">
        <f t="shared" si="277"/>
        <v>36750770000000</v>
      </c>
      <c r="D5730" t="s">
        <v>7044</v>
      </c>
      <c r="E5730" t="str">
        <f>"36750776112825"</f>
        <v>36750776112825</v>
      </c>
      <c r="F5730" s="8">
        <v>885</v>
      </c>
      <c r="G5730" s="8">
        <v>7068</v>
      </c>
      <c r="H5730" s="8">
        <v>1300</v>
      </c>
      <c r="I5730" s="8">
        <v>3441</v>
      </c>
    </row>
    <row r="5731" spans="1:9" x14ac:dyDescent="0.2">
      <c r="A5731" t="s">
        <v>1202</v>
      </c>
      <c r="B5731" t="s">
        <v>1208</v>
      </c>
      <c r="C5731" t="str">
        <f t="shared" si="277"/>
        <v>36750770000000</v>
      </c>
      <c r="D5731" t="s">
        <v>7045</v>
      </c>
      <c r="E5731" t="str">
        <f>"36750776107346"</f>
        <v>36750776107346</v>
      </c>
      <c r="F5731" s="8">
        <v>802</v>
      </c>
      <c r="G5731" s="8">
        <v>7024</v>
      </c>
      <c r="H5731" s="8">
        <v>1300</v>
      </c>
      <c r="I5731" s="8">
        <v>3441</v>
      </c>
    </row>
    <row r="5732" spans="1:9" x14ac:dyDescent="0.2">
      <c r="A5732" t="s">
        <v>1202</v>
      </c>
      <c r="B5732" t="s">
        <v>1208</v>
      </c>
      <c r="C5732" t="str">
        <f t="shared" si="277"/>
        <v>36750770000000</v>
      </c>
      <c r="D5732" t="s">
        <v>7046</v>
      </c>
      <c r="E5732" t="str">
        <f>"36750770110866"</f>
        <v>36750770110866</v>
      </c>
      <c r="F5732" s="8">
        <v>570</v>
      </c>
      <c r="G5732" s="8">
        <v>7099</v>
      </c>
      <c r="H5732" s="8">
        <v>1300</v>
      </c>
      <c r="I5732" s="8">
        <v>3441</v>
      </c>
    </row>
    <row r="5733" spans="1:9" x14ac:dyDescent="0.2">
      <c r="A5733" t="s">
        <v>1202</v>
      </c>
      <c r="B5733" t="s">
        <v>1208</v>
      </c>
      <c r="C5733" t="str">
        <f t="shared" si="277"/>
        <v>36750770000000</v>
      </c>
      <c r="D5733" t="s">
        <v>7047</v>
      </c>
      <c r="E5733" t="str">
        <f>"36750776110605"</f>
        <v>36750776110605</v>
      </c>
      <c r="F5733" s="8">
        <v>551</v>
      </c>
      <c r="G5733" s="8">
        <v>6478</v>
      </c>
      <c r="H5733" s="8">
        <v>1300</v>
      </c>
      <c r="I5733" s="8">
        <v>3441</v>
      </c>
    </row>
    <row r="5734" spans="1:9" x14ac:dyDescent="0.2">
      <c r="A5734" t="s">
        <v>1202</v>
      </c>
      <c r="B5734" t="s">
        <v>1208</v>
      </c>
      <c r="C5734" t="str">
        <f t="shared" si="277"/>
        <v>36750770000000</v>
      </c>
      <c r="D5734" t="s">
        <v>7048</v>
      </c>
      <c r="E5734" t="str">
        <f>"36750770108423"</f>
        <v>36750770108423</v>
      </c>
      <c r="F5734" s="8">
        <v>470</v>
      </c>
      <c r="G5734" s="8">
        <v>6393</v>
      </c>
      <c r="H5734" s="8">
        <v>1300</v>
      </c>
      <c r="I5734" s="8">
        <v>3441</v>
      </c>
    </row>
    <row r="5735" spans="1:9" x14ac:dyDescent="0.2">
      <c r="A5735" t="s">
        <v>1202</v>
      </c>
      <c r="B5735" t="s">
        <v>1210</v>
      </c>
      <c r="C5735" t="str">
        <f>"36738580000000"</f>
        <v>36738580000000</v>
      </c>
      <c r="D5735" t="s">
        <v>7049</v>
      </c>
      <c r="E5735" t="str">
        <f>"36738583630076"</f>
        <v>36738583630076</v>
      </c>
      <c r="F5735" s="8">
        <v>2213</v>
      </c>
      <c r="G5735" s="8">
        <v>17012</v>
      </c>
      <c r="H5735" s="8">
        <v>988</v>
      </c>
      <c r="I5735" s="8">
        <v>6895</v>
      </c>
    </row>
    <row r="5736" spans="1:9" x14ac:dyDescent="0.2">
      <c r="A5736" t="s">
        <v>1202</v>
      </c>
      <c r="B5736" t="s">
        <v>1210</v>
      </c>
      <c r="C5736" t="str">
        <f>"36738580000000"</f>
        <v>36738580000000</v>
      </c>
      <c r="D5736" t="s">
        <v>7050</v>
      </c>
      <c r="E5736" t="str">
        <f>"36738586109193"</f>
        <v>36738586109193</v>
      </c>
      <c r="F5736" s="8">
        <v>2193</v>
      </c>
      <c r="G5736" s="8">
        <v>14026</v>
      </c>
      <c r="H5736" s="8">
        <v>988</v>
      </c>
      <c r="I5736" s="8">
        <v>6895</v>
      </c>
    </row>
    <row r="5737" spans="1:9" x14ac:dyDescent="0.2">
      <c r="A5737" t="s">
        <v>1202</v>
      </c>
      <c r="B5737" t="s">
        <v>1210</v>
      </c>
      <c r="C5737" t="str">
        <f>"36738580000000"</f>
        <v>36738580000000</v>
      </c>
      <c r="D5737" t="s">
        <v>4892</v>
      </c>
      <c r="E5737" t="str">
        <f>"36738586035273"</f>
        <v>36738586035273</v>
      </c>
      <c r="F5737" s="8">
        <v>3021</v>
      </c>
      <c r="G5737" s="8">
        <v>12651</v>
      </c>
      <c r="H5737" s="8">
        <v>988</v>
      </c>
      <c r="I5737" s="8">
        <v>6895</v>
      </c>
    </row>
    <row r="5738" spans="1:9" x14ac:dyDescent="0.2">
      <c r="A5738" t="s">
        <v>1202</v>
      </c>
      <c r="B5738" t="s">
        <v>1212</v>
      </c>
      <c r="C5738" t="str">
        <f t="shared" ref="C5738:C5750" si="278">"36676110000000"</f>
        <v>36676110000000</v>
      </c>
      <c r="D5738" t="s">
        <v>7051</v>
      </c>
      <c r="E5738" t="str">
        <f>"36676110124628"</f>
        <v>36676110124628</v>
      </c>
      <c r="F5738" s="8">
        <v>2633</v>
      </c>
      <c r="G5738" s="8">
        <v>18177</v>
      </c>
      <c r="H5738" s="8">
        <v>1327</v>
      </c>
      <c r="I5738" s="8">
        <v>3475</v>
      </c>
    </row>
    <row r="5739" spans="1:9" x14ac:dyDescent="0.2">
      <c r="A5739" t="s">
        <v>1202</v>
      </c>
      <c r="B5739" t="s">
        <v>1212</v>
      </c>
      <c r="C5739" t="str">
        <f t="shared" si="278"/>
        <v>36676110000000</v>
      </c>
      <c r="D5739" t="s">
        <v>7052</v>
      </c>
      <c r="E5739" t="str">
        <f>"36676110112672"</f>
        <v>36676110112672</v>
      </c>
      <c r="F5739" s="8">
        <v>947</v>
      </c>
      <c r="G5739" s="8">
        <v>11606</v>
      </c>
      <c r="H5739" s="8">
        <v>1327</v>
      </c>
      <c r="I5739" s="8">
        <v>3475</v>
      </c>
    </row>
    <row r="5740" spans="1:9" x14ac:dyDescent="0.2">
      <c r="A5740" t="s">
        <v>1202</v>
      </c>
      <c r="B5740" t="s">
        <v>1212</v>
      </c>
      <c r="C5740" t="str">
        <f t="shared" si="278"/>
        <v>36676110000000</v>
      </c>
      <c r="D5740" t="s">
        <v>7053</v>
      </c>
      <c r="E5740" t="str">
        <f>"36676113630712"</f>
        <v>36676113630712</v>
      </c>
      <c r="F5740" s="8">
        <v>2537</v>
      </c>
      <c r="G5740" s="8">
        <v>8006</v>
      </c>
      <c r="H5740" s="8">
        <v>1327</v>
      </c>
      <c r="I5740" s="8">
        <v>3475</v>
      </c>
    </row>
    <row r="5741" spans="1:9" x14ac:dyDescent="0.2">
      <c r="A5741" t="s">
        <v>1202</v>
      </c>
      <c r="B5741" t="s">
        <v>1212</v>
      </c>
      <c r="C5741" t="str">
        <f t="shared" si="278"/>
        <v>36676110000000</v>
      </c>
      <c r="D5741" t="s">
        <v>7054</v>
      </c>
      <c r="E5741" t="str">
        <f>"36676116098537"</f>
        <v>36676116098537</v>
      </c>
      <c r="F5741" s="8">
        <v>3618</v>
      </c>
      <c r="G5741" s="8">
        <v>5406</v>
      </c>
      <c r="H5741" s="8">
        <v>1327</v>
      </c>
      <c r="I5741" s="8">
        <v>3475</v>
      </c>
    </row>
    <row r="5742" spans="1:9" x14ac:dyDescent="0.2">
      <c r="A5742" t="s">
        <v>1202</v>
      </c>
      <c r="B5742" t="s">
        <v>1212</v>
      </c>
      <c r="C5742" t="str">
        <f t="shared" si="278"/>
        <v>36676110000000</v>
      </c>
      <c r="D5742" t="s">
        <v>5171</v>
      </c>
      <c r="E5742" t="str">
        <f>"36676116035299"</f>
        <v>36676116035299</v>
      </c>
      <c r="F5742" s="8">
        <v>2200</v>
      </c>
      <c r="G5742" s="8">
        <v>6156</v>
      </c>
      <c r="H5742" s="8">
        <v>1327</v>
      </c>
      <c r="I5742" s="8">
        <v>3475</v>
      </c>
    </row>
    <row r="5743" spans="1:9" x14ac:dyDescent="0.2">
      <c r="A5743" t="s">
        <v>1202</v>
      </c>
      <c r="B5743" t="s">
        <v>1212</v>
      </c>
      <c r="C5743" t="str">
        <f t="shared" si="278"/>
        <v>36676110000000</v>
      </c>
      <c r="D5743" t="s">
        <v>7055</v>
      </c>
      <c r="E5743" t="str">
        <f>"36676116035307"</f>
        <v>36676116035307</v>
      </c>
      <c r="F5743" s="8">
        <v>2200</v>
      </c>
      <c r="G5743" s="8">
        <v>5874</v>
      </c>
      <c r="H5743" s="8">
        <v>1327</v>
      </c>
      <c r="I5743" s="8">
        <v>3475</v>
      </c>
    </row>
    <row r="5744" spans="1:9" x14ac:dyDescent="0.2">
      <c r="A5744" t="s">
        <v>1202</v>
      </c>
      <c r="B5744" t="s">
        <v>1212</v>
      </c>
      <c r="C5744" t="str">
        <f t="shared" si="278"/>
        <v>36676110000000</v>
      </c>
      <c r="D5744" t="s">
        <v>7056</v>
      </c>
      <c r="E5744" t="str">
        <f>"36676116035380"</f>
        <v>36676116035380</v>
      </c>
      <c r="F5744" s="8">
        <v>1961</v>
      </c>
      <c r="G5744" s="8">
        <v>5893</v>
      </c>
      <c r="H5744" s="8">
        <v>1327</v>
      </c>
      <c r="I5744" s="8">
        <v>3475</v>
      </c>
    </row>
    <row r="5745" spans="1:9" x14ac:dyDescent="0.2">
      <c r="A5745" t="s">
        <v>1202</v>
      </c>
      <c r="B5745" t="s">
        <v>1212</v>
      </c>
      <c r="C5745" t="str">
        <f t="shared" si="278"/>
        <v>36676110000000</v>
      </c>
      <c r="D5745" t="s">
        <v>7057</v>
      </c>
      <c r="E5745" t="str">
        <f>"36676116035372"</f>
        <v>36676116035372</v>
      </c>
      <c r="F5745" s="8">
        <v>2045</v>
      </c>
      <c r="G5745" s="8">
        <v>5204</v>
      </c>
      <c r="H5745" s="8">
        <v>1327</v>
      </c>
      <c r="I5745" s="8">
        <v>3475</v>
      </c>
    </row>
    <row r="5746" spans="1:9" x14ac:dyDescent="0.2">
      <c r="A5746" t="s">
        <v>1202</v>
      </c>
      <c r="B5746" t="s">
        <v>1212</v>
      </c>
      <c r="C5746" t="str">
        <f t="shared" si="278"/>
        <v>36676110000000</v>
      </c>
      <c r="D5746" t="s">
        <v>7058</v>
      </c>
      <c r="E5746" t="str">
        <f>"36676116035414"</f>
        <v>36676116035414</v>
      </c>
      <c r="F5746" s="8">
        <v>1828</v>
      </c>
      <c r="G5746" s="8">
        <v>5267</v>
      </c>
      <c r="H5746" s="8">
        <v>1327</v>
      </c>
      <c r="I5746" s="8">
        <v>3475</v>
      </c>
    </row>
    <row r="5747" spans="1:9" x14ac:dyDescent="0.2">
      <c r="A5747" t="s">
        <v>1202</v>
      </c>
      <c r="B5747" t="s">
        <v>1212</v>
      </c>
      <c r="C5747" t="str">
        <f t="shared" si="278"/>
        <v>36676110000000</v>
      </c>
      <c r="D5747" t="s">
        <v>7059</v>
      </c>
      <c r="E5747" t="str">
        <f>"36676116035349"</f>
        <v>36676116035349</v>
      </c>
      <c r="F5747" s="8">
        <v>1475</v>
      </c>
      <c r="G5747" s="8">
        <v>5304</v>
      </c>
      <c r="H5747" s="8">
        <v>1327</v>
      </c>
      <c r="I5747" s="8">
        <v>3475</v>
      </c>
    </row>
    <row r="5748" spans="1:9" x14ac:dyDescent="0.2">
      <c r="A5748" t="s">
        <v>1202</v>
      </c>
      <c r="B5748" t="s">
        <v>1212</v>
      </c>
      <c r="C5748" t="str">
        <f t="shared" si="278"/>
        <v>36676110000000</v>
      </c>
      <c r="D5748" t="s">
        <v>7060</v>
      </c>
      <c r="E5748" t="str">
        <f>"36676113630803"</f>
        <v>36676113630803</v>
      </c>
      <c r="F5748" s="8">
        <v>810</v>
      </c>
      <c r="G5748" s="8">
        <v>5376</v>
      </c>
      <c r="H5748" s="8">
        <v>1327</v>
      </c>
      <c r="I5748" s="8">
        <v>3475</v>
      </c>
    </row>
    <row r="5749" spans="1:9" x14ac:dyDescent="0.2">
      <c r="A5749" t="s">
        <v>1202</v>
      </c>
      <c r="B5749" t="s">
        <v>1212</v>
      </c>
      <c r="C5749" t="str">
        <f t="shared" si="278"/>
        <v>36676110000000</v>
      </c>
      <c r="D5749" t="s">
        <v>7061</v>
      </c>
      <c r="E5749" t="str">
        <f>"36676110129452"</f>
        <v>36676110129452</v>
      </c>
      <c r="F5749" s="8">
        <v>801</v>
      </c>
      <c r="G5749" s="8">
        <v>4422</v>
      </c>
      <c r="H5749" s="8">
        <v>1327</v>
      </c>
      <c r="I5749" s="8">
        <v>3475</v>
      </c>
    </row>
    <row r="5750" spans="1:9" x14ac:dyDescent="0.2">
      <c r="A5750" t="s">
        <v>1202</v>
      </c>
      <c r="B5750" t="s">
        <v>1212</v>
      </c>
      <c r="C5750" t="str">
        <f t="shared" si="278"/>
        <v>36676110000000</v>
      </c>
      <c r="D5750" t="s">
        <v>7062</v>
      </c>
      <c r="E5750" t="str">
        <f>"36676110138834"</f>
        <v>36676110138834</v>
      </c>
      <c r="F5750" s="8">
        <v>570</v>
      </c>
      <c r="G5750" s="8">
        <v>2391</v>
      </c>
      <c r="H5750" s="8">
        <v>1327</v>
      </c>
      <c r="I5750" s="8">
        <v>3475</v>
      </c>
    </row>
    <row r="5751" spans="1:9" x14ac:dyDescent="0.2">
      <c r="A5751" t="s">
        <v>1202</v>
      </c>
      <c r="B5751" t="s">
        <v>1213</v>
      </c>
      <c r="C5751" t="str">
        <f t="shared" ref="C5751:C5757" si="279">"36676370000000"</f>
        <v>36676370000000</v>
      </c>
      <c r="D5751" t="s">
        <v>7063</v>
      </c>
      <c r="E5751" t="str">
        <f>"36676373630290"</f>
        <v>36676373630290</v>
      </c>
      <c r="F5751" s="8">
        <v>5772</v>
      </c>
      <c r="G5751" s="8">
        <v>9423</v>
      </c>
      <c r="H5751" s="8">
        <v>2986</v>
      </c>
      <c r="I5751" s="8">
        <v>5254</v>
      </c>
    </row>
    <row r="5752" spans="1:9" x14ac:dyDescent="0.2">
      <c r="A5752" t="s">
        <v>1202</v>
      </c>
      <c r="B5752" t="s">
        <v>1213</v>
      </c>
      <c r="C5752" t="str">
        <f t="shared" si="279"/>
        <v>36676370000000</v>
      </c>
      <c r="D5752" t="s">
        <v>7064</v>
      </c>
      <c r="E5752" t="str">
        <f>"36676376035471"</f>
        <v>36676376035471</v>
      </c>
      <c r="F5752" s="8">
        <v>981</v>
      </c>
      <c r="G5752" s="8">
        <v>7634</v>
      </c>
      <c r="H5752" s="8">
        <v>2986</v>
      </c>
      <c r="I5752" s="8">
        <v>5254</v>
      </c>
    </row>
    <row r="5753" spans="1:9" x14ac:dyDescent="0.2">
      <c r="A5753" t="s">
        <v>1202</v>
      </c>
      <c r="B5753" t="s">
        <v>1213</v>
      </c>
      <c r="C5753" t="str">
        <f t="shared" si="279"/>
        <v>36676370000000</v>
      </c>
      <c r="D5753" t="s">
        <v>7065</v>
      </c>
      <c r="E5753" t="str">
        <f>"36676373631066"</f>
        <v>36676373631066</v>
      </c>
      <c r="F5753" s="8">
        <v>774</v>
      </c>
      <c r="G5753" s="8">
        <v>7663</v>
      </c>
      <c r="H5753" s="8">
        <v>2986</v>
      </c>
      <c r="I5753" s="8">
        <v>5254</v>
      </c>
    </row>
    <row r="5754" spans="1:9" x14ac:dyDescent="0.2">
      <c r="A5754" t="s">
        <v>1202</v>
      </c>
      <c r="B5754" t="s">
        <v>1213</v>
      </c>
      <c r="C5754" t="str">
        <f t="shared" si="279"/>
        <v>36676370000000</v>
      </c>
      <c r="D5754" t="s">
        <v>7066</v>
      </c>
      <c r="E5754" t="str">
        <f>"36676376067052"</f>
        <v>36676376067052</v>
      </c>
      <c r="F5754" s="8">
        <v>1211</v>
      </c>
      <c r="G5754" s="8">
        <v>7127</v>
      </c>
      <c r="H5754" s="8">
        <v>2986</v>
      </c>
      <c r="I5754" s="8">
        <v>5254</v>
      </c>
    </row>
    <row r="5755" spans="1:9" x14ac:dyDescent="0.2">
      <c r="A5755" t="s">
        <v>1202</v>
      </c>
      <c r="B5755" t="s">
        <v>1213</v>
      </c>
      <c r="C5755" t="str">
        <f t="shared" si="279"/>
        <v>36676370000000</v>
      </c>
      <c r="D5755" t="s">
        <v>7067</v>
      </c>
      <c r="E5755" t="str">
        <f>"36676376112866"</f>
        <v>36676376112866</v>
      </c>
      <c r="F5755" s="8">
        <v>719</v>
      </c>
      <c r="G5755" s="8">
        <v>7571</v>
      </c>
      <c r="H5755" s="8">
        <v>2986</v>
      </c>
      <c r="I5755" s="8">
        <v>5254</v>
      </c>
    </row>
    <row r="5756" spans="1:9" x14ac:dyDescent="0.2">
      <c r="A5756" t="s">
        <v>1202</v>
      </c>
      <c r="B5756" t="s">
        <v>1213</v>
      </c>
      <c r="C5756" t="str">
        <f t="shared" si="279"/>
        <v>36676370000000</v>
      </c>
      <c r="D5756" t="s">
        <v>7068</v>
      </c>
      <c r="E5756" t="str">
        <f>"36676376035463"</f>
        <v>36676376035463</v>
      </c>
      <c r="F5756" s="8">
        <v>1490</v>
      </c>
      <c r="G5756" s="8">
        <v>5063</v>
      </c>
      <c r="H5756" s="8">
        <v>2986</v>
      </c>
      <c r="I5756" s="8">
        <v>5254</v>
      </c>
    </row>
    <row r="5757" spans="1:9" x14ac:dyDescent="0.2">
      <c r="A5757" t="s">
        <v>1202</v>
      </c>
      <c r="B5757" t="s">
        <v>1213</v>
      </c>
      <c r="C5757" t="str">
        <f t="shared" si="279"/>
        <v>36676370000000</v>
      </c>
      <c r="D5757" t="s">
        <v>7069</v>
      </c>
      <c r="E5757" t="str">
        <f>"36676376105936"</f>
        <v>36676376105936</v>
      </c>
      <c r="F5757" s="8">
        <v>700</v>
      </c>
      <c r="G5757" s="8">
        <v>4804</v>
      </c>
      <c r="H5757" s="8">
        <v>2986</v>
      </c>
      <c r="I5757" s="8">
        <v>5254</v>
      </c>
    </row>
    <row r="5758" spans="1:9" x14ac:dyDescent="0.2">
      <c r="A5758" t="s">
        <v>1202</v>
      </c>
      <c r="B5758" t="s">
        <v>1214</v>
      </c>
      <c r="C5758" t="str">
        <f t="shared" ref="C5758:C5764" si="280">"36676450000000"</f>
        <v>36676450000000</v>
      </c>
      <c r="D5758" t="s">
        <v>1214</v>
      </c>
      <c r="E5758" t="str">
        <f>"36676456035489"</f>
        <v>36676456035489</v>
      </c>
      <c r="F5758" s="8">
        <v>1255</v>
      </c>
      <c r="G5758" s="8">
        <v>3491</v>
      </c>
      <c r="H5758" s="8">
        <v>217</v>
      </c>
      <c r="I5758" s="8">
        <v>4204</v>
      </c>
    </row>
    <row r="5759" spans="1:9" x14ac:dyDescent="0.2">
      <c r="A5759" t="s">
        <v>1202</v>
      </c>
      <c r="B5759" t="s">
        <v>1214</v>
      </c>
      <c r="C5759" t="str">
        <f t="shared" si="280"/>
        <v>36676450000000</v>
      </c>
      <c r="D5759" t="s">
        <v>7070</v>
      </c>
      <c r="E5759" t="str">
        <f>"36676456104525"</f>
        <v>36676456104525</v>
      </c>
      <c r="F5759" s="8">
        <v>1130</v>
      </c>
      <c r="G5759" s="8">
        <v>2510</v>
      </c>
      <c r="H5759" s="8">
        <v>217</v>
      </c>
      <c r="I5759" s="8">
        <v>4204</v>
      </c>
    </row>
    <row r="5760" spans="1:9" x14ac:dyDescent="0.2">
      <c r="A5760" t="s">
        <v>1202</v>
      </c>
      <c r="B5760" t="s">
        <v>1214</v>
      </c>
      <c r="C5760" t="str">
        <f t="shared" si="280"/>
        <v>36676450000000</v>
      </c>
      <c r="D5760" t="s">
        <v>7071</v>
      </c>
      <c r="E5760" t="str">
        <f>"36676456035497"</f>
        <v>36676456035497</v>
      </c>
      <c r="F5760" s="8">
        <v>195</v>
      </c>
      <c r="G5760" s="8">
        <v>2888</v>
      </c>
      <c r="H5760" s="8">
        <v>217</v>
      </c>
      <c r="I5760" s="8">
        <v>4204</v>
      </c>
    </row>
    <row r="5761" spans="1:9" x14ac:dyDescent="0.2">
      <c r="A5761" t="s">
        <v>1202</v>
      </c>
      <c r="B5761" t="s">
        <v>1214</v>
      </c>
      <c r="C5761" t="str">
        <f t="shared" si="280"/>
        <v>36676450000000</v>
      </c>
      <c r="D5761" t="s">
        <v>6432</v>
      </c>
      <c r="E5761" t="str">
        <f>"36676456035505"</f>
        <v>36676456035505</v>
      </c>
      <c r="F5761" s="8">
        <v>364</v>
      </c>
      <c r="G5761" s="8">
        <v>2532</v>
      </c>
      <c r="H5761" s="8">
        <v>217</v>
      </c>
      <c r="I5761" s="8">
        <v>4204</v>
      </c>
    </row>
    <row r="5762" spans="1:9" x14ac:dyDescent="0.2">
      <c r="A5762" t="s">
        <v>1202</v>
      </c>
      <c r="B5762" t="s">
        <v>1214</v>
      </c>
      <c r="C5762" t="str">
        <f t="shared" si="280"/>
        <v>36676450000000</v>
      </c>
      <c r="D5762" t="s">
        <v>7072</v>
      </c>
      <c r="E5762" t="str">
        <f>"36676456099204"</f>
        <v>36676456099204</v>
      </c>
      <c r="F5762" s="8">
        <v>377</v>
      </c>
      <c r="G5762" s="8">
        <v>2309</v>
      </c>
      <c r="H5762" s="8">
        <v>217</v>
      </c>
      <c r="I5762" s="8">
        <v>4204</v>
      </c>
    </row>
    <row r="5763" spans="1:9" x14ac:dyDescent="0.2">
      <c r="A5763" t="s">
        <v>1202</v>
      </c>
      <c r="B5763" t="s">
        <v>1214</v>
      </c>
      <c r="C5763" t="str">
        <f t="shared" si="280"/>
        <v>36676450000000</v>
      </c>
      <c r="D5763" t="s">
        <v>7073</v>
      </c>
      <c r="E5763" t="str">
        <f>"36676456110704"</f>
        <v>36676456110704</v>
      </c>
      <c r="F5763" s="8">
        <v>156</v>
      </c>
      <c r="G5763" s="8">
        <v>2272</v>
      </c>
      <c r="H5763" s="8">
        <v>217</v>
      </c>
      <c r="I5763" s="8">
        <v>4204</v>
      </c>
    </row>
    <row r="5764" spans="1:9" x14ac:dyDescent="0.2">
      <c r="A5764" t="s">
        <v>1202</v>
      </c>
      <c r="B5764" t="s">
        <v>1214</v>
      </c>
      <c r="C5764" t="str">
        <f t="shared" si="280"/>
        <v>36676450000000</v>
      </c>
      <c r="D5764" t="s">
        <v>7074</v>
      </c>
      <c r="E5764" t="str">
        <f>"36676456106603"</f>
        <v>36676456106603</v>
      </c>
      <c r="F5764" s="8">
        <v>367</v>
      </c>
      <c r="G5764" s="8">
        <v>1884</v>
      </c>
      <c r="H5764" s="8">
        <v>217</v>
      </c>
      <c r="I5764" s="8">
        <v>4204</v>
      </c>
    </row>
    <row r="5765" spans="1:9" x14ac:dyDescent="0.2">
      <c r="A5765" t="s">
        <v>1202</v>
      </c>
      <c r="B5765" t="s">
        <v>1215</v>
      </c>
      <c r="C5765" t="str">
        <f t="shared" ref="C5765:C5775" si="281">"36676520000000"</f>
        <v>36676520000000</v>
      </c>
      <c r="D5765" t="s">
        <v>7075</v>
      </c>
      <c r="E5765" t="str">
        <f>"36676523630845"</f>
        <v>36676523630845</v>
      </c>
      <c r="F5765" s="8">
        <v>2457</v>
      </c>
      <c r="G5765" s="8">
        <v>30342</v>
      </c>
      <c r="H5765" s="8">
        <v>547</v>
      </c>
      <c r="I5765" s="8">
        <v>2627</v>
      </c>
    </row>
    <row r="5766" spans="1:9" x14ac:dyDescent="0.2">
      <c r="A5766" t="s">
        <v>1202</v>
      </c>
      <c r="B5766" t="s">
        <v>1215</v>
      </c>
      <c r="C5766" t="str">
        <f t="shared" si="281"/>
        <v>36676520000000</v>
      </c>
      <c r="D5766" t="s">
        <v>7076</v>
      </c>
      <c r="E5766" t="str">
        <f>"36676523637659"</f>
        <v>36676523637659</v>
      </c>
      <c r="F5766" s="8">
        <v>530</v>
      </c>
      <c r="G5766" s="8">
        <v>14031</v>
      </c>
      <c r="H5766" s="8">
        <v>547</v>
      </c>
      <c r="I5766" s="8">
        <v>2627</v>
      </c>
    </row>
    <row r="5767" spans="1:9" x14ac:dyDescent="0.2">
      <c r="A5767" t="s">
        <v>1202</v>
      </c>
      <c r="B5767" t="s">
        <v>1215</v>
      </c>
      <c r="C5767" t="str">
        <f t="shared" si="281"/>
        <v>36676520000000</v>
      </c>
      <c r="D5767" t="s">
        <v>7077</v>
      </c>
      <c r="E5767" t="str">
        <f>"36676523631157"</f>
        <v>36676523631157</v>
      </c>
      <c r="F5767" s="8">
        <v>774</v>
      </c>
      <c r="G5767" s="8">
        <v>9559</v>
      </c>
      <c r="H5767" s="8">
        <v>547</v>
      </c>
      <c r="I5767" s="8">
        <v>2627</v>
      </c>
    </row>
    <row r="5768" spans="1:9" x14ac:dyDescent="0.2">
      <c r="A5768" t="s">
        <v>1202</v>
      </c>
      <c r="B5768" t="s">
        <v>1215</v>
      </c>
      <c r="C5768" t="str">
        <f t="shared" si="281"/>
        <v>36676520000000</v>
      </c>
      <c r="D5768" t="s">
        <v>7078</v>
      </c>
      <c r="E5768" t="str">
        <f>"36676523634482"</f>
        <v>36676523634482</v>
      </c>
      <c r="F5768" s="8">
        <v>830</v>
      </c>
      <c r="G5768" s="8">
        <v>9321</v>
      </c>
      <c r="H5768" s="8">
        <v>547</v>
      </c>
      <c r="I5768" s="8">
        <v>2627</v>
      </c>
    </row>
    <row r="5769" spans="1:9" x14ac:dyDescent="0.2">
      <c r="A5769" t="s">
        <v>1202</v>
      </c>
      <c r="B5769" t="s">
        <v>1215</v>
      </c>
      <c r="C5769" t="str">
        <f t="shared" si="281"/>
        <v>36676520000000</v>
      </c>
      <c r="D5769" t="s">
        <v>7079</v>
      </c>
      <c r="E5769" t="str">
        <f>"36676523630225"</f>
        <v>36676523630225</v>
      </c>
      <c r="F5769" s="8">
        <v>518</v>
      </c>
      <c r="G5769" s="8">
        <v>9461</v>
      </c>
      <c r="H5769" s="8">
        <v>547</v>
      </c>
      <c r="I5769" s="8">
        <v>2627</v>
      </c>
    </row>
    <row r="5770" spans="1:9" x14ac:dyDescent="0.2">
      <c r="A5770" t="s">
        <v>1202</v>
      </c>
      <c r="B5770" t="s">
        <v>1215</v>
      </c>
      <c r="C5770" t="str">
        <f t="shared" si="281"/>
        <v>36676520000000</v>
      </c>
      <c r="D5770" t="s">
        <v>7080</v>
      </c>
      <c r="E5770" t="str">
        <f>"36676520126243"</f>
        <v>36676520126243</v>
      </c>
      <c r="F5770" s="8">
        <v>0</v>
      </c>
      <c r="G5770" s="8">
        <v>9973</v>
      </c>
      <c r="H5770" s="8">
        <v>547</v>
      </c>
      <c r="I5770" s="8">
        <v>2627</v>
      </c>
    </row>
    <row r="5771" spans="1:9" x14ac:dyDescent="0.2">
      <c r="A5771" t="s">
        <v>1202</v>
      </c>
      <c r="B5771" t="s">
        <v>1215</v>
      </c>
      <c r="C5771" t="str">
        <f t="shared" si="281"/>
        <v>36676520000000</v>
      </c>
      <c r="D5771" t="s">
        <v>7081</v>
      </c>
      <c r="E5771" t="str">
        <f>"36676523633906"</f>
        <v>36676523633906</v>
      </c>
      <c r="F5771" s="8">
        <v>646</v>
      </c>
      <c r="G5771" s="8">
        <v>9050</v>
      </c>
      <c r="H5771" s="8">
        <v>547</v>
      </c>
      <c r="I5771" s="8">
        <v>2627</v>
      </c>
    </row>
    <row r="5772" spans="1:9" x14ac:dyDescent="0.2">
      <c r="A5772" t="s">
        <v>1202</v>
      </c>
      <c r="B5772" t="s">
        <v>1215</v>
      </c>
      <c r="C5772" t="str">
        <f t="shared" si="281"/>
        <v>36676520000000</v>
      </c>
      <c r="D5772" t="s">
        <v>7082</v>
      </c>
      <c r="E5772" t="str">
        <f>"36676523632205"</f>
        <v>36676523632205</v>
      </c>
      <c r="F5772" s="8">
        <v>797</v>
      </c>
      <c r="G5772" s="8">
        <v>8774</v>
      </c>
      <c r="H5772" s="8">
        <v>547</v>
      </c>
      <c r="I5772" s="8">
        <v>2627</v>
      </c>
    </row>
    <row r="5773" spans="1:9" x14ac:dyDescent="0.2">
      <c r="A5773" t="s">
        <v>1202</v>
      </c>
      <c r="B5773" t="s">
        <v>1215</v>
      </c>
      <c r="C5773" t="str">
        <f t="shared" si="281"/>
        <v>36676520000000</v>
      </c>
      <c r="D5773" t="s">
        <v>7083</v>
      </c>
      <c r="E5773" t="str">
        <f>"36676523631058"</f>
        <v>36676523631058</v>
      </c>
      <c r="F5773" s="8">
        <v>345</v>
      </c>
      <c r="G5773" s="8">
        <v>8820</v>
      </c>
      <c r="H5773" s="8">
        <v>547</v>
      </c>
      <c r="I5773" s="8">
        <v>2627</v>
      </c>
    </row>
    <row r="5774" spans="1:9" x14ac:dyDescent="0.2">
      <c r="A5774" t="s">
        <v>1202</v>
      </c>
      <c r="B5774" t="s">
        <v>1215</v>
      </c>
      <c r="C5774" t="str">
        <f t="shared" si="281"/>
        <v>36676520000000</v>
      </c>
      <c r="D5774" t="s">
        <v>7084</v>
      </c>
      <c r="E5774" t="str">
        <f>"36676523630571"</f>
        <v>36676523630571</v>
      </c>
      <c r="F5774" s="8">
        <v>408</v>
      </c>
      <c r="G5774" s="8">
        <v>8205</v>
      </c>
      <c r="H5774" s="8">
        <v>547</v>
      </c>
      <c r="I5774" s="8">
        <v>2627</v>
      </c>
    </row>
    <row r="5775" spans="1:9" x14ac:dyDescent="0.2">
      <c r="A5775" t="s">
        <v>1202</v>
      </c>
      <c r="B5775" t="s">
        <v>1215</v>
      </c>
      <c r="C5775" t="str">
        <f t="shared" si="281"/>
        <v>36676520000000</v>
      </c>
      <c r="D5775" t="s">
        <v>7085</v>
      </c>
      <c r="E5775" t="str">
        <f>"36676523630373"</f>
        <v>36676523630373</v>
      </c>
      <c r="F5775" s="8">
        <v>393</v>
      </c>
      <c r="G5775" s="8">
        <v>8184</v>
      </c>
      <c r="H5775" s="8">
        <v>547</v>
      </c>
      <c r="I5775" s="8">
        <v>2627</v>
      </c>
    </row>
    <row r="5776" spans="1:9" x14ac:dyDescent="0.2">
      <c r="A5776" t="s">
        <v>1202</v>
      </c>
      <c r="B5776" t="s">
        <v>1216</v>
      </c>
      <c r="C5776" t="str">
        <f t="shared" ref="C5776:C5809" si="282">"36676780000000"</f>
        <v>36676780000000</v>
      </c>
      <c r="D5776" t="s">
        <v>7086</v>
      </c>
      <c r="E5776" t="str">
        <f>"36676783631181"</f>
        <v>36676783631181</v>
      </c>
      <c r="F5776" s="8">
        <v>3</v>
      </c>
      <c r="G5776" s="8">
        <v>43719</v>
      </c>
      <c r="H5776" s="8">
        <v>1024</v>
      </c>
      <c r="I5776" s="8">
        <v>5084</v>
      </c>
    </row>
    <row r="5777" spans="1:9" x14ac:dyDescent="0.2">
      <c r="A5777" t="s">
        <v>1202</v>
      </c>
      <c r="B5777" t="s">
        <v>1216</v>
      </c>
      <c r="C5777" t="str">
        <f t="shared" si="282"/>
        <v>36676780000000</v>
      </c>
      <c r="D5777" t="s">
        <v>7087</v>
      </c>
      <c r="E5777" t="str">
        <f>"36676783631587"</f>
        <v>36676783631587</v>
      </c>
      <c r="F5777" s="8">
        <v>2642</v>
      </c>
      <c r="G5777" s="8">
        <v>39247</v>
      </c>
      <c r="H5777" s="8">
        <v>1024</v>
      </c>
      <c r="I5777" s="8">
        <v>5084</v>
      </c>
    </row>
    <row r="5778" spans="1:9" x14ac:dyDescent="0.2">
      <c r="A5778" t="s">
        <v>1202</v>
      </c>
      <c r="B5778" t="s">
        <v>1216</v>
      </c>
      <c r="C5778" t="str">
        <f t="shared" si="282"/>
        <v>36676780000000</v>
      </c>
      <c r="D5778" t="s">
        <v>7088</v>
      </c>
      <c r="E5778" t="str">
        <f>"36676783631769"</f>
        <v>36676783631769</v>
      </c>
      <c r="F5778" s="8">
        <v>92</v>
      </c>
      <c r="G5778" s="8">
        <v>13639</v>
      </c>
      <c r="H5778" s="8">
        <v>1024</v>
      </c>
      <c r="I5778" s="8">
        <v>5084</v>
      </c>
    </row>
    <row r="5779" spans="1:9" x14ac:dyDescent="0.2">
      <c r="A5779" t="s">
        <v>1202</v>
      </c>
      <c r="B5779" t="s">
        <v>1216</v>
      </c>
      <c r="C5779" t="str">
        <f t="shared" si="282"/>
        <v>36676780000000</v>
      </c>
      <c r="D5779" t="s">
        <v>7089</v>
      </c>
      <c r="E5779" t="str">
        <f>"36676786111215"</f>
        <v>36676786111215</v>
      </c>
      <c r="F5779" s="8">
        <v>228</v>
      </c>
      <c r="G5779" s="8">
        <v>10647</v>
      </c>
      <c r="H5779" s="8">
        <v>1024</v>
      </c>
      <c r="I5779" s="8">
        <v>5084</v>
      </c>
    </row>
    <row r="5780" spans="1:9" x14ac:dyDescent="0.2">
      <c r="A5780" t="s">
        <v>1202</v>
      </c>
      <c r="B5780" t="s">
        <v>1216</v>
      </c>
      <c r="C5780" t="str">
        <f t="shared" si="282"/>
        <v>36676780000000</v>
      </c>
      <c r="D5780" t="s">
        <v>7090</v>
      </c>
      <c r="E5780" t="str">
        <f>"36676786059372"</f>
        <v>36676786059372</v>
      </c>
      <c r="F5780" s="8">
        <v>150</v>
      </c>
      <c r="G5780" s="8">
        <v>8985</v>
      </c>
      <c r="H5780" s="8">
        <v>1024</v>
      </c>
      <c r="I5780" s="8">
        <v>5084</v>
      </c>
    </row>
    <row r="5781" spans="1:9" x14ac:dyDescent="0.2">
      <c r="A5781" t="s">
        <v>1202</v>
      </c>
      <c r="B5781" t="s">
        <v>1216</v>
      </c>
      <c r="C5781" t="str">
        <f t="shared" si="282"/>
        <v>36676780000000</v>
      </c>
      <c r="D5781" t="s">
        <v>7091</v>
      </c>
      <c r="E5781" t="str">
        <f>"36676786098362"</f>
        <v>36676786098362</v>
      </c>
      <c r="F5781" s="8">
        <v>365</v>
      </c>
      <c r="G5781" s="8">
        <v>8755</v>
      </c>
      <c r="H5781" s="8">
        <v>1024</v>
      </c>
      <c r="I5781" s="8">
        <v>5084</v>
      </c>
    </row>
    <row r="5782" spans="1:9" x14ac:dyDescent="0.2">
      <c r="A5782" t="s">
        <v>1202</v>
      </c>
      <c r="B5782" t="s">
        <v>1216</v>
      </c>
      <c r="C5782" t="str">
        <f t="shared" si="282"/>
        <v>36676780000000</v>
      </c>
      <c r="D5782" t="s">
        <v>7092</v>
      </c>
      <c r="E5782" t="str">
        <f>"36676783630035"</f>
        <v>36676783630035</v>
      </c>
      <c r="F5782" s="8">
        <v>270</v>
      </c>
      <c r="G5782" s="8">
        <v>8462</v>
      </c>
      <c r="H5782" s="8">
        <v>1024</v>
      </c>
      <c r="I5782" s="8">
        <v>5084</v>
      </c>
    </row>
    <row r="5783" spans="1:9" x14ac:dyDescent="0.2">
      <c r="A5783" t="s">
        <v>1202</v>
      </c>
      <c r="B5783" t="s">
        <v>1216</v>
      </c>
      <c r="C5783" t="str">
        <f t="shared" si="282"/>
        <v>36676780000000</v>
      </c>
      <c r="D5783" t="s">
        <v>7093</v>
      </c>
      <c r="E5783" t="str">
        <f>"36676786061840"</f>
        <v>36676786061840</v>
      </c>
      <c r="F5783" s="8">
        <v>284</v>
      </c>
      <c r="G5783" s="8">
        <v>8431</v>
      </c>
      <c r="H5783" s="8">
        <v>1024</v>
      </c>
      <c r="I5783" s="8">
        <v>5084</v>
      </c>
    </row>
    <row r="5784" spans="1:9" x14ac:dyDescent="0.2">
      <c r="A5784" t="s">
        <v>1202</v>
      </c>
      <c r="B5784" t="s">
        <v>1216</v>
      </c>
      <c r="C5784" t="str">
        <f t="shared" si="282"/>
        <v>36676780000000</v>
      </c>
      <c r="D5784" t="s">
        <v>7094</v>
      </c>
      <c r="E5784" t="str">
        <f>"36676786035554"</f>
        <v>36676786035554</v>
      </c>
      <c r="F5784" s="8">
        <v>216</v>
      </c>
      <c r="G5784" s="8">
        <v>8269</v>
      </c>
      <c r="H5784" s="8">
        <v>1024</v>
      </c>
      <c r="I5784" s="8">
        <v>5084</v>
      </c>
    </row>
    <row r="5785" spans="1:9" x14ac:dyDescent="0.2">
      <c r="A5785" t="s">
        <v>1202</v>
      </c>
      <c r="B5785" t="s">
        <v>1216</v>
      </c>
      <c r="C5785" t="str">
        <f t="shared" si="282"/>
        <v>36676780000000</v>
      </c>
      <c r="D5785" t="s">
        <v>7095</v>
      </c>
      <c r="E5785" t="str">
        <f>"36676786035513"</f>
        <v>36676786035513</v>
      </c>
      <c r="F5785" s="8">
        <v>262</v>
      </c>
      <c r="G5785" s="8">
        <v>7966</v>
      </c>
      <c r="H5785" s="8">
        <v>1024</v>
      </c>
      <c r="I5785" s="8">
        <v>5084</v>
      </c>
    </row>
    <row r="5786" spans="1:9" x14ac:dyDescent="0.2">
      <c r="A5786" t="s">
        <v>1202</v>
      </c>
      <c r="B5786" t="s">
        <v>1216</v>
      </c>
      <c r="C5786" t="str">
        <f t="shared" si="282"/>
        <v>36676780000000</v>
      </c>
      <c r="D5786" t="s">
        <v>7096</v>
      </c>
      <c r="E5786" t="str">
        <f>"36676786106629"</f>
        <v>36676786106629</v>
      </c>
      <c r="F5786" s="8">
        <v>299</v>
      </c>
      <c r="G5786" s="8">
        <v>7910</v>
      </c>
      <c r="H5786" s="8">
        <v>1024</v>
      </c>
      <c r="I5786" s="8">
        <v>5084</v>
      </c>
    </row>
    <row r="5787" spans="1:9" x14ac:dyDescent="0.2">
      <c r="A5787" t="s">
        <v>1202</v>
      </c>
      <c r="B5787" t="s">
        <v>1216</v>
      </c>
      <c r="C5787" t="str">
        <f t="shared" si="282"/>
        <v>36676780000000</v>
      </c>
      <c r="D5787" t="s">
        <v>7097</v>
      </c>
      <c r="E5787" t="str">
        <f>"36676786035570"</f>
        <v>36676786035570</v>
      </c>
      <c r="F5787" s="8">
        <v>299</v>
      </c>
      <c r="G5787" s="8">
        <v>7910</v>
      </c>
      <c r="H5787" s="8">
        <v>1024</v>
      </c>
      <c r="I5787" s="8">
        <v>5084</v>
      </c>
    </row>
    <row r="5788" spans="1:9" x14ac:dyDescent="0.2">
      <c r="A5788" t="s">
        <v>1202</v>
      </c>
      <c r="B5788" t="s">
        <v>1216</v>
      </c>
      <c r="C5788" t="str">
        <f t="shared" si="282"/>
        <v>36676780000000</v>
      </c>
      <c r="D5788" t="s">
        <v>7098</v>
      </c>
      <c r="E5788" t="str">
        <f>"36676786035588"</f>
        <v>36676786035588</v>
      </c>
      <c r="F5788" s="8">
        <v>386</v>
      </c>
      <c r="G5788" s="8">
        <v>7398</v>
      </c>
      <c r="H5788" s="8">
        <v>1024</v>
      </c>
      <c r="I5788" s="8">
        <v>5084</v>
      </c>
    </row>
    <row r="5789" spans="1:9" x14ac:dyDescent="0.2">
      <c r="A5789" t="s">
        <v>1202</v>
      </c>
      <c r="B5789" t="s">
        <v>1216</v>
      </c>
      <c r="C5789" t="str">
        <f t="shared" si="282"/>
        <v>36676780000000</v>
      </c>
      <c r="D5789" t="s">
        <v>7099</v>
      </c>
      <c r="E5789" t="str">
        <f>"36676783632502"</f>
        <v>36676783632502</v>
      </c>
      <c r="F5789" s="8">
        <v>181</v>
      </c>
      <c r="G5789" s="8">
        <v>7592</v>
      </c>
      <c r="H5789" s="8">
        <v>1024</v>
      </c>
      <c r="I5789" s="8">
        <v>5084</v>
      </c>
    </row>
    <row r="5790" spans="1:9" x14ac:dyDescent="0.2">
      <c r="A5790" t="s">
        <v>1202</v>
      </c>
      <c r="B5790" t="s">
        <v>1216</v>
      </c>
      <c r="C5790" t="str">
        <f t="shared" si="282"/>
        <v>36676780000000</v>
      </c>
      <c r="D5790" t="s">
        <v>7100</v>
      </c>
      <c r="E5790" t="str">
        <f>"36676786112833"</f>
        <v>36676786112833</v>
      </c>
      <c r="F5790" s="8">
        <v>19</v>
      </c>
      <c r="G5790" s="8">
        <v>7609</v>
      </c>
      <c r="H5790" s="8">
        <v>1024</v>
      </c>
      <c r="I5790" s="8">
        <v>5084</v>
      </c>
    </row>
    <row r="5791" spans="1:9" x14ac:dyDescent="0.2">
      <c r="A5791" t="s">
        <v>1202</v>
      </c>
      <c r="B5791" t="s">
        <v>1216</v>
      </c>
      <c r="C5791" t="str">
        <f t="shared" si="282"/>
        <v>36676780000000</v>
      </c>
      <c r="D5791" t="s">
        <v>1811</v>
      </c>
      <c r="E5791" t="str">
        <f>"36676780100594"</f>
        <v>36676780100594</v>
      </c>
      <c r="F5791" s="8">
        <v>249</v>
      </c>
      <c r="G5791" s="8">
        <v>7378</v>
      </c>
      <c r="H5791" s="8">
        <v>1024</v>
      </c>
      <c r="I5791" s="8">
        <v>5084</v>
      </c>
    </row>
    <row r="5792" spans="1:9" x14ac:dyDescent="0.2">
      <c r="A5792" t="s">
        <v>1202</v>
      </c>
      <c r="B5792" t="s">
        <v>1216</v>
      </c>
      <c r="C5792" t="str">
        <f t="shared" si="282"/>
        <v>36676780000000</v>
      </c>
      <c r="D5792" t="s">
        <v>7101</v>
      </c>
      <c r="E5792" t="str">
        <f>"36676786107288"</f>
        <v>36676786107288</v>
      </c>
      <c r="F5792" s="8">
        <v>173</v>
      </c>
      <c r="G5792" s="8">
        <v>7284</v>
      </c>
      <c r="H5792" s="8">
        <v>1024</v>
      </c>
      <c r="I5792" s="8">
        <v>5084</v>
      </c>
    </row>
    <row r="5793" spans="1:9" x14ac:dyDescent="0.2">
      <c r="A5793" t="s">
        <v>1202</v>
      </c>
      <c r="B5793" t="s">
        <v>1216</v>
      </c>
      <c r="C5793" t="str">
        <f t="shared" si="282"/>
        <v>36676780000000</v>
      </c>
      <c r="D5793" t="s">
        <v>7102</v>
      </c>
      <c r="E5793" t="str">
        <f>"36676786102974"</f>
        <v>36676786102974</v>
      </c>
      <c r="F5793" s="8">
        <v>228</v>
      </c>
      <c r="G5793" s="8">
        <v>7182</v>
      </c>
      <c r="H5793" s="8">
        <v>1024</v>
      </c>
      <c r="I5793" s="8">
        <v>5084</v>
      </c>
    </row>
    <row r="5794" spans="1:9" x14ac:dyDescent="0.2">
      <c r="A5794" t="s">
        <v>1202</v>
      </c>
      <c r="B5794" t="s">
        <v>1216</v>
      </c>
      <c r="C5794" t="str">
        <f t="shared" si="282"/>
        <v>36676780000000</v>
      </c>
      <c r="D5794" t="s">
        <v>7103</v>
      </c>
      <c r="E5794" t="str">
        <f>"36676786098354"</f>
        <v>36676786098354</v>
      </c>
      <c r="F5794" s="8">
        <v>131</v>
      </c>
      <c r="G5794" s="8">
        <v>7178</v>
      </c>
      <c r="H5794" s="8">
        <v>1024</v>
      </c>
      <c r="I5794" s="8">
        <v>5084</v>
      </c>
    </row>
    <row r="5795" spans="1:9" x14ac:dyDescent="0.2">
      <c r="A5795" t="s">
        <v>1202</v>
      </c>
      <c r="B5795" t="s">
        <v>1216</v>
      </c>
      <c r="C5795" t="str">
        <f t="shared" si="282"/>
        <v>36676780000000</v>
      </c>
      <c r="D5795" t="s">
        <v>7104</v>
      </c>
      <c r="E5795" t="str">
        <f>"36676786101513"</f>
        <v>36676786101513</v>
      </c>
      <c r="F5795" s="8">
        <v>319</v>
      </c>
      <c r="G5795" s="8">
        <v>6927</v>
      </c>
      <c r="H5795" s="8">
        <v>1024</v>
      </c>
      <c r="I5795" s="8">
        <v>5084</v>
      </c>
    </row>
    <row r="5796" spans="1:9" x14ac:dyDescent="0.2">
      <c r="A5796" t="s">
        <v>1202</v>
      </c>
      <c r="B5796" t="s">
        <v>1216</v>
      </c>
      <c r="C5796" t="str">
        <f t="shared" si="282"/>
        <v>36676780000000</v>
      </c>
      <c r="D5796" t="s">
        <v>7105</v>
      </c>
      <c r="E5796" t="str">
        <f>"36676786098347"</f>
        <v>36676786098347</v>
      </c>
      <c r="F5796" s="8">
        <v>260</v>
      </c>
      <c r="G5796" s="8">
        <v>6736</v>
      </c>
      <c r="H5796" s="8">
        <v>1024</v>
      </c>
      <c r="I5796" s="8">
        <v>5084</v>
      </c>
    </row>
    <row r="5797" spans="1:9" x14ac:dyDescent="0.2">
      <c r="A5797" t="s">
        <v>1202</v>
      </c>
      <c r="B5797" t="s">
        <v>1216</v>
      </c>
      <c r="C5797" t="str">
        <f t="shared" si="282"/>
        <v>36676780000000</v>
      </c>
      <c r="D5797" t="s">
        <v>3714</v>
      </c>
      <c r="E5797" t="str">
        <f>"36676780110726"</f>
        <v>36676780110726</v>
      </c>
      <c r="F5797" s="8">
        <v>169</v>
      </c>
      <c r="G5797" s="8">
        <v>6581</v>
      </c>
      <c r="H5797" s="8">
        <v>1024</v>
      </c>
      <c r="I5797" s="8">
        <v>5084</v>
      </c>
    </row>
    <row r="5798" spans="1:9" x14ac:dyDescent="0.2">
      <c r="A5798" t="s">
        <v>1202</v>
      </c>
      <c r="B5798" t="s">
        <v>1216</v>
      </c>
      <c r="C5798" t="str">
        <f t="shared" si="282"/>
        <v>36676780000000</v>
      </c>
      <c r="D5798" t="s">
        <v>7106</v>
      </c>
      <c r="E5798" t="str">
        <f>"36676786108195"</f>
        <v>36676786108195</v>
      </c>
      <c r="F5798" s="8">
        <v>14</v>
      </c>
      <c r="G5798" s="8">
        <v>6638</v>
      </c>
      <c r="H5798" s="8">
        <v>1024</v>
      </c>
      <c r="I5798" s="8">
        <v>5084</v>
      </c>
    </row>
    <row r="5799" spans="1:9" x14ac:dyDescent="0.2">
      <c r="A5799" t="s">
        <v>1202</v>
      </c>
      <c r="B5799" t="s">
        <v>1216</v>
      </c>
      <c r="C5799" t="str">
        <f t="shared" si="282"/>
        <v>36676780000000</v>
      </c>
      <c r="D5799" t="s">
        <v>7107</v>
      </c>
      <c r="E5799" t="str">
        <f>"36676783631017"</f>
        <v>36676783631017</v>
      </c>
      <c r="F5799" s="8">
        <v>23</v>
      </c>
      <c r="G5799" s="8">
        <v>6588</v>
      </c>
      <c r="H5799" s="8">
        <v>1024</v>
      </c>
      <c r="I5799" s="8">
        <v>5084</v>
      </c>
    </row>
    <row r="5800" spans="1:9" x14ac:dyDescent="0.2">
      <c r="A5800" t="s">
        <v>1202</v>
      </c>
      <c r="B5800" t="s">
        <v>1216</v>
      </c>
      <c r="C5800" t="str">
        <f t="shared" si="282"/>
        <v>36676780000000</v>
      </c>
      <c r="D5800" t="s">
        <v>7108</v>
      </c>
      <c r="E5800" t="str">
        <f>"36676786111710"</f>
        <v>36676786111710</v>
      </c>
      <c r="F5800" s="8">
        <v>18</v>
      </c>
      <c r="G5800" s="8">
        <v>6565</v>
      </c>
      <c r="H5800" s="8">
        <v>1024</v>
      </c>
      <c r="I5800" s="8">
        <v>5084</v>
      </c>
    </row>
    <row r="5801" spans="1:9" x14ac:dyDescent="0.2">
      <c r="A5801" t="s">
        <v>1202</v>
      </c>
      <c r="B5801" t="s">
        <v>1216</v>
      </c>
      <c r="C5801" t="str">
        <f t="shared" si="282"/>
        <v>36676780000000</v>
      </c>
      <c r="D5801" t="s">
        <v>7109</v>
      </c>
      <c r="E5801" t="str">
        <f>"36676786105712"</f>
        <v>36676786105712</v>
      </c>
      <c r="F5801" s="8">
        <v>14</v>
      </c>
      <c r="G5801" s="8">
        <v>6439</v>
      </c>
      <c r="H5801" s="8">
        <v>1024</v>
      </c>
      <c r="I5801" s="8">
        <v>5084</v>
      </c>
    </row>
    <row r="5802" spans="1:9" x14ac:dyDescent="0.2">
      <c r="A5802" t="s">
        <v>1202</v>
      </c>
      <c r="B5802" t="s">
        <v>1216</v>
      </c>
      <c r="C5802" t="str">
        <f t="shared" si="282"/>
        <v>36676780000000</v>
      </c>
      <c r="D5802" t="s">
        <v>6878</v>
      </c>
      <c r="E5802" t="str">
        <f>"36676786107270"</f>
        <v>36676786107270</v>
      </c>
      <c r="F5802" s="8">
        <v>19</v>
      </c>
      <c r="G5802" s="8">
        <v>6352</v>
      </c>
      <c r="H5802" s="8">
        <v>1024</v>
      </c>
      <c r="I5802" s="8">
        <v>5084</v>
      </c>
    </row>
    <row r="5803" spans="1:9" x14ac:dyDescent="0.2">
      <c r="A5803" t="s">
        <v>1202</v>
      </c>
      <c r="B5803" t="s">
        <v>1216</v>
      </c>
      <c r="C5803" t="str">
        <f t="shared" si="282"/>
        <v>36676780000000</v>
      </c>
      <c r="D5803" t="s">
        <v>7110</v>
      </c>
      <c r="E5803" t="str">
        <f>"36676783630522"</f>
        <v>36676783630522</v>
      </c>
      <c r="F5803" s="8">
        <v>35</v>
      </c>
      <c r="G5803" s="8">
        <v>6306</v>
      </c>
      <c r="H5803" s="8">
        <v>1024</v>
      </c>
      <c r="I5803" s="8">
        <v>5084</v>
      </c>
    </row>
    <row r="5804" spans="1:9" x14ac:dyDescent="0.2">
      <c r="A5804" t="s">
        <v>1202</v>
      </c>
      <c r="B5804" t="s">
        <v>1216</v>
      </c>
      <c r="C5804" t="str">
        <f t="shared" si="282"/>
        <v>36676780000000</v>
      </c>
      <c r="D5804" t="s">
        <v>7111</v>
      </c>
      <c r="E5804" t="str">
        <f>"36676786109813"</f>
        <v>36676786109813</v>
      </c>
      <c r="F5804" s="8">
        <v>24</v>
      </c>
      <c r="G5804" s="8">
        <v>6222</v>
      </c>
      <c r="H5804" s="8">
        <v>1024</v>
      </c>
      <c r="I5804" s="8">
        <v>5084</v>
      </c>
    </row>
    <row r="5805" spans="1:9" x14ac:dyDescent="0.2">
      <c r="A5805" t="s">
        <v>1202</v>
      </c>
      <c r="B5805" t="s">
        <v>1216</v>
      </c>
      <c r="C5805" t="str">
        <f t="shared" si="282"/>
        <v>36676780000000</v>
      </c>
      <c r="D5805" t="s">
        <v>7112</v>
      </c>
      <c r="E5805" t="str">
        <f>"36676786108666"</f>
        <v>36676786108666</v>
      </c>
      <c r="F5805" s="8">
        <v>14</v>
      </c>
      <c r="G5805" s="8">
        <v>6159</v>
      </c>
      <c r="H5805" s="8">
        <v>1024</v>
      </c>
      <c r="I5805" s="8">
        <v>5084</v>
      </c>
    </row>
    <row r="5806" spans="1:9" x14ac:dyDescent="0.2">
      <c r="A5806" t="s">
        <v>1202</v>
      </c>
      <c r="B5806" t="s">
        <v>1216</v>
      </c>
      <c r="C5806" t="str">
        <f t="shared" si="282"/>
        <v>36676780000000</v>
      </c>
      <c r="D5806" t="s">
        <v>7113</v>
      </c>
      <c r="E5806" t="str">
        <f>"36676786106611"</f>
        <v>36676786106611</v>
      </c>
      <c r="F5806" s="8">
        <v>17</v>
      </c>
      <c r="G5806" s="8">
        <v>6124</v>
      </c>
      <c r="H5806" s="8">
        <v>1024</v>
      </c>
      <c r="I5806" s="8">
        <v>5084</v>
      </c>
    </row>
    <row r="5807" spans="1:9" x14ac:dyDescent="0.2">
      <c r="A5807" t="s">
        <v>1202</v>
      </c>
      <c r="B5807" t="s">
        <v>1216</v>
      </c>
      <c r="C5807" t="str">
        <f t="shared" si="282"/>
        <v>36676780000000</v>
      </c>
      <c r="D5807" t="s">
        <v>7114</v>
      </c>
      <c r="E5807" t="str">
        <f>"36676780100578"</f>
        <v>36676780100578</v>
      </c>
      <c r="F5807" s="8">
        <v>16</v>
      </c>
      <c r="G5807" s="8">
        <v>5777</v>
      </c>
      <c r="H5807" s="8">
        <v>1024</v>
      </c>
      <c r="I5807" s="8">
        <v>5084</v>
      </c>
    </row>
    <row r="5808" spans="1:9" x14ac:dyDescent="0.2">
      <c r="A5808" t="s">
        <v>1202</v>
      </c>
      <c r="B5808" t="s">
        <v>1216</v>
      </c>
      <c r="C5808" t="str">
        <f t="shared" si="282"/>
        <v>36676780000000</v>
      </c>
      <c r="D5808" t="s">
        <v>7115</v>
      </c>
      <c r="E5808" t="str">
        <f>"36676780100586"</f>
        <v>36676780100586</v>
      </c>
      <c r="F5808" s="8">
        <v>15</v>
      </c>
      <c r="G5808" s="8">
        <v>5778</v>
      </c>
      <c r="H5808" s="8">
        <v>1024</v>
      </c>
      <c r="I5808" s="8">
        <v>5084</v>
      </c>
    </row>
    <row r="5809" spans="1:9" x14ac:dyDescent="0.2">
      <c r="A5809" t="s">
        <v>1202</v>
      </c>
      <c r="B5809" t="s">
        <v>1216</v>
      </c>
      <c r="C5809" t="str">
        <f t="shared" si="282"/>
        <v>36676780000000</v>
      </c>
      <c r="D5809" t="s">
        <v>7116</v>
      </c>
      <c r="E5809" t="str">
        <f>"36676780120329"</f>
        <v>36676780120329</v>
      </c>
      <c r="F5809" s="8">
        <v>10</v>
      </c>
      <c r="G5809" s="8">
        <v>5759</v>
      </c>
      <c r="H5809" s="8">
        <v>1024</v>
      </c>
      <c r="I5809" s="8">
        <v>5084</v>
      </c>
    </row>
    <row r="5810" spans="1:9" x14ac:dyDescent="0.2">
      <c r="A5810" t="s">
        <v>1202</v>
      </c>
      <c r="B5810" t="s">
        <v>1217</v>
      </c>
      <c r="C5810" t="str">
        <f t="shared" ref="C5810:C5836" si="283">"36676860000000"</f>
        <v>36676860000000</v>
      </c>
      <c r="D5810" t="s">
        <v>2146</v>
      </c>
      <c r="E5810" t="str">
        <f>"36676863630399"</f>
        <v>36676863630399</v>
      </c>
      <c r="F5810" s="8">
        <v>1129</v>
      </c>
      <c r="G5810" s="8">
        <v>35003</v>
      </c>
      <c r="H5810" s="8">
        <v>793</v>
      </c>
      <c r="I5810" s="8">
        <v>3368</v>
      </c>
    </row>
    <row r="5811" spans="1:9" x14ac:dyDescent="0.2">
      <c r="A5811" t="s">
        <v>1202</v>
      </c>
      <c r="B5811" t="s">
        <v>1217</v>
      </c>
      <c r="C5811" t="str">
        <f t="shared" si="283"/>
        <v>36676860000000</v>
      </c>
      <c r="D5811" t="s">
        <v>7117</v>
      </c>
      <c r="E5811" t="str">
        <f>"36676863636131"</f>
        <v>36676863636131</v>
      </c>
      <c r="F5811" s="8">
        <v>297</v>
      </c>
      <c r="G5811" s="8">
        <v>10875</v>
      </c>
      <c r="H5811" s="8">
        <v>793</v>
      </c>
      <c r="I5811" s="8">
        <v>3367</v>
      </c>
    </row>
    <row r="5812" spans="1:9" x14ac:dyDescent="0.2">
      <c r="A5812" t="s">
        <v>1202</v>
      </c>
      <c r="B5812" t="s">
        <v>1217</v>
      </c>
      <c r="C5812" t="str">
        <f t="shared" si="283"/>
        <v>36676860000000</v>
      </c>
      <c r="D5812" t="s">
        <v>7118</v>
      </c>
      <c r="E5812" t="str">
        <f>"36676866059380"</f>
        <v>36676866059380</v>
      </c>
      <c r="F5812" s="8">
        <v>580</v>
      </c>
      <c r="G5812" s="8">
        <v>10011</v>
      </c>
      <c r="H5812" s="8">
        <v>793</v>
      </c>
      <c r="I5812" s="8">
        <v>3367</v>
      </c>
    </row>
    <row r="5813" spans="1:9" x14ac:dyDescent="0.2">
      <c r="A5813" t="s">
        <v>1202</v>
      </c>
      <c r="B5813" t="s">
        <v>1217</v>
      </c>
      <c r="C5813" t="str">
        <f t="shared" si="283"/>
        <v>36676860000000</v>
      </c>
      <c r="D5813" t="s">
        <v>7119</v>
      </c>
      <c r="E5813" t="str">
        <f>"36676866111108"</f>
        <v>36676866111108</v>
      </c>
      <c r="F5813" s="8">
        <v>1398</v>
      </c>
      <c r="G5813" s="8">
        <v>8573</v>
      </c>
      <c r="H5813" s="8">
        <v>793</v>
      </c>
      <c r="I5813" s="8">
        <v>3367</v>
      </c>
    </row>
    <row r="5814" spans="1:9" x14ac:dyDescent="0.2">
      <c r="A5814" t="s">
        <v>1202</v>
      </c>
      <c r="B5814" t="s">
        <v>1217</v>
      </c>
      <c r="C5814" t="str">
        <f t="shared" si="283"/>
        <v>36676860000000</v>
      </c>
      <c r="D5814" t="s">
        <v>7120</v>
      </c>
      <c r="E5814" t="str">
        <f>"36676866035620"</f>
        <v>36676866035620</v>
      </c>
      <c r="F5814" s="8">
        <v>2117</v>
      </c>
      <c r="G5814" s="8">
        <v>7305</v>
      </c>
      <c r="H5814" s="8">
        <v>793</v>
      </c>
      <c r="I5814" s="8">
        <v>3367</v>
      </c>
    </row>
    <row r="5815" spans="1:9" x14ac:dyDescent="0.2">
      <c r="A5815" t="s">
        <v>1202</v>
      </c>
      <c r="B5815" t="s">
        <v>1217</v>
      </c>
      <c r="C5815" t="str">
        <f t="shared" si="283"/>
        <v>36676860000000</v>
      </c>
      <c r="D5815" t="s">
        <v>7121</v>
      </c>
      <c r="E5815" t="str">
        <f>"36676863632742"</f>
        <v>36676863632742</v>
      </c>
      <c r="F5815" s="8">
        <v>838</v>
      </c>
      <c r="G5815" s="8">
        <v>8524</v>
      </c>
      <c r="H5815" s="8">
        <v>793</v>
      </c>
      <c r="I5815" s="8">
        <v>3367</v>
      </c>
    </row>
    <row r="5816" spans="1:9" x14ac:dyDescent="0.2">
      <c r="A5816" t="s">
        <v>1202</v>
      </c>
      <c r="B5816" t="s">
        <v>1217</v>
      </c>
      <c r="C5816" t="str">
        <f t="shared" si="283"/>
        <v>36676860000000</v>
      </c>
      <c r="D5816" t="s">
        <v>7122</v>
      </c>
      <c r="E5816" t="str">
        <f>"36676866107452"</f>
        <v>36676866107452</v>
      </c>
      <c r="F5816" s="8">
        <v>1854</v>
      </c>
      <c r="G5816" s="8">
        <v>7378</v>
      </c>
      <c r="H5816" s="8">
        <v>791</v>
      </c>
      <c r="I5816" s="8">
        <v>3360</v>
      </c>
    </row>
    <row r="5817" spans="1:9" x14ac:dyDescent="0.2">
      <c r="A5817" t="s">
        <v>1202</v>
      </c>
      <c r="B5817" t="s">
        <v>1217</v>
      </c>
      <c r="C5817" t="str">
        <f t="shared" si="283"/>
        <v>36676860000000</v>
      </c>
      <c r="D5817" t="s">
        <v>7123</v>
      </c>
      <c r="E5817" t="str">
        <f>"36676860125500"</f>
        <v>36676860125500</v>
      </c>
      <c r="F5817" s="8">
        <v>471</v>
      </c>
      <c r="G5817" s="8">
        <v>8721</v>
      </c>
      <c r="H5817" s="8">
        <v>793</v>
      </c>
      <c r="I5817" s="8">
        <v>3367</v>
      </c>
    </row>
    <row r="5818" spans="1:9" x14ac:dyDescent="0.2">
      <c r="A5818" t="s">
        <v>1202</v>
      </c>
      <c r="B5818" t="s">
        <v>1217</v>
      </c>
      <c r="C5818" t="str">
        <f t="shared" si="283"/>
        <v>36676860000000</v>
      </c>
      <c r="D5818" t="s">
        <v>7124</v>
      </c>
      <c r="E5818" t="str">
        <f>"36676866110142"</f>
        <v>36676866110142</v>
      </c>
      <c r="F5818" s="8">
        <v>1415</v>
      </c>
      <c r="G5818" s="8">
        <v>7447</v>
      </c>
      <c r="H5818" s="8">
        <v>793</v>
      </c>
      <c r="I5818" s="8">
        <v>3367</v>
      </c>
    </row>
    <row r="5819" spans="1:9" x14ac:dyDescent="0.2">
      <c r="A5819" t="s">
        <v>1202</v>
      </c>
      <c r="B5819" t="s">
        <v>1217</v>
      </c>
      <c r="C5819" t="str">
        <f t="shared" si="283"/>
        <v>36676860000000</v>
      </c>
      <c r="D5819" t="s">
        <v>7125</v>
      </c>
      <c r="E5819" t="str">
        <f>"36676866108831"</f>
        <v>36676866108831</v>
      </c>
      <c r="F5819" s="8">
        <v>2227</v>
      </c>
      <c r="G5819" s="8">
        <v>6633</v>
      </c>
      <c r="H5819" s="8">
        <v>793</v>
      </c>
      <c r="I5819" s="8">
        <v>3367</v>
      </c>
    </row>
    <row r="5820" spans="1:9" x14ac:dyDescent="0.2">
      <c r="A5820" t="s">
        <v>1202</v>
      </c>
      <c r="B5820" t="s">
        <v>1217</v>
      </c>
      <c r="C5820" t="str">
        <f t="shared" si="283"/>
        <v>36676860000000</v>
      </c>
      <c r="D5820" t="s">
        <v>3043</v>
      </c>
      <c r="E5820" t="str">
        <f>"36676866035745"</f>
        <v>36676866035745</v>
      </c>
      <c r="F5820" s="8">
        <v>2175</v>
      </c>
      <c r="G5820" s="8">
        <v>6677</v>
      </c>
      <c r="H5820" s="8">
        <v>793</v>
      </c>
      <c r="I5820" s="8">
        <v>3367</v>
      </c>
    </row>
    <row r="5821" spans="1:9" x14ac:dyDescent="0.2">
      <c r="A5821" t="s">
        <v>1202</v>
      </c>
      <c r="B5821" t="s">
        <v>1217</v>
      </c>
      <c r="C5821" t="str">
        <f t="shared" si="283"/>
        <v>36676860000000</v>
      </c>
      <c r="D5821" t="s">
        <v>3684</v>
      </c>
      <c r="E5821" t="str">
        <f>"36676866035661"</f>
        <v>36676866035661</v>
      </c>
      <c r="F5821" s="8">
        <v>2433</v>
      </c>
      <c r="G5821" s="8">
        <v>6407</v>
      </c>
      <c r="H5821" s="8">
        <v>793</v>
      </c>
      <c r="I5821" s="8">
        <v>3367</v>
      </c>
    </row>
    <row r="5822" spans="1:9" x14ac:dyDescent="0.2">
      <c r="A5822" t="s">
        <v>1202</v>
      </c>
      <c r="B5822" t="s">
        <v>1217</v>
      </c>
      <c r="C5822" t="str">
        <f t="shared" si="283"/>
        <v>36676860000000</v>
      </c>
      <c r="D5822" t="s">
        <v>7126</v>
      </c>
      <c r="E5822" t="str">
        <f>"36676866113633"</f>
        <v>36676866113633</v>
      </c>
      <c r="F5822" s="8">
        <v>756</v>
      </c>
      <c r="G5822" s="8">
        <v>8049</v>
      </c>
      <c r="H5822" s="8">
        <v>793</v>
      </c>
      <c r="I5822" s="8">
        <v>3367</v>
      </c>
    </row>
    <row r="5823" spans="1:9" x14ac:dyDescent="0.2">
      <c r="A5823" t="s">
        <v>1202</v>
      </c>
      <c r="B5823" t="s">
        <v>1217</v>
      </c>
      <c r="C5823" t="str">
        <f t="shared" si="283"/>
        <v>36676860000000</v>
      </c>
      <c r="D5823" t="s">
        <v>7127</v>
      </c>
      <c r="E5823" t="str">
        <f>"36676866035687"</f>
        <v>36676866035687</v>
      </c>
      <c r="F5823" s="8">
        <v>996</v>
      </c>
      <c r="G5823" s="8">
        <v>7789</v>
      </c>
      <c r="H5823" s="8">
        <v>793</v>
      </c>
      <c r="I5823" s="8">
        <v>3367</v>
      </c>
    </row>
    <row r="5824" spans="1:9" x14ac:dyDescent="0.2">
      <c r="A5824" t="s">
        <v>1202</v>
      </c>
      <c r="B5824" t="s">
        <v>1217</v>
      </c>
      <c r="C5824" t="str">
        <f t="shared" si="283"/>
        <v>36676860000000</v>
      </c>
      <c r="D5824" t="s">
        <v>7128</v>
      </c>
      <c r="E5824" t="str">
        <f>"36676863631322"</f>
        <v>36676863631322</v>
      </c>
      <c r="F5824" s="8">
        <v>718</v>
      </c>
      <c r="G5824" s="8">
        <v>7975</v>
      </c>
      <c r="H5824" s="8">
        <v>793</v>
      </c>
      <c r="I5824" s="8">
        <v>3367</v>
      </c>
    </row>
    <row r="5825" spans="1:9" x14ac:dyDescent="0.2">
      <c r="A5825" t="s">
        <v>1202</v>
      </c>
      <c r="B5825" t="s">
        <v>1217</v>
      </c>
      <c r="C5825" t="str">
        <f t="shared" si="283"/>
        <v>36676860000000</v>
      </c>
      <c r="D5825" t="s">
        <v>7129</v>
      </c>
      <c r="E5825" t="str">
        <f>"36676866120422"</f>
        <v>36676866120422</v>
      </c>
      <c r="F5825" s="8">
        <v>1649</v>
      </c>
      <c r="G5825" s="8">
        <v>6938</v>
      </c>
      <c r="H5825" s="8">
        <v>793</v>
      </c>
      <c r="I5825" s="8">
        <v>3367</v>
      </c>
    </row>
    <row r="5826" spans="1:9" x14ac:dyDescent="0.2">
      <c r="A5826" t="s">
        <v>1202</v>
      </c>
      <c r="B5826" t="s">
        <v>1217</v>
      </c>
      <c r="C5826" t="str">
        <f t="shared" si="283"/>
        <v>36676860000000</v>
      </c>
      <c r="D5826" t="s">
        <v>7130</v>
      </c>
      <c r="E5826" t="str">
        <f>"36676866035653"</f>
        <v>36676866035653</v>
      </c>
      <c r="F5826" s="8">
        <v>1412</v>
      </c>
      <c r="G5826" s="8">
        <v>7077</v>
      </c>
      <c r="H5826" s="8">
        <v>793</v>
      </c>
      <c r="I5826" s="8">
        <v>3367</v>
      </c>
    </row>
    <row r="5827" spans="1:9" x14ac:dyDescent="0.2">
      <c r="A5827" t="s">
        <v>1202</v>
      </c>
      <c r="B5827" t="s">
        <v>1217</v>
      </c>
      <c r="C5827" t="str">
        <f t="shared" si="283"/>
        <v>36676860000000</v>
      </c>
      <c r="D5827" t="s">
        <v>7131</v>
      </c>
      <c r="E5827" t="str">
        <f>"36676866061857"</f>
        <v>36676866061857</v>
      </c>
      <c r="F5827" s="8">
        <v>699</v>
      </c>
      <c r="G5827" s="8">
        <v>7748</v>
      </c>
      <c r="H5827" s="8">
        <v>793</v>
      </c>
      <c r="I5827" s="8">
        <v>3367</v>
      </c>
    </row>
    <row r="5828" spans="1:9" x14ac:dyDescent="0.2">
      <c r="A5828" t="s">
        <v>1202</v>
      </c>
      <c r="B5828" t="s">
        <v>1217</v>
      </c>
      <c r="C5828" t="str">
        <f t="shared" si="283"/>
        <v>36676860000000</v>
      </c>
      <c r="D5828" t="s">
        <v>3092</v>
      </c>
      <c r="E5828" t="str">
        <f>"36676866101034"</f>
        <v>36676866101034</v>
      </c>
      <c r="F5828" s="8">
        <v>1850</v>
      </c>
      <c r="G5828" s="8">
        <v>6530</v>
      </c>
      <c r="H5828" s="8">
        <v>793</v>
      </c>
      <c r="I5828" s="8">
        <v>3367</v>
      </c>
    </row>
    <row r="5829" spans="1:9" x14ac:dyDescent="0.2">
      <c r="A5829" t="s">
        <v>1202</v>
      </c>
      <c r="B5829" t="s">
        <v>1217</v>
      </c>
      <c r="C5829" t="str">
        <f t="shared" si="283"/>
        <v>36676860000000</v>
      </c>
      <c r="D5829" t="s">
        <v>7132</v>
      </c>
      <c r="E5829" t="str">
        <f>"36676866035679"</f>
        <v>36676866035679</v>
      </c>
      <c r="F5829" s="8">
        <v>1948</v>
      </c>
      <c r="G5829" s="8">
        <v>6419</v>
      </c>
      <c r="H5829" s="8">
        <v>793</v>
      </c>
      <c r="I5829" s="8">
        <v>3367</v>
      </c>
    </row>
    <row r="5830" spans="1:9" x14ac:dyDescent="0.2">
      <c r="A5830" t="s">
        <v>1202</v>
      </c>
      <c r="B5830" t="s">
        <v>1217</v>
      </c>
      <c r="C5830" t="str">
        <f t="shared" si="283"/>
        <v>36676860000000</v>
      </c>
      <c r="D5830" t="s">
        <v>7133</v>
      </c>
      <c r="E5830" t="str">
        <f>"36676866035638"</f>
        <v>36676866035638</v>
      </c>
      <c r="F5830" s="8">
        <v>1142</v>
      </c>
      <c r="G5830" s="8">
        <v>7135</v>
      </c>
      <c r="H5830" s="8">
        <v>793</v>
      </c>
      <c r="I5830" s="8">
        <v>3367</v>
      </c>
    </row>
    <row r="5831" spans="1:9" x14ac:dyDescent="0.2">
      <c r="A5831" t="s">
        <v>1202</v>
      </c>
      <c r="B5831" t="s">
        <v>1217</v>
      </c>
      <c r="C5831" t="str">
        <f t="shared" si="283"/>
        <v>36676860000000</v>
      </c>
      <c r="D5831" t="s">
        <v>7134</v>
      </c>
      <c r="E5831" t="str">
        <f>"36676866035703"</f>
        <v>36676866035703</v>
      </c>
      <c r="F5831" s="8">
        <v>573</v>
      </c>
      <c r="G5831" s="8">
        <v>7647</v>
      </c>
      <c r="H5831" s="8">
        <v>793</v>
      </c>
      <c r="I5831" s="8">
        <v>3367</v>
      </c>
    </row>
    <row r="5832" spans="1:9" x14ac:dyDescent="0.2">
      <c r="A5832" t="s">
        <v>1202</v>
      </c>
      <c r="B5832" t="s">
        <v>1217</v>
      </c>
      <c r="C5832" t="str">
        <f t="shared" si="283"/>
        <v>36676860000000</v>
      </c>
      <c r="D5832" t="s">
        <v>7135</v>
      </c>
      <c r="E5832" t="str">
        <f>"36676866035729"</f>
        <v>36676866035729</v>
      </c>
      <c r="F5832" s="8">
        <v>1913</v>
      </c>
      <c r="G5832" s="8">
        <v>6298</v>
      </c>
      <c r="H5832" s="8">
        <v>793</v>
      </c>
      <c r="I5832" s="8">
        <v>3367</v>
      </c>
    </row>
    <row r="5833" spans="1:9" x14ac:dyDescent="0.2">
      <c r="A5833" t="s">
        <v>1202</v>
      </c>
      <c r="B5833" t="s">
        <v>1217</v>
      </c>
      <c r="C5833" t="str">
        <f t="shared" si="283"/>
        <v>36676860000000</v>
      </c>
      <c r="D5833" t="s">
        <v>3863</v>
      </c>
      <c r="E5833" t="str">
        <f>"36676866035646"</f>
        <v>36676866035646</v>
      </c>
      <c r="F5833" s="8">
        <v>1570</v>
      </c>
      <c r="G5833" s="8">
        <v>6263</v>
      </c>
      <c r="H5833" s="8">
        <v>793</v>
      </c>
      <c r="I5833" s="8">
        <v>3367</v>
      </c>
    </row>
    <row r="5834" spans="1:9" x14ac:dyDescent="0.2">
      <c r="A5834" t="s">
        <v>1202</v>
      </c>
      <c r="B5834" t="s">
        <v>1217</v>
      </c>
      <c r="C5834" t="str">
        <f t="shared" si="283"/>
        <v>36676860000000</v>
      </c>
      <c r="D5834" t="s">
        <v>7136</v>
      </c>
      <c r="E5834" t="str">
        <f>"36676866035604"</f>
        <v>36676866035604</v>
      </c>
      <c r="F5834" s="8">
        <v>801</v>
      </c>
      <c r="G5834" s="8">
        <v>7027</v>
      </c>
      <c r="H5834" s="8">
        <v>793</v>
      </c>
      <c r="I5834" s="8">
        <v>3367</v>
      </c>
    </row>
    <row r="5835" spans="1:9" x14ac:dyDescent="0.2">
      <c r="A5835" t="s">
        <v>1202</v>
      </c>
      <c r="B5835" t="s">
        <v>1217</v>
      </c>
      <c r="C5835" t="str">
        <f t="shared" si="283"/>
        <v>36676860000000</v>
      </c>
      <c r="D5835" t="s">
        <v>7137</v>
      </c>
      <c r="E5835" t="str">
        <f>"36676866035612"</f>
        <v>36676866035612</v>
      </c>
      <c r="F5835" s="8">
        <v>1033</v>
      </c>
      <c r="G5835" s="8">
        <v>6666</v>
      </c>
      <c r="H5835" s="8">
        <v>793</v>
      </c>
      <c r="I5835" s="8">
        <v>3367</v>
      </c>
    </row>
    <row r="5836" spans="1:9" x14ac:dyDescent="0.2">
      <c r="A5836" t="s">
        <v>1202</v>
      </c>
      <c r="B5836" t="s">
        <v>1217</v>
      </c>
      <c r="C5836" t="str">
        <f t="shared" si="283"/>
        <v>36676860000000</v>
      </c>
      <c r="D5836" t="s">
        <v>7138</v>
      </c>
      <c r="E5836" t="str">
        <f>"36676866035711"</f>
        <v>36676866035711</v>
      </c>
      <c r="F5836" s="8">
        <v>981</v>
      </c>
      <c r="G5836" s="8">
        <v>6234</v>
      </c>
      <c r="H5836" s="8">
        <v>793</v>
      </c>
      <c r="I5836" s="8">
        <v>3367</v>
      </c>
    </row>
    <row r="5837" spans="1:9" x14ac:dyDescent="0.2">
      <c r="A5837" t="s">
        <v>1202</v>
      </c>
      <c r="B5837" t="s">
        <v>1218</v>
      </c>
      <c r="C5837" t="str">
        <f>"36676940000000"</f>
        <v>36676940000000</v>
      </c>
      <c r="D5837" t="s">
        <v>7139</v>
      </c>
      <c r="E5837" t="str">
        <f>"36676946097646"</f>
        <v>36676946097646</v>
      </c>
      <c r="F5837" s="8">
        <v>330</v>
      </c>
      <c r="G5837" s="8">
        <v>7856</v>
      </c>
      <c r="H5837" s="8">
        <v>1158</v>
      </c>
      <c r="I5837" s="8">
        <v>5666</v>
      </c>
    </row>
    <row r="5838" spans="1:9" x14ac:dyDescent="0.2">
      <c r="A5838" t="s">
        <v>1202</v>
      </c>
      <c r="B5838" t="s">
        <v>1218</v>
      </c>
      <c r="C5838" t="str">
        <f>"36676940000000"</f>
        <v>36676940000000</v>
      </c>
      <c r="D5838" t="s">
        <v>7140</v>
      </c>
      <c r="E5838" t="str">
        <f>"36676946109185"</f>
        <v>36676946109185</v>
      </c>
      <c r="F5838" s="8">
        <v>454</v>
      </c>
      <c r="G5838" s="8">
        <v>7350</v>
      </c>
      <c r="H5838" s="8">
        <v>1158</v>
      </c>
      <c r="I5838" s="8">
        <v>5666</v>
      </c>
    </row>
    <row r="5839" spans="1:9" x14ac:dyDescent="0.2">
      <c r="A5839" t="s">
        <v>1202</v>
      </c>
      <c r="B5839" t="s">
        <v>1218</v>
      </c>
      <c r="C5839" t="str">
        <f>"36676940000000"</f>
        <v>36676940000000</v>
      </c>
      <c r="D5839" t="s">
        <v>1218</v>
      </c>
      <c r="E5839" t="str">
        <f>"36676946035752"</f>
        <v>36676946035752</v>
      </c>
      <c r="F5839" s="8">
        <v>650</v>
      </c>
      <c r="G5839" s="8">
        <v>6920</v>
      </c>
      <c r="H5839" s="8">
        <v>1158</v>
      </c>
      <c r="I5839" s="8">
        <v>5666</v>
      </c>
    </row>
    <row r="5840" spans="1:9" x14ac:dyDescent="0.2">
      <c r="A5840" t="s">
        <v>1202</v>
      </c>
      <c r="B5840" t="s">
        <v>1218</v>
      </c>
      <c r="C5840" t="str">
        <f>"36676940000000"</f>
        <v>36676940000000</v>
      </c>
      <c r="D5840" t="s">
        <v>7141</v>
      </c>
      <c r="E5840" t="str">
        <f>"36676946035760"</f>
        <v>36676946035760</v>
      </c>
      <c r="F5840" s="8">
        <v>453</v>
      </c>
      <c r="G5840" s="8">
        <v>6337</v>
      </c>
      <c r="H5840" s="8">
        <v>1158</v>
      </c>
      <c r="I5840" s="8">
        <v>5666</v>
      </c>
    </row>
    <row r="5841" spans="1:9" x14ac:dyDescent="0.2">
      <c r="A5841" t="s">
        <v>1202</v>
      </c>
      <c r="B5841" t="s">
        <v>1224</v>
      </c>
      <c r="C5841" t="str">
        <f t="shared" ref="C5841:C5858" si="284">"36677020000000"</f>
        <v>36677020000000</v>
      </c>
      <c r="D5841" t="s">
        <v>7142</v>
      </c>
      <c r="E5841" t="str">
        <f>"36677020135293"</f>
        <v>36677020135293</v>
      </c>
      <c r="F5841" s="8">
        <v>7</v>
      </c>
      <c r="G5841" s="8">
        <v>7893</v>
      </c>
      <c r="H5841" s="8">
        <v>1008</v>
      </c>
      <c r="I5841" s="8">
        <v>3269</v>
      </c>
    </row>
    <row r="5842" spans="1:9" x14ac:dyDescent="0.2">
      <c r="A5842" t="s">
        <v>1202</v>
      </c>
      <c r="B5842" t="s">
        <v>1224</v>
      </c>
      <c r="C5842" t="str">
        <f t="shared" si="284"/>
        <v>36677020000000</v>
      </c>
      <c r="D5842" t="s">
        <v>7143</v>
      </c>
      <c r="E5842" t="str">
        <f>"36677026108005"</f>
        <v>36677026108005</v>
      </c>
      <c r="F5842" s="8">
        <v>283</v>
      </c>
      <c r="G5842" s="8">
        <v>6705</v>
      </c>
      <c r="H5842" s="8">
        <v>1008</v>
      </c>
      <c r="I5842" s="8">
        <v>3269</v>
      </c>
    </row>
    <row r="5843" spans="1:9" x14ac:dyDescent="0.2">
      <c r="A5843" t="s">
        <v>1202</v>
      </c>
      <c r="B5843" t="s">
        <v>1224</v>
      </c>
      <c r="C5843" t="str">
        <f t="shared" si="284"/>
        <v>36677020000000</v>
      </c>
      <c r="D5843" t="s">
        <v>7144</v>
      </c>
      <c r="E5843" t="str">
        <f>"36677020102939"</f>
        <v>36677020102939</v>
      </c>
      <c r="F5843" s="8">
        <v>0</v>
      </c>
      <c r="G5843" s="8">
        <v>6742</v>
      </c>
      <c r="H5843" s="8">
        <v>1008</v>
      </c>
      <c r="I5843" s="8">
        <v>3269</v>
      </c>
    </row>
    <row r="5844" spans="1:9" x14ac:dyDescent="0.2">
      <c r="A5844" t="s">
        <v>1202</v>
      </c>
      <c r="B5844" t="s">
        <v>1224</v>
      </c>
      <c r="C5844" t="str">
        <f t="shared" si="284"/>
        <v>36677020000000</v>
      </c>
      <c r="D5844" t="s">
        <v>7145</v>
      </c>
      <c r="E5844" t="str">
        <f>"36677026117519"</f>
        <v>36677026117519</v>
      </c>
      <c r="F5844" s="8">
        <v>263</v>
      </c>
      <c r="G5844" s="8">
        <v>6426</v>
      </c>
      <c r="H5844" s="8">
        <v>1008</v>
      </c>
      <c r="I5844" s="8">
        <v>3269</v>
      </c>
    </row>
    <row r="5845" spans="1:9" x14ac:dyDescent="0.2">
      <c r="A5845" t="s">
        <v>1202</v>
      </c>
      <c r="B5845" t="s">
        <v>1224</v>
      </c>
      <c r="C5845" t="str">
        <f t="shared" si="284"/>
        <v>36677020000000</v>
      </c>
      <c r="D5845" t="s">
        <v>7146</v>
      </c>
      <c r="E5845" t="str">
        <f>"36677026112130"</f>
        <v>36677026112130</v>
      </c>
      <c r="F5845" s="8">
        <v>223</v>
      </c>
      <c r="G5845" s="8">
        <v>6337</v>
      </c>
      <c r="H5845" s="8">
        <v>1008</v>
      </c>
      <c r="I5845" s="8">
        <v>3269</v>
      </c>
    </row>
    <row r="5846" spans="1:9" x14ac:dyDescent="0.2">
      <c r="A5846" t="s">
        <v>1202</v>
      </c>
      <c r="B5846" t="s">
        <v>1224</v>
      </c>
      <c r="C5846" t="str">
        <f t="shared" si="284"/>
        <v>36677020000000</v>
      </c>
      <c r="D5846" t="s">
        <v>7147</v>
      </c>
      <c r="E5846" t="str">
        <f>"36677020113688"</f>
        <v>36677020113688</v>
      </c>
      <c r="F5846" s="8">
        <v>251</v>
      </c>
      <c r="G5846" s="8">
        <v>6205</v>
      </c>
      <c r="H5846" s="8">
        <v>1008</v>
      </c>
      <c r="I5846" s="8">
        <v>3269</v>
      </c>
    </row>
    <row r="5847" spans="1:9" x14ac:dyDescent="0.2">
      <c r="A5847" t="s">
        <v>1202</v>
      </c>
      <c r="B5847" t="s">
        <v>1224</v>
      </c>
      <c r="C5847" t="str">
        <f t="shared" si="284"/>
        <v>36677020000000</v>
      </c>
      <c r="D5847" t="s">
        <v>7148</v>
      </c>
      <c r="E5847" t="str">
        <f>"36677026112114"</f>
        <v>36677026112114</v>
      </c>
      <c r="F5847" s="8">
        <v>0</v>
      </c>
      <c r="G5847" s="8">
        <v>6232</v>
      </c>
      <c r="H5847" s="8">
        <v>1008</v>
      </c>
      <c r="I5847" s="8">
        <v>3269</v>
      </c>
    </row>
    <row r="5848" spans="1:9" x14ac:dyDescent="0.2">
      <c r="A5848" t="s">
        <v>1202</v>
      </c>
      <c r="B5848" t="s">
        <v>1224</v>
      </c>
      <c r="C5848" t="str">
        <f t="shared" si="284"/>
        <v>36677020000000</v>
      </c>
      <c r="D5848" t="s">
        <v>7149</v>
      </c>
      <c r="E5848" t="str">
        <f>"36677026106595"</f>
        <v>36677026106595</v>
      </c>
      <c r="F5848" s="8">
        <v>2</v>
      </c>
      <c r="G5848" s="8">
        <v>6163</v>
      </c>
      <c r="H5848" s="8">
        <v>1008</v>
      </c>
      <c r="I5848" s="8">
        <v>3269</v>
      </c>
    </row>
    <row r="5849" spans="1:9" x14ac:dyDescent="0.2">
      <c r="A5849" t="s">
        <v>1202</v>
      </c>
      <c r="B5849" t="s">
        <v>1224</v>
      </c>
      <c r="C5849" t="str">
        <f t="shared" si="284"/>
        <v>36677020000000</v>
      </c>
      <c r="D5849" t="s">
        <v>7150</v>
      </c>
      <c r="E5849" t="str">
        <f>"36677026116263"</f>
        <v>36677026116263</v>
      </c>
      <c r="F5849" s="8">
        <v>0</v>
      </c>
      <c r="G5849" s="8">
        <v>6155</v>
      </c>
      <c r="H5849" s="8">
        <v>1008</v>
      </c>
      <c r="I5849" s="8">
        <v>3269</v>
      </c>
    </row>
    <row r="5850" spans="1:9" x14ac:dyDescent="0.2">
      <c r="A5850" t="s">
        <v>1202</v>
      </c>
      <c r="B5850" t="s">
        <v>1224</v>
      </c>
      <c r="C5850" t="str">
        <f t="shared" si="284"/>
        <v>36677020000000</v>
      </c>
      <c r="D5850" t="s">
        <v>7151</v>
      </c>
      <c r="E5850" t="str">
        <f>"36677026119622"</f>
        <v>36677026119622</v>
      </c>
      <c r="F5850" s="8">
        <v>0</v>
      </c>
      <c r="G5850" s="8">
        <v>6113</v>
      </c>
      <c r="H5850" s="8">
        <v>1008</v>
      </c>
      <c r="I5850" s="8">
        <v>3269</v>
      </c>
    </row>
    <row r="5851" spans="1:9" x14ac:dyDescent="0.2">
      <c r="A5851" t="s">
        <v>1202</v>
      </c>
      <c r="B5851" t="s">
        <v>1224</v>
      </c>
      <c r="C5851" t="str">
        <f t="shared" si="284"/>
        <v>36677020000000</v>
      </c>
      <c r="D5851" t="s">
        <v>7152</v>
      </c>
      <c r="E5851" t="str">
        <f>"36677020102947"</f>
        <v>36677020102947</v>
      </c>
      <c r="F5851" s="8">
        <v>0</v>
      </c>
      <c r="G5851" s="8">
        <v>6024</v>
      </c>
      <c r="H5851" s="8">
        <v>1008</v>
      </c>
      <c r="I5851" s="8">
        <v>3269</v>
      </c>
    </row>
    <row r="5852" spans="1:9" x14ac:dyDescent="0.2">
      <c r="A5852" t="s">
        <v>1202</v>
      </c>
      <c r="B5852" t="s">
        <v>1224</v>
      </c>
      <c r="C5852" t="str">
        <f t="shared" si="284"/>
        <v>36677020000000</v>
      </c>
      <c r="D5852" t="s">
        <v>7153</v>
      </c>
      <c r="E5852" t="str">
        <f>"36677026118467"</f>
        <v>36677026118467</v>
      </c>
      <c r="F5852" s="8">
        <v>0</v>
      </c>
      <c r="G5852" s="8">
        <v>5722</v>
      </c>
      <c r="H5852" s="8">
        <v>1008</v>
      </c>
      <c r="I5852" s="8">
        <v>3269</v>
      </c>
    </row>
    <row r="5853" spans="1:9" x14ac:dyDescent="0.2">
      <c r="A5853" t="s">
        <v>1202</v>
      </c>
      <c r="B5853" t="s">
        <v>1224</v>
      </c>
      <c r="C5853" t="str">
        <f t="shared" si="284"/>
        <v>36677020000000</v>
      </c>
      <c r="D5853" t="s">
        <v>7154</v>
      </c>
      <c r="E5853" t="str">
        <f>"36677026107569"</f>
        <v>36677026107569</v>
      </c>
      <c r="F5853" s="8">
        <v>0</v>
      </c>
      <c r="G5853" s="8">
        <v>5719</v>
      </c>
      <c r="H5853" s="8">
        <v>1008</v>
      </c>
      <c r="I5853" s="8">
        <v>3269</v>
      </c>
    </row>
    <row r="5854" spans="1:9" x14ac:dyDescent="0.2">
      <c r="A5854" t="s">
        <v>1202</v>
      </c>
      <c r="B5854" t="s">
        <v>1224</v>
      </c>
      <c r="C5854" t="str">
        <f t="shared" si="284"/>
        <v>36677020000000</v>
      </c>
      <c r="D5854" t="s">
        <v>7155</v>
      </c>
      <c r="E5854" t="str">
        <f>"36677026035786"</f>
        <v>36677026035786</v>
      </c>
      <c r="F5854" s="8">
        <v>33</v>
      </c>
      <c r="G5854" s="8">
        <v>5623</v>
      </c>
      <c r="H5854" s="8">
        <v>1008</v>
      </c>
      <c r="I5854" s="8">
        <v>3269</v>
      </c>
    </row>
    <row r="5855" spans="1:9" x14ac:dyDescent="0.2">
      <c r="A5855" t="s">
        <v>1202</v>
      </c>
      <c r="B5855" t="s">
        <v>1224</v>
      </c>
      <c r="C5855" t="str">
        <f t="shared" si="284"/>
        <v>36677020000000</v>
      </c>
      <c r="D5855" t="s">
        <v>7156</v>
      </c>
      <c r="E5855" t="str">
        <f>"36677026035778"</f>
        <v>36677026035778</v>
      </c>
      <c r="F5855" s="8">
        <v>0</v>
      </c>
      <c r="G5855" s="8">
        <v>5465</v>
      </c>
      <c r="H5855" s="8">
        <v>1008</v>
      </c>
      <c r="I5855" s="8">
        <v>3269</v>
      </c>
    </row>
    <row r="5856" spans="1:9" x14ac:dyDescent="0.2">
      <c r="A5856" t="s">
        <v>1202</v>
      </c>
      <c r="B5856" t="s">
        <v>1224</v>
      </c>
      <c r="C5856" t="str">
        <f t="shared" si="284"/>
        <v>36677020000000</v>
      </c>
      <c r="D5856" t="s">
        <v>7157</v>
      </c>
      <c r="E5856" t="str">
        <f>"36677026119630"</f>
        <v>36677026119630</v>
      </c>
      <c r="F5856" s="8">
        <v>0</v>
      </c>
      <c r="G5856" s="8">
        <v>5380</v>
      </c>
      <c r="H5856" s="8">
        <v>1008</v>
      </c>
      <c r="I5856" s="8">
        <v>3269</v>
      </c>
    </row>
    <row r="5857" spans="1:9" x14ac:dyDescent="0.2">
      <c r="A5857" t="s">
        <v>1202</v>
      </c>
      <c r="B5857" t="s">
        <v>1224</v>
      </c>
      <c r="C5857" t="str">
        <f t="shared" si="284"/>
        <v>36677020000000</v>
      </c>
      <c r="D5857" t="s">
        <v>7158</v>
      </c>
      <c r="E5857" t="str">
        <f>"36677026112122"</f>
        <v>36677026112122</v>
      </c>
      <c r="F5857" s="8">
        <v>0</v>
      </c>
      <c r="G5857" s="8">
        <v>5290</v>
      </c>
      <c r="H5857" s="8">
        <v>1008</v>
      </c>
      <c r="I5857" s="8">
        <v>3269</v>
      </c>
    </row>
    <row r="5858" spans="1:9" x14ac:dyDescent="0.2">
      <c r="A5858" t="s">
        <v>1202</v>
      </c>
      <c r="B5858" t="s">
        <v>1224</v>
      </c>
      <c r="C5858" t="str">
        <f t="shared" si="284"/>
        <v>36677020000000</v>
      </c>
      <c r="D5858" t="s">
        <v>7159</v>
      </c>
      <c r="E5858" t="str">
        <f>"36677020117382"</f>
        <v>36677020117382</v>
      </c>
      <c r="F5858" s="8">
        <v>0</v>
      </c>
      <c r="G5858" s="8">
        <v>0</v>
      </c>
      <c r="H5858" s="8">
        <v>1008</v>
      </c>
      <c r="I5858" s="8">
        <v>3269</v>
      </c>
    </row>
    <row r="5859" spans="1:9" x14ac:dyDescent="0.2">
      <c r="A5859" t="s">
        <v>1202</v>
      </c>
      <c r="B5859" t="s">
        <v>1227</v>
      </c>
      <c r="C5859" t="str">
        <f t="shared" ref="C5859:C5902" si="285">"36677100000000"</f>
        <v>36677100000000</v>
      </c>
      <c r="D5859" t="s">
        <v>7160</v>
      </c>
      <c r="E5859" t="str">
        <f>"36677100108191"</f>
        <v>36677100108191</v>
      </c>
      <c r="F5859" s="8">
        <v>9939</v>
      </c>
      <c r="G5859" s="8">
        <v>15365</v>
      </c>
      <c r="H5859" s="8">
        <v>952</v>
      </c>
      <c r="I5859" s="8">
        <v>7050</v>
      </c>
    </row>
    <row r="5860" spans="1:9" x14ac:dyDescent="0.2">
      <c r="A5860" t="s">
        <v>1202</v>
      </c>
      <c r="B5860" t="s">
        <v>1227</v>
      </c>
      <c r="C5860" t="str">
        <f t="shared" si="285"/>
        <v>36677100000000</v>
      </c>
      <c r="D5860" t="s">
        <v>7161</v>
      </c>
      <c r="E5860" t="str">
        <f>"36677103633302"</f>
        <v>36677103633302</v>
      </c>
      <c r="F5860" s="8">
        <v>9762</v>
      </c>
      <c r="G5860" s="8">
        <v>15091</v>
      </c>
      <c r="H5860" s="8">
        <v>711</v>
      </c>
      <c r="I5860" s="8">
        <v>7241</v>
      </c>
    </row>
    <row r="5861" spans="1:9" x14ac:dyDescent="0.2">
      <c r="A5861" t="s">
        <v>1202</v>
      </c>
      <c r="B5861" t="s">
        <v>1227</v>
      </c>
      <c r="C5861" t="str">
        <f t="shared" si="285"/>
        <v>36677100000000</v>
      </c>
      <c r="D5861" t="s">
        <v>7162</v>
      </c>
      <c r="E5861" t="str">
        <f>"36677103630555"</f>
        <v>36677103630555</v>
      </c>
      <c r="F5861" s="8">
        <v>8557</v>
      </c>
      <c r="G5861" s="8">
        <v>13228</v>
      </c>
      <c r="H5861" s="8">
        <v>1183</v>
      </c>
      <c r="I5861" s="8">
        <v>7611</v>
      </c>
    </row>
    <row r="5862" spans="1:9" x14ac:dyDescent="0.2">
      <c r="A5862" t="s">
        <v>1202</v>
      </c>
      <c r="B5862" t="s">
        <v>1227</v>
      </c>
      <c r="C5862" t="str">
        <f t="shared" si="285"/>
        <v>36677100000000</v>
      </c>
      <c r="D5862" t="s">
        <v>7163</v>
      </c>
      <c r="E5862" t="str">
        <f>"36677103630902"</f>
        <v>36677103630902</v>
      </c>
      <c r="F5862" s="8">
        <v>8297</v>
      </c>
      <c r="G5862" s="8">
        <v>12826</v>
      </c>
      <c r="H5862" s="8">
        <v>851</v>
      </c>
      <c r="I5862" s="8">
        <v>7795</v>
      </c>
    </row>
    <row r="5863" spans="1:9" x14ac:dyDescent="0.2">
      <c r="A5863" t="s">
        <v>1202</v>
      </c>
      <c r="B5863" t="s">
        <v>1227</v>
      </c>
      <c r="C5863" t="str">
        <f t="shared" si="285"/>
        <v>36677100000000</v>
      </c>
      <c r="D5863" t="s">
        <v>7164</v>
      </c>
      <c r="E5863" t="str">
        <f>"36677100120758"</f>
        <v>36677100120758</v>
      </c>
      <c r="F5863" s="8">
        <v>7663</v>
      </c>
      <c r="G5863" s="8">
        <v>11846</v>
      </c>
      <c r="H5863" s="8">
        <v>892</v>
      </c>
      <c r="I5863" s="8">
        <v>7195</v>
      </c>
    </row>
    <row r="5864" spans="1:9" x14ac:dyDescent="0.2">
      <c r="A5864" t="s">
        <v>1202</v>
      </c>
      <c r="B5864" t="s">
        <v>1227</v>
      </c>
      <c r="C5864" t="str">
        <f t="shared" si="285"/>
        <v>36677100000000</v>
      </c>
      <c r="D5864" t="s">
        <v>7165</v>
      </c>
      <c r="E5864" t="str">
        <f>"36677100102509"</f>
        <v>36677100102509</v>
      </c>
      <c r="F5864" s="8">
        <v>5158</v>
      </c>
      <c r="G5864" s="8">
        <v>7975</v>
      </c>
      <c r="H5864" s="8">
        <v>746</v>
      </c>
      <c r="I5864" s="8">
        <v>6002</v>
      </c>
    </row>
    <row r="5865" spans="1:9" x14ac:dyDescent="0.2">
      <c r="A5865" t="s">
        <v>1202</v>
      </c>
      <c r="B5865" t="s">
        <v>1227</v>
      </c>
      <c r="C5865" t="str">
        <f t="shared" si="285"/>
        <v>36677100000000</v>
      </c>
      <c r="D5865" t="s">
        <v>7166</v>
      </c>
      <c r="E5865" t="str">
        <f>"36677106059406"</f>
        <v>36677106059406</v>
      </c>
      <c r="F5865" s="8">
        <v>4725</v>
      </c>
      <c r="G5865" s="8">
        <v>7305</v>
      </c>
      <c r="H5865" s="8">
        <v>722</v>
      </c>
      <c r="I5865" s="8">
        <v>6040</v>
      </c>
    </row>
    <row r="5866" spans="1:9" x14ac:dyDescent="0.2">
      <c r="A5866" t="s">
        <v>1202</v>
      </c>
      <c r="B5866" t="s">
        <v>1227</v>
      </c>
      <c r="C5866" t="str">
        <f t="shared" si="285"/>
        <v>36677100000000</v>
      </c>
      <c r="D5866" t="s">
        <v>7167</v>
      </c>
      <c r="E5866" t="str">
        <f>"36677106113351"</f>
        <v>36677106113351</v>
      </c>
      <c r="F5866" s="8">
        <v>4332</v>
      </c>
      <c r="G5866" s="8">
        <v>6696</v>
      </c>
      <c r="H5866" s="8">
        <v>1091</v>
      </c>
      <c r="I5866" s="8">
        <v>5984</v>
      </c>
    </row>
    <row r="5867" spans="1:9" x14ac:dyDescent="0.2">
      <c r="A5867" t="s">
        <v>1202</v>
      </c>
      <c r="B5867" t="s">
        <v>1227</v>
      </c>
      <c r="C5867" t="str">
        <f t="shared" si="285"/>
        <v>36677100000000</v>
      </c>
      <c r="D5867" t="s">
        <v>2605</v>
      </c>
      <c r="E5867" t="str">
        <f>"36677106061865"</f>
        <v>36677106061865</v>
      </c>
      <c r="F5867" s="8">
        <v>4556</v>
      </c>
      <c r="G5867" s="8">
        <v>7043</v>
      </c>
      <c r="H5867" s="8">
        <v>673</v>
      </c>
      <c r="I5867" s="8">
        <v>5800</v>
      </c>
    </row>
    <row r="5868" spans="1:9" x14ac:dyDescent="0.2">
      <c r="A5868" t="s">
        <v>1202</v>
      </c>
      <c r="B5868" t="s">
        <v>1227</v>
      </c>
      <c r="C5868" t="str">
        <f t="shared" si="285"/>
        <v>36677100000000</v>
      </c>
      <c r="D5868" t="s">
        <v>7168</v>
      </c>
      <c r="E5868" t="str">
        <f>"36677106059398"</f>
        <v>36677106059398</v>
      </c>
      <c r="F5868" s="8">
        <v>4052</v>
      </c>
      <c r="G5868" s="8">
        <v>6264</v>
      </c>
      <c r="H5868" s="8">
        <v>825</v>
      </c>
      <c r="I5868" s="8">
        <v>6602</v>
      </c>
    </row>
    <row r="5869" spans="1:9" x14ac:dyDescent="0.2">
      <c r="A5869" t="s">
        <v>1202</v>
      </c>
      <c r="B5869" t="s">
        <v>1227</v>
      </c>
      <c r="C5869" t="str">
        <f t="shared" si="285"/>
        <v>36677100000000</v>
      </c>
      <c r="D5869" t="s">
        <v>7169</v>
      </c>
      <c r="E5869" t="str">
        <f>"36677106106504"</f>
        <v>36677106106504</v>
      </c>
      <c r="F5869" s="8">
        <v>3961</v>
      </c>
      <c r="G5869" s="8">
        <v>6124</v>
      </c>
      <c r="H5869" s="8">
        <v>755</v>
      </c>
      <c r="I5869" s="8">
        <v>6130</v>
      </c>
    </row>
    <row r="5870" spans="1:9" x14ac:dyDescent="0.2">
      <c r="A5870" t="s">
        <v>1202</v>
      </c>
      <c r="B5870" t="s">
        <v>1227</v>
      </c>
      <c r="C5870" t="str">
        <f t="shared" si="285"/>
        <v>36677100000000</v>
      </c>
      <c r="D5870" t="s">
        <v>7170</v>
      </c>
      <c r="E5870" t="str">
        <f>"36677106108054"</f>
        <v>36677106108054</v>
      </c>
      <c r="F5870" s="8">
        <v>3190</v>
      </c>
      <c r="G5870" s="8">
        <v>4931</v>
      </c>
      <c r="H5870" s="8">
        <v>968</v>
      </c>
      <c r="I5870" s="8">
        <v>6691</v>
      </c>
    </row>
    <row r="5871" spans="1:9" x14ac:dyDescent="0.2">
      <c r="A5871" t="s">
        <v>1202</v>
      </c>
      <c r="B5871" t="s">
        <v>1227</v>
      </c>
      <c r="C5871" t="str">
        <f t="shared" si="285"/>
        <v>36677100000000</v>
      </c>
      <c r="D5871" t="s">
        <v>7171</v>
      </c>
      <c r="E5871" t="str">
        <f>"36677103630480"</f>
        <v>36677103630480</v>
      </c>
      <c r="F5871" s="8">
        <v>1244</v>
      </c>
      <c r="G5871" s="8">
        <v>1924</v>
      </c>
      <c r="H5871" s="8">
        <v>532</v>
      </c>
      <c r="I5871" s="8">
        <v>12025</v>
      </c>
    </row>
    <row r="5872" spans="1:9" x14ac:dyDescent="0.2">
      <c r="A5872" t="s">
        <v>1202</v>
      </c>
      <c r="B5872" t="s">
        <v>1227</v>
      </c>
      <c r="C5872" t="str">
        <f t="shared" si="285"/>
        <v>36677100000000</v>
      </c>
      <c r="D5872" t="s">
        <v>7172</v>
      </c>
      <c r="E5872" t="str">
        <f>"36677103630019"</f>
        <v>36677103630019</v>
      </c>
      <c r="F5872" s="8">
        <v>980</v>
      </c>
      <c r="G5872" s="8">
        <v>1516</v>
      </c>
      <c r="H5872" s="8">
        <v>425</v>
      </c>
      <c r="I5872" s="8">
        <v>12619</v>
      </c>
    </row>
    <row r="5873" spans="1:9" x14ac:dyDescent="0.2">
      <c r="A5873" t="s">
        <v>1202</v>
      </c>
      <c r="B5873" t="s">
        <v>1227</v>
      </c>
      <c r="C5873" t="str">
        <f t="shared" si="285"/>
        <v>36677100000000</v>
      </c>
      <c r="D5873" t="s">
        <v>7173</v>
      </c>
      <c r="E5873" t="str">
        <f>"36677106035851"</f>
        <v>36677106035851</v>
      </c>
      <c r="F5873" s="8">
        <v>2934</v>
      </c>
      <c r="G5873" s="8">
        <v>4535</v>
      </c>
      <c r="H5873" s="8">
        <v>615</v>
      </c>
      <c r="I5873" s="8">
        <v>6963</v>
      </c>
    </row>
    <row r="5874" spans="1:9" x14ac:dyDescent="0.2">
      <c r="A5874" t="s">
        <v>1202</v>
      </c>
      <c r="B5874" t="s">
        <v>1227</v>
      </c>
      <c r="C5874" t="str">
        <f t="shared" si="285"/>
        <v>36677100000000</v>
      </c>
      <c r="D5874" t="s">
        <v>7174</v>
      </c>
      <c r="E5874" t="str">
        <f>"36677100113944"</f>
        <v>36677100113944</v>
      </c>
      <c r="F5874" s="8">
        <v>3016</v>
      </c>
      <c r="G5874" s="8">
        <v>4663</v>
      </c>
      <c r="H5874" s="8">
        <v>534</v>
      </c>
      <c r="I5874" s="8">
        <v>6352</v>
      </c>
    </row>
    <row r="5875" spans="1:9" x14ac:dyDescent="0.2">
      <c r="A5875" t="s">
        <v>1202</v>
      </c>
      <c r="B5875" t="s">
        <v>1227</v>
      </c>
      <c r="C5875" t="str">
        <f t="shared" si="285"/>
        <v>36677100000000</v>
      </c>
      <c r="D5875" t="s">
        <v>7175</v>
      </c>
      <c r="E5875" t="str">
        <f>"36677106115984"</f>
        <v>36677106115984</v>
      </c>
      <c r="F5875" s="8">
        <v>2961</v>
      </c>
      <c r="G5875" s="8">
        <v>4578</v>
      </c>
      <c r="H5875" s="8">
        <v>476</v>
      </c>
      <c r="I5875" s="8">
        <v>6464</v>
      </c>
    </row>
    <row r="5876" spans="1:9" x14ac:dyDescent="0.2">
      <c r="A5876" t="s">
        <v>1202</v>
      </c>
      <c r="B5876" t="s">
        <v>1227</v>
      </c>
      <c r="C5876" t="str">
        <f t="shared" si="285"/>
        <v>36677100000000</v>
      </c>
      <c r="D5876" t="s">
        <v>7176</v>
      </c>
      <c r="E5876" t="str">
        <f>"36677106120042"</f>
        <v>36677106120042</v>
      </c>
      <c r="F5876" s="8">
        <v>2886</v>
      </c>
      <c r="G5876" s="8">
        <v>4462</v>
      </c>
      <c r="H5876" s="8">
        <v>481</v>
      </c>
      <c r="I5876" s="8">
        <v>6445</v>
      </c>
    </row>
    <row r="5877" spans="1:9" x14ac:dyDescent="0.2">
      <c r="A5877" t="s">
        <v>1202</v>
      </c>
      <c r="B5877" t="s">
        <v>1227</v>
      </c>
      <c r="C5877" t="str">
        <f t="shared" si="285"/>
        <v>36677100000000</v>
      </c>
      <c r="D5877" t="s">
        <v>7177</v>
      </c>
      <c r="E5877" t="str">
        <f>"36677106035844"</f>
        <v>36677106035844</v>
      </c>
      <c r="F5877" s="8">
        <v>3004</v>
      </c>
      <c r="G5877" s="8">
        <v>4645</v>
      </c>
      <c r="H5877" s="8">
        <v>535</v>
      </c>
      <c r="I5877" s="8">
        <v>5972</v>
      </c>
    </row>
    <row r="5878" spans="1:9" x14ac:dyDescent="0.2">
      <c r="A5878" t="s">
        <v>1202</v>
      </c>
      <c r="B5878" t="s">
        <v>1227</v>
      </c>
      <c r="C5878" t="str">
        <f t="shared" si="285"/>
        <v>36677100000000</v>
      </c>
      <c r="D5878" t="s">
        <v>1006</v>
      </c>
      <c r="E5878" t="str">
        <f>"36677106068761"</f>
        <v>36677106068761</v>
      </c>
      <c r="F5878" s="8">
        <v>2591</v>
      </c>
      <c r="G5878" s="8">
        <v>4006</v>
      </c>
      <c r="H5878" s="8">
        <v>536</v>
      </c>
      <c r="I5878" s="8">
        <v>6933</v>
      </c>
    </row>
    <row r="5879" spans="1:9" x14ac:dyDescent="0.2">
      <c r="A5879" t="s">
        <v>1202</v>
      </c>
      <c r="B5879" t="s">
        <v>1227</v>
      </c>
      <c r="C5879" t="str">
        <f t="shared" si="285"/>
        <v>36677100000000</v>
      </c>
      <c r="D5879" t="s">
        <v>7178</v>
      </c>
      <c r="E5879" t="str">
        <f>"36677106114052"</f>
        <v>36677106114052</v>
      </c>
      <c r="F5879" s="8">
        <v>2489</v>
      </c>
      <c r="G5879" s="8">
        <v>3847</v>
      </c>
      <c r="H5879" s="8">
        <v>690</v>
      </c>
      <c r="I5879" s="8">
        <v>6850</v>
      </c>
    </row>
    <row r="5880" spans="1:9" x14ac:dyDescent="0.2">
      <c r="A5880" t="s">
        <v>1202</v>
      </c>
      <c r="B5880" t="s">
        <v>1227</v>
      </c>
      <c r="C5880" t="str">
        <f t="shared" si="285"/>
        <v>36677100000000</v>
      </c>
      <c r="D5880" t="s">
        <v>7179</v>
      </c>
      <c r="E5880" t="str">
        <f>"36677100102517"</f>
        <v>36677100102517</v>
      </c>
      <c r="F5880" s="8">
        <v>2583</v>
      </c>
      <c r="G5880" s="8">
        <v>3993</v>
      </c>
      <c r="H5880" s="8">
        <v>495</v>
      </c>
      <c r="I5880" s="8">
        <v>6570</v>
      </c>
    </row>
    <row r="5881" spans="1:9" x14ac:dyDescent="0.2">
      <c r="A5881" t="s">
        <v>1202</v>
      </c>
      <c r="B5881" t="s">
        <v>1227</v>
      </c>
      <c r="C5881" t="str">
        <f t="shared" si="285"/>
        <v>36677100000000</v>
      </c>
      <c r="D5881" t="s">
        <v>7180</v>
      </c>
      <c r="E5881" t="str">
        <f>"36677106119986"</f>
        <v>36677106119986</v>
      </c>
      <c r="F5881" s="8">
        <v>2591</v>
      </c>
      <c r="G5881" s="8">
        <v>4006</v>
      </c>
      <c r="H5881" s="8">
        <v>533</v>
      </c>
      <c r="I5881" s="8">
        <v>6384</v>
      </c>
    </row>
    <row r="5882" spans="1:9" x14ac:dyDescent="0.2">
      <c r="A5882" t="s">
        <v>1202</v>
      </c>
      <c r="B5882" t="s">
        <v>1227</v>
      </c>
      <c r="C5882" t="str">
        <f t="shared" si="285"/>
        <v>36677100000000</v>
      </c>
      <c r="D5882" t="s">
        <v>7181</v>
      </c>
      <c r="E5882" t="str">
        <f>"36677106035893"</f>
        <v>36677106035893</v>
      </c>
      <c r="F5882" s="8">
        <v>1575</v>
      </c>
      <c r="G5882" s="8">
        <v>2435</v>
      </c>
      <c r="H5882" s="8">
        <v>788</v>
      </c>
      <c r="I5882" s="8">
        <v>8668</v>
      </c>
    </row>
    <row r="5883" spans="1:9" x14ac:dyDescent="0.2">
      <c r="A5883" t="s">
        <v>1202</v>
      </c>
      <c r="B5883" t="s">
        <v>1227</v>
      </c>
      <c r="C5883" t="str">
        <f t="shared" si="285"/>
        <v>36677100000000</v>
      </c>
      <c r="D5883" t="s">
        <v>7182</v>
      </c>
      <c r="E5883" t="str">
        <f>"36677100113423"</f>
        <v>36677100113423</v>
      </c>
      <c r="F5883" s="8">
        <v>2343</v>
      </c>
      <c r="G5883" s="8">
        <v>3622</v>
      </c>
      <c r="H5883" s="8">
        <v>538</v>
      </c>
      <c r="I5883" s="8">
        <v>6708</v>
      </c>
    </row>
    <row r="5884" spans="1:9" x14ac:dyDescent="0.2">
      <c r="A5884" t="s">
        <v>1202</v>
      </c>
      <c r="B5884" t="s">
        <v>1227</v>
      </c>
      <c r="C5884" t="str">
        <f t="shared" si="285"/>
        <v>36677100000000</v>
      </c>
      <c r="D5884" t="s">
        <v>7183</v>
      </c>
      <c r="E5884" t="str">
        <f>"36677106035901"</f>
        <v>36677106035901</v>
      </c>
      <c r="F5884" s="8">
        <v>2386</v>
      </c>
      <c r="G5884" s="8">
        <v>3689</v>
      </c>
      <c r="H5884" s="8">
        <v>559</v>
      </c>
      <c r="I5884" s="8">
        <v>6544</v>
      </c>
    </row>
    <row r="5885" spans="1:9" x14ac:dyDescent="0.2">
      <c r="A5885" t="s">
        <v>1202</v>
      </c>
      <c r="B5885" t="s">
        <v>1227</v>
      </c>
      <c r="C5885" t="str">
        <f t="shared" si="285"/>
        <v>36677100000000</v>
      </c>
      <c r="D5885" t="s">
        <v>7184</v>
      </c>
      <c r="E5885" t="str">
        <f>"36677106035869"</f>
        <v>36677106035869</v>
      </c>
      <c r="F5885" s="8">
        <v>2197</v>
      </c>
      <c r="G5885" s="8">
        <v>3397</v>
      </c>
      <c r="H5885" s="8">
        <v>478</v>
      </c>
      <c r="I5885" s="8">
        <v>6937</v>
      </c>
    </row>
    <row r="5886" spans="1:9" x14ac:dyDescent="0.2">
      <c r="A5886" t="s">
        <v>1202</v>
      </c>
      <c r="B5886" t="s">
        <v>1227</v>
      </c>
      <c r="C5886" t="str">
        <f t="shared" si="285"/>
        <v>36677100000000</v>
      </c>
      <c r="D5886" t="s">
        <v>7185</v>
      </c>
      <c r="E5886" t="str">
        <f>"36677106035794"</f>
        <v>36677106035794</v>
      </c>
      <c r="F5886" s="8">
        <v>2012</v>
      </c>
      <c r="G5886" s="8">
        <v>3111</v>
      </c>
      <c r="H5886" s="8">
        <v>780</v>
      </c>
      <c r="I5886" s="8">
        <v>7085</v>
      </c>
    </row>
    <row r="5887" spans="1:9" x14ac:dyDescent="0.2">
      <c r="A5887" t="s">
        <v>1202</v>
      </c>
      <c r="B5887" t="s">
        <v>1227</v>
      </c>
      <c r="C5887" t="str">
        <f t="shared" si="285"/>
        <v>36677100000000</v>
      </c>
      <c r="D5887" t="s">
        <v>7186</v>
      </c>
      <c r="E5887" t="str">
        <f>"36677106035877"</f>
        <v>36677106035877</v>
      </c>
      <c r="F5887" s="8">
        <v>2146</v>
      </c>
      <c r="G5887" s="8">
        <v>3318</v>
      </c>
      <c r="H5887" s="8">
        <v>573</v>
      </c>
      <c r="I5887" s="8">
        <v>6869</v>
      </c>
    </row>
    <row r="5888" spans="1:9" x14ac:dyDescent="0.2">
      <c r="A5888" t="s">
        <v>1202</v>
      </c>
      <c r="B5888" t="s">
        <v>1227</v>
      </c>
      <c r="C5888" t="str">
        <f t="shared" si="285"/>
        <v>36677100000000</v>
      </c>
      <c r="D5888" t="s">
        <v>367</v>
      </c>
      <c r="E5888" t="str">
        <f>"36677106035828"</f>
        <v>36677106035828</v>
      </c>
      <c r="F5888" s="8">
        <v>2308</v>
      </c>
      <c r="G5888" s="8">
        <v>3567</v>
      </c>
      <c r="H5888" s="8">
        <v>505</v>
      </c>
      <c r="I5888" s="8">
        <v>6499</v>
      </c>
    </row>
    <row r="5889" spans="1:9" x14ac:dyDescent="0.2">
      <c r="A5889" t="s">
        <v>1202</v>
      </c>
      <c r="B5889" t="s">
        <v>1227</v>
      </c>
      <c r="C5889" t="str">
        <f t="shared" si="285"/>
        <v>36677100000000</v>
      </c>
      <c r="D5889" t="s">
        <v>2729</v>
      </c>
      <c r="E5889" t="str">
        <f>"36677106035885"</f>
        <v>36677106035885</v>
      </c>
      <c r="F5889" s="8">
        <v>1965</v>
      </c>
      <c r="G5889" s="8">
        <v>3038</v>
      </c>
      <c r="H5889" s="8">
        <v>541</v>
      </c>
      <c r="I5889" s="8">
        <v>7319</v>
      </c>
    </row>
    <row r="5890" spans="1:9" x14ac:dyDescent="0.2">
      <c r="A5890" t="s">
        <v>1202</v>
      </c>
      <c r="B5890" t="s">
        <v>1227</v>
      </c>
      <c r="C5890" t="str">
        <f t="shared" si="285"/>
        <v>36677100000000</v>
      </c>
      <c r="D5890" t="s">
        <v>7187</v>
      </c>
      <c r="E5890" t="str">
        <f>"36677106111173"</f>
        <v>36677106111173</v>
      </c>
      <c r="F5890" s="8">
        <v>1729</v>
      </c>
      <c r="G5890" s="8">
        <v>2672</v>
      </c>
      <c r="H5890" s="8">
        <v>638</v>
      </c>
      <c r="I5890" s="8">
        <v>7676</v>
      </c>
    </row>
    <row r="5891" spans="1:9" x14ac:dyDescent="0.2">
      <c r="A5891" t="s">
        <v>1202</v>
      </c>
      <c r="B5891" t="s">
        <v>1227</v>
      </c>
      <c r="C5891" t="str">
        <f t="shared" si="285"/>
        <v>36677100000000</v>
      </c>
      <c r="D5891" t="s">
        <v>1688</v>
      </c>
      <c r="E5891" t="str">
        <f>"36677106035810"</f>
        <v>36677106035810</v>
      </c>
      <c r="F5891" s="8">
        <v>2012</v>
      </c>
      <c r="G5891" s="8">
        <v>3111</v>
      </c>
      <c r="H5891" s="8">
        <v>547</v>
      </c>
      <c r="I5891" s="8">
        <v>6894</v>
      </c>
    </row>
    <row r="5892" spans="1:9" x14ac:dyDescent="0.2">
      <c r="A5892" t="s">
        <v>1202</v>
      </c>
      <c r="B5892" t="s">
        <v>1227</v>
      </c>
      <c r="C5892" t="str">
        <f t="shared" si="285"/>
        <v>36677100000000</v>
      </c>
      <c r="D5892" t="s">
        <v>7188</v>
      </c>
      <c r="E5892" t="str">
        <f>"36677100100347"</f>
        <v>36677100100347</v>
      </c>
      <c r="F5892" s="8">
        <v>2048</v>
      </c>
      <c r="G5892" s="8">
        <v>3166</v>
      </c>
      <c r="H5892" s="8">
        <v>618</v>
      </c>
      <c r="I5892" s="8">
        <v>6727</v>
      </c>
    </row>
    <row r="5893" spans="1:9" x14ac:dyDescent="0.2">
      <c r="A5893" t="s">
        <v>1202</v>
      </c>
      <c r="B5893" t="s">
        <v>1227</v>
      </c>
      <c r="C5893" t="str">
        <f t="shared" si="285"/>
        <v>36677100000000</v>
      </c>
      <c r="D5893" t="s">
        <v>7189</v>
      </c>
      <c r="E5893" t="str">
        <f>"36677106108070"</f>
        <v>36677106108070</v>
      </c>
      <c r="F5893" s="8">
        <v>1551</v>
      </c>
      <c r="G5893" s="8">
        <v>2398</v>
      </c>
      <c r="H5893" s="8">
        <v>770</v>
      </c>
      <c r="I5893" s="8">
        <v>7819</v>
      </c>
    </row>
    <row r="5894" spans="1:9" x14ac:dyDescent="0.2">
      <c r="A5894" t="s">
        <v>1202</v>
      </c>
      <c r="B5894" t="s">
        <v>1227</v>
      </c>
      <c r="C5894" t="str">
        <f t="shared" si="285"/>
        <v>36677100000000</v>
      </c>
      <c r="D5894" t="s">
        <v>7190</v>
      </c>
      <c r="E5894" t="str">
        <f>"36677106102933"</f>
        <v>36677106102933</v>
      </c>
      <c r="F5894" s="8">
        <v>2020</v>
      </c>
      <c r="G5894" s="8">
        <v>3123</v>
      </c>
      <c r="H5894" s="8">
        <v>562</v>
      </c>
      <c r="I5894" s="8">
        <v>6748</v>
      </c>
    </row>
    <row r="5895" spans="1:9" x14ac:dyDescent="0.2">
      <c r="A5895" t="s">
        <v>1202</v>
      </c>
      <c r="B5895" t="s">
        <v>1227</v>
      </c>
      <c r="C5895" t="str">
        <f t="shared" si="285"/>
        <v>36677100000000</v>
      </c>
      <c r="D5895" t="s">
        <v>7191</v>
      </c>
      <c r="E5895" t="str">
        <f>"36677106106470"</f>
        <v>36677106106470</v>
      </c>
      <c r="F5895" s="8">
        <v>1492</v>
      </c>
      <c r="G5895" s="8">
        <v>2307</v>
      </c>
      <c r="H5895" s="8">
        <v>650</v>
      </c>
      <c r="I5895" s="8">
        <v>7886</v>
      </c>
    </row>
    <row r="5896" spans="1:9" x14ac:dyDescent="0.2">
      <c r="A5896" t="s">
        <v>1202</v>
      </c>
      <c r="B5896" t="s">
        <v>1227</v>
      </c>
      <c r="C5896" t="str">
        <f t="shared" si="285"/>
        <v>36677100000000</v>
      </c>
      <c r="D5896" t="s">
        <v>7192</v>
      </c>
      <c r="E5896" t="str">
        <f>"36677106035836"</f>
        <v>36677106035836</v>
      </c>
      <c r="F5896" s="8">
        <v>1898</v>
      </c>
      <c r="G5896" s="8">
        <v>2934</v>
      </c>
      <c r="H5896" s="8">
        <v>852</v>
      </c>
      <c r="I5896" s="8">
        <v>6394</v>
      </c>
    </row>
    <row r="5897" spans="1:9" x14ac:dyDescent="0.2">
      <c r="A5897" t="s">
        <v>1202</v>
      </c>
      <c r="B5897" t="s">
        <v>1227</v>
      </c>
      <c r="C5897" t="str">
        <f t="shared" si="285"/>
        <v>36677100000000</v>
      </c>
      <c r="D5897" t="s">
        <v>7193</v>
      </c>
      <c r="E5897" t="str">
        <f>"36677100133371"</f>
        <v>36677100133371</v>
      </c>
      <c r="F5897" s="8">
        <v>2359</v>
      </c>
      <c r="G5897" s="8">
        <v>3646</v>
      </c>
      <c r="H5897" s="8">
        <v>497</v>
      </c>
      <c r="I5897" s="8">
        <v>5561</v>
      </c>
    </row>
    <row r="5898" spans="1:9" x14ac:dyDescent="0.2">
      <c r="A5898" t="s">
        <v>1202</v>
      </c>
      <c r="B5898" t="s">
        <v>1227</v>
      </c>
      <c r="C5898" t="str">
        <f t="shared" si="285"/>
        <v>36677100000000</v>
      </c>
      <c r="D5898" t="s">
        <v>7194</v>
      </c>
      <c r="E5898" t="str">
        <f>"36677106110688"</f>
        <v>36677106110688</v>
      </c>
      <c r="F5898" s="8">
        <v>2052</v>
      </c>
      <c r="G5898" s="8">
        <v>3172</v>
      </c>
      <c r="H5898" s="8">
        <v>534</v>
      </c>
      <c r="I5898" s="8">
        <v>6258</v>
      </c>
    </row>
    <row r="5899" spans="1:9" x14ac:dyDescent="0.2">
      <c r="A5899" t="s">
        <v>1202</v>
      </c>
      <c r="B5899" t="s">
        <v>1227</v>
      </c>
      <c r="C5899" t="str">
        <f t="shared" si="285"/>
        <v>36677100000000</v>
      </c>
      <c r="D5899" t="s">
        <v>7195</v>
      </c>
      <c r="E5899" t="str">
        <f>"36677106106702"</f>
        <v>36677106106702</v>
      </c>
      <c r="F5899" s="8">
        <v>1268</v>
      </c>
      <c r="G5899" s="8">
        <v>1960</v>
      </c>
      <c r="H5899" s="8">
        <v>870</v>
      </c>
      <c r="I5899" s="8">
        <v>7875</v>
      </c>
    </row>
    <row r="5900" spans="1:9" x14ac:dyDescent="0.2">
      <c r="A5900" t="s">
        <v>1202</v>
      </c>
      <c r="B5900" t="s">
        <v>1227</v>
      </c>
      <c r="C5900" t="str">
        <f t="shared" si="285"/>
        <v>36677100000000</v>
      </c>
      <c r="D5900" t="s">
        <v>7196</v>
      </c>
      <c r="E5900" t="str">
        <f>"36677106110670"</f>
        <v>36677106110670</v>
      </c>
      <c r="F5900" s="8">
        <v>1776</v>
      </c>
      <c r="G5900" s="8">
        <v>2745</v>
      </c>
      <c r="H5900" s="8">
        <v>582</v>
      </c>
      <c r="I5900" s="8">
        <v>6722</v>
      </c>
    </row>
    <row r="5901" spans="1:9" x14ac:dyDescent="0.2">
      <c r="A5901" t="s">
        <v>1202</v>
      </c>
      <c r="B5901" t="s">
        <v>1227</v>
      </c>
      <c r="C5901" t="str">
        <f t="shared" si="285"/>
        <v>36677100000000</v>
      </c>
      <c r="D5901" t="s">
        <v>7197</v>
      </c>
      <c r="E5901" t="str">
        <f>"36677106035919"</f>
        <v>36677106035919</v>
      </c>
      <c r="F5901" s="8">
        <v>1768</v>
      </c>
      <c r="G5901" s="8">
        <v>2733</v>
      </c>
      <c r="H5901" s="8">
        <v>605</v>
      </c>
      <c r="I5901" s="8">
        <v>6689</v>
      </c>
    </row>
    <row r="5902" spans="1:9" x14ac:dyDescent="0.2">
      <c r="A5902" t="s">
        <v>1202</v>
      </c>
      <c r="B5902" t="s">
        <v>1227</v>
      </c>
      <c r="C5902" t="str">
        <f t="shared" si="285"/>
        <v>36677100000000</v>
      </c>
      <c r="D5902" t="s">
        <v>7198</v>
      </c>
      <c r="E5902" t="str">
        <f>"36677106108062"</f>
        <v>36677106108062</v>
      </c>
      <c r="F5902" s="8">
        <v>1729</v>
      </c>
      <c r="G5902" s="8">
        <v>2672</v>
      </c>
      <c r="H5902" s="8">
        <v>568</v>
      </c>
      <c r="I5902" s="8">
        <v>6405</v>
      </c>
    </row>
    <row r="5903" spans="1:9" x14ac:dyDescent="0.2">
      <c r="A5903" t="s">
        <v>1202</v>
      </c>
      <c r="B5903" t="s">
        <v>1232</v>
      </c>
      <c r="C5903" t="str">
        <f>"36677360000000"</f>
        <v>36677360000000</v>
      </c>
      <c r="D5903" t="s">
        <v>7199</v>
      </c>
      <c r="E5903" t="str">
        <f>"36677360116723"</f>
        <v>36677360116723</v>
      </c>
      <c r="F5903" s="8">
        <v>1156</v>
      </c>
      <c r="G5903" s="8">
        <v>10049</v>
      </c>
      <c r="H5903" s="8">
        <v>847</v>
      </c>
      <c r="I5903" s="8">
        <v>1787</v>
      </c>
    </row>
    <row r="5904" spans="1:9" x14ac:dyDescent="0.2">
      <c r="A5904" t="s">
        <v>1202</v>
      </c>
      <c r="B5904" t="s">
        <v>1232</v>
      </c>
      <c r="C5904" t="str">
        <f>"36677360000000"</f>
        <v>36677360000000</v>
      </c>
      <c r="D5904" t="s">
        <v>7200</v>
      </c>
      <c r="E5904" t="str">
        <f>"36677360130948"</f>
        <v>36677360130948</v>
      </c>
      <c r="F5904" s="8">
        <v>1175</v>
      </c>
      <c r="G5904" s="8">
        <v>7966</v>
      </c>
      <c r="H5904" s="8">
        <v>847</v>
      </c>
      <c r="I5904" s="8">
        <v>1787</v>
      </c>
    </row>
    <row r="5905" spans="1:9" x14ac:dyDescent="0.2">
      <c r="A5905" t="s">
        <v>1202</v>
      </c>
      <c r="B5905" t="s">
        <v>1232</v>
      </c>
      <c r="C5905" t="str">
        <f>"36677360000000"</f>
        <v>36677360000000</v>
      </c>
      <c r="D5905" t="s">
        <v>1232</v>
      </c>
      <c r="E5905" t="str">
        <f>"36677366035935"</f>
        <v>36677366035935</v>
      </c>
      <c r="F5905" s="8">
        <v>450</v>
      </c>
      <c r="G5905" s="8">
        <v>7674</v>
      </c>
      <c r="H5905" s="8">
        <v>847</v>
      </c>
      <c r="I5905" s="8">
        <v>1787</v>
      </c>
    </row>
    <row r="5906" spans="1:9" x14ac:dyDescent="0.2">
      <c r="A5906" t="s">
        <v>1202</v>
      </c>
      <c r="B5906" t="s">
        <v>1232</v>
      </c>
      <c r="C5906" t="str">
        <f>"36677360000000"</f>
        <v>36677360000000</v>
      </c>
      <c r="D5906" t="s">
        <v>2577</v>
      </c>
      <c r="E5906" t="str">
        <f>"36677366107072"</f>
        <v>36677366107072</v>
      </c>
      <c r="F5906" s="8">
        <v>49</v>
      </c>
      <c r="G5906" s="8">
        <v>6593</v>
      </c>
      <c r="H5906" s="8">
        <v>847</v>
      </c>
      <c r="I5906" s="8">
        <v>1787</v>
      </c>
    </row>
    <row r="5907" spans="1:9" x14ac:dyDescent="0.2">
      <c r="A5907" t="s">
        <v>1202</v>
      </c>
      <c r="B5907" t="s">
        <v>1233</v>
      </c>
      <c r="C5907" t="str">
        <f t="shared" ref="C5907:C5931" si="286">"36750440000000"</f>
        <v>36750440000000</v>
      </c>
      <c r="D5907" t="s">
        <v>7201</v>
      </c>
      <c r="E5907" t="str">
        <f>"36750443630944"</f>
        <v>36750443630944</v>
      </c>
      <c r="F5907" s="8">
        <v>99</v>
      </c>
      <c r="G5907" s="8">
        <v>48242</v>
      </c>
      <c r="H5907" s="8">
        <v>1250</v>
      </c>
      <c r="I5907" s="8">
        <v>3428</v>
      </c>
    </row>
    <row r="5908" spans="1:9" x14ac:dyDescent="0.2">
      <c r="A5908" t="s">
        <v>1202</v>
      </c>
      <c r="B5908" t="s">
        <v>1233</v>
      </c>
      <c r="C5908" t="str">
        <f t="shared" si="286"/>
        <v>36750440000000</v>
      </c>
      <c r="D5908" t="s">
        <v>7202</v>
      </c>
      <c r="E5908" t="str">
        <f>"36750443630472"</f>
        <v>36750443630472</v>
      </c>
      <c r="F5908" s="8">
        <v>3773</v>
      </c>
      <c r="G5908" s="8">
        <v>13515</v>
      </c>
      <c r="H5908" s="8">
        <v>1250</v>
      </c>
      <c r="I5908" s="8">
        <v>3428</v>
      </c>
    </row>
    <row r="5909" spans="1:9" x14ac:dyDescent="0.2">
      <c r="A5909" t="s">
        <v>1202</v>
      </c>
      <c r="B5909" t="s">
        <v>1233</v>
      </c>
      <c r="C5909" t="str">
        <f t="shared" si="286"/>
        <v>36750440000000</v>
      </c>
      <c r="D5909" t="s">
        <v>7203</v>
      </c>
      <c r="E5909" t="str">
        <f>"36750440115444"</f>
        <v>36750440115444</v>
      </c>
      <c r="F5909" s="8">
        <v>1430</v>
      </c>
      <c r="G5909" s="8">
        <v>11626</v>
      </c>
      <c r="H5909" s="8">
        <v>1250</v>
      </c>
      <c r="I5909" s="8">
        <v>3428</v>
      </c>
    </row>
    <row r="5910" spans="1:9" x14ac:dyDescent="0.2">
      <c r="A5910" t="s">
        <v>1202</v>
      </c>
      <c r="B5910" t="s">
        <v>1233</v>
      </c>
      <c r="C5910" t="str">
        <f t="shared" si="286"/>
        <v>36750440000000</v>
      </c>
      <c r="D5910" t="s">
        <v>7204</v>
      </c>
      <c r="E5910" t="str">
        <f>"36750443630811"</f>
        <v>36750443630811</v>
      </c>
      <c r="F5910" s="8">
        <v>736</v>
      </c>
      <c r="G5910" s="8">
        <v>8664</v>
      </c>
      <c r="H5910" s="8">
        <v>1250</v>
      </c>
      <c r="I5910" s="8">
        <v>3428</v>
      </c>
    </row>
    <row r="5911" spans="1:9" x14ac:dyDescent="0.2">
      <c r="A5911" t="s">
        <v>1202</v>
      </c>
      <c r="B5911" t="s">
        <v>1233</v>
      </c>
      <c r="C5911" t="str">
        <f t="shared" si="286"/>
        <v>36750440000000</v>
      </c>
      <c r="D5911" t="s">
        <v>7205</v>
      </c>
      <c r="E5911" t="str">
        <f>"36750446108112"</f>
        <v>36750446108112</v>
      </c>
      <c r="F5911" s="8">
        <v>760</v>
      </c>
      <c r="G5911" s="8">
        <v>8632</v>
      </c>
      <c r="H5911" s="8">
        <v>1250</v>
      </c>
      <c r="I5911" s="8">
        <v>3428</v>
      </c>
    </row>
    <row r="5912" spans="1:9" x14ac:dyDescent="0.2">
      <c r="A5912" t="s">
        <v>1202</v>
      </c>
      <c r="B5912" t="s">
        <v>1233</v>
      </c>
      <c r="C5912" t="str">
        <f t="shared" si="286"/>
        <v>36750440000000</v>
      </c>
      <c r="D5912" t="s">
        <v>7206</v>
      </c>
      <c r="E5912" t="str">
        <f>"36750446089643"</f>
        <v>36750446089643</v>
      </c>
      <c r="F5912" s="8">
        <v>593</v>
      </c>
      <c r="G5912" s="8">
        <v>8496</v>
      </c>
      <c r="H5912" s="8">
        <v>1250</v>
      </c>
      <c r="I5912" s="8">
        <v>3428</v>
      </c>
    </row>
    <row r="5913" spans="1:9" x14ac:dyDescent="0.2">
      <c r="A5913" t="s">
        <v>1202</v>
      </c>
      <c r="B5913" t="s">
        <v>1233</v>
      </c>
      <c r="C5913" t="str">
        <f t="shared" si="286"/>
        <v>36750440000000</v>
      </c>
      <c r="D5913" t="s">
        <v>7207</v>
      </c>
      <c r="E5913" t="str">
        <f>"36750443630746"</f>
        <v>36750443630746</v>
      </c>
      <c r="F5913" s="8">
        <v>527</v>
      </c>
      <c r="G5913" s="8">
        <v>8062</v>
      </c>
      <c r="H5913" s="8">
        <v>1250</v>
      </c>
      <c r="I5913" s="8">
        <v>3428</v>
      </c>
    </row>
    <row r="5914" spans="1:9" x14ac:dyDescent="0.2">
      <c r="A5914" t="s">
        <v>1202</v>
      </c>
      <c r="B5914" t="s">
        <v>1233</v>
      </c>
      <c r="C5914" t="str">
        <f t="shared" si="286"/>
        <v>36750440000000</v>
      </c>
      <c r="D5914" t="s">
        <v>7208</v>
      </c>
      <c r="E5914" t="str">
        <f>"36750446059547"</f>
        <v>36750446059547</v>
      </c>
      <c r="F5914" s="8">
        <v>1000</v>
      </c>
      <c r="G5914" s="8">
        <v>7342</v>
      </c>
      <c r="H5914" s="8">
        <v>1250</v>
      </c>
      <c r="I5914" s="8">
        <v>3428</v>
      </c>
    </row>
    <row r="5915" spans="1:9" x14ac:dyDescent="0.2">
      <c r="A5915" t="s">
        <v>1202</v>
      </c>
      <c r="B5915" t="s">
        <v>1233</v>
      </c>
      <c r="C5915" t="str">
        <f t="shared" si="286"/>
        <v>36750440000000</v>
      </c>
      <c r="D5915" t="s">
        <v>7209</v>
      </c>
      <c r="E5915" t="str">
        <f>"36750443630407"</f>
        <v>36750443630407</v>
      </c>
      <c r="F5915" s="8">
        <v>607</v>
      </c>
      <c r="G5915" s="8">
        <v>7524</v>
      </c>
      <c r="H5915" s="8">
        <v>1250</v>
      </c>
      <c r="I5915" s="8">
        <v>3428</v>
      </c>
    </row>
    <row r="5916" spans="1:9" x14ac:dyDescent="0.2">
      <c r="A5916" t="s">
        <v>1202</v>
      </c>
      <c r="B5916" t="s">
        <v>1233</v>
      </c>
      <c r="C5916" t="str">
        <f t="shared" si="286"/>
        <v>36750440000000</v>
      </c>
      <c r="D5916" t="s">
        <v>5179</v>
      </c>
      <c r="E5916" t="str">
        <f>"36750446105498"</f>
        <v>36750446105498</v>
      </c>
      <c r="F5916" s="8">
        <v>789</v>
      </c>
      <c r="G5916" s="8">
        <v>7183</v>
      </c>
      <c r="H5916" s="8">
        <v>1250</v>
      </c>
      <c r="I5916" s="8">
        <v>3428</v>
      </c>
    </row>
    <row r="5917" spans="1:9" x14ac:dyDescent="0.2">
      <c r="A5917" t="s">
        <v>1202</v>
      </c>
      <c r="B5917" t="s">
        <v>1233</v>
      </c>
      <c r="C5917" t="str">
        <f t="shared" si="286"/>
        <v>36750440000000</v>
      </c>
      <c r="D5917" t="s">
        <v>7210</v>
      </c>
      <c r="E5917" t="str">
        <f>"36750440114090"</f>
        <v>36750440114090</v>
      </c>
      <c r="F5917" s="8">
        <v>690</v>
      </c>
      <c r="G5917" s="8">
        <v>7175</v>
      </c>
      <c r="H5917" s="8">
        <v>1250</v>
      </c>
      <c r="I5917" s="8">
        <v>3428</v>
      </c>
    </row>
    <row r="5918" spans="1:9" x14ac:dyDescent="0.2">
      <c r="A5918" t="s">
        <v>1202</v>
      </c>
      <c r="B5918" t="s">
        <v>1233</v>
      </c>
      <c r="C5918" t="str">
        <f t="shared" si="286"/>
        <v>36750440000000</v>
      </c>
      <c r="D5918" t="s">
        <v>7211</v>
      </c>
      <c r="E5918" t="str">
        <f>"36750440119115"</f>
        <v>36750440119115</v>
      </c>
      <c r="F5918" s="8">
        <v>481</v>
      </c>
      <c r="G5918" s="8">
        <v>7346</v>
      </c>
      <c r="H5918" s="8">
        <v>1250</v>
      </c>
      <c r="I5918" s="8">
        <v>3428</v>
      </c>
    </row>
    <row r="5919" spans="1:9" x14ac:dyDescent="0.2">
      <c r="A5919" t="s">
        <v>1202</v>
      </c>
      <c r="B5919" t="s">
        <v>1233</v>
      </c>
      <c r="C5919" t="str">
        <f t="shared" si="286"/>
        <v>36750440000000</v>
      </c>
      <c r="D5919" t="s">
        <v>7212</v>
      </c>
      <c r="E5919" t="str">
        <f>"36750446109359"</f>
        <v>36750446109359</v>
      </c>
      <c r="F5919" s="8">
        <v>604</v>
      </c>
      <c r="G5919" s="8">
        <v>7171</v>
      </c>
      <c r="H5919" s="8">
        <v>1250</v>
      </c>
      <c r="I5919" s="8">
        <v>3428</v>
      </c>
    </row>
    <row r="5920" spans="1:9" x14ac:dyDescent="0.2">
      <c r="A5920" t="s">
        <v>1202</v>
      </c>
      <c r="B5920" t="s">
        <v>1233</v>
      </c>
      <c r="C5920" t="str">
        <f t="shared" si="286"/>
        <v>36750440000000</v>
      </c>
      <c r="D5920" t="s">
        <v>7213</v>
      </c>
      <c r="E5920" t="str">
        <f>"36750446106454"</f>
        <v>36750446106454</v>
      </c>
      <c r="F5920" s="8">
        <v>614</v>
      </c>
      <c r="G5920" s="8">
        <v>7143</v>
      </c>
      <c r="H5920" s="8">
        <v>1250</v>
      </c>
      <c r="I5920" s="8">
        <v>3428</v>
      </c>
    </row>
    <row r="5921" spans="1:9" x14ac:dyDescent="0.2">
      <c r="A5921" t="s">
        <v>1202</v>
      </c>
      <c r="B5921" t="s">
        <v>1233</v>
      </c>
      <c r="C5921" t="str">
        <f t="shared" si="286"/>
        <v>36750440000000</v>
      </c>
      <c r="D5921" t="s">
        <v>7214</v>
      </c>
      <c r="E5921" t="str">
        <f>"36750440119107"</f>
        <v>36750440119107</v>
      </c>
      <c r="F5921" s="8">
        <v>335</v>
      </c>
      <c r="G5921" s="8">
        <v>7414</v>
      </c>
      <c r="H5921" s="8">
        <v>1250</v>
      </c>
      <c r="I5921" s="8">
        <v>3428</v>
      </c>
    </row>
    <row r="5922" spans="1:9" x14ac:dyDescent="0.2">
      <c r="A5922" t="s">
        <v>1202</v>
      </c>
      <c r="B5922" t="s">
        <v>1233</v>
      </c>
      <c r="C5922" t="str">
        <f t="shared" si="286"/>
        <v>36750440000000</v>
      </c>
      <c r="D5922" t="s">
        <v>7215</v>
      </c>
      <c r="E5922" t="str">
        <f>"36750446108120"</f>
        <v>36750446108120</v>
      </c>
      <c r="F5922" s="8">
        <v>579</v>
      </c>
      <c r="G5922" s="8">
        <v>7166</v>
      </c>
      <c r="H5922" s="8">
        <v>1250</v>
      </c>
      <c r="I5922" s="8">
        <v>3428</v>
      </c>
    </row>
    <row r="5923" spans="1:9" x14ac:dyDescent="0.2">
      <c r="A5923" t="s">
        <v>1202</v>
      </c>
      <c r="B5923" t="s">
        <v>1233</v>
      </c>
      <c r="C5923" t="str">
        <f t="shared" si="286"/>
        <v>36750440000000</v>
      </c>
      <c r="D5923" t="s">
        <v>7185</v>
      </c>
      <c r="E5923" t="str">
        <f>"36750446035950"</f>
        <v>36750446035950</v>
      </c>
      <c r="F5923" s="8">
        <v>512</v>
      </c>
      <c r="G5923" s="8">
        <v>7117</v>
      </c>
      <c r="H5923" s="8">
        <v>1250</v>
      </c>
      <c r="I5923" s="8">
        <v>3428</v>
      </c>
    </row>
    <row r="5924" spans="1:9" x14ac:dyDescent="0.2">
      <c r="A5924" t="s">
        <v>1202</v>
      </c>
      <c r="B5924" t="s">
        <v>1233</v>
      </c>
      <c r="C5924" t="str">
        <f t="shared" si="286"/>
        <v>36750440000000</v>
      </c>
      <c r="D5924" t="s">
        <v>7216</v>
      </c>
      <c r="E5924" t="str">
        <f>"36750446114680"</f>
        <v>36750446114680</v>
      </c>
      <c r="F5924" s="8">
        <v>472</v>
      </c>
      <c r="G5924" s="8">
        <v>7121</v>
      </c>
      <c r="H5924" s="8">
        <v>1250</v>
      </c>
      <c r="I5924" s="8">
        <v>3428</v>
      </c>
    </row>
    <row r="5925" spans="1:9" x14ac:dyDescent="0.2">
      <c r="A5925" t="s">
        <v>1202</v>
      </c>
      <c r="B5925" t="s">
        <v>1233</v>
      </c>
      <c r="C5925" t="str">
        <f t="shared" si="286"/>
        <v>36750440000000</v>
      </c>
      <c r="D5925" t="s">
        <v>7217</v>
      </c>
      <c r="E5925" t="str">
        <f>"36750446035968"</f>
        <v>36750446035968</v>
      </c>
      <c r="F5925" s="8">
        <v>638</v>
      </c>
      <c r="G5925" s="8">
        <v>6885</v>
      </c>
      <c r="H5925" s="8">
        <v>1250</v>
      </c>
      <c r="I5925" s="8">
        <v>3428</v>
      </c>
    </row>
    <row r="5926" spans="1:9" x14ac:dyDescent="0.2">
      <c r="A5926" t="s">
        <v>1202</v>
      </c>
      <c r="B5926" t="s">
        <v>1233</v>
      </c>
      <c r="C5926" t="str">
        <f t="shared" si="286"/>
        <v>36750440000000</v>
      </c>
      <c r="D5926" t="s">
        <v>7218</v>
      </c>
      <c r="E5926" t="str">
        <f>"36750440114108"</f>
        <v>36750440114108</v>
      </c>
      <c r="F5926" s="8">
        <v>430</v>
      </c>
      <c r="G5926" s="8">
        <v>7011</v>
      </c>
      <c r="H5926" s="8">
        <v>1250</v>
      </c>
      <c r="I5926" s="8">
        <v>3428</v>
      </c>
    </row>
    <row r="5927" spans="1:9" x14ac:dyDescent="0.2">
      <c r="A5927" t="s">
        <v>1202</v>
      </c>
      <c r="B5927" t="s">
        <v>1233</v>
      </c>
      <c r="C5927" t="str">
        <f t="shared" si="286"/>
        <v>36750440000000</v>
      </c>
      <c r="D5927" t="s">
        <v>7219</v>
      </c>
      <c r="E5927" t="str">
        <f>"36750440107805"</f>
        <v>36750440107805</v>
      </c>
      <c r="F5927" s="8">
        <v>597</v>
      </c>
      <c r="G5927" s="8">
        <v>6746</v>
      </c>
      <c r="H5927" s="8">
        <v>1250</v>
      </c>
      <c r="I5927" s="8">
        <v>3428</v>
      </c>
    </row>
    <row r="5928" spans="1:9" x14ac:dyDescent="0.2">
      <c r="A5928" t="s">
        <v>1202</v>
      </c>
      <c r="B5928" t="s">
        <v>1233</v>
      </c>
      <c r="C5928" t="str">
        <f t="shared" si="286"/>
        <v>36750440000000</v>
      </c>
      <c r="D5928" t="s">
        <v>7220</v>
      </c>
      <c r="E5928" t="str">
        <f>"36750446111751"</f>
        <v>36750446111751</v>
      </c>
      <c r="F5928" s="8">
        <v>523</v>
      </c>
      <c r="G5928" s="8">
        <v>6742</v>
      </c>
      <c r="H5928" s="8">
        <v>1250</v>
      </c>
      <c r="I5928" s="8">
        <v>3428</v>
      </c>
    </row>
    <row r="5929" spans="1:9" x14ac:dyDescent="0.2">
      <c r="A5929" t="s">
        <v>1202</v>
      </c>
      <c r="B5929" t="s">
        <v>1233</v>
      </c>
      <c r="C5929" t="str">
        <f t="shared" si="286"/>
        <v>36750440000000</v>
      </c>
      <c r="D5929" t="s">
        <v>7221</v>
      </c>
      <c r="E5929" t="str">
        <f>"36750446035943"</f>
        <v>36750446035943</v>
      </c>
      <c r="F5929" s="8">
        <v>638</v>
      </c>
      <c r="G5929" s="8">
        <v>6598</v>
      </c>
      <c r="H5929" s="8">
        <v>1250</v>
      </c>
      <c r="I5929" s="8">
        <v>3428</v>
      </c>
    </row>
    <row r="5930" spans="1:9" x14ac:dyDescent="0.2">
      <c r="A5930" t="s">
        <v>1202</v>
      </c>
      <c r="B5930" t="s">
        <v>1233</v>
      </c>
      <c r="C5930" t="str">
        <f t="shared" si="286"/>
        <v>36750440000000</v>
      </c>
      <c r="D5930" t="s">
        <v>367</v>
      </c>
      <c r="E5930" t="str">
        <f>"36750446103337"</f>
        <v>36750446103337</v>
      </c>
      <c r="F5930" s="8">
        <v>449</v>
      </c>
      <c r="G5930" s="8">
        <v>6748</v>
      </c>
      <c r="H5930" s="8">
        <v>1250</v>
      </c>
      <c r="I5930" s="8">
        <v>3428</v>
      </c>
    </row>
    <row r="5931" spans="1:9" x14ac:dyDescent="0.2">
      <c r="A5931" t="s">
        <v>1202</v>
      </c>
      <c r="B5931" t="s">
        <v>1233</v>
      </c>
      <c r="C5931" t="str">
        <f t="shared" si="286"/>
        <v>36750440000000</v>
      </c>
      <c r="D5931" t="s">
        <v>7222</v>
      </c>
      <c r="E5931" t="str">
        <f>"36750446100937"</f>
        <v>36750446100937</v>
      </c>
      <c r="F5931" s="8">
        <v>801</v>
      </c>
      <c r="G5931" s="8">
        <v>6380</v>
      </c>
      <c r="H5931" s="8">
        <v>1250</v>
      </c>
      <c r="I5931" s="8">
        <v>3428</v>
      </c>
    </row>
    <row r="5932" spans="1:9" x14ac:dyDescent="0.2">
      <c r="A5932" t="s">
        <v>1202</v>
      </c>
      <c r="B5932" t="s">
        <v>1237</v>
      </c>
      <c r="C5932" t="str">
        <f>"36750510000000"</f>
        <v>36750510000000</v>
      </c>
      <c r="D5932" t="s">
        <v>3823</v>
      </c>
      <c r="E5932" t="str">
        <f>"36750513630696"</f>
        <v>36750513630696</v>
      </c>
      <c r="F5932" s="8">
        <v>275</v>
      </c>
      <c r="G5932" s="8">
        <v>16827</v>
      </c>
      <c r="H5932" s="8">
        <v>1091</v>
      </c>
      <c r="I5932" s="8">
        <v>4933</v>
      </c>
    </row>
    <row r="5933" spans="1:9" x14ac:dyDescent="0.2">
      <c r="A5933" t="s">
        <v>1202</v>
      </c>
      <c r="B5933" t="s">
        <v>1237</v>
      </c>
      <c r="C5933" t="str">
        <f>"36750510000000"</f>
        <v>36750510000000</v>
      </c>
      <c r="D5933" t="s">
        <v>7223</v>
      </c>
      <c r="E5933" t="str">
        <f>"36750513630563"</f>
        <v>36750513630563</v>
      </c>
      <c r="F5933" s="8">
        <v>1590</v>
      </c>
      <c r="G5933" s="8">
        <v>11614</v>
      </c>
      <c r="H5933" s="8">
        <v>1091</v>
      </c>
      <c r="I5933" s="8">
        <v>4933</v>
      </c>
    </row>
    <row r="5934" spans="1:9" x14ac:dyDescent="0.2">
      <c r="A5934" t="s">
        <v>1202</v>
      </c>
      <c r="B5934" t="s">
        <v>1237</v>
      </c>
      <c r="C5934" t="str">
        <f>"36750510000000"</f>
        <v>36750510000000</v>
      </c>
      <c r="D5934" t="s">
        <v>7224</v>
      </c>
      <c r="E5934" t="str">
        <f>"36750516106330"</f>
        <v>36750516106330</v>
      </c>
      <c r="F5934" s="8">
        <v>2441</v>
      </c>
      <c r="G5934" s="8">
        <v>7736</v>
      </c>
      <c r="H5934" s="8">
        <v>1091</v>
      </c>
      <c r="I5934" s="8">
        <v>4933</v>
      </c>
    </row>
    <row r="5935" spans="1:9" x14ac:dyDescent="0.2">
      <c r="A5935" t="s">
        <v>1202</v>
      </c>
      <c r="B5935" t="s">
        <v>1237</v>
      </c>
      <c r="C5935" t="str">
        <f>"36750510000000"</f>
        <v>36750510000000</v>
      </c>
      <c r="D5935" t="s">
        <v>7225</v>
      </c>
      <c r="E5935" t="str">
        <f>"36750516035976"</f>
        <v>36750516035976</v>
      </c>
      <c r="F5935" s="8">
        <v>1771</v>
      </c>
      <c r="G5935" s="8">
        <v>6584</v>
      </c>
      <c r="H5935" s="8">
        <v>1091</v>
      </c>
      <c r="I5935" s="8">
        <v>4933</v>
      </c>
    </row>
    <row r="5936" spans="1:9" x14ac:dyDescent="0.2">
      <c r="A5936" t="s">
        <v>1202</v>
      </c>
      <c r="B5936" t="s">
        <v>1246</v>
      </c>
      <c r="C5936" t="str">
        <f t="shared" ref="C5936:C5951" si="287">"36677770000000"</f>
        <v>36677770000000</v>
      </c>
      <c r="D5936" t="s">
        <v>7226</v>
      </c>
      <c r="E5936" t="str">
        <f>"36677773630217"</f>
        <v>36677773630217</v>
      </c>
      <c r="F5936" s="8">
        <v>1534</v>
      </c>
      <c r="G5936" s="8">
        <v>10748</v>
      </c>
      <c r="H5936" s="8">
        <v>1263</v>
      </c>
      <c r="I5936" s="8">
        <v>4682</v>
      </c>
    </row>
    <row r="5937" spans="1:9" x14ac:dyDescent="0.2">
      <c r="A5937" t="s">
        <v>1202</v>
      </c>
      <c r="B5937" t="s">
        <v>1246</v>
      </c>
      <c r="C5937" t="str">
        <f t="shared" si="287"/>
        <v>36677770000000</v>
      </c>
      <c r="D5937" t="s">
        <v>7227</v>
      </c>
      <c r="E5937" t="str">
        <f>"36677776035992"</f>
        <v>36677776035992</v>
      </c>
      <c r="F5937" s="8">
        <v>310</v>
      </c>
      <c r="G5937" s="8">
        <v>10695</v>
      </c>
      <c r="H5937" s="8">
        <v>1263</v>
      </c>
      <c r="I5937" s="8">
        <v>4682</v>
      </c>
    </row>
    <row r="5938" spans="1:9" x14ac:dyDescent="0.2">
      <c r="A5938" t="s">
        <v>1202</v>
      </c>
      <c r="B5938" t="s">
        <v>1246</v>
      </c>
      <c r="C5938" t="str">
        <f t="shared" si="287"/>
        <v>36677770000000</v>
      </c>
      <c r="D5938" t="s">
        <v>7228</v>
      </c>
      <c r="E5938" t="str">
        <f>"36677776109623"</f>
        <v>36677776109623</v>
      </c>
      <c r="F5938" s="8">
        <v>415</v>
      </c>
      <c r="G5938" s="8">
        <v>9142</v>
      </c>
      <c r="H5938" s="8">
        <v>1263</v>
      </c>
      <c r="I5938" s="8">
        <v>4682</v>
      </c>
    </row>
    <row r="5939" spans="1:9" x14ac:dyDescent="0.2">
      <c r="A5939" t="s">
        <v>1202</v>
      </c>
      <c r="B5939" t="s">
        <v>1246</v>
      </c>
      <c r="C5939" t="str">
        <f t="shared" si="287"/>
        <v>36677770000000</v>
      </c>
      <c r="D5939" t="s">
        <v>7229</v>
      </c>
      <c r="E5939" t="str">
        <f>"36677776036032"</f>
        <v>36677776036032</v>
      </c>
      <c r="F5939" s="8">
        <v>472</v>
      </c>
      <c r="G5939" s="8">
        <v>8182</v>
      </c>
      <c r="H5939" s="8">
        <v>1263</v>
      </c>
      <c r="I5939" s="8">
        <v>4682</v>
      </c>
    </row>
    <row r="5940" spans="1:9" x14ac:dyDescent="0.2">
      <c r="A5940" t="s">
        <v>1202</v>
      </c>
      <c r="B5940" t="s">
        <v>1246</v>
      </c>
      <c r="C5940" t="str">
        <f t="shared" si="287"/>
        <v>36677770000000</v>
      </c>
      <c r="D5940" t="s">
        <v>7230</v>
      </c>
      <c r="E5940" t="str">
        <f>"36677776106827"</f>
        <v>36677776106827</v>
      </c>
      <c r="F5940" s="8">
        <v>735</v>
      </c>
      <c r="G5940" s="8">
        <v>7818</v>
      </c>
      <c r="H5940" s="8">
        <v>1263</v>
      </c>
      <c r="I5940" s="8">
        <v>4682</v>
      </c>
    </row>
    <row r="5941" spans="1:9" x14ac:dyDescent="0.2">
      <c r="A5941" t="s">
        <v>1202</v>
      </c>
      <c r="B5941" t="s">
        <v>1246</v>
      </c>
      <c r="C5941" t="str">
        <f t="shared" si="287"/>
        <v>36677770000000</v>
      </c>
      <c r="D5941" t="s">
        <v>7231</v>
      </c>
      <c r="E5941" t="str">
        <f>"36677776105589"</f>
        <v>36677776105589</v>
      </c>
      <c r="F5941" s="8">
        <v>212</v>
      </c>
      <c r="G5941" s="8">
        <v>8196</v>
      </c>
      <c r="H5941" s="8">
        <v>1263</v>
      </c>
      <c r="I5941" s="8">
        <v>4682</v>
      </c>
    </row>
    <row r="5942" spans="1:9" x14ac:dyDescent="0.2">
      <c r="A5942" t="s">
        <v>1202</v>
      </c>
      <c r="B5942" t="s">
        <v>1246</v>
      </c>
      <c r="C5942" t="str">
        <f t="shared" si="287"/>
        <v>36677770000000</v>
      </c>
      <c r="D5942" t="s">
        <v>7232</v>
      </c>
      <c r="E5942" t="str">
        <f>"36677776036016"</f>
        <v>36677776036016</v>
      </c>
      <c r="F5942" s="8">
        <v>417</v>
      </c>
      <c r="G5942" s="8">
        <v>7653</v>
      </c>
      <c r="H5942" s="8">
        <v>1263</v>
      </c>
      <c r="I5942" s="8">
        <v>4682</v>
      </c>
    </row>
    <row r="5943" spans="1:9" x14ac:dyDescent="0.2">
      <c r="A5943" t="s">
        <v>1202</v>
      </c>
      <c r="B5943" t="s">
        <v>1246</v>
      </c>
      <c r="C5943" t="str">
        <f t="shared" si="287"/>
        <v>36677770000000</v>
      </c>
      <c r="D5943" t="s">
        <v>7233</v>
      </c>
      <c r="E5943" t="str">
        <f>"36677773636743"</f>
        <v>36677773636743</v>
      </c>
      <c r="F5943" s="8">
        <v>275</v>
      </c>
      <c r="G5943" s="8">
        <v>7385</v>
      </c>
      <c r="H5943" s="8">
        <v>1263</v>
      </c>
      <c r="I5943" s="8">
        <v>4682</v>
      </c>
    </row>
    <row r="5944" spans="1:9" x14ac:dyDescent="0.2">
      <c r="A5944" t="s">
        <v>1202</v>
      </c>
      <c r="B5944" t="s">
        <v>1246</v>
      </c>
      <c r="C5944" t="str">
        <f t="shared" si="287"/>
        <v>36677770000000</v>
      </c>
      <c r="D5944" t="s">
        <v>7234</v>
      </c>
      <c r="E5944" t="str">
        <f>"36677776035984"</f>
        <v>36677776035984</v>
      </c>
      <c r="F5944" s="8">
        <v>297</v>
      </c>
      <c r="G5944" s="8">
        <v>7179</v>
      </c>
      <c r="H5944" s="8">
        <v>1263</v>
      </c>
      <c r="I5944" s="8">
        <v>4682</v>
      </c>
    </row>
    <row r="5945" spans="1:9" x14ac:dyDescent="0.2">
      <c r="A5945" t="s">
        <v>1202</v>
      </c>
      <c r="B5945" t="s">
        <v>1246</v>
      </c>
      <c r="C5945" t="str">
        <f t="shared" si="287"/>
        <v>36677770000000</v>
      </c>
      <c r="D5945" t="s">
        <v>7235</v>
      </c>
      <c r="E5945" t="str">
        <f>"36677773638616"</f>
        <v>36677773638616</v>
      </c>
      <c r="F5945" s="8">
        <v>313</v>
      </c>
      <c r="G5945" s="8">
        <v>6957</v>
      </c>
      <c r="H5945" s="8">
        <v>1263</v>
      </c>
      <c r="I5945" s="8">
        <v>4682</v>
      </c>
    </row>
    <row r="5946" spans="1:9" x14ac:dyDescent="0.2">
      <c r="A5946" t="s">
        <v>1202</v>
      </c>
      <c r="B5946" t="s">
        <v>1246</v>
      </c>
      <c r="C5946" t="str">
        <f t="shared" si="287"/>
        <v>36677770000000</v>
      </c>
      <c r="D5946" t="s">
        <v>7236</v>
      </c>
      <c r="E5946" t="str">
        <f>"36677776036024"</f>
        <v>36677776036024</v>
      </c>
      <c r="F5946" s="8">
        <v>540</v>
      </c>
      <c r="G5946" s="8">
        <v>6518</v>
      </c>
      <c r="H5946" s="8">
        <v>1263</v>
      </c>
      <c r="I5946" s="8">
        <v>4682</v>
      </c>
    </row>
    <row r="5947" spans="1:9" x14ac:dyDescent="0.2">
      <c r="A5947" t="s">
        <v>1202</v>
      </c>
      <c r="B5947" t="s">
        <v>1246</v>
      </c>
      <c r="C5947" t="str">
        <f t="shared" si="287"/>
        <v>36677770000000</v>
      </c>
      <c r="D5947" t="s">
        <v>7237</v>
      </c>
      <c r="E5947" t="str">
        <f>"36677776106579"</f>
        <v>36677776106579</v>
      </c>
      <c r="F5947" s="8">
        <v>528</v>
      </c>
      <c r="G5947" s="8">
        <v>6525</v>
      </c>
      <c r="H5947" s="8">
        <v>1263</v>
      </c>
      <c r="I5947" s="8">
        <v>4682</v>
      </c>
    </row>
    <row r="5948" spans="1:9" x14ac:dyDescent="0.2">
      <c r="A5948" t="s">
        <v>1202</v>
      </c>
      <c r="B5948" t="s">
        <v>1246</v>
      </c>
      <c r="C5948" t="str">
        <f t="shared" si="287"/>
        <v>36677770000000</v>
      </c>
      <c r="D5948" t="s">
        <v>7238</v>
      </c>
      <c r="E5948" t="str">
        <f>"36677776113070"</f>
        <v>36677776113070</v>
      </c>
      <c r="F5948" s="8">
        <v>248</v>
      </c>
      <c r="G5948" s="8">
        <v>6788</v>
      </c>
      <c r="H5948" s="8">
        <v>1263</v>
      </c>
      <c r="I5948" s="8">
        <v>4682</v>
      </c>
    </row>
    <row r="5949" spans="1:9" x14ac:dyDescent="0.2">
      <c r="A5949" t="s">
        <v>1202</v>
      </c>
      <c r="B5949" t="s">
        <v>1246</v>
      </c>
      <c r="C5949" t="str">
        <f t="shared" si="287"/>
        <v>36677770000000</v>
      </c>
      <c r="D5949" t="s">
        <v>6351</v>
      </c>
      <c r="E5949" t="str">
        <f>"36677776036008"</f>
        <v>36677776036008</v>
      </c>
      <c r="F5949" s="8">
        <v>395</v>
      </c>
      <c r="G5949" s="8">
        <v>6604</v>
      </c>
      <c r="H5949" s="8">
        <v>1263</v>
      </c>
      <c r="I5949" s="8">
        <v>4682</v>
      </c>
    </row>
    <row r="5950" spans="1:9" x14ac:dyDescent="0.2">
      <c r="A5950" t="s">
        <v>1202</v>
      </c>
      <c r="B5950" t="s">
        <v>1246</v>
      </c>
      <c r="C5950" t="str">
        <f t="shared" si="287"/>
        <v>36677770000000</v>
      </c>
      <c r="D5950" t="s">
        <v>7239</v>
      </c>
      <c r="E5950" t="str">
        <f>"36677776109615"</f>
        <v>36677776109615</v>
      </c>
      <c r="F5950" s="8">
        <v>192</v>
      </c>
      <c r="G5950" s="8">
        <v>6790</v>
      </c>
      <c r="H5950" s="8">
        <v>1263</v>
      </c>
      <c r="I5950" s="8">
        <v>4682</v>
      </c>
    </row>
    <row r="5951" spans="1:9" x14ac:dyDescent="0.2">
      <c r="A5951" t="s">
        <v>1202</v>
      </c>
      <c r="B5951" t="s">
        <v>1246</v>
      </c>
      <c r="C5951" t="str">
        <f t="shared" si="287"/>
        <v>36677770000000</v>
      </c>
      <c r="D5951" t="s">
        <v>7240</v>
      </c>
      <c r="E5951" t="str">
        <f>"36677776036040"</f>
        <v>36677776036040</v>
      </c>
      <c r="F5951" s="8">
        <v>280</v>
      </c>
      <c r="G5951" s="8">
        <v>6064</v>
      </c>
      <c r="H5951" s="8">
        <v>1263</v>
      </c>
      <c r="I5951" s="8">
        <v>4682</v>
      </c>
    </row>
    <row r="5952" spans="1:9" x14ac:dyDescent="0.2">
      <c r="A5952" t="s">
        <v>1202</v>
      </c>
      <c r="B5952" t="s">
        <v>710</v>
      </c>
      <c r="C5952" t="str">
        <f>"36677850000000"</f>
        <v>36677850000000</v>
      </c>
      <c r="D5952" t="s">
        <v>7241</v>
      </c>
      <c r="E5952" t="str">
        <f>"36677856102909"</f>
        <v>36677856102909</v>
      </c>
      <c r="F5952" s="8">
        <v>938</v>
      </c>
      <c r="G5952" s="8">
        <v>7935</v>
      </c>
      <c r="H5952" s="8">
        <v>611</v>
      </c>
      <c r="I5952" s="8">
        <v>2127</v>
      </c>
    </row>
    <row r="5953" spans="1:9" x14ac:dyDescent="0.2">
      <c r="A5953" t="s">
        <v>1202</v>
      </c>
      <c r="B5953" t="s">
        <v>710</v>
      </c>
      <c r="C5953" t="str">
        <f>"36677850000000"</f>
        <v>36677850000000</v>
      </c>
      <c r="D5953" t="s">
        <v>7242</v>
      </c>
      <c r="E5953" t="str">
        <f>"36677856105449"</f>
        <v>36677856105449</v>
      </c>
      <c r="F5953" s="8">
        <v>951</v>
      </c>
      <c r="G5953" s="8">
        <v>6363</v>
      </c>
      <c r="H5953" s="8">
        <v>611</v>
      </c>
      <c r="I5953" s="8">
        <v>2127</v>
      </c>
    </row>
    <row r="5954" spans="1:9" x14ac:dyDescent="0.2">
      <c r="A5954" t="s">
        <v>1202</v>
      </c>
      <c r="B5954" t="s">
        <v>710</v>
      </c>
      <c r="C5954" t="str">
        <f>"36677850000000"</f>
        <v>36677850000000</v>
      </c>
      <c r="D5954" t="s">
        <v>710</v>
      </c>
      <c r="E5954" t="str">
        <f>"36677856036057"</f>
        <v>36677856036057</v>
      </c>
      <c r="F5954" s="8">
        <v>506</v>
      </c>
      <c r="G5954" s="8">
        <v>6543</v>
      </c>
      <c r="H5954" s="8">
        <v>611</v>
      </c>
      <c r="I5954" s="8">
        <v>2126</v>
      </c>
    </row>
    <row r="5955" spans="1:9" x14ac:dyDescent="0.2">
      <c r="A5955" t="s">
        <v>1202</v>
      </c>
      <c r="B5955" t="s">
        <v>710</v>
      </c>
      <c r="C5955" t="str">
        <f>"36677850000000"</f>
        <v>36677850000000</v>
      </c>
      <c r="D5955" t="s">
        <v>7243</v>
      </c>
      <c r="E5955" t="str">
        <f>"36677856110050"</f>
        <v>36677856110050</v>
      </c>
      <c r="F5955" s="8">
        <v>5629</v>
      </c>
      <c r="G5955" s="8">
        <v>780</v>
      </c>
      <c r="H5955" s="8">
        <v>611</v>
      </c>
      <c r="I5955" s="8">
        <v>2127</v>
      </c>
    </row>
    <row r="5956" spans="1:9" x14ac:dyDescent="0.2">
      <c r="A5956" t="s">
        <v>1202</v>
      </c>
      <c r="B5956" t="s">
        <v>1247</v>
      </c>
      <c r="C5956" t="str">
        <f>"36677930000000"</f>
        <v>36677930000000</v>
      </c>
      <c r="D5956" t="s">
        <v>1247</v>
      </c>
      <c r="E5956" t="str">
        <f>"36677936036065"</f>
        <v>36677936036065</v>
      </c>
      <c r="F5956" s="8">
        <v>830</v>
      </c>
      <c r="G5956" s="8">
        <v>11113</v>
      </c>
      <c r="H5956" s="8">
        <v>5</v>
      </c>
      <c r="I5956" s="8">
        <v>2178</v>
      </c>
    </row>
    <row r="5957" spans="1:9" x14ac:dyDescent="0.2">
      <c r="A5957" t="s">
        <v>1202</v>
      </c>
      <c r="B5957" t="s">
        <v>1248</v>
      </c>
      <c r="C5957" t="str">
        <f t="shared" ref="C5957:C5962" si="288">"36678010000000"</f>
        <v>36678010000000</v>
      </c>
      <c r="D5957" t="s">
        <v>7244</v>
      </c>
      <c r="E5957" t="str">
        <f>"36678010131888"</f>
        <v>36678010131888</v>
      </c>
      <c r="F5957" s="8">
        <v>372</v>
      </c>
      <c r="G5957" s="8">
        <v>17398</v>
      </c>
      <c r="H5957" s="8">
        <v>3091</v>
      </c>
      <c r="I5957" s="8">
        <v>6673</v>
      </c>
    </row>
    <row r="5958" spans="1:9" x14ac:dyDescent="0.2">
      <c r="A5958" t="s">
        <v>1202</v>
      </c>
      <c r="B5958" t="s">
        <v>1248</v>
      </c>
      <c r="C5958" t="str">
        <f t="shared" si="288"/>
        <v>36678010000000</v>
      </c>
      <c r="D5958" t="s">
        <v>7245</v>
      </c>
      <c r="E5958" t="str">
        <f>"36678010132720"</f>
        <v>36678010132720</v>
      </c>
      <c r="F5958" s="8">
        <v>154</v>
      </c>
      <c r="G5958" s="8">
        <v>9888</v>
      </c>
      <c r="H5958" s="8">
        <v>3091</v>
      </c>
      <c r="I5958" s="8">
        <v>6673</v>
      </c>
    </row>
    <row r="5959" spans="1:9" x14ac:dyDescent="0.2">
      <c r="A5959" t="s">
        <v>1202</v>
      </c>
      <c r="B5959" t="s">
        <v>1248</v>
      </c>
      <c r="C5959" t="str">
        <f t="shared" si="288"/>
        <v>36678010000000</v>
      </c>
      <c r="D5959" t="s">
        <v>7246</v>
      </c>
      <c r="E5959" t="str">
        <f>"36678013630266"</f>
        <v>36678013630266</v>
      </c>
      <c r="F5959" s="8">
        <v>25</v>
      </c>
      <c r="G5959" s="8">
        <v>8907</v>
      </c>
      <c r="H5959" s="8">
        <v>3091</v>
      </c>
      <c r="I5959" s="8">
        <v>6673</v>
      </c>
    </row>
    <row r="5960" spans="1:9" x14ac:dyDescent="0.2">
      <c r="A5960" t="s">
        <v>1202</v>
      </c>
      <c r="B5960" t="s">
        <v>1248</v>
      </c>
      <c r="C5960" t="str">
        <f t="shared" si="288"/>
        <v>36678010000000</v>
      </c>
      <c r="D5960" t="s">
        <v>7247</v>
      </c>
      <c r="E5960" t="str">
        <f>"36678013634169"</f>
        <v>36678013634169</v>
      </c>
      <c r="F5960" s="8">
        <v>178</v>
      </c>
      <c r="G5960" s="8">
        <v>8345</v>
      </c>
      <c r="H5960" s="8">
        <v>3091</v>
      </c>
      <c r="I5960" s="8">
        <v>6673</v>
      </c>
    </row>
    <row r="5961" spans="1:9" x14ac:dyDescent="0.2">
      <c r="A5961" t="s">
        <v>1202</v>
      </c>
      <c r="B5961" t="s">
        <v>1248</v>
      </c>
      <c r="C5961" t="str">
        <f t="shared" si="288"/>
        <v>36678010000000</v>
      </c>
      <c r="D5961" t="s">
        <v>7248</v>
      </c>
      <c r="E5961" t="str">
        <f>"36678016036115"</f>
        <v>36678016036115</v>
      </c>
      <c r="F5961" s="8">
        <v>516</v>
      </c>
      <c r="G5961" s="8">
        <v>7712</v>
      </c>
      <c r="H5961" s="8">
        <v>3091</v>
      </c>
      <c r="I5961" s="8">
        <v>6673</v>
      </c>
    </row>
    <row r="5962" spans="1:9" x14ac:dyDescent="0.2">
      <c r="A5962" t="s">
        <v>1202</v>
      </c>
      <c r="B5962" t="s">
        <v>1248</v>
      </c>
      <c r="C5962" t="str">
        <f t="shared" si="288"/>
        <v>36678010000000</v>
      </c>
      <c r="D5962" t="s">
        <v>7249</v>
      </c>
      <c r="E5962" t="str">
        <f>"36678016100929"</f>
        <v>36678016100929</v>
      </c>
      <c r="F5962" s="8">
        <v>189</v>
      </c>
      <c r="G5962" s="8">
        <v>7022</v>
      </c>
      <c r="H5962" s="8">
        <v>3091</v>
      </c>
      <c r="I5962" s="8">
        <v>6673</v>
      </c>
    </row>
    <row r="5963" spans="1:9" x14ac:dyDescent="0.2">
      <c r="A5963" t="s">
        <v>1202</v>
      </c>
      <c r="B5963" t="s">
        <v>1251</v>
      </c>
      <c r="C5963" t="str">
        <f t="shared" ref="C5963:C5994" si="289">"36678190000000"</f>
        <v>36678190000000</v>
      </c>
      <c r="D5963" t="s">
        <v>7250</v>
      </c>
      <c r="E5963" t="str">
        <f>"36678196036230"</f>
        <v>36678196036230</v>
      </c>
      <c r="F5963" s="8">
        <v>956</v>
      </c>
      <c r="G5963" s="8">
        <v>15574</v>
      </c>
      <c r="H5963" s="8">
        <v>67</v>
      </c>
      <c r="I5963" s="8">
        <v>531</v>
      </c>
    </row>
    <row r="5964" spans="1:9" x14ac:dyDescent="0.2">
      <c r="A5964" t="s">
        <v>1202</v>
      </c>
      <c r="B5964" t="s">
        <v>1251</v>
      </c>
      <c r="C5964" t="str">
        <f t="shared" si="289"/>
        <v>36678190000000</v>
      </c>
      <c r="D5964" t="s">
        <v>2243</v>
      </c>
      <c r="E5964" t="str">
        <f>"36678190137760"</f>
        <v>36678190137760</v>
      </c>
      <c r="F5964" s="8">
        <v>850</v>
      </c>
      <c r="G5964" s="8">
        <v>13625</v>
      </c>
      <c r="H5964" s="8">
        <v>34</v>
      </c>
      <c r="I5964" s="8">
        <v>267</v>
      </c>
    </row>
    <row r="5965" spans="1:9" x14ac:dyDescent="0.2">
      <c r="A5965" t="s">
        <v>1202</v>
      </c>
      <c r="B5965" t="s">
        <v>1251</v>
      </c>
      <c r="C5965" t="str">
        <f t="shared" si="289"/>
        <v>36678190000000</v>
      </c>
      <c r="D5965" t="s">
        <v>7251</v>
      </c>
      <c r="E5965" t="str">
        <f>"36678196036214"</f>
        <v>36678196036214</v>
      </c>
      <c r="F5965" s="8">
        <v>588</v>
      </c>
      <c r="G5965" s="8">
        <v>11366</v>
      </c>
      <c r="H5965" s="8">
        <v>65</v>
      </c>
      <c r="I5965" s="8">
        <v>516</v>
      </c>
    </row>
    <row r="5966" spans="1:9" x14ac:dyDescent="0.2">
      <c r="A5966" t="s">
        <v>1202</v>
      </c>
      <c r="B5966" t="s">
        <v>1251</v>
      </c>
      <c r="C5966" t="str">
        <f t="shared" si="289"/>
        <v>36678190000000</v>
      </c>
      <c r="D5966" t="s">
        <v>7252</v>
      </c>
      <c r="E5966" t="str">
        <f>"36678196036206"</f>
        <v>36678196036206</v>
      </c>
      <c r="F5966" s="8">
        <v>799</v>
      </c>
      <c r="G5966" s="8">
        <v>11141</v>
      </c>
      <c r="H5966" s="8">
        <v>46</v>
      </c>
      <c r="I5966" s="8">
        <v>366</v>
      </c>
    </row>
    <row r="5967" spans="1:9" x14ac:dyDescent="0.2">
      <c r="A5967" t="s">
        <v>1202</v>
      </c>
      <c r="B5967" t="s">
        <v>1251</v>
      </c>
      <c r="C5967" t="str">
        <f t="shared" si="289"/>
        <v>36678190000000</v>
      </c>
      <c r="D5967" t="s">
        <v>7253</v>
      </c>
      <c r="E5967" t="str">
        <f>"36678196036412"</f>
        <v>36678196036412</v>
      </c>
      <c r="F5967" s="8">
        <v>513</v>
      </c>
      <c r="G5967" s="8">
        <v>11569</v>
      </c>
      <c r="H5967" s="8">
        <v>25</v>
      </c>
      <c r="I5967" s="8">
        <v>198</v>
      </c>
    </row>
    <row r="5968" spans="1:9" x14ac:dyDescent="0.2">
      <c r="A5968" t="s">
        <v>1202</v>
      </c>
      <c r="B5968" t="s">
        <v>1251</v>
      </c>
      <c r="C5968" t="str">
        <f t="shared" si="289"/>
        <v>36678190000000</v>
      </c>
      <c r="D5968" t="s">
        <v>7254</v>
      </c>
      <c r="E5968" t="str">
        <f>"36678196036438"</f>
        <v>36678196036438</v>
      </c>
      <c r="F5968" s="8">
        <v>522</v>
      </c>
      <c r="G5968" s="8">
        <v>11249</v>
      </c>
      <c r="H5968" s="8">
        <v>31</v>
      </c>
      <c r="I5968" s="8">
        <v>249</v>
      </c>
    </row>
    <row r="5969" spans="1:9" x14ac:dyDescent="0.2">
      <c r="A5969" t="s">
        <v>1202</v>
      </c>
      <c r="B5969" t="s">
        <v>1251</v>
      </c>
      <c r="C5969" t="str">
        <f t="shared" si="289"/>
        <v>36678190000000</v>
      </c>
      <c r="D5969" t="s">
        <v>7255</v>
      </c>
      <c r="E5969" t="str">
        <f>"36678190100115"</f>
        <v>36678190100115</v>
      </c>
      <c r="F5969" s="8">
        <v>1050</v>
      </c>
      <c r="G5969" s="8">
        <v>10489</v>
      </c>
      <c r="H5969" s="8">
        <v>36</v>
      </c>
      <c r="I5969" s="8">
        <v>288</v>
      </c>
    </row>
    <row r="5970" spans="1:9" x14ac:dyDescent="0.2">
      <c r="A5970" t="s">
        <v>1202</v>
      </c>
      <c r="B5970" t="s">
        <v>1251</v>
      </c>
      <c r="C5970" t="str">
        <f t="shared" si="289"/>
        <v>36678190000000</v>
      </c>
      <c r="D5970" t="s">
        <v>6506</v>
      </c>
      <c r="E5970" t="str">
        <f>"36678196036370"</f>
        <v>36678196036370</v>
      </c>
      <c r="F5970" s="8">
        <v>467</v>
      </c>
      <c r="G5970" s="8">
        <v>10841</v>
      </c>
      <c r="H5970" s="8">
        <v>43</v>
      </c>
      <c r="I5970" s="8">
        <v>342</v>
      </c>
    </row>
    <row r="5971" spans="1:9" x14ac:dyDescent="0.2">
      <c r="A5971" t="s">
        <v>1202</v>
      </c>
      <c r="B5971" t="s">
        <v>1251</v>
      </c>
      <c r="C5971" t="str">
        <f t="shared" si="289"/>
        <v>36678190000000</v>
      </c>
      <c r="D5971" t="s">
        <v>7256</v>
      </c>
      <c r="E5971" t="str">
        <f>"36678196036172"</f>
        <v>36678196036172</v>
      </c>
      <c r="F5971" s="8">
        <v>623</v>
      </c>
      <c r="G5971" s="8">
        <v>10378</v>
      </c>
      <c r="H5971" s="8">
        <v>58</v>
      </c>
      <c r="I5971" s="8">
        <v>459</v>
      </c>
    </row>
    <row r="5972" spans="1:9" x14ac:dyDescent="0.2">
      <c r="A5972" t="s">
        <v>1202</v>
      </c>
      <c r="B5972" t="s">
        <v>1251</v>
      </c>
      <c r="C5972" t="str">
        <f t="shared" si="289"/>
        <v>36678190000000</v>
      </c>
      <c r="D5972" t="s">
        <v>5029</v>
      </c>
      <c r="E5972" t="str">
        <f>"36678196036123"</f>
        <v>36678196036123</v>
      </c>
      <c r="F5972" s="8">
        <v>486</v>
      </c>
      <c r="G5972" s="8">
        <v>10104</v>
      </c>
      <c r="H5972" s="8">
        <v>87</v>
      </c>
      <c r="I5972" s="8">
        <v>691</v>
      </c>
    </row>
    <row r="5973" spans="1:9" x14ac:dyDescent="0.2">
      <c r="A5973" t="s">
        <v>1202</v>
      </c>
      <c r="B5973" t="s">
        <v>1251</v>
      </c>
      <c r="C5973" t="str">
        <f t="shared" si="289"/>
        <v>36678190000000</v>
      </c>
      <c r="D5973" t="s">
        <v>7257</v>
      </c>
      <c r="E5973" t="str">
        <f>"36678196036420"</f>
        <v>36678196036420</v>
      </c>
      <c r="F5973" s="8">
        <v>419</v>
      </c>
      <c r="G5973" s="8">
        <v>10252</v>
      </c>
      <c r="H5973" s="8">
        <v>33</v>
      </c>
      <c r="I5973" s="8">
        <v>264</v>
      </c>
    </row>
    <row r="5974" spans="1:9" x14ac:dyDescent="0.2">
      <c r="A5974" t="s">
        <v>1202</v>
      </c>
      <c r="B5974" t="s">
        <v>1251</v>
      </c>
      <c r="C5974" t="str">
        <f t="shared" si="289"/>
        <v>36678190000000</v>
      </c>
      <c r="D5974" t="s">
        <v>7258</v>
      </c>
      <c r="E5974" t="str">
        <f>"36678196036305"</f>
        <v>36678196036305</v>
      </c>
      <c r="F5974" s="8">
        <v>528</v>
      </c>
      <c r="G5974" s="8">
        <v>9748</v>
      </c>
      <c r="H5974" s="8">
        <v>40</v>
      </c>
      <c r="I5974" s="8">
        <v>317</v>
      </c>
    </row>
    <row r="5975" spans="1:9" x14ac:dyDescent="0.2">
      <c r="A5975" t="s">
        <v>1202</v>
      </c>
      <c r="B5975" t="s">
        <v>1251</v>
      </c>
      <c r="C5975" t="str">
        <f t="shared" si="289"/>
        <v>36678190000000</v>
      </c>
      <c r="D5975" t="s">
        <v>7259</v>
      </c>
      <c r="E5975" t="str">
        <f>"36678196036131"</f>
        <v>36678196036131</v>
      </c>
      <c r="F5975" s="8">
        <v>491</v>
      </c>
      <c r="G5975" s="8">
        <v>9565</v>
      </c>
      <c r="H5975" s="8">
        <v>23</v>
      </c>
      <c r="I5975" s="8">
        <v>186</v>
      </c>
    </row>
    <row r="5976" spans="1:9" x14ac:dyDescent="0.2">
      <c r="A5976" t="s">
        <v>1202</v>
      </c>
      <c r="B5976" t="s">
        <v>1251</v>
      </c>
      <c r="C5976" t="str">
        <f t="shared" si="289"/>
        <v>36678190000000</v>
      </c>
      <c r="D5976" t="s">
        <v>7260</v>
      </c>
      <c r="E5976" t="str">
        <f>"36678196036156"</f>
        <v>36678196036156</v>
      </c>
      <c r="F5976" s="8">
        <v>468</v>
      </c>
      <c r="G5976" s="8">
        <v>9118</v>
      </c>
      <c r="H5976" s="8">
        <v>73</v>
      </c>
      <c r="I5976" s="8">
        <v>583</v>
      </c>
    </row>
    <row r="5977" spans="1:9" x14ac:dyDescent="0.2">
      <c r="A5977" t="s">
        <v>1202</v>
      </c>
      <c r="B5977" t="s">
        <v>1251</v>
      </c>
      <c r="C5977" t="str">
        <f t="shared" si="289"/>
        <v>36678190000000</v>
      </c>
      <c r="D5977" t="s">
        <v>7261</v>
      </c>
      <c r="E5977" t="str">
        <f>"36678196036255"</f>
        <v>36678196036255</v>
      </c>
      <c r="F5977" s="8">
        <v>509</v>
      </c>
      <c r="G5977" s="8">
        <v>9119</v>
      </c>
      <c r="H5977" s="8">
        <v>29</v>
      </c>
      <c r="I5977" s="8">
        <v>231</v>
      </c>
    </row>
    <row r="5978" spans="1:9" x14ac:dyDescent="0.2">
      <c r="A5978" t="s">
        <v>1202</v>
      </c>
      <c r="B5978" t="s">
        <v>1251</v>
      </c>
      <c r="C5978" t="str">
        <f t="shared" si="289"/>
        <v>36678190000000</v>
      </c>
      <c r="D5978" t="s">
        <v>2511</v>
      </c>
      <c r="E5978" t="str">
        <f>"36678196036354"</f>
        <v>36678196036354</v>
      </c>
      <c r="F5978" s="8">
        <v>566</v>
      </c>
      <c r="G5978" s="8">
        <v>8735</v>
      </c>
      <c r="H5978" s="8">
        <v>32</v>
      </c>
      <c r="I5978" s="8">
        <v>256</v>
      </c>
    </row>
    <row r="5979" spans="1:9" x14ac:dyDescent="0.2">
      <c r="A5979" t="s">
        <v>1202</v>
      </c>
      <c r="B5979" t="s">
        <v>1251</v>
      </c>
      <c r="C5979" t="str">
        <f t="shared" si="289"/>
        <v>36678190000000</v>
      </c>
      <c r="D5979" t="s">
        <v>7262</v>
      </c>
      <c r="E5979" t="str">
        <f>"36678196036248"</f>
        <v>36678196036248</v>
      </c>
      <c r="F5979" s="8">
        <v>523</v>
      </c>
      <c r="G5979" s="8">
        <v>8762</v>
      </c>
      <c r="H5979" s="8">
        <v>27</v>
      </c>
      <c r="I5979" s="8">
        <v>216</v>
      </c>
    </row>
    <row r="5980" spans="1:9" x14ac:dyDescent="0.2">
      <c r="A5980" t="s">
        <v>1202</v>
      </c>
      <c r="B5980" t="s">
        <v>1251</v>
      </c>
      <c r="C5980" t="str">
        <f t="shared" si="289"/>
        <v>36678190000000</v>
      </c>
      <c r="D5980" t="s">
        <v>4397</v>
      </c>
      <c r="E5980" t="str">
        <f>"36678196036297"</f>
        <v>36678196036297</v>
      </c>
      <c r="F5980" s="8">
        <v>651</v>
      </c>
      <c r="G5980" s="8">
        <v>8327</v>
      </c>
      <c r="H5980" s="8">
        <v>34</v>
      </c>
      <c r="I5980" s="8">
        <v>268</v>
      </c>
    </row>
    <row r="5981" spans="1:9" x14ac:dyDescent="0.2">
      <c r="A5981" t="s">
        <v>1202</v>
      </c>
      <c r="B5981" t="s">
        <v>1251</v>
      </c>
      <c r="C5981" t="str">
        <f t="shared" si="289"/>
        <v>36678190000000</v>
      </c>
      <c r="D5981" t="s">
        <v>7263</v>
      </c>
      <c r="E5981" t="str">
        <f>"36678196113476"</f>
        <v>36678196113476</v>
      </c>
      <c r="F5981" s="8">
        <v>498</v>
      </c>
      <c r="G5981" s="8">
        <v>8621</v>
      </c>
      <c r="H5981" s="8">
        <v>18</v>
      </c>
      <c r="I5981" s="8">
        <v>141</v>
      </c>
    </row>
    <row r="5982" spans="1:9" x14ac:dyDescent="0.2">
      <c r="A5982" t="s">
        <v>1202</v>
      </c>
      <c r="B5982" t="s">
        <v>1251</v>
      </c>
      <c r="C5982" t="str">
        <f t="shared" si="289"/>
        <v>36678190000000</v>
      </c>
      <c r="D5982" t="s">
        <v>2653</v>
      </c>
      <c r="E5982" t="str">
        <f>"36678190100107"</f>
        <v>36678190100107</v>
      </c>
      <c r="F5982" s="8">
        <v>615</v>
      </c>
      <c r="G5982" s="8">
        <v>7977</v>
      </c>
      <c r="H5982" s="8">
        <v>58</v>
      </c>
      <c r="I5982" s="8">
        <v>461</v>
      </c>
    </row>
    <row r="5983" spans="1:9" x14ac:dyDescent="0.2">
      <c r="A5983" t="s">
        <v>1202</v>
      </c>
      <c r="B5983" t="s">
        <v>1251</v>
      </c>
      <c r="C5983" t="str">
        <f t="shared" si="289"/>
        <v>36678190000000</v>
      </c>
      <c r="D5983" t="s">
        <v>3877</v>
      </c>
      <c r="E5983" t="str">
        <f>"36678196036362"</f>
        <v>36678196036362</v>
      </c>
      <c r="F5983" s="8">
        <v>514</v>
      </c>
      <c r="G5983" s="8">
        <v>8285</v>
      </c>
      <c r="H5983" s="8">
        <v>33</v>
      </c>
      <c r="I5983" s="8">
        <v>260</v>
      </c>
    </row>
    <row r="5984" spans="1:9" x14ac:dyDescent="0.2">
      <c r="A5984" t="s">
        <v>1202</v>
      </c>
      <c r="B5984" t="s">
        <v>1251</v>
      </c>
      <c r="C5984" t="str">
        <f t="shared" si="289"/>
        <v>36678190000000</v>
      </c>
      <c r="D5984" t="s">
        <v>3662</v>
      </c>
      <c r="E5984" t="str">
        <f>"36678196036263"</f>
        <v>36678196036263</v>
      </c>
      <c r="F5984" s="8">
        <v>531</v>
      </c>
      <c r="G5984" s="8">
        <v>8184</v>
      </c>
      <c r="H5984" s="8">
        <v>34</v>
      </c>
      <c r="I5984" s="8">
        <v>271</v>
      </c>
    </row>
    <row r="5985" spans="1:9" x14ac:dyDescent="0.2">
      <c r="A5985" t="s">
        <v>1202</v>
      </c>
      <c r="B5985" t="s">
        <v>1251</v>
      </c>
      <c r="C5985" t="str">
        <f t="shared" si="289"/>
        <v>36678190000000</v>
      </c>
      <c r="D5985" t="s">
        <v>5267</v>
      </c>
      <c r="E5985" t="str">
        <f>"36678196036271"</f>
        <v>36678196036271</v>
      </c>
      <c r="F5985" s="8">
        <v>532</v>
      </c>
      <c r="G5985" s="8">
        <v>8068</v>
      </c>
      <c r="H5985" s="8">
        <v>45</v>
      </c>
      <c r="I5985" s="8">
        <v>356</v>
      </c>
    </row>
    <row r="5986" spans="1:9" x14ac:dyDescent="0.2">
      <c r="A5986" t="s">
        <v>1202</v>
      </c>
      <c r="B5986" t="s">
        <v>1251</v>
      </c>
      <c r="C5986" t="str">
        <f t="shared" si="289"/>
        <v>36678190000000</v>
      </c>
      <c r="D5986" t="s">
        <v>3580</v>
      </c>
      <c r="E5986" t="str">
        <f>"36678196036388"</f>
        <v>36678196036388</v>
      </c>
      <c r="F5986" s="8">
        <v>511</v>
      </c>
      <c r="G5986" s="8">
        <v>8226</v>
      </c>
      <c r="H5986" s="8">
        <v>24</v>
      </c>
      <c r="I5986" s="8">
        <v>195</v>
      </c>
    </row>
    <row r="5987" spans="1:9" x14ac:dyDescent="0.2">
      <c r="A5987" t="s">
        <v>1202</v>
      </c>
      <c r="B5987" t="s">
        <v>1251</v>
      </c>
      <c r="C5987" t="str">
        <f t="shared" si="289"/>
        <v>36678190000000</v>
      </c>
      <c r="D5987" t="s">
        <v>7264</v>
      </c>
      <c r="E5987" t="str">
        <f>"36678196036404"</f>
        <v>36678196036404</v>
      </c>
      <c r="F5987" s="8">
        <v>448</v>
      </c>
      <c r="G5987" s="8">
        <v>8339</v>
      </c>
      <c r="H5987" s="8">
        <v>18</v>
      </c>
      <c r="I5987" s="8">
        <v>139</v>
      </c>
    </row>
    <row r="5988" spans="1:9" x14ac:dyDescent="0.2">
      <c r="A5988" t="s">
        <v>1202</v>
      </c>
      <c r="B5988" t="s">
        <v>1251</v>
      </c>
      <c r="C5988" t="str">
        <f t="shared" si="289"/>
        <v>36678190000000</v>
      </c>
      <c r="D5988" t="s">
        <v>7265</v>
      </c>
      <c r="E5988" t="str">
        <f>"36678196036289"</f>
        <v>36678196036289</v>
      </c>
      <c r="F5988" s="8">
        <v>645</v>
      </c>
      <c r="G5988" s="8">
        <v>8076</v>
      </c>
      <c r="H5988" s="8">
        <v>13</v>
      </c>
      <c r="I5988" s="8">
        <v>105</v>
      </c>
    </row>
    <row r="5989" spans="1:9" x14ac:dyDescent="0.2">
      <c r="A5989" t="s">
        <v>1202</v>
      </c>
      <c r="B5989" t="s">
        <v>1251</v>
      </c>
      <c r="C5989" t="str">
        <f t="shared" si="289"/>
        <v>36678190000000</v>
      </c>
      <c r="D5989" t="s">
        <v>7266</v>
      </c>
      <c r="E5989" t="str">
        <f>"36678196036446"</f>
        <v>36678196036446</v>
      </c>
      <c r="F5989" s="8">
        <v>475</v>
      </c>
      <c r="G5989" s="8">
        <v>8108</v>
      </c>
      <c r="H5989" s="8">
        <v>23</v>
      </c>
      <c r="I5989" s="8">
        <v>187</v>
      </c>
    </row>
    <row r="5990" spans="1:9" x14ac:dyDescent="0.2">
      <c r="A5990" t="s">
        <v>1202</v>
      </c>
      <c r="B5990" t="s">
        <v>1251</v>
      </c>
      <c r="C5990" t="str">
        <f t="shared" si="289"/>
        <v>36678190000000</v>
      </c>
      <c r="D5990" t="s">
        <v>3977</v>
      </c>
      <c r="E5990" t="str">
        <f>"36678196036347"</f>
        <v>36678196036347</v>
      </c>
      <c r="F5990" s="8">
        <v>494</v>
      </c>
      <c r="G5990" s="8">
        <v>8025</v>
      </c>
      <c r="H5990" s="8">
        <v>26</v>
      </c>
      <c r="I5990" s="8">
        <v>211</v>
      </c>
    </row>
    <row r="5991" spans="1:9" x14ac:dyDescent="0.2">
      <c r="A5991" t="s">
        <v>1202</v>
      </c>
      <c r="B5991" t="s">
        <v>1251</v>
      </c>
      <c r="C5991" t="str">
        <f t="shared" si="289"/>
        <v>36678190000000</v>
      </c>
      <c r="D5991" t="s">
        <v>7267</v>
      </c>
      <c r="E5991" t="str">
        <f>"36678196036149"</f>
        <v>36678196036149</v>
      </c>
      <c r="F5991" s="8">
        <v>598</v>
      </c>
      <c r="G5991" s="8">
        <v>7872</v>
      </c>
      <c r="H5991" s="8">
        <v>27</v>
      </c>
      <c r="I5991" s="8">
        <v>212</v>
      </c>
    </row>
    <row r="5992" spans="1:9" x14ac:dyDescent="0.2">
      <c r="A5992" t="s">
        <v>1202</v>
      </c>
      <c r="B5992" t="s">
        <v>1251</v>
      </c>
      <c r="C5992" t="str">
        <f t="shared" si="289"/>
        <v>36678190000000</v>
      </c>
      <c r="D5992" t="s">
        <v>7268</v>
      </c>
      <c r="E5992" t="str">
        <f>"36678196036198"</f>
        <v>36678196036198</v>
      </c>
      <c r="F5992" s="8">
        <v>617</v>
      </c>
      <c r="G5992" s="8">
        <v>7909</v>
      </c>
      <c r="H5992" s="8">
        <v>20</v>
      </c>
      <c r="I5992" s="8">
        <v>161</v>
      </c>
    </row>
    <row r="5993" spans="1:9" x14ac:dyDescent="0.2">
      <c r="A5993" t="s">
        <v>1202</v>
      </c>
      <c r="B5993" t="s">
        <v>1251</v>
      </c>
      <c r="C5993" t="str">
        <f t="shared" si="289"/>
        <v>36678190000000</v>
      </c>
      <c r="D5993" t="s">
        <v>7269</v>
      </c>
      <c r="E5993" t="str">
        <f>"36678196036164"</f>
        <v>36678196036164</v>
      </c>
      <c r="F5993" s="8">
        <v>353</v>
      </c>
      <c r="G5993" s="8">
        <v>7543</v>
      </c>
      <c r="H5993" s="8">
        <v>21</v>
      </c>
      <c r="I5993" s="8">
        <v>167</v>
      </c>
    </row>
    <row r="5994" spans="1:9" x14ac:dyDescent="0.2">
      <c r="A5994" t="s">
        <v>1202</v>
      </c>
      <c r="B5994" t="s">
        <v>1251</v>
      </c>
      <c r="C5994" t="str">
        <f t="shared" si="289"/>
        <v>36678190000000</v>
      </c>
      <c r="D5994" t="s">
        <v>348</v>
      </c>
      <c r="E5994" t="str">
        <f>"36678196036222"</f>
        <v>36678196036222</v>
      </c>
      <c r="F5994" s="8">
        <v>334</v>
      </c>
      <c r="G5994" s="8">
        <v>7294</v>
      </c>
      <c r="H5994" s="8">
        <v>21</v>
      </c>
      <c r="I5994" s="8">
        <v>171</v>
      </c>
    </row>
    <row r="5995" spans="1:9" x14ac:dyDescent="0.2">
      <c r="A5995" t="s">
        <v>1202</v>
      </c>
      <c r="B5995" t="s">
        <v>1254</v>
      </c>
      <c r="C5995" t="str">
        <f>"36678270000000"</f>
        <v>36678270000000</v>
      </c>
      <c r="D5995" t="s">
        <v>7270</v>
      </c>
      <c r="E5995" t="str">
        <f>"36678276036453"</f>
        <v>36678276036453</v>
      </c>
      <c r="F5995" s="8">
        <v>1023</v>
      </c>
      <c r="G5995" s="8">
        <v>1704</v>
      </c>
      <c r="H5995" s="8">
        <v>3283</v>
      </c>
      <c r="I5995" s="8">
        <v>16020</v>
      </c>
    </row>
    <row r="5996" spans="1:9" x14ac:dyDescent="0.2">
      <c r="A5996" t="s">
        <v>1202</v>
      </c>
      <c r="B5996" t="s">
        <v>1258</v>
      </c>
      <c r="C5996" t="str">
        <f t="shared" ref="C5996:C6020" si="290">"36678430000000"</f>
        <v>36678430000000</v>
      </c>
      <c r="D5996" t="s">
        <v>7271</v>
      </c>
      <c r="E5996" t="str">
        <f>"36678436108179"</f>
        <v>36678436108179</v>
      </c>
      <c r="F5996" s="8">
        <v>98</v>
      </c>
      <c r="G5996" s="8">
        <v>579</v>
      </c>
      <c r="H5996" s="8">
        <v>1610</v>
      </c>
      <c r="I5996" s="8">
        <v>11102</v>
      </c>
    </row>
    <row r="5997" spans="1:9" x14ac:dyDescent="0.2">
      <c r="A5997" t="s">
        <v>1202</v>
      </c>
      <c r="B5997" t="s">
        <v>1258</v>
      </c>
      <c r="C5997" t="str">
        <f t="shared" si="290"/>
        <v>36678430000000</v>
      </c>
      <c r="D5997" t="s">
        <v>7272</v>
      </c>
      <c r="E5997" t="str">
        <f>"36678436111132"</f>
        <v>36678436111132</v>
      </c>
      <c r="F5997" s="8">
        <v>98</v>
      </c>
      <c r="G5997" s="8">
        <v>579</v>
      </c>
      <c r="H5997" s="8">
        <v>1610</v>
      </c>
      <c r="I5997" s="8">
        <v>11102</v>
      </c>
    </row>
    <row r="5998" spans="1:9" x14ac:dyDescent="0.2">
      <c r="A5998" t="s">
        <v>1202</v>
      </c>
      <c r="B5998" t="s">
        <v>1258</v>
      </c>
      <c r="C5998" t="str">
        <f t="shared" si="290"/>
        <v>36678430000000</v>
      </c>
      <c r="D5998" t="s">
        <v>7273</v>
      </c>
      <c r="E5998" t="str">
        <f>"36678436059414"</f>
        <v>36678436059414</v>
      </c>
      <c r="F5998" s="8">
        <v>98</v>
      </c>
      <c r="G5998" s="8">
        <v>579</v>
      </c>
      <c r="H5998" s="8">
        <v>1610</v>
      </c>
      <c r="I5998" s="8">
        <v>11102</v>
      </c>
    </row>
    <row r="5999" spans="1:9" x14ac:dyDescent="0.2">
      <c r="A5999" t="s">
        <v>1202</v>
      </c>
      <c r="B5999" t="s">
        <v>1258</v>
      </c>
      <c r="C5999" t="str">
        <f t="shared" si="290"/>
        <v>36678430000000</v>
      </c>
      <c r="D5999" t="s">
        <v>7274</v>
      </c>
      <c r="E5999" t="str">
        <f>"36678436036479"</f>
        <v>36678436036479</v>
      </c>
      <c r="F5999" s="8">
        <v>98</v>
      </c>
      <c r="G5999" s="8">
        <v>579</v>
      </c>
      <c r="H5999" s="8">
        <v>1610</v>
      </c>
      <c r="I5999" s="8">
        <v>11102</v>
      </c>
    </row>
    <row r="6000" spans="1:9" x14ac:dyDescent="0.2">
      <c r="A6000" t="s">
        <v>1202</v>
      </c>
      <c r="B6000" t="s">
        <v>1258</v>
      </c>
      <c r="C6000" t="str">
        <f t="shared" si="290"/>
        <v>36678430000000</v>
      </c>
      <c r="D6000" t="s">
        <v>7275</v>
      </c>
      <c r="E6000" t="str">
        <f>"36678436036487"</f>
        <v>36678436036487</v>
      </c>
      <c r="F6000" s="8">
        <v>98</v>
      </c>
      <c r="G6000" s="8">
        <v>579</v>
      </c>
      <c r="H6000" s="8">
        <v>1610</v>
      </c>
      <c r="I6000" s="8">
        <v>11102</v>
      </c>
    </row>
    <row r="6001" spans="1:9" x14ac:dyDescent="0.2">
      <c r="A6001" t="s">
        <v>1202</v>
      </c>
      <c r="B6001" t="s">
        <v>1258</v>
      </c>
      <c r="C6001" t="str">
        <f t="shared" si="290"/>
        <v>36678430000000</v>
      </c>
      <c r="D6001" t="s">
        <v>1894</v>
      </c>
      <c r="E6001" t="str">
        <f>"36678436036503"</f>
        <v>36678436036503</v>
      </c>
      <c r="F6001" s="8">
        <v>98</v>
      </c>
      <c r="G6001" s="8">
        <v>579</v>
      </c>
      <c r="H6001" s="8">
        <v>1610</v>
      </c>
      <c r="I6001" s="8">
        <v>11102</v>
      </c>
    </row>
    <row r="6002" spans="1:9" x14ac:dyDescent="0.2">
      <c r="A6002" t="s">
        <v>1202</v>
      </c>
      <c r="B6002" t="s">
        <v>1258</v>
      </c>
      <c r="C6002" t="str">
        <f t="shared" si="290"/>
        <v>36678430000000</v>
      </c>
      <c r="D6002" t="s">
        <v>7276</v>
      </c>
      <c r="E6002" t="str">
        <f>"36678430107888"</f>
        <v>36678430107888</v>
      </c>
      <c r="F6002" s="8">
        <v>98</v>
      </c>
      <c r="G6002" s="8">
        <v>579</v>
      </c>
      <c r="H6002" s="8">
        <v>1610</v>
      </c>
      <c r="I6002" s="8">
        <v>11102</v>
      </c>
    </row>
    <row r="6003" spans="1:9" x14ac:dyDescent="0.2">
      <c r="A6003" t="s">
        <v>1202</v>
      </c>
      <c r="B6003" t="s">
        <v>1258</v>
      </c>
      <c r="C6003" t="str">
        <f t="shared" si="290"/>
        <v>36678430000000</v>
      </c>
      <c r="D6003" t="s">
        <v>7277</v>
      </c>
      <c r="E6003" t="str">
        <f>"36678430110569"</f>
        <v>36678430110569</v>
      </c>
      <c r="F6003" s="8">
        <v>98</v>
      </c>
      <c r="G6003" s="8">
        <v>579</v>
      </c>
      <c r="H6003" s="8">
        <v>1610</v>
      </c>
      <c r="I6003" s="8">
        <v>11102</v>
      </c>
    </row>
    <row r="6004" spans="1:9" x14ac:dyDescent="0.2">
      <c r="A6004" t="s">
        <v>1202</v>
      </c>
      <c r="B6004" t="s">
        <v>1258</v>
      </c>
      <c r="C6004" t="str">
        <f t="shared" si="290"/>
        <v>36678430000000</v>
      </c>
      <c r="D6004" t="s">
        <v>7278</v>
      </c>
      <c r="E6004" t="str">
        <f>"36678436067060"</f>
        <v>36678436067060</v>
      </c>
      <c r="F6004" s="8">
        <v>98</v>
      </c>
      <c r="G6004" s="8">
        <v>579</v>
      </c>
      <c r="H6004" s="8">
        <v>1610</v>
      </c>
      <c r="I6004" s="8">
        <v>11102</v>
      </c>
    </row>
    <row r="6005" spans="1:9" x14ac:dyDescent="0.2">
      <c r="A6005" t="s">
        <v>1202</v>
      </c>
      <c r="B6005" t="s">
        <v>1258</v>
      </c>
      <c r="C6005" t="str">
        <f t="shared" si="290"/>
        <v>36678430000000</v>
      </c>
      <c r="D6005" t="s">
        <v>7279</v>
      </c>
      <c r="E6005" t="str">
        <f>"36678436036537"</f>
        <v>36678436036537</v>
      </c>
      <c r="F6005" s="8">
        <v>98</v>
      </c>
      <c r="G6005" s="8">
        <v>579</v>
      </c>
      <c r="H6005" s="8">
        <v>1610</v>
      </c>
      <c r="I6005" s="8">
        <v>11102</v>
      </c>
    </row>
    <row r="6006" spans="1:9" x14ac:dyDescent="0.2">
      <c r="A6006" t="s">
        <v>1202</v>
      </c>
      <c r="B6006" t="s">
        <v>1258</v>
      </c>
      <c r="C6006" t="str">
        <f t="shared" si="290"/>
        <v>36678430000000</v>
      </c>
      <c r="D6006" t="s">
        <v>2349</v>
      </c>
      <c r="E6006" t="str">
        <f>"36678436036552"</f>
        <v>36678436036552</v>
      </c>
      <c r="F6006" s="8">
        <v>98</v>
      </c>
      <c r="G6006" s="8">
        <v>579</v>
      </c>
      <c r="H6006" s="8">
        <v>1610</v>
      </c>
      <c r="I6006" s="8">
        <v>11102</v>
      </c>
    </row>
    <row r="6007" spans="1:9" x14ac:dyDescent="0.2">
      <c r="A6007" t="s">
        <v>1202</v>
      </c>
      <c r="B6007" t="s">
        <v>1258</v>
      </c>
      <c r="C6007" t="str">
        <f t="shared" si="290"/>
        <v>36678430000000</v>
      </c>
      <c r="D6007" t="s">
        <v>7280</v>
      </c>
      <c r="E6007" t="str">
        <f>"36678436036560"</f>
        <v>36678436036560</v>
      </c>
      <c r="F6007" s="8">
        <v>98</v>
      </c>
      <c r="G6007" s="8">
        <v>579</v>
      </c>
      <c r="H6007" s="8">
        <v>1610</v>
      </c>
      <c r="I6007" s="8">
        <v>11102</v>
      </c>
    </row>
    <row r="6008" spans="1:9" x14ac:dyDescent="0.2">
      <c r="A6008" t="s">
        <v>1202</v>
      </c>
      <c r="B6008" t="s">
        <v>1258</v>
      </c>
      <c r="C6008" t="str">
        <f t="shared" si="290"/>
        <v>36678430000000</v>
      </c>
      <c r="D6008" t="s">
        <v>2511</v>
      </c>
      <c r="E6008" t="str">
        <f>"36678430123851"</f>
        <v>36678430123851</v>
      </c>
      <c r="F6008" s="8">
        <v>98</v>
      </c>
      <c r="G6008" s="8">
        <v>579</v>
      </c>
      <c r="H6008" s="8">
        <v>1610</v>
      </c>
      <c r="I6008" s="8">
        <v>11102</v>
      </c>
    </row>
    <row r="6009" spans="1:9" x14ac:dyDescent="0.2">
      <c r="A6009" t="s">
        <v>1202</v>
      </c>
      <c r="B6009" t="s">
        <v>1258</v>
      </c>
      <c r="C6009" t="str">
        <f t="shared" si="290"/>
        <v>36678430000000</v>
      </c>
      <c r="D6009" t="s">
        <v>7281</v>
      </c>
      <c r="E6009" t="str">
        <f>"36678436061881"</f>
        <v>36678436061881</v>
      </c>
      <c r="F6009" s="8">
        <v>98</v>
      </c>
      <c r="G6009" s="8">
        <v>579</v>
      </c>
      <c r="H6009" s="8">
        <v>1610</v>
      </c>
      <c r="I6009" s="8">
        <v>11102</v>
      </c>
    </row>
    <row r="6010" spans="1:9" x14ac:dyDescent="0.2">
      <c r="A6010" t="s">
        <v>1202</v>
      </c>
      <c r="B6010" t="s">
        <v>1258</v>
      </c>
      <c r="C6010" t="str">
        <f t="shared" si="290"/>
        <v>36678430000000</v>
      </c>
      <c r="D6010" t="s">
        <v>7282</v>
      </c>
      <c r="E6010" t="str">
        <f>"36678433634995"</f>
        <v>36678433634995</v>
      </c>
      <c r="F6010" s="8">
        <v>98</v>
      </c>
      <c r="G6010" s="8">
        <v>579</v>
      </c>
      <c r="H6010" s="8">
        <v>1610</v>
      </c>
      <c r="I6010" s="8">
        <v>11102</v>
      </c>
    </row>
    <row r="6011" spans="1:9" x14ac:dyDescent="0.2">
      <c r="A6011" t="s">
        <v>1202</v>
      </c>
      <c r="B6011" t="s">
        <v>1258</v>
      </c>
      <c r="C6011" t="str">
        <f t="shared" si="290"/>
        <v>36678430000000</v>
      </c>
      <c r="D6011" t="s">
        <v>7283</v>
      </c>
      <c r="E6011" t="str">
        <f>"36678436036586"</f>
        <v>36678436036586</v>
      </c>
      <c r="F6011" s="8">
        <v>98</v>
      </c>
      <c r="G6011" s="8">
        <v>579</v>
      </c>
      <c r="H6011" s="8">
        <v>1610</v>
      </c>
      <c r="I6011" s="8">
        <v>11102</v>
      </c>
    </row>
    <row r="6012" spans="1:9" x14ac:dyDescent="0.2">
      <c r="A6012" t="s">
        <v>1202</v>
      </c>
      <c r="B6012" t="s">
        <v>1258</v>
      </c>
      <c r="C6012" t="str">
        <f t="shared" si="290"/>
        <v>36678430000000</v>
      </c>
      <c r="D6012" t="s">
        <v>5993</v>
      </c>
      <c r="E6012" t="str">
        <f>"36678436036594"</f>
        <v>36678436036594</v>
      </c>
      <c r="F6012" s="8">
        <v>98</v>
      </c>
      <c r="G6012" s="8">
        <v>579</v>
      </c>
      <c r="H6012" s="8">
        <v>1610</v>
      </c>
      <c r="I6012" s="8">
        <v>11102</v>
      </c>
    </row>
    <row r="6013" spans="1:9" x14ac:dyDescent="0.2">
      <c r="A6013" t="s">
        <v>1202</v>
      </c>
      <c r="B6013" t="s">
        <v>1258</v>
      </c>
      <c r="C6013" t="str">
        <f t="shared" si="290"/>
        <v>36678430000000</v>
      </c>
      <c r="D6013" t="s">
        <v>7284</v>
      </c>
      <c r="E6013" t="str">
        <f>"36678430102558"</f>
        <v>36678430102558</v>
      </c>
      <c r="F6013" s="8">
        <v>0</v>
      </c>
      <c r="G6013" s="8">
        <v>579</v>
      </c>
      <c r="H6013" s="8">
        <v>1610</v>
      </c>
      <c r="I6013" s="8">
        <v>11102</v>
      </c>
    </row>
    <row r="6014" spans="1:9" x14ac:dyDescent="0.2">
      <c r="A6014" t="s">
        <v>1202</v>
      </c>
      <c r="B6014" t="s">
        <v>1258</v>
      </c>
      <c r="C6014" t="str">
        <f t="shared" si="290"/>
        <v>36678430000000</v>
      </c>
      <c r="D6014" t="s">
        <v>7285</v>
      </c>
      <c r="E6014" t="str">
        <f>"36678430118802"</f>
        <v>36678430118802</v>
      </c>
      <c r="F6014" s="8">
        <v>0</v>
      </c>
      <c r="G6014" s="8">
        <v>579</v>
      </c>
      <c r="H6014" s="8">
        <v>1610</v>
      </c>
      <c r="I6014" s="8">
        <v>11102</v>
      </c>
    </row>
    <row r="6015" spans="1:9" x14ac:dyDescent="0.2">
      <c r="A6015" t="s">
        <v>1202</v>
      </c>
      <c r="B6015" t="s">
        <v>1258</v>
      </c>
      <c r="C6015" t="str">
        <f t="shared" si="290"/>
        <v>36678430000000</v>
      </c>
      <c r="D6015" t="s">
        <v>7286</v>
      </c>
      <c r="E6015" t="str">
        <f>"36678436059422"</f>
        <v>36678436059422</v>
      </c>
      <c r="F6015" s="8">
        <v>0</v>
      </c>
      <c r="G6015" s="8">
        <v>579</v>
      </c>
      <c r="H6015" s="8">
        <v>1610</v>
      </c>
      <c r="I6015" s="8">
        <v>11102</v>
      </c>
    </row>
    <row r="6016" spans="1:9" x14ac:dyDescent="0.2">
      <c r="A6016" t="s">
        <v>1202</v>
      </c>
      <c r="B6016" t="s">
        <v>1258</v>
      </c>
      <c r="C6016" t="str">
        <f t="shared" si="290"/>
        <v>36678430000000</v>
      </c>
      <c r="D6016" t="s">
        <v>7287</v>
      </c>
      <c r="E6016" t="str">
        <f>"36678436036511"</f>
        <v>36678436036511</v>
      </c>
      <c r="F6016" s="8">
        <v>0</v>
      </c>
      <c r="G6016" s="8">
        <v>579</v>
      </c>
      <c r="H6016" s="8">
        <v>1610</v>
      </c>
      <c r="I6016" s="8">
        <v>11102</v>
      </c>
    </row>
    <row r="6017" spans="1:9" x14ac:dyDescent="0.2">
      <c r="A6017" t="s">
        <v>1202</v>
      </c>
      <c r="B6017" t="s">
        <v>1258</v>
      </c>
      <c r="C6017" t="str">
        <f t="shared" si="290"/>
        <v>36678430000000</v>
      </c>
      <c r="D6017" t="s">
        <v>3977</v>
      </c>
      <c r="E6017" t="str">
        <f>"36678436036545"</f>
        <v>36678436036545</v>
      </c>
      <c r="F6017" s="8">
        <v>0</v>
      </c>
      <c r="G6017" s="8">
        <v>579</v>
      </c>
      <c r="H6017" s="8">
        <v>1610</v>
      </c>
      <c r="I6017" s="8">
        <v>11102</v>
      </c>
    </row>
    <row r="6018" spans="1:9" x14ac:dyDescent="0.2">
      <c r="A6018" t="s">
        <v>1202</v>
      </c>
      <c r="B6018" t="s">
        <v>1258</v>
      </c>
      <c r="C6018" t="str">
        <f t="shared" si="290"/>
        <v>36678430000000</v>
      </c>
      <c r="D6018" t="s">
        <v>7288</v>
      </c>
      <c r="E6018" t="str">
        <f>"36678430127837"</f>
        <v>36678430127837</v>
      </c>
      <c r="F6018" s="8">
        <v>0</v>
      </c>
      <c r="G6018" s="8">
        <v>579</v>
      </c>
      <c r="H6018" s="8">
        <v>1610</v>
      </c>
      <c r="I6018" s="8">
        <v>11102</v>
      </c>
    </row>
    <row r="6019" spans="1:9" x14ac:dyDescent="0.2">
      <c r="A6019" t="s">
        <v>1202</v>
      </c>
      <c r="B6019" t="s">
        <v>1258</v>
      </c>
      <c r="C6019" t="str">
        <f t="shared" si="290"/>
        <v>36678430000000</v>
      </c>
      <c r="D6019" t="s">
        <v>7289</v>
      </c>
      <c r="E6019" t="str">
        <f>"36678433630779"</f>
        <v>36678433630779</v>
      </c>
      <c r="F6019" s="8">
        <v>0</v>
      </c>
      <c r="G6019" s="8">
        <v>579</v>
      </c>
      <c r="H6019" s="8">
        <v>1610</v>
      </c>
      <c r="I6019" s="8">
        <v>11102</v>
      </c>
    </row>
    <row r="6020" spans="1:9" x14ac:dyDescent="0.2">
      <c r="A6020" t="s">
        <v>1202</v>
      </c>
      <c r="B6020" t="s">
        <v>1258</v>
      </c>
      <c r="C6020" t="str">
        <f t="shared" si="290"/>
        <v>36678430000000</v>
      </c>
      <c r="D6020" t="s">
        <v>7290</v>
      </c>
      <c r="E6020" t="str">
        <f>"36678433635042"</f>
        <v>36678433635042</v>
      </c>
      <c r="F6020" s="8">
        <v>0</v>
      </c>
      <c r="G6020" s="8">
        <v>579</v>
      </c>
      <c r="H6020" s="8">
        <v>1610</v>
      </c>
      <c r="I6020" s="8">
        <v>11102</v>
      </c>
    </row>
    <row r="6021" spans="1:9" x14ac:dyDescent="0.2">
      <c r="A6021" t="s">
        <v>1202</v>
      </c>
      <c r="B6021" t="s">
        <v>1259</v>
      </c>
      <c r="C6021" t="str">
        <f t="shared" ref="C6021:C6049" si="291">"36678500000000"</f>
        <v>36678500000000</v>
      </c>
      <c r="D6021" t="s">
        <v>7291</v>
      </c>
      <c r="E6021" t="str">
        <f>"36678503630530"</f>
        <v>36678503630530</v>
      </c>
      <c r="F6021" s="8">
        <v>46</v>
      </c>
      <c r="G6021" s="8">
        <v>14335</v>
      </c>
      <c r="H6021" s="8">
        <v>1746</v>
      </c>
      <c r="I6021" s="8">
        <v>4239</v>
      </c>
    </row>
    <row r="6022" spans="1:9" x14ac:dyDescent="0.2">
      <c r="A6022" t="s">
        <v>1202</v>
      </c>
      <c r="B6022" t="s">
        <v>1259</v>
      </c>
      <c r="C6022" t="str">
        <f t="shared" si="291"/>
        <v>36678500000000</v>
      </c>
      <c r="D6022" t="s">
        <v>7292</v>
      </c>
      <c r="E6022" t="str">
        <f>"36678503630159"</f>
        <v>36678503630159</v>
      </c>
      <c r="F6022" s="8">
        <v>545</v>
      </c>
      <c r="G6022" s="8">
        <v>12567</v>
      </c>
      <c r="H6022" s="8">
        <v>1746</v>
      </c>
      <c r="I6022" s="8">
        <v>4239</v>
      </c>
    </row>
    <row r="6023" spans="1:9" x14ac:dyDescent="0.2">
      <c r="A6023" t="s">
        <v>1202</v>
      </c>
      <c r="B6023" t="s">
        <v>1259</v>
      </c>
      <c r="C6023" t="str">
        <f t="shared" si="291"/>
        <v>36678500000000</v>
      </c>
      <c r="D6023" t="s">
        <v>7293</v>
      </c>
      <c r="E6023" t="str">
        <f>"36678506036644"</f>
        <v>36678506036644</v>
      </c>
      <c r="F6023" s="8">
        <v>1131</v>
      </c>
      <c r="G6023" s="8">
        <v>8934</v>
      </c>
      <c r="H6023" s="8">
        <v>1746</v>
      </c>
      <c r="I6023" s="8">
        <v>4239</v>
      </c>
    </row>
    <row r="6024" spans="1:9" x14ac:dyDescent="0.2">
      <c r="A6024" t="s">
        <v>1202</v>
      </c>
      <c r="B6024" t="s">
        <v>1259</v>
      </c>
      <c r="C6024" t="str">
        <f t="shared" si="291"/>
        <v>36678500000000</v>
      </c>
      <c r="D6024" t="s">
        <v>7294</v>
      </c>
      <c r="E6024" t="str">
        <f>"36678506111728"</f>
        <v>36678506111728</v>
      </c>
      <c r="F6024" s="8">
        <v>1221</v>
      </c>
      <c r="G6024" s="8">
        <v>8268</v>
      </c>
      <c r="H6024" s="8">
        <v>1746</v>
      </c>
      <c r="I6024" s="8">
        <v>4239</v>
      </c>
    </row>
    <row r="6025" spans="1:9" x14ac:dyDescent="0.2">
      <c r="A6025" t="s">
        <v>1202</v>
      </c>
      <c r="B6025" t="s">
        <v>1259</v>
      </c>
      <c r="C6025" t="str">
        <f t="shared" si="291"/>
        <v>36678500000000</v>
      </c>
      <c r="D6025" t="s">
        <v>7295</v>
      </c>
      <c r="E6025" t="str">
        <f>"36678506111744"</f>
        <v>36678506111744</v>
      </c>
      <c r="F6025" s="8">
        <v>1040</v>
      </c>
      <c r="G6025" s="8">
        <v>8069</v>
      </c>
      <c r="H6025" s="8">
        <v>1746</v>
      </c>
      <c r="I6025" s="8">
        <v>4239</v>
      </c>
    </row>
    <row r="6026" spans="1:9" x14ac:dyDescent="0.2">
      <c r="A6026" t="s">
        <v>1202</v>
      </c>
      <c r="B6026" t="s">
        <v>1259</v>
      </c>
      <c r="C6026" t="str">
        <f t="shared" si="291"/>
        <v>36678500000000</v>
      </c>
      <c r="D6026" t="s">
        <v>7296</v>
      </c>
      <c r="E6026" t="str">
        <f>"36678506036669"</f>
        <v>36678506036669</v>
      </c>
      <c r="F6026" s="8">
        <v>716</v>
      </c>
      <c r="G6026" s="8">
        <v>8247</v>
      </c>
      <c r="H6026" s="8">
        <v>1746</v>
      </c>
      <c r="I6026" s="8">
        <v>4239</v>
      </c>
    </row>
    <row r="6027" spans="1:9" x14ac:dyDescent="0.2">
      <c r="A6027" t="s">
        <v>1202</v>
      </c>
      <c r="B6027" t="s">
        <v>1259</v>
      </c>
      <c r="C6027" t="str">
        <f t="shared" si="291"/>
        <v>36678500000000</v>
      </c>
      <c r="D6027" t="s">
        <v>7297</v>
      </c>
      <c r="E6027" t="str">
        <f>"36678506036602"</f>
        <v>36678506036602</v>
      </c>
      <c r="F6027" s="8">
        <v>1985</v>
      </c>
      <c r="G6027" s="8">
        <v>6836</v>
      </c>
      <c r="H6027" s="8">
        <v>1746</v>
      </c>
      <c r="I6027" s="8">
        <v>4239</v>
      </c>
    </row>
    <row r="6028" spans="1:9" x14ac:dyDescent="0.2">
      <c r="A6028" t="s">
        <v>1202</v>
      </c>
      <c r="B6028" t="s">
        <v>1259</v>
      </c>
      <c r="C6028" t="str">
        <f t="shared" si="291"/>
        <v>36678500000000</v>
      </c>
      <c r="D6028" t="s">
        <v>7298</v>
      </c>
      <c r="E6028" t="str">
        <f>"36678506036636"</f>
        <v>36678506036636</v>
      </c>
      <c r="F6028" s="8">
        <v>577</v>
      </c>
      <c r="G6028" s="8">
        <v>8119</v>
      </c>
      <c r="H6028" s="8">
        <v>1746</v>
      </c>
      <c r="I6028" s="8">
        <v>4239</v>
      </c>
    </row>
    <row r="6029" spans="1:9" x14ac:dyDescent="0.2">
      <c r="A6029" t="s">
        <v>1202</v>
      </c>
      <c r="B6029" t="s">
        <v>1259</v>
      </c>
      <c r="C6029" t="str">
        <f t="shared" si="291"/>
        <v>36678500000000</v>
      </c>
      <c r="D6029" t="s">
        <v>7299</v>
      </c>
      <c r="E6029" t="str">
        <f>"36678506111736"</f>
        <v>36678506111736</v>
      </c>
      <c r="F6029" s="8">
        <v>676</v>
      </c>
      <c r="G6029" s="8">
        <v>7861</v>
      </c>
      <c r="H6029" s="8">
        <v>1746</v>
      </c>
      <c r="I6029" s="8">
        <v>4239</v>
      </c>
    </row>
    <row r="6030" spans="1:9" x14ac:dyDescent="0.2">
      <c r="A6030" t="s">
        <v>1202</v>
      </c>
      <c r="B6030" t="s">
        <v>1259</v>
      </c>
      <c r="C6030" t="str">
        <f t="shared" si="291"/>
        <v>36678500000000</v>
      </c>
      <c r="D6030" t="s">
        <v>7300</v>
      </c>
      <c r="E6030" t="str">
        <f>"36678506036628"</f>
        <v>36678506036628</v>
      </c>
      <c r="F6030" s="8">
        <v>744</v>
      </c>
      <c r="G6030" s="8">
        <v>7738</v>
      </c>
      <c r="H6030" s="8">
        <v>1746</v>
      </c>
      <c r="I6030" s="8">
        <v>4239</v>
      </c>
    </row>
    <row r="6031" spans="1:9" x14ac:dyDescent="0.2">
      <c r="A6031" t="s">
        <v>1202</v>
      </c>
      <c r="B6031" t="s">
        <v>1259</v>
      </c>
      <c r="C6031" t="str">
        <f t="shared" si="291"/>
        <v>36678500000000</v>
      </c>
      <c r="D6031" t="s">
        <v>7301</v>
      </c>
      <c r="E6031" t="str">
        <f>"36678506059448"</f>
        <v>36678506059448</v>
      </c>
      <c r="F6031" s="8">
        <v>845</v>
      </c>
      <c r="G6031" s="8">
        <v>7526</v>
      </c>
      <c r="H6031" s="8">
        <v>1746</v>
      </c>
      <c r="I6031" s="8">
        <v>4239</v>
      </c>
    </row>
    <row r="6032" spans="1:9" x14ac:dyDescent="0.2">
      <c r="A6032" t="s">
        <v>1202</v>
      </c>
      <c r="B6032" t="s">
        <v>1259</v>
      </c>
      <c r="C6032" t="str">
        <f t="shared" si="291"/>
        <v>36678500000000</v>
      </c>
      <c r="D6032" t="s">
        <v>7302</v>
      </c>
      <c r="E6032" t="str">
        <f>"36678506036677"</f>
        <v>36678506036677</v>
      </c>
      <c r="F6032" s="8">
        <v>750</v>
      </c>
      <c r="G6032" s="8">
        <v>7610</v>
      </c>
      <c r="H6032" s="8">
        <v>1746</v>
      </c>
      <c r="I6032" s="8">
        <v>4239</v>
      </c>
    </row>
    <row r="6033" spans="1:9" x14ac:dyDescent="0.2">
      <c r="A6033" t="s">
        <v>1202</v>
      </c>
      <c r="B6033" t="s">
        <v>1259</v>
      </c>
      <c r="C6033" t="str">
        <f t="shared" si="291"/>
        <v>36678500000000</v>
      </c>
      <c r="D6033" t="s">
        <v>7303</v>
      </c>
      <c r="E6033" t="str">
        <f>"36678506036693"</f>
        <v>36678506036693</v>
      </c>
      <c r="F6033" s="8">
        <v>613</v>
      </c>
      <c r="G6033" s="8">
        <v>7733</v>
      </c>
      <c r="H6033" s="8">
        <v>1746</v>
      </c>
      <c r="I6033" s="8">
        <v>4239</v>
      </c>
    </row>
    <row r="6034" spans="1:9" x14ac:dyDescent="0.2">
      <c r="A6034" t="s">
        <v>1202</v>
      </c>
      <c r="B6034" t="s">
        <v>1259</v>
      </c>
      <c r="C6034" t="str">
        <f t="shared" si="291"/>
        <v>36678500000000</v>
      </c>
      <c r="D6034" t="s">
        <v>7304</v>
      </c>
      <c r="E6034" t="str">
        <f>"36678500116483"</f>
        <v>36678500116483</v>
      </c>
      <c r="F6034" s="8">
        <v>829</v>
      </c>
      <c r="G6034" s="8">
        <v>7486</v>
      </c>
      <c r="H6034" s="8">
        <v>1746</v>
      </c>
      <c r="I6034" s="8">
        <v>4239</v>
      </c>
    </row>
    <row r="6035" spans="1:9" x14ac:dyDescent="0.2">
      <c r="A6035" t="s">
        <v>1202</v>
      </c>
      <c r="B6035" t="s">
        <v>1259</v>
      </c>
      <c r="C6035" t="str">
        <f t="shared" si="291"/>
        <v>36678500000000</v>
      </c>
      <c r="D6035" t="s">
        <v>7305</v>
      </c>
      <c r="E6035" t="str">
        <f>"36678506036610"</f>
        <v>36678506036610</v>
      </c>
      <c r="F6035" s="8">
        <v>1124</v>
      </c>
      <c r="G6035" s="8">
        <v>7114</v>
      </c>
      <c r="H6035" s="8">
        <v>1746</v>
      </c>
      <c r="I6035" s="8">
        <v>4239</v>
      </c>
    </row>
    <row r="6036" spans="1:9" x14ac:dyDescent="0.2">
      <c r="A6036" t="s">
        <v>1202</v>
      </c>
      <c r="B6036" t="s">
        <v>1259</v>
      </c>
      <c r="C6036" t="str">
        <f t="shared" si="291"/>
        <v>36678500000000</v>
      </c>
      <c r="D6036" t="s">
        <v>7306</v>
      </c>
      <c r="E6036" t="str">
        <f>"36678500121160"</f>
        <v>36678500121160</v>
      </c>
      <c r="F6036" s="8">
        <v>358</v>
      </c>
      <c r="G6036" s="8">
        <v>7744</v>
      </c>
      <c r="H6036" s="8">
        <v>1746</v>
      </c>
      <c r="I6036" s="8">
        <v>4239</v>
      </c>
    </row>
    <row r="6037" spans="1:9" x14ac:dyDescent="0.2">
      <c r="A6037" t="s">
        <v>1202</v>
      </c>
      <c r="B6037" t="s">
        <v>1259</v>
      </c>
      <c r="C6037" t="str">
        <f t="shared" si="291"/>
        <v>36678500000000</v>
      </c>
      <c r="D6037" t="s">
        <v>7307</v>
      </c>
      <c r="E6037" t="str">
        <f>"36678506107155"</f>
        <v>36678506107155</v>
      </c>
      <c r="F6037" s="8">
        <v>494</v>
      </c>
      <c r="G6037" s="8">
        <v>7546</v>
      </c>
      <c r="H6037" s="8">
        <v>1746</v>
      </c>
      <c r="I6037" s="8">
        <v>4239</v>
      </c>
    </row>
    <row r="6038" spans="1:9" x14ac:dyDescent="0.2">
      <c r="A6038" t="s">
        <v>1202</v>
      </c>
      <c r="B6038" t="s">
        <v>1259</v>
      </c>
      <c r="C6038" t="str">
        <f t="shared" si="291"/>
        <v>36678500000000</v>
      </c>
      <c r="D6038" t="s">
        <v>7308</v>
      </c>
      <c r="E6038" t="str">
        <f>"36678506036685"</f>
        <v>36678506036685</v>
      </c>
      <c r="F6038" s="8">
        <v>867</v>
      </c>
      <c r="G6038" s="8">
        <v>7144</v>
      </c>
      <c r="H6038" s="8">
        <v>1746</v>
      </c>
      <c r="I6038" s="8">
        <v>4239</v>
      </c>
    </row>
    <row r="6039" spans="1:9" x14ac:dyDescent="0.2">
      <c r="A6039" t="s">
        <v>1202</v>
      </c>
      <c r="B6039" t="s">
        <v>1259</v>
      </c>
      <c r="C6039" t="str">
        <f t="shared" si="291"/>
        <v>36678500000000</v>
      </c>
      <c r="D6039" t="s">
        <v>7309</v>
      </c>
      <c r="E6039" t="str">
        <f>"36678500102830"</f>
        <v>36678500102830</v>
      </c>
      <c r="F6039" s="8">
        <v>502</v>
      </c>
      <c r="G6039" s="8">
        <v>7472</v>
      </c>
      <c r="H6039" s="8">
        <v>1746</v>
      </c>
      <c r="I6039" s="8">
        <v>4239</v>
      </c>
    </row>
    <row r="6040" spans="1:9" x14ac:dyDescent="0.2">
      <c r="A6040" t="s">
        <v>1202</v>
      </c>
      <c r="B6040" t="s">
        <v>1259</v>
      </c>
      <c r="C6040" t="str">
        <f t="shared" si="291"/>
        <v>36678500000000</v>
      </c>
      <c r="D6040" t="s">
        <v>7310</v>
      </c>
      <c r="E6040" t="str">
        <f>"36678506061899"</f>
        <v>36678506061899</v>
      </c>
      <c r="F6040" s="8">
        <v>617</v>
      </c>
      <c r="G6040" s="8">
        <v>7305</v>
      </c>
      <c r="H6040" s="8">
        <v>1746</v>
      </c>
      <c r="I6040" s="8">
        <v>4239</v>
      </c>
    </row>
    <row r="6041" spans="1:9" x14ac:dyDescent="0.2">
      <c r="A6041" t="s">
        <v>1202</v>
      </c>
      <c r="B6041" t="s">
        <v>1259</v>
      </c>
      <c r="C6041" t="str">
        <f t="shared" si="291"/>
        <v>36678500000000</v>
      </c>
      <c r="D6041" t="s">
        <v>7311</v>
      </c>
      <c r="E6041" t="str">
        <f>"36678503633005"</f>
        <v>36678503633005</v>
      </c>
      <c r="F6041" s="8">
        <v>549</v>
      </c>
      <c r="G6041" s="8">
        <v>7350</v>
      </c>
      <c r="H6041" s="8">
        <v>1746</v>
      </c>
      <c r="I6041" s="8">
        <v>4239</v>
      </c>
    </row>
    <row r="6042" spans="1:9" x14ac:dyDescent="0.2">
      <c r="A6042" t="s">
        <v>1202</v>
      </c>
      <c r="B6042" t="s">
        <v>1259</v>
      </c>
      <c r="C6042" t="str">
        <f t="shared" si="291"/>
        <v>36678500000000</v>
      </c>
      <c r="D6042" t="s">
        <v>7312</v>
      </c>
      <c r="E6042" t="str">
        <f>"36678506105704"</f>
        <v>36678506105704</v>
      </c>
      <c r="F6042" s="8">
        <v>640</v>
      </c>
      <c r="G6042" s="8">
        <v>7165</v>
      </c>
      <c r="H6042" s="8">
        <v>1746</v>
      </c>
      <c r="I6042" s="8">
        <v>4239</v>
      </c>
    </row>
    <row r="6043" spans="1:9" x14ac:dyDescent="0.2">
      <c r="A6043" t="s">
        <v>1202</v>
      </c>
      <c r="B6043" t="s">
        <v>1259</v>
      </c>
      <c r="C6043" t="str">
        <f t="shared" si="291"/>
        <v>36678500000000</v>
      </c>
      <c r="D6043" t="s">
        <v>7313</v>
      </c>
      <c r="E6043" t="str">
        <f>"36678506036651"</f>
        <v>36678506036651</v>
      </c>
      <c r="F6043" s="8">
        <v>703</v>
      </c>
      <c r="G6043" s="8">
        <v>7059</v>
      </c>
      <c r="H6043" s="8">
        <v>1746</v>
      </c>
      <c r="I6043" s="8">
        <v>4239</v>
      </c>
    </row>
    <row r="6044" spans="1:9" x14ac:dyDescent="0.2">
      <c r="A6044" t="s">
        <v>1202</v>
      </c>
      <c r="B6044" t="s">
        <v>1259</v>
      </c>
      <c r="C6044" t="str">
        <f t="shared" si="291"/>
        <v>36678500000000</v>
      </c>
      <c r="D6044" t="s">
        <v>7314</v>
      </c>
      <c r="E6044" t="str">
        <f>"36678506059455"</f>
        <v>36678506059455</v>
      </c>
      <c r="F6044" s="8">
        <v>553</v>
      </c>
      <c r="G6044" s="8">
        <v>7190</v>
      </c>
      <c r="H6044" s="8">
        <v>1746</v>
      </c>
      <c r="I6044" s="8">
        <v>4239</v>
      </c>
    </row>
    <row r="6045" spans="1:9" x14ac:dyDescent="0.2">
      <c r="A6045" t="s">
        <v>1202</v>
      </c>
      <c r="B6045" t="s">
        <v>1259</v>
      </c>
      <c r="C6045" t="str">
        <f t="shared" si="291"/>
        <v>36678500000000</v>
      </c>
      <c r="D6045" t="s">
        <v>7315</v>
      </c>
      <c r="E6045" t="str">
        <f>"36678503630597"</f>
        <v>36678503630597</v>
      </c>
      <c r="F6045" s="8">
        <v>631</v>
      </c>
      <c r="G6045" s="8">
        <v>7075</v>
      </c>
      <c r="H6045" s="8">
        <v>1746</v>
      </c>
      <c r="I6045" s="8">
        <v>4239</v>
      </c>
    </row>
    <row r="6046" spans="1:9" x14ac:dyDescent="0.2">
      <c r="A6046" t="s">
        <v>1202</v>
      </c>
      <c r="B6046" t="s">
        <v>1259</v>
      </c>
      <c r="C6046" t="str">
        <f t="shared" si="291"/>
        <v>36678500000000</v>
      </c>
      <c r="D6046" t="s">
        <v>7316</v>
      </c>
      <c r="E6046" t="str">
        <f>"36678506108864"</f>
        <v>36678506108864</v>
      </c>
      <c r="F6046" s="8">
        <v>567</v>
      </c>
      <c r="G6046" s="8">
        <v>7071</v>
      </c>
      <c r="H6046" s="8">
        <v>1746</v>
      </c>
      <c r="I6046" s="8">
        <v>4239</v>
      </c>
    </row>
    <row r="6047" spans="1:9" x14ac:dyDescent="0.2">
      <c r="A6047" t="s">
        <v>1202</v>
      </c>
      <c r="B6047" t="s">
        <v>1259</v>
      </c>
      <c r="C6047" t="str">
        <f t="shared" si="291"/>
        <v>36678500000000</v>
      </c>
      <c r="D6047" t="s">
        <v>7317</v>
      </c>
      <c r="E6047" t="str">
        <f>"36678506114938"</f>
        <v>36678506114938</v>
      </c>
      <c r="F6047" s="8">
        <v>580</v>
      </c>
      <c r="G6047" s="8">
        <v>6852</v>
      </c>
      <c r="H6047" s="8">
        <v>1746</v>
      </c>
      <c r="I6047" s="8">
        <v>4239</v>
      </c>
    </row>
    <row r="6048" spans="1:9" x14ac:dyDescent="0.2">
      <c r="A6048" t="s">
        <v>1202</v>
      </c>
      <c r="B6048" t="s">
        <v>1259</v>
      </c>
      <c r="C6048" t="str">
        <f t="shared" si="291"/>
        <v>36678500000000</v>
      </c>
      <c r="D6048" t="s">
        <v>7318</v>
      </c>
      <c r="E6048" t="str">
        <f>"36678506106538"</f>
        <v>36678506106538</v>
      </c>
      <c r="F6048" s="8">
        <v>430</v>
      </c>
      <c r="G6048" s="8">
        <v>6840</v>
      </c>
      <c r="H6048" s="8">
        <v>1746</v>
      </c>
      <c r="I6048" s="8">
        <v>4239</v>
      </c>
    </row>
    <row r="6049" spans="1:9" x14ac:dyDescent="0.2">
      <c r="A6049" t="s">
        <v>1202</v>
      </c>
      <c r="B6049" t="s">
        <v>1259</v>
      </c>
      <c r="C6049" t="str">
        <f t="shared" si="291"/>
        <v>36678500000000</v>
      </c>
      <c r="D6049" t="s">
        <v>7319</v>
      </c>
      <c r="E6049" t="str">
        <f>"36678506114920"</f>
        <v>36678506114920</v>
      </c>
      <c r="F6049" s="8">
        <v>609</v>
      </c>
      <c r="G6049" s="8">
        <v>6392</v>
      </c>
      <c r="H6049" s="8">
        <v>1746</v>
      </c>
      <c r="I6049" s="8">
        <v>4239</v>
      </c>
    </row>
    <row r="6050" spans="1:9" x14ac:dyDescent="0.2">
      <c r="A6050" t="s">
        <v>1202</v>
      </c>
      <c r="B6050" t="s">
        <v>1260</v>
      </c>
      <c r="C6050" t="str">
        <f t="shared" ref="C6050:C6056" si="292">"36678680000000"</f>
        <v>36678680000000</v>
      </c>
      <c r="D6050" t="s">
        <v>7320</v>
      </c>
      <c r="E6050" t="str">
        <f>"36678683630241"</f>
        <v>36678683630241</v>
      </c>
      <c r="F6050" s="8">
        <v>970</v>
      </c>
      <c r="G6050" s="8">
        <v>9059</v>
      </c>
      <c r="H6050" s="8">
        <v>1148</v>
      </c>
      <c r="I6050" s="8">
        <v>4373</v>
      </c>
    </row>
    <row r="6051" spans="1:9" x14ac:dyDescent="0.2">
      <c r="A6051" t="s">
        <v>1202</v>
      </c>
      <c r="B6051" t="s">
        <v>1260</v>
      </c>
      <c r="C6051" t="str">
        <f t="shared" si="292"/>
        <v>36678680000000</v>
      </c>
      <c r="D6051" t="s">
        <v>7321</v>
      </c>
      <c r="E6051" t="str">
        <f>"36678683635265"</f>
        <v>36678683635265</v>
      </c>
      <c r="F6051" s="8">
        <v>418</v>
      </c>
      <c r="G6051" s="8">
        <v>8189</v>
      </c>
      <c r="H6051" s="8">
        <v>1148</v>
      </c>
      <c r="I6051" s="8">
        <v>4373</v>
      </c>
    </row>
    <row r="6052" spans="1:9" x14ac:dyDescent="0.2">
      <c r="A6052" t="s">
        <v>1202</v>
      </c>
      <c r="B6052" t="s">
        <v>1260</v>
      </c>
      <c r="C6052" t="str">
        <f t="shared" si="292"/>
        <v>36678680000000</v>
      </c>
      <c r="D6052" t="s">
        <v>7322</v>
      </c>
      <c r="E6052" t="str">
        <f>"36678686068779"</f>
        <v>36678686068779</v>
      </c>
      <c r="F6052" s="8">
        <v>735</v>
      </c>
      <c r="G6052" s="8">
        <v>7034</v>
      </c>
      <c r="H6052" s="8">
        <v>1148</v>
      </c>
      <c r="I6052" s="8">
        <v>4373</v>
      </c>
    </row>
    <row r="6053" spans="1:9" x14ac:dyDescent="0.2">
      <c r="A6053" t="s">
        <v>1202</v>
      </c>
      <c r="B6053" t="s">
        <v>1260</v>
      </c>
      <c r="C6053" t="str">
        <f t="shared" si="292"/>
        <v>36678680000000</v>
      </c>
      <c r="D6053" t="s">
        <v>7323</v>
      </c>
      <c r="E6053" t="str">
        <f>"36678686036735"</f>
        <v>36678686036735</v>
      </c>
      <c r="F6053" s="8">
        <v>336</v>
      </c>
      <c r="G6053" s="8">
        <v>6732</v>
      </c>
      <c r="H6053" s="8">
        <v>1148</v>
      </c>
      <c r="I6053" s="8">
        <v>4373</v>
      </c>
    </row>
    <row r="6054" spans="1:9" x14ac:dyDescent="0.2">
      <c r="A6054" t="s">
        <v>1202</v>
      </c>
      <c r="B6054" t="s">
        <v>1260</v>
      </c>
      <c r="C6054" t="str">
        <f t="shared" si="292"/>
        <v>36678680000000</v>
      </c>
      <c r="D6054" t="s">
        <v>7324</v>
      </c>
      <c r="E6054" t="str">
        <f>"36678686036727"</f>
        <v>36678686036727</v>
      </c>
      <c r="F6054" s="8">
        <v>1099</v>
      </c>
      <c r="G6054" s="8">
        <v>5907</v>
      </c>
      <c r="H6054" s="8">
        <v>1148</v>
      </c>
      <c r="I6054" s="8">
        <v>4373</v>
      </c>
    </row>
    <row r="6055" spans="1:9" x14ac:dyDescent="0.2">
      <c r="A6055" t="s">
        <v>1202</v>
      </c>
      <c r="B6055" t="s">
        <v>1260</v>
      </c>
      <c r="C6055" t="str">
        <f t="shared" si="292"/>
        <v>36678680000000</v>
      </c>
      <c r="D6055" t="s">
        <v>7325</v>
      </c>
      <c r="E6055" t="str">
        <f>"36678686036743"</f>
        <v>36678686036743</v>
      </c>
      <c r="F6055" s="8">
        <v>842</v>
      </c>
      <c r="G6055" s="8">
        <v>5751</v>
      </c>
      <c r="H6055" s="8">
        <v>1148</v>
      </c>
      <c r="I6055" s="8">
        <v>4373</v>
      </c>
    </row>
    <row r="6056" spans="1:9" x14ac:dyDescent="0.2">
      <c r="A6056" t="s">
        <v>1202</v>
      </c>
      <c r="B6056" t="s">
        <v>1260</v>
      </c>
      <c r="C6056" t="str">
        <f t="shared" si="292"/>
        <v>36678680000000</v>
      </c>
      <c r="D6056" t="s">
        <v>7326</v>
      </c>
      <c r="E6056" t="str">
        <f>"36678680133181"</f>
        <v>36678680133181</v>
      </c>
      <c r="F6056" s="8" t="s">
        <v>30</v>
      </c>
      <c r="G6056" s="8" t="s">
        <v>30</v>
      </c>
      <c r="H6056" s="8" t="s">
        <v>30</v>
      </c>
      <c r="I6056" s="8" t="s">
        <v>30</v>
      </c>
    </row>
    <row r="6057" spans="1:9" x14ac:dyDescent="0.2">
      <c r="A6057" t="s">
        <v>1202</v>
      </c>
      <c r="B6057" t="s">
        <v>1263</v>
      </c>
      <c r="C6057" t="str">
        <f t="shared" ref="C6057:C6088" si="293">"36678760000000"</f>
        <v>36678760000000</v>
      </c>
      <c r="D6057" t="s">
        <v>7327</v>
      </c>
      <c r="E6057" t="str">
        <f>"36678766098560"</f>
        <v>36678766098560</v>
      </c>
      <c r="F6057" s="8">
        <v>1292</v>
      </c>
      <c r="G6057" s="8">
        <v>25912</v>
      </c>
      <c r="H6057" s="8">
        <v>2391</v>
      </c>
      <c r="I6057" s="8">
        <v>5849</v>
      </c>
    </row>
    <row r="6058" spans="1:9" x14ac:dyDescent="0.2">
      <c r="A6058" t="s">
        <v>1202</v>
      </c>
      <c r="B6058" t="s">
        <v>1263</v>
      </c>
      <c r="C6058" t="str">
        <f t="shared" si="293"/>
        <v>36678760000000</v>
      </c>
      <c r="D6058" t="s">
        <v>7328</v>
      </c>
      <c r="E6058" t="str">
        <f>"36678763630308"</f>
        <v>36678763630308</v>
      </c>
      <c r="F6058" s="8">
        <v>780</v>
      </c>
      <c r="G6058" s="8">
        <v>14002</v>
      </c>
      <c r="H6058" s="8">
        <v>2391</v>
      </c>
      <c r="I6058" s="8">
        <v>5849</v>
      </c>
    </row>
    <row r="6059" spans="1:9" x14ac:dyDescent="0.2">
      <c r="A6059" t="s">
        <v>1202</v>
      </c>
      <c r="B6059" t="s">
        <v>1263</v>
      </c>
      <c r="C6059" t="str">
        <f t="shared" si="293"/>
        <v>36678760000000</v>
      </c>
      <c r="D6059" t="s">
        <v>3053</v>
      </c>
      <c r="E6059" t="str">
        <f>"36678763632809"</f>
        <v>36678763632809</v>
      </c>
      <c r="F6059" s="8">
        <v>626</v>
      </c>
      <c r="G6059" s="8">
        <v>13748</v>
      </c>
      <c r="H6059" s="8">
        <v>2391</v>
      </c>
      <c r="I6059" s="8">
        <v>5849</v>
      </c>
    </row>
    <row r="6060" spans="1:9" x14ac:dyDescent="0.2">
      <c r="A6060" t="s">
        <v>1202</v>
      </c>
      <c r="B6060" t="s">
        <v>1263</v>
      </c>
      <c r="C6060" t="str">
        <f t="shared" si="293"/>
        <v>36678760000000</v>
      </c>
      <c r="D6060" t="s">
        <v>7329</v>
      </c>
      <c r="E6060" t="str">
        <f>"36678766036990"</f>
        <v>36678766036990</v>
      </c>
      <c r="F6060" s="8">
        <v>116</v>
      </c>
      <c r="G6060" s="8">
        <v>12933</v>
      </c>
      <c r="H6060" s="8">
        <v>2391</v>
      </c>
      <c r="I6060" s="8">
        <v>5849</v>
      </c>
    </row>
    <row r="6061" spans="1:9" x14ac:dyDescent="0.2">
      <c r="A6061" t="s">
        <v>1202</v>
      </c>
      <c r="B6061" t="s">
        <v>1263</v>
      </c>
      <c r="C6061" t="str">
        <f t="shared" si="293"/>
        <v>36678760000000</v>
      </c>
      <c r="D6061" t="s">
        <v>7330</v>
      </c>
      <c r="E6061" t="str">
        <f>"36678766109714"</f>
        <v>36678766109714</v>
      </c>
      <c r="F6061" s="8">
        <v>664</v>
      </c>
      <c r="G6061" s="8">
        <v>8522</v>
      </c>
      <c r="H6061" s="8">
        <v>2391</v>
      </c>
      <c r="I6061" s="8">
        <v>5849</v>
      </c>
    </row>
    <row r="6062" spans="1:9" x14ac:dyDescent="0.2">
      <c r="A6062" t="s">
        <v>1202</v>
      </c>
      <c r="B6062" t="s">
        <v>1263</v>
      </c>
      <c r="C6062" t="str">
        <f t="shared" si="293"/>
        <v>36678760000000</v>
      </c>
      <c r="D6062" t="s">
        <v>7331</v>
      </c>
      <c r="E6062" t="str">
        <f>"36678766037147"</f>
        <v>36678766037147</v>
      </c>
      <c r="F6062" s="8">
        <v>478</v>
      </c>
      <c r="G6062" s="8">
        <v>8441</v>
      </c>
      <c r="H6062" s="8">
        <v>2391</v>
      </c>
      <c r="I6062" s="8">
        <v>5849</v>
      </c>
    </row>
    <row r="6063" spans="1:9" x14ac:dyDescent="0.2">
      <c r="A6063" t="s">
        <v>1202</v>
      </c>
      <c r="B6063" t="s">
        <v>1263</v>
      </c>
      <c r="C6063" t="str">
        <f t="shared" si="293"/>
        <v>36678760000000</v>
      </c>
      <c r="D6063" t="s">
        <v>7332</v>
      </c>
      <c r="E6063" t="str">
        <f>"36678766036768"</f>
        <v>36678766036768</v>
      </c>
      <c r="F6063" s="8">
        <v>555</v>
      </c>
      <c r="G6063" s="8">
        <v>8359</v>
      </c>
      <c r="H6063" s="8">
        <v>2391</v>
      </c>
      <c r="I6063" s="8">
        <v>5849</v>
      </c>
    </row>
    <row r="6064" spans="1:9" x14ac:dyDescent="0.2">
      <c r="A6064" t="s">
        <v>1202</v>
      </c>
      <c r="B6064" t="s">
        <v>1263</v>
      </c>
      <c r="C6064" t="str">
        <f t="shared" si="293"/>
        <v>36678760000000</v>
      </c>
      <c r="D6064" t="s">
        <v>7333</v>
      </c>
      <c r="E6064" t="str">
        <f>"36678766067078"</f>
        <v>36678766067078</v>
      </c>
      <c r="F6064" s="8">
        <v>258</v>
      </c>
      <c r="G6064" s="8">
        <v>8642</v>
      </c>
      <c r="H6064" s="8">
        <v>2391</v>
      </c>
      <c r="I6064" s="8">
        <v>5849</v>
      </c>
    </row>
    <row r="6065" spans="1:9" x14ac:dyDescent="0.2">
      <c r="A6065" t="s">
        <v>1202</v>
      </c>
      <c r="B6065" t="s">
        <v>1263</v>
      </c>
      <c r="C6065" t="str">
        <f t="shared" si="293"/>
        <v>36678760000000</v>
      </c>
      <c r="D6065" t="s">
        <v>4023</v>
      </c>
      <c r="E6065" t="str">
        <f>"36678766037097"</f>
        <v>36678766037097</v>
      </c>
      <c r="F6065" s="8">
        <v>514</v>
      </c>
      <c r="G6065" s="8">
        <v>8215</v>
      </c>
      <c r="H6065" s="8">
        <v>2391</v>
      </c>
      <c r="I6065" s="8">
        <v>5849</v>
      </c>
    </row>
    <row r="6066" spans="1:9" x14ac:dyDescent="0.2">
      <c r="A6066" t="s">
        <v>1202</v>
      </c>
      <c r="B6066" t="s">
        <v>1263</v>
      </c>
      <c r="C6066" t="str">
        <f t="shared" si="293"/>
        <v>36678760000000</v>
      </c>
      <c r="D6066" t="s">
        <v>2243</v>
      </c>
      <c r="E6066" t="str">
        <f>"36678766036958"</f>
        <v>36678766036958</v>
      </c>
      <c r="F6066" s="8">
        <v>652</v>
      </c>
      <c r="G6066" s="8">
        <v>7928</v>
      </c>
      <c r="H6066" s="8">
        <v>2391</v>
      </c>
      <c r="I6066" s="8">
        <v>5849</v>
      </c>
    </row>
    <row r="6067" spans="1:9" x14ac:dyDescent="0.2">
      <c r="A6067" t="s">
        <v>1202</v>
      </c>
      <c r="B6067" t="s">
        <v>1263</v>
      </c>
      <c r="C6067" t="str">
        <f t="shared" si="293"/>
        <v>36678760000000</v>
      </c>
      <c r="D6067" t="s">
        <v>7334</v>
      </c>
      <c r="E6067" t="str">
        <f>"36678766036826"</f>
        <v>36678766036826</v>
      </c>
      <c r="F6067" s="8">
        <v>490</v>
      </c>
      <c r="G6067" s="8">
        <v>8068</v>
      </c>
      <c r="H6067" s="8">
        <v>2391</v>
      </c>
      <c r="I6067" s="8">
        <v>5849</v>
      </c>
    </row>
    <row r="6068" spans="1:9" x14ac:dyDescent="0.2">
      <c r="A6068" t="s">
        <v>1202</v>
      </c>
      <c r="B6068" t="s">
        <v>1263</v>
      </c>
      <c r="C6068" t="str">
        <f t="shared" si="293"/>
        <v>36678760000000</v>
      </c>
      <c r="D6068" t="s">
        <v>7335</v>
      </c>
      <c r="E6068" t="str">
        <f>"36678766059513"</f>
        <v>36678766059513</v>
      </c>
      <c r="F6068" s="8">
        <v>397</v>
      </c>
      <c r="G6068" s="8">
        <v>8106</v>
      </c>
      <c r="H6068" s="8">
        <v>2391</v>
      </c>
      <c r="I6068" s="8">
        <v>5849</v>
      </c>
    </row>
    <row r="6069" spans="1:9" x14ac:dyDescent="0.2">
      <c r="A6069" t="s">
        <v>1202</v>
      </c>
      <c r="B6069" t="s">
        <v>1263</v>
      </c>
      <c r="C6069" t="str">
        <f t="shared" si="293"/>
        <v>36678760000000</v>
      </c>
      <c r="D6069" t="s">
        <v>7336</v>
      </c>
      <c r="E6069" t="str">
        <f>"36678763634680"</f>
        <v>36678763634680</v>
      </c>
      <c r="F6069" s="8">
        <v>570</v>
      </c>
      <c r="G6069" s="8">
        <v>7905</v>
      </c>
      <c r="H6069" s="8">
        <v>2391</v>
      </c>
      <c r="I6069" s="8">
        <v>5849</v>
      </c>
    </row>
    <row r="6070" spans="1:9" x14ac:dyDescent="0.2">
      <c r="A6070" t="s">
        <v>1202</v>
      </c>
      <c r="B6070" t="s">
        <v>1263</v>
      </c>
      <c r="C6070" t="str">
        <f t="shared" si="293"/>
        <v>36678760000000</v>
      </c>
      <c r="D6070" t="s">
        <v>7337</v>
      </c>
      <c r="E6070" t="str">
        <f>"36678766061915"</f>
        <v>36678766061915</v>
      </c>
      <c r="F6070" s="8">
        <v>548</v>
      </c>
      <c r="G6070" s="8">
        <v>7837</v>
      </c>
      <c r="H6070" s="8">
        <v>2391</v>
      </c>
      <c r="I6070" s="8">
        <v>5849</v>
      </c>
    </row>
    <row r="6071" spans="1:9" x14ac:dyDescent="0.2">
      <c r="A6071" t="s">
        <v>1202</v>
      </c>
      <c r="B6071" t="s">
        <v>1263</v>
      </c>
      <c r="C6071" t="str">
        <f t="shared" si="293"/>
        <v>36678760000000</v>
      </c>
      <c r="D6071" t="s">
        <v>7338</v>
      </c>
      <c r="E6071" t="str">
        <f>"36678766036750"</f>
        <v>36678766036750</v>
      </c>
      <c r="F6071" s="8">
        <v>497</v>
      </c>
      <c r="G6071" s="8">
        <v>7821</v>
      </c>
      <c r="H6071" s="8">
        <v>2391</v>
      </c>
      <c r="I6071" s="8">
        <v>5849</v>
      </c>
    </row>
    <row r="6072" spans="1:9" x14ac:dyDescent="0.2">
      <c r="A6072" t="s">
        <v>1202</v>
      </c>
      <c r="B6072" t="s">
        <v>1263</v>
      </c>
      <c r="C6072" t="str">
        <f t="shared" si="293"/>
        <v>36678760000000</v>
      </c>
      <c r="D6072" t="s">
        <v>7339</v>
      </c>
      <c r="E6072" t="str">
        <f>"36678766068209"</f>
        <v>36678766068209</v>
      </c>
      <c r="F6072" s="8">
        <v>466</v>
      </c>
      <c r="G6072" s="8">
        <v>7787</v>
      </c>
      <c r="H6072" s="8">
        <v>2391</v>
      </c>
      <c r="I6072" s="8">
        <v>5849</v>
      </c>
    </row>
    <row r="6073" spans="1:9" x14ac:dyDescent="0.2">
      <c r="A6073" t="s">
        <v>1202</v>
      </c>
      <c r="B6073" t="s">
        <v>1263</v>
      </c>
      <c r="C6073" t="str">
        <f t="shared" si="293"/>
        <v>36678760000000</v>
      </c>
      <c r="D6073" t="s">
        <v>2164</v>
      </c>
      <c r="E6073" t="str">
        <f>"36678766037162"</f>
        <v>36678766037162</v>
      </c>
      <c r="F6073" s="8">
        <v>510</v>
      </c>
      <c r="G6073" s="8">
        <v>7688</v>
      </c>
      <c r="H6073" s="8">
        <v>2391</v>
      </c>
      <c r="I6073" s="8">
        <v>5849</v>
      </c>
    </row>
    <row r="6074" spans="1:9" x14ac:dyDescent="0.2">
      <c r="A6074" t="s">
        <v>1202</v>
      </c>
      <c r="B6074" t="s">
        <v>1263</v>
      </c>
      <c r="C6074" t="str">
        <f t="shared" si="293"/>
        <v>36678760000000</v>
      </c>
      <c r="D6074" t="s">
        <v>2716</v>
      </c>
      <c r="E6074" t="str">
        <f>"36678763631090"</f>
        <v>36678763631090</v>
      </c>
      <c r="F6074" s="8">
        <v>255</v>
      </c>
      <c r="G6074" s="8">
        <v>7913</v>
      </c>
      <c r="H6074" s="8">
        <v>2391</v>
      </c>
      <c r="I6074" s="8">
        <v>5849</v>
      </c>
    </row>
    <row r="6075" spans="1:9" x14ac:dyDescent="0.2">
      <c r="A6075" t="s">
        <v>1202</v>
      </c>
      <c r="B6075" t="s">
        <v>1263</v>
      </c>
      <c r="C6075" t="str">
        <f t="shared" si="293"/>
        <v>36678760000000</v>
      </c>
      <c r="D6075" t="s">
        <v>7340</v>
      </c>
      <c r="E6075" t="str">
        <f>"36678763636081"</f>
        <v>36678763636081</v>
      </c>
      <c r="F6075" s="8">
        <v>493</v>
      </c>
      <c r="G6075" s="8">
        <v>7650</v>
      </c>
      <c r="H6075" s="8">
        <v>2391</v>
      </c>
      <c r="I6075" s="8">
        <v>5849</v>
      </c>
    </row>
    <row r="6076" spans="1:9" x14ac:dyDescent="0.2">
      <c r="A6076" t="s">
        <v>1202</v>
      </c>
      <c r="B6076" t="s">
        <v>1263</v>
      </c>
      <c r="C6076" t="str">
        <f t="shared" si="293"/>
        <v>36678760000000</v>
      </c>
      <c r="D6076" t="s">
        <v>7264</v>
      </c>
      <c r="E6076" t="str">
        <f>"36678766068712"</f>
        <v>36678766068712</v>
      </c>
      <c r="F6076" s="8">
        <v>651</v>
      </c>
      <c r="G6076" s="8">
        <v>7468</v>
      </c>
      <c r="H6076" s="8">
        <v>2391</v>
      </c>
      <c r="I6076" s="8">
        <v>5849</v>
      </c>
    </row>
    <row r="6077" spans="1:9" x14ac:dyDescent="0.2">
      <c r="A6077" t="s">
        <v>1202</v>
      </c>
      <c r="B6077" t="s">
        <v>1263</v>
      </c>
      <c r="C6077" t="str">
        <f t="shared" si="293"/>
        <v>36678760000000</v>
      </c>
      <c r="D6077" t="s">
        <v>2348</v>
      </c>
      <c r="E6077" t="str">
        <f>"36678766037170"</f>
        <v>36678766037170</v>
      </c>
      <c r="F6077" s="8">
        <v>495</v>
      </c>
      <c r="G6077" s="8">
        <v>7624</v>
      </c>
      <c r="H6077" s="8">
        <v>2391</v>
      </c>
      <c r="I6077" s="8">
        <v>5849</v>
      </c>
    </row>
    <row r="6078" spans="1:9" x14ac:dyDescent="0.2">
      <c r="A6078" t="s">
        <v>1202</v>
      </c>
      <c r="B6078" t="s">
        <v>1263</v>
      </c>
      <c r="C6078" t="str">
        <f t="shared" si="293"/>
        <v>36678760000000</v>
      </c>
      <c r="D6078" t="s">
        <v>2110</v>
      </c>
      <c r="E6078" t="str">
        <f>"36678766036982"</f>
        <v>36678766036982</v>
      </c>
      <c r="F6078" s="8">
        <v>475</v>
      </c>
      <c r="G6078" s="8">
        <v>7620</v>
      </c>
      <c r="H6078" s="8">
        <v>2391</v>
      </c>
      <c r="I6078" s="8">
        <v>5849</v>
      </c>
    </row>
    <row r="6079" spans="1:9" x14ac:dyDescent="0.2">
      <c r="A6079" t="s">
        <v>1202</v>
      </c>
      <c r="B6079" t="s">
        <v>1263</v>
      </c>
      <c r="C6079" t="str">
        <f t="shared" si="293"/>
        <v>36678760000000</v>
      </c>
      <c r="D6079" t="s">
        <v>351</v>
      </c>
      <c r="E6079" t="str">
        <f>"36678766036883"</f>
        <v>36678766036883</v>
      </c>
      <c r="F6079" s="8">
        <v>275</v>
      </c>
      <c r="G6079" s="8">
        <v>7819</v>
      </c>
      <c r="H6079" s="8">
        <v>2391</v>
      </c>
      <c r="I6079" s="8">
        <v>5849</v>
      </c>
    </row>
    <row r="6080" spans="1:9" x14ac:dyDescent="0.2">
      <c r="A6080" t="s">
        <v>1202</v>
      </c>
      <c r="B6080" t="s">
        <v>1263</v>
      </c>
      <c r="C6080" t="str">
        <f t="shared" si="293"/>
        <v>36678760000000</v>
      </c>
      <c r="D6080" t="s">
        <v>5261</v>
      </c>
      <c r="E6080" t="str">
        <f>"36678766061923"</f>
        <v>36678766061923</v>
      </c>
      <c r="F6080" s="8">
        <v>601</v>
      </c>
      <c r="G6080" s="8">
        <v>7439</v>
      </c>
      <c r="H6080" s="8">
        <v>2391</v>
      </c>
      <c r="I6080" s="8">
        <v>5849</v>
      </c>
    </row>
    <row r="6081" spans="1:9" x14ac:dyDescent="0.2">
      <c r="A6081" t="s">
        <v>1202</v>
      </c>
      <c r="B6081" t="s">
        <v>1263</v>
      </c>
      <c r="C6081" t="str">
        <f t="shared" si="293"/>
        <v>36678760000000</v>
      </c>
      <c r="D6081" t="s">
        <v>7341</v>
      </c>
      <c r="E6081" t="str">
        <f>"36678766036917"</f>
        <v>36678766036917</v>
      </c>
      <c r="F6081" s="8">
        <v>556</v>
      </c>
      <c r="G6081" s="8">
        <v>7467</v>
      </c>
      <c r="H6081" s="8">
        <v>2391</v>
      </c>
      <c r="I6081" s="8">
        <v>5849</v>
      </c>
    </row>
    <row r="6082" spans="1:9" x14ac:dyDescent="0.2">
      <c r="A6082" t="s">
        <v>1202</v>
      </c>
      <c r="B6082" t="s">
        <v>1263</v>
      </c>
      <c r="C6082" t="str">
        <f t="shared" si="293"/>
        <v>36678760000000</v>
      </c>
      <c r="D6082" t="s">
        <v>4247</v>
      </c>
      <c r="E6082" t="str">
        <f>"36678766036941"</f>
        <v>36678766036941</v>
      </c>
      <c r="F6082" s="8">
        <v>778</v>
      </c>
      <c r="G6082" s="8">
        <v>7243</v>
      </c>
      <c r="H6082" s="8">
        <v>2391</v>
      </c>
      <c r="I6082" s="8">
        <v>5849</v>
      </c>
    </row>
    <row r="6083" spans="1:9" x14ac:dyDescent="0.2">
      <c r="A6083" t="s">
        <v>1202</v>
      </c>
      <c r="B6083" t="s">
        <v>1263</v>
      </c>
      <c r="C6083" t="str">
        <f t="shared" si="293"/>
        <v>36678760000000</v>
      </c>
      <c r="D6083" t="s">
        <v>2347</v>
      </c>
      <c r="E6083" t="str">
        <f>"36678766037113"</f>
        <v>36678766037113</v>
      </c>
      <c r="F6083" s="8">
        <v>518</v>
      </c>
      <c r="G6083" s="8">
        <v>7468</v>
      </c>
      <c r="H6083" s="8">
        <v>2391</v>
      </c>
      <c r="I6083" s="8">
        <v>5849</v>
      </c>
    </row>
    <row r="6084" spans="1:9" x14ac:dyDescent="0.2">
      <c r="A6084" t="s">
        <v>1202</v>
      </c>
      <c r="B6084" t="s">
        <v>1263</v>
      </c>
      <c r="C6084" t="str">
        <f t="shared" si="293"/>
        <v>36678760000000</v>
      </c>
      <c r="D6084" t="s">
        <v>7342</v>
      </c>
      <c r="E6084" t="str">
        <f>"36678766036974"</f>
        <v>36678766036974</v>
      </c>
      <c r="F6084" s="8">
        <v>512</v>
      </c>
      <c r="G6084" s="8">
        <v>7452</v>
      </c>
      <c r="H6084" s="8">
        <v>2391</v>
      </c>
      <c r="I6084" s="8">
        <v>5849</v>
      </c>
    </row>
    <row r="6085" spans="1:9" x14ac:dyDescent="0.2">
      <c r="A6085" t="s">
        <v>1202</v>
      </c>
      <c r="B6085" t="s">
        <v>1263</v>
      </c>
      <c r="C6085" t="str">
        <f t="shared" si="293"/>
        <v>36678760000000</v>
      </c>
      <c r="D6085" t="s">
        <v>7343</v>
      </c>
      <c r="E6085" t="str">
        <f>"36678766036800"</f>
        <v>36678766036800</v>
      </c>
      <c r="F6085" s="8">
        <v>443</v>
      </c>
      <c r="G6085" s="8">
        <v>7511</v>
      </c>
      <c r="H6085" s="8">
        <v>2391</v>
      </c>
      <c r="I6085" s="8">
        <v>5849</v>
      </c>
    </row>
    <row r="6086" spans="1:9" x14ac:dyDescent="0.2">
      <c r="A6086" t="s">
        <v>1202</v>
      </c>
      <c r="B6086" t="s">
        <v>1263</v>
      </c>
      <c r="C6086" t="str">
        <f t="shared" si="293"/>
        <v>36678760000000</v>
      </c>
      <c r="D6086" t="s">
        <v>7344</v>
      </c>
      <c r="E6086" t="str">
        <f>"36678766036933"</f>
        <v>36678766036933</v>
      </c>
      <c r="F6086" s="8">
        <v>395</v>
      </c>
      <c r="G6086" s="8">
        <v>7553</v>
      </c>
      <c r="H6086" s="8">
        <v>2391</v>
      </c>
      <c r="I6086" s="8">
        <v>5849</v>
      </c>
    </row>
    <row r="6087" spans="1:9" x14ac:dyDescent="0.2">
      <c r="A6087" t="s">
        <v>1202</v>
      </c>
      <c r="B6087" t="s">
        <v>1263</v>
      </c>
      <c r="C6087" t="str">
        <f t="shared" si="293"/>
        <v>36678760000000</v>
      </c>
      <c r="D6087" t="s">
        <v>7345</v>
      </c>
      <c r="E6087" t="str">
        <f>"36678766068191"</f>
        <v>36678766068191</v>
      </c>
      <c r="F6087" s="8">
        <v>517</v>
      </c>
      <c r="G6087" s="8">
        <v>7428</v>
      </c>
      <c r="H6087" s="8">
        <v>2391</v>
      </c>
      <c r="I6087" s="8">
        <v>5849</v>
      </c>
    </row>
    <row r="6088" spans="1:9" x14ac:dyDescent="0.2">
      <c r="A6088" t="s">
        <v>1202</v>
      </c>
      <c r="B6088" t="s">
        <v>1263</v>
      </c>
      <c r="C6088" t="str">
        <f t="shared" si="293"/>
        <v>36678760000000</v>
      </c>
      <c r="D6088" t="s">
        <v>2359</v>
      </c>
      <c r="E6088" t="str">
        <f>"36678766036909"</f>
        <v>36678766036909</v>
      </c>
      <c r="F6088" s="8">
        <v>419</v>
      </c>
      <c r="G6088" s="8">
        <v>7486</v>
      </c>
      <c r="H6088" s="8">
        <v>2391</v>
      </c>
      <c r="I6088" s="8">
        <v>5849</v>
      </c>
    </row>
    <row r="6089" spans="1:9" x14ac:dyDescent="0.2">
      <c r="A6089" t="s">
        <v>1202</v>
      </c>
      <c r="B6089" t="s">
        <v>1263</v>
      </c>
      <c r="C6089" t="str">
        <f t="shared" ref="C6089:C6120" si="294">"36678760000000"</f>
        <v>36678760000000</v>
      </c>
      <c r="D6089" t="s">
        <v>7346</v>
      </c>
      <c r="E6089" t="str">
        <f>"36678766059489"</f>
        <v>36678766059489</v>
      </c>
      <c r="F6089" s="8">
        <v>749</v>
      </c>
      <c r="G6089" s="8">
        <v>7144</v>
      </c>
      <c r="H6089" s="8">
        <v>2391</v>
      </c>
      <c r="I6089" s="8">
        <v>5849</v>
      </c>
    </row>
    <row r="6090" spans="1:9" x14ac:dyDescent="0.2">
      <c r="A6090" t="s">
        <v>1202</v>
      </c>
      <c r="B6090" t="s">
        <v>1263</v>
      </c>
      <c r="C6090" t="str">
        <f t="shared" si="294"/>
        <v>36678760000000</v>
      </c>
      <c r="D6090" t="s">
        <v>7347</v>
      </c>
      <c r="E6090" t="str">
        <f>"36678766036859"</f>
        <v>36678766036859</v>
      </c>
      <c r="F6090" s="8">
        <v>482</v>
      </c>
      <c r="G6090" s="8">
        <v>7363</v>
      </c>
      <c r="H6090" s="8">
        <v>2391</v>
      </c>
      <c r="I6090" s="8">
        <v>5849</v>
      </c>
    </row>
    <row r="6091" spans="1:9" x14ac:dyDescent="0.2">
      <c r="A6091" t="s">
        <v>1202</v>
      </c>
      <c r="B6091" t="s">
        <v>1263</v>
      </c>
      <c r="C6091" t="str">
        <f t="shared" si="294"/>
        <v>36678760000000</v>
      </c>
      <c r="D6091" t="s">
        <v>2575</v>
      </c>
      <c r="E6091" t="str">
        <f>"36678766037105"</f>
        <v>36678766037105</v>
      </c>
      <c r="F6091" s="8">
        <v>488</v>
      </c>
      <c r="G6091" s="8">
        <v>7343</v>
      </c>
      <c r="H6091" s="8">
        <v>2391</v>
      </c>
      <c r="I6091" s="8">
        <v>5849</v>
      </c>
    </row>
    <row r="6092" spans="1:9" x14ac:dyDescent="0.2">
      <c r="A6092" t="s">
        <v>1202</v>
      </c>
      <c r="B6092" t="s">
        <v>1263</v>
      </c>
      <c r="C6092" t="str">
        <f t="shared" si="294"/>
        <v>36678760000000</v>
      </c>
      <c r="D6092" t="s">
        <v>7348</v>
      </c>
      <c r="E6092" t="str">
        <f>"36678766037063"</f>
        <v>36678766037063</v>
      </c>
      <c r="F6092" s="8">
        <v>450</v>
      </c>
      <c r="G6092" s="8">
        <v>7343</v>
      </c>
      <c r="H6092" s="8">
        <v>2391</v>
      </c>
      <c r="I6092" s="8">
        <v>5849</v>
      </c>
    </row>
    <row r="6093" spans="1:9" x14ac:dyDescent="0.2">
      <c r="A6093" t="s">
        <v>1202</v>
      </c>
      <c r="B6093" t="s">
        <v>1263</v>
      </c>
      <c r="C6093" t="str">
        <f t="shared" si="294"/>
        <v>36678760000000</v>
      </c>
      <c r="D6093" t="s">
        <v>7349</v>
      </c>
      <c r="E6093" t="str">
        <f>"36678760110783"</f>
        <v>36678760110783</v>
      </c>
      <c r="F6093" s="8">
        <v>491</v>
      </c>
      <c r="G6093" s="8">
        <v>7302</v>
      </c>
      <c r="H6093" s="8">
        <v>2391</v>
      </c>
      <c r="I6093" s="8">
        <v>5849</v>
      </c>
    </row>
    <row r="6094" spans="1:9" x14ac:dyDescent="0.2">
      <c r="A6094" t="s">
        <v>1202</v>
      </c>
      <c r="B6094" t="s">
        <v>1263</v>
      </c>
      <c r="C6094" t="str">
        <f t="shared" si="294"/>
        <v>36678760000000</v>
      </c>
      <c r="D6094" t="s">
        <v>7350</v>
      </c>
      <c r="E6094" t="str">
        <f>"36678766037048"</f>
        <v>36678766037048</v>
      </c>
      <c r="F6094" s="8">
        <v>522</v>
      </c>
      <c r="G6094" s="8">
        <v>7221</v>
      </c>
      <c r="H6094" s="8">
        <v>2391</v>
      </c>
      <c r="I6094" s="8">
        <v>5849</v>
      </c>
    </row>
    <row r="6095" spans="1:9" x14ac:dyDescent="0.2">
      <c r="A6095" t="s">
        <v>1202</v>
      </c>
      <c r="B6095" t="s">
        <v>1263</v>
      </c>
      <c r="C6095" t="str">
        <f t="shared" si="294"/>
        <v>36678760000000</v>
      </c>
      <c r="D6095" t="s">
        <v>7351</v>
      </c>
      <c r="E6095" t="str">
        <f>"36678766037014"</f>
        <v>36678766037014</v>
      </c>
      <c r="F6095" s="8">
        <v>533</v>
      </c>
      <c r="G6095" s="8">
        <v>7194</v>
      </c>
      <c r="H6095" s="8">
        <v>2391</v>
      </c>
      <c r="I6095" s="8">
        <v>5849</v>
      </c>
    </row>
    <row r="6096" spans="1:9" x14ac:dyDescent="0.2">
      <c r="A6096" t="s">
        <v>1202</v>
      </c>
      <c r="B6096" t="s">
        <v>1263</v>
      </c>
      <c r="C6096" t="str">
        <f t="shared" si="294"/>
        <v>36678760000000</v>
      </c>
      <c r="D6096" t="s">
        <v>7352</v>
      </c>
      <c r="E6096" t="str">
        <f>"36678763635844"</f>
        <v>36678763635844</v>
      </c>
      <c r="F6096" s="8">
        <v>452</v>
      </c>
      <c r="G6096" s="8">
        <v>7175</v>
      </c>
      <c r="H6096" s="8">
        <v>2391</v>
      </c>
      <c r="I6096" s="8">
        <v>5849</v>
      </c>
    </row>
    <row r="6097" spans="1:9" x14ac:dyDescent="0.2">
      <c r="A6097" t="s">
        <v>1202</v>
      </c>
      <c r="B6097" t="s">
        <v>1263</v>
      </c>
      <c r="C6097" t="str">
        <f t="shared" si="294"/>
        <v>36678760000000</v>
      </c>
      <c r="D6097" t="s">
        <v>4436</v>
      </c>
      <c r="E6097" t="str">
        <f>"36678766036784"</f>
        <v>36678766036784</v>
      </c>
      <c r="F6097" s="8">
        <v>278</v>
      </c>
      <c r="G6097" s="8">
        <v>7308</v>
      </c>
      <c r="H6097" s="8">
        <v>2391</v>
      </c>
      <c r="I6097" s="8">
        <v>5849</v>
      </c>
    </row>
    <row r="6098" spans="1:9" x14ac:dyDescent="0.2">
      <c r="A6098" t="s">
        <v>1202</v>
      </c>
      <c r="B6098" t="s">
        <v>1263</v>
      </c>
      <c r="C6098" t="str">
        <f t="shared" si="294"/>
        <v>36678760000000</v>
      </c>
      <c r="D6098" t="s">
        <v>3820</v>
      </c>
      <c r="E6098" t="str">
        <f>"36678766037139"</f>
        <v>36678766037139</v>
      </c>
      <c r="F6098" s="8">
        <v>279</v>
      </c>
      <c r="G6098" s="8">
        <v>7306</v>
      </c>
      <c r="H6098" s="8">
        <v>2391</v>
      </c>
      <c r="I6098" s="8">
        <v>5849</v>
      </c>
    </row>
    <row r="6099" spans="1:9" x14ac:dyDescent="0.2">
      <c r="A6099" t="s">
        <v>1202</v>
      </c>
      <c r="B6099" t="s">
        <v>1263</v>
      </c>
      <c r="C6099" t="str">
        <f t="shared" si="294"/>
        <v>36678760000000</v>
      </c>
      <c r="D6099" t="s">
        <v>7353</v>
      </c>
      <c r="E6099" t="str">
        <f>"36678766110480"</f>
        <v>36678766110480</v>
      </c>
      <c r="F6099" s="8">
        <v>360</v>
      </c>
      <c r="G6099" s="8">
        <v>7205</v>
      </c>
      <c r="H6099" s="8">
        <v>2391</v>
      </c>
      <c r="I6099" s="8">
        <v>5849</v>
      </c>
    </row>
    <row r="6100" spans="1:9" x14ac:dyDescent="0.2">
      <c r="A6100" t="s">
        <v>1202</v>
      </c>
      <c r="B6100" t="s">
        <v>1263</v>
      </c>
      <c r="C6100" t="str">
        <f t="shared" si="294"/>
        <v>36678760000000</v>
      </c>
      <c r="D6100" t="s">
        <v>7354</v>
      </c>
      <c r="E6100" t="str">
        <f>"36678760128918"</f>
        <v>36678760128918</v>
      </c>
      <c r="F6100" s="8">
        <v>179</v>
      </c>
      <c r="G6100" s="8">
        <v>7348</v>
      </c>
      <c r="H6100" s="8">
        <v>2391</v>
      </c>
      <c r="I6100" s="8">
        <v>5849</v>
      </c>
    </row>
    <row r="6101" spans="1:9" x14ac:dyDescent="0.2">
      <c r="A6101" t="s">
        <v>1202</v>
      </c>
      <c r="B6101" t="s">
        <v>1263</v>
      </c>
      <c r="C6101" t="str">
        <f t="shared" si="294"/>
        <v>36678760000000</v>
      </c>
      <c r="D6101" t="s">
        <v>7355</v>
      </c>
      <c r="E6101" t="str">
        <f>"36678766112767"</f>
        <v>36678766112767</v>
      </c>
      <c r="F6101" s="8">
        <v>302</v>
      </c>
      <c r="G6101" s="8">
        <v>7221</v>
      </c>
      <c r="H6101" s="8">
        <v>2391</v>
      </c>
      <c r="I6101" s="8">
        <v>5849</v>
      </c>
    </row>
    <row r="6102" spans="1:9" x14ac:dyDescent="0.2">
      <c r="A6102" t="s">
        <v>1202</v>
      </c>
      <c r="B6102" t="s">
        <v>1263</v>
      </c>
      <c r="C6102" t="str">
        <f t="shared" si="294"/>
        <v>36678760000000</v>
      </c>
      <c r="D6102" t="s">
        <v>5533</v>
      </c>
      <c r="E6102" t="str">
        <f>"36678766036792"</f>
        <v>36678766036792</v>
      </c>
      <c r="F6102" s="8">
        <v>463</v>
      </c>
      <c r="G6102" s="8">
        <v>7043</v>
      </c>
      <c r="H6102" s="8">
        <v>2391</v>
      </c>
      <c r="I6102" s="8">
        <v>5849</v>
      </c>
    </row>
    <row r="6103" spans="1:9" x14ac:dyDescent="0.2">
      <c r="A6103" t="s">
        <v>1202</v>
      </c>
      <c r="B6103" t="s">
        <v>1263</v>
      </c>
      <c r="C6103" t="str">
        <f t="shared" si="294"/>
        <v>36678760000000</v>
      </c>
      <c r="D6103" t="s">
        <v>7356</v>
      </c>
      <c r="E6103" t="str">
        <f>"36678766037030"</f>
        <v>36678766037030</v>
      </c>
      <c r="F6103" s="8">
        <v>536</v>
      </c>
      <c r="G6103" s="8">
        <v>6951</v>
      </c>
      <c r="H6103" s="8">
        <v>2391</v>
      </c>
      <c r="I6103" s="8">
        <v>5849</v>
      </c>
    </row>
    <row r="6104" spans="1:9" x14ac:dyDescent="0.2">
      <c r="A6104" t="s">
        <v>1202</v>
      </c>
      <c r="B6104" t="s">
        <v>1263</v>
      </c>
      <c r="C6104" t="str">
        <f t="shared" si="294"/>
        <v>36678760000000</v>
      </c>
      <c r="D6104" t="s">
        <v>1006</v>
      </c>
      <c r="E6104" t="str">
        <f>"36678766036842"</f>
        <v>36678766036842</v>
      </c>
      <c r="F6104" s="8">
        <v>484</v>
      </c>
      <c r="G6104" s="8">
        <v>6970</v>
      </c>
      <c r="H6104" s="8">
        <v>2391</v>
      </c>
      <c r="I6104" s="8">
        <v>5849</v>
      </c>
    </row>
    <row r="6105" spans="1:9" x14ac:dyDescent="0.2">
      <c r="A6105" t="s">
        <v>1202</v>
      </c>
      <c r="B6105" t="s">
        <v>1263</v>
      </c>
      <c r="C6105" t="str">
        <f t="shared" si="294"/>
        <v>36678760000000</v>
      </c>
      <c r="D6105" t="s">
        <v>7357</v>
      </c>
      <c r="E6105" t="str">
        <f>"36678760128926"</f>
        <v>36678760128926</v>
      </c>
      <c r="F6105" s="8">
        <v>493</v>
      </c>
      <c r="G6105" s="8">
        <v>6956</v>
      </c>
      <c r="H6105" s="8">
        <v>2391</v>
      </c>
      <c r="I6105" s="8">
        <v>5849</v>
      </c>
    </row>
    <row r="6106" spans="1:9" x14ac:dyDescent="0.2">
      <c r="A6106" t="s">
        <v>1202</v>
      </c>
      <c r="B6106" t="s">
        <v>1263</v>
      </c>
      <c r="C6106" t="str">
        <f t="shared" si="294"/>
        <v>36678760000000</v>
      </c>
      <c r="D6106" t="s">
        <v>7358</v>
      </c>
      <c r="E6106" t="str">
        <f>"36678760116178"</f>
        <v>36678760116178</v>
      </c>
      <c r="F6106" s="8">
        <v>403</v>
      </c>
      <c r="G6106" s="8">
        <v>7006</v>
      </c>
      <c r="H6106" s="8">
        <v>2391</v>
      </c>
      <c r="I6106" s="8">
        <v>5849</v>
      </c>
    </row>
    <row r="6107" spans="1:9" x14ac:dyDescent="0.2">
      <c r="A6107" t="s">
        <v>1202</v>
      </c>
      <c r="B6107" t="s">
        <v>1263</v>
      </c>
      <c r="C6107" t="str">
        <f t="shared" si="294"/>
        <v>36678760000000</v>
      </c>
      <c r="D6107" t="s">
        <v>7359</v>
      </c>
      <c r="E6107" t="str">
        <f>"36678760127332"</f>
        <v>36678760127332</v>
      </c>
      <c r="F6107" s="8">
        <v>681</v>
      </c>
      <c r="G6107" s="8">
        <v>6720</v>
      </c>
      <c r="H6107" s="8">
        <v>2391</v>
      </c>
      <c r="I6107" s="8">
        <v>5849</v>
      </c>
    </row>
    <row r="6108" spans="1:9" x14ac:dyDescent="0.2">
      <c r="A6108" t="s">
        <v>1202</v>
      </c>
      <c r="B6108" t="s">
        <v>1263</v>
      </c>
      <c r="C6108" t="str">
        <f t="shared" si="294"/>
        <v>36678760000000</v>
      </c>
      <c r="D6108" t="s">
        <v>3236</v>
      </c>
      <c r="E6108" t="str">
        <f>"36678766037022"</f>
        <v>36678766037022</v>
      </c>
      <c r="F6108" s="8">
        <v>406</v>
      </c>
      <c r="G6108" s="8">
        <v>6977</v>
      </c>
      <c r="H6108" s="8">
        <v>2391</v>
      </c>
      <c r="I6108" s="8">
        <v>5849</v>
      </c>
    </row>
    <row r="6109" spans="1:9" x14ac:dyDescent="0.2">
      <c r="A6109" t="s">
        <v>1202</v>
      </c>
      <c r="B6109" t="s">
        <v>1263</v>
      </c>
      <c r="C6109" t="str">
        <f t="shared" si="294"/>
        <v>36678760000000</v>
      </c>
      <c r="D6109" t="s">
        <v>7360</v>
      </c>
      <c r="E6109" t="str">
        <f>"36678760109496"</f>
        <v>36678760109496</v>
      </c>
      <c r="F6109" s="8">
        <v>540</v>
      </c>
      <c r="G6109" s="8">
        <v>6831</v>
      </c>
      <c r="H6109" s="8">
        <v>2391</v>
      </c>
      <c r="I6109" s="8">
        <v>5849</v>
      </c>
    </row>
    <row r="6110" spans="1:9" x14ac:dyDescent="0.2">
      <c r="A6110" t="s">
        <v>1202</v>
      </c>
      <c r="B6110" t="s">
        <v>1263</v>
      </c>
      <c r="C6110" t="str">
        <f t="shared" si="294"/>
        <v>36678760000000</v>
      </c>
      <c r="D6110" t="s">
        <v>2622</v>
      </c>
      <c r="E6110" t="str">
        <f>"36678766037071"</f>
        <v>36678766037071</v>
      </c>
      <c r="F6110" s="8">
        <v>619</v>
      </c>
      <c r="G6110" s="8">
        <v>6739</v>
      </c>
      <c r="H6110" s="8">
        <v>2391</v>
      </c>
      <c r="I6110" s="8">
        <v>5849</v>
      </c>
    </row>
    <row r="6111" spans="1:9" x14ac:dyDescent="0.2">
      <c r="A6111" t="s">
        <v>1202</v>
      </c>
      <c r="B6111" t="s">
        <v>1263</v>
      </c>
      <c r="C6111" t="str">
        <f t="shared" si="294"/>
        <v>36678760000000</v>
      </c>
      <c r="D6111" t="s">
        <v>5088</v>
      </c>
      <c r="E6111" t="str">
        <f>"36678766067086"</f>
        <v>36678766067086</v>
      </c>
      <c r="F6111" s="8">
        <v>377</v>
      </c>
      <c r="G6111" s="8">
        <v>6967</v>
      </c>
      <c r="H6111" s="8">
        <v>2391</v>
      </c>
      <c r="I6111" s="8">
        <v>5849</v>
      </c>
    </row>
    <row r="6112" spans="1:9" x14ac:dyDescent="0.2">
      <c r="A6112" t="s">
        <v>1202</v>
      </c>
      <c r="B6112" t="s">
        <v>1263</v>
      </c>
      <c r="C6112" t="str">
        <f t="shared" si="294"/>
        <v>36678760000000</v>
      </c>
      <c r="D6112" t="s">
        <v>7361</v>
      </c>
      <c r="E6112" t="str">
        <f>"36678766059505"</f>
        <v>36678766059505</v>
      </c>
      <c r="F6112" s="8">
        <v>517</v>
      </c>
      <c r="G6112" s="8">
        <v>6814</v>
      </c>
      <c r="H6112" s="8">
        <v>2391</v>
      </c>
      <c r="I6112" s="8">
        <v>5849</v>
      </c>
    </row>
    <row r="6113" spans="1:9" x14ac:dyDescent="0.2">
      <c r="A6113" t="s">
        <v>1202</v>
      </c>
      <c r="B6113" t="s">
        <v>1263</v>
      </c>
      <c r="C6113" t="str">
        <f t="shared" si="294"/>
        <v>36678760000000</v>
      </c>
      <c r="D6113" t="s">
        <v>2828</v>
      </c>
      <c r="E6113" t="str">
        <f>"36678766036834"</f>
        <v>36678766036834</v>
      </c>
      <c r="F6113" s="8">
        <v>389</v>
      </c>
      <c r="G6113" s="8">
        <v>6925</v>
      </c>
      <c r="H6113" s="8">
        <v>2391</v>
      </c>
      <c r="I6113" s="8">
        <v>5849</v>
      </c>
    </row>
    <row r="6114" spans="1:9" x14ac:dyDescent="0.2">
      <c r="A6114" t="s">
        <v>1202</v>
      </c>
      <c r="B6114" t="s">
        <v>1263</v>
      </c>
      <c r="C6114" t="str">
        <f t="shared" si="294"/>
        <v>36678760000000</v>
      </c>
      <c r="D6114" t="s">
        <v>7362</v>
      </c>
      <c r="E6114" t="str">
        <f>"36678760127340"</f>
        <v>36678760127340</v>
      </c>
      <c r="F6114" s="8">
        <v>459</v>
      </c>
      <c r="G6114" s="8">
        <v>6705</v>
      </c>
      <c r="H6114" s="8">
        <v>2391</v>
      </c>
      <c r="I6114" s="8">
        <v>5849</v>
      </c>
    </row>
    <row r="6115" spans="1:9" x14ac:dyDescent="0.2">
      <c r="A6115" t="s">
        <v>1202</v>
      </c>
      <c r="B6115" t="s">
        <v>1263</v>
      </c>
      <c r="C6115" t="str">
        <f t="shared" si="294"/>
        <v>36678760000000</v>
      </c>
      <c r="D6115" t="s">
        <v>7363</v>
      </c>
      <c r="E6115" t="str">
        <f>"36678760116160"</f>
        <v>36678760116160</v>
      </c>
      <c r="F6115" s="8">
        <v>542</v>
      </c>
      <c r="G6115" s="8">
        <v>6588</v>
      </c>
      <c r="H6115" s="8">
        <v>2391</v>
      </c>
      <c r="I6115" s="8">
        <v>5849</v>
      </c>
    </row>
    <row r="6116" spans="1:9" x14ac:dyDescent="0.2">
      <c r="A6116" t="s">
        <v>1202</v>
      </c>
      <c r="B6116" t="s">
        <v>1263</v>
      </c>
      <c r="C6116" t="str">
        <f t="shared" si="294"/>
        <v>36678760000000</v>
      </c>
      <c r="D6116" t="s">
        <v>7364</v>
      </c>
      <c r="E6116" t="str">
        <f>"36678766037154"</f>
        <v>36678766037154</v>
      </c>
      <c r="F6116" s="8">
        <v>391</v>
      </c>
      <c r="G6116" s="8">
        <v>6546</v>
      </c>
      <c r="H6116" s="8">
        <v>2391</v>
      </c>
      <c r="I6116" s="8">
        <v>5849</v>
      </c>
    </row>
    <row r="6117" spans="1:9" x14ac:dyDescent="0.2">
      <c r="A6117" t="s">
        <v>1202</v>
      </c>
      <c r="B6117" t="s">
        <v>1263</v>
      </c>
      <c r="C6117" t="str">
        <f t="shared" si="294"/>
        <v>36678760000000</v>
      </c>
      <c r="D6117" t="s">
        <v>7365</v>
      </c>
      <c r="E6117" t="str">
        <f>"36678766036867"</f>
        <v>36678766036867</v>
      </c>
      <c r="F6117" s="8">
        <v>458</v>
      </c>
      <c r="G6117" s="8">
        <v>6457</v>
      </c>
      <c r="H6117" s="8">
        <v>2391</v>
      </c>
      <c r="I6117" s="8">
        <v>5849</v>
      </c>
    </row>
    <row r="6118" spans="1:9" x14ac:dyDescent="0.2">
      <c r="A6118" t="s">
        <v>1202</v>
      </c>
      <c r="B6118" t="s">
        <v>1263</v>
      </c>
      <c r="C6118" t="str">
        <f t="shared" si="294"/>
        <v>36678760000000</v>
      </c>
      <c r="D6118" t="s">
        <v>7366</v>
      </c>
      <c r="E6118" t="str">
        <f>"36678760127357"</f>
        <v>36678760127357</v>
      </c>
      <c r="F6118" s="8">
        <v>414</v>
      </c>
      <c r="G6118" s="8">
        <v>6484</v>
      </c>
      <c r="H6118" s="8">
        <v>2391</v>
      </c>
      <c r="I6118" s="8">
        <v>5849</v>
      </c>
    </row>
    <row r="6119" spans="1:9" x14ac:dyDescent="0.2">
      <c r="A6119" t="s">
        <v>1202</v>
      </c>
      <c r="B6119" t="s">
        <v>1263</v>
      </c>
      <c r="C6119" t="str">
        <f t="shared" si="294"/>
        <v>36678760000000</v>
      </c>
      <c r="D6119" t="s">
        <v>7367</v>
      </c>
      <c r="E6119" t="str">
        <f>"36678760125450"</f>
        <v>36678760125450</v>
      </c>
      <c r="F6119" s="8">
        <v>437</v>
      </c>
      <c r="G6119" s="8">
        <v>6395</v>
      </c>
      <c r="H6119" s="8">
        <v>2391</v>
      </c>
      <c r="I6119" s="8">
        <v>5849</v>
      </c>
    </row>
    <row r="6120" spans="1:9" x14ac:dyDescent="0.2">
      <c r="A6120" t="s">
        <v>1202</v>
      </c>
      <c r="B6120" t="s">
        <v>1263</v>
      </c>
      <c r="C6120" t="str">
        <f t="shared" si="294"/>
        <v>36678760000000</v>
      </c>
      <c r="D6120" t="s">
        <v>7368</v>
      </c>
      <c r="E6120" t="str">
        <f>"36678766068720"</f>
        <v>36678766068720</v>
      </c>
      <c r="F6120" s="8">
        <v>466</v>
      </c>
      <c r="G6120" s="8">
        <v>6334</v>
      </c>
      <c r="H6120" s="8">
        <v>2391</v>
      </c>
      <c r="I6120" s="8">
        <v>5849</v>
      </c>
    </row>
    <row r="6121" spans="1:9" x14ac:dyDescent="0.2">
      <c r="A6121" t="s">
        <v>1202</v>
      </c>
      <c r="B6121" t="s">
        <v>1263</v>
      </c>
      <c r="C6121" t="str">
        <f t="shared" ref="C6121:C6131" si="295">"36678760000000"</f>
        <v>36678760000000</v>
      </c>
      <c r="D6121" t="s">
        <v>5493</v>
      </c>
      <c r="E6121" t="str">
        <f>"36678760109488"</f>
        <v>36678760109488</v>
      </c>
      <c r="F6121" s="8">
        <v>383</v>
      </c>
      <c r="G6121" s="8">
        <v>6358</v>
      </c>
      <c r="H6121" s="8">
        <v>2391</v>
      </c>
      <c r="I6121" s="8">
        <v>5849</v>
      </c>
    </row>
    <row r="6122" spans="1:9" x14ac:dyDescent="0.2">
      <c r="A6122" t="s">
        <v>1202</v>
      </c>
      <c r="B6122" t="s">
        <v>1263</v>
      </c>
      <c r="C6122" t="str">
        <f t="shared" si="295"/>
        <v>36678760000000</v>
      </c>
      <c r="D6122" t="s">
        <v>7369</v>
      </c>
      <c r="E6122" t="str">
        <f>"36678763632221"</f>
        <v>36678763632221</v>
      </c>
      <c r="F6122" s="8">
        <v>271</v>
      </c>
      <c r="G6122" s="8">
        <v>6233</v>
      </c>
      <c r="H6122" s="8">
        <v>2391</v>
      </c>
      <c r="I6122" s="8">
        <v>5849</v>
      </c>
    </row>
    <row r="6123" spans="1:9" x14ac:dyDescent="0.2">
      <c r="A6123" t="s">
        <v>1202</v>
      </c>
      <c r="B6123" t="s">
        <v>1263</v>
      </c>
      <c r="C6123" t="str">
        <f t="shared" si="295"/>
        <v>36678760000000</v>
      </c>
      <c r="D6123" t="s">
        <v>7370</v>
      </c>
      <c r="E6123" t="str">
        <f>"36678766061907"</f>
        <v>36678766061907</v>
      </c>
      <c r="F6123" s="8">
        <v>585</v>
      </c>
      <c r="G6123" s="8">
        <v>5889</v>
      </c>
      <c r="H6123" s="8">
        <v>2391</v>
      </c>
      <c r="I6123" s="8">
        <v>5849</v>
      </c>
    </row>
    <row r="6124" spans="1:9" x14ac:dyDescent="0.2">
      <c r="A6124" t="s">
        <v>1202</v>
      </c>
      <c r="B6124" t="s">
        <v>1263</v>
      </c>
      <c r="C6124" t="str">
        <f t="shared" si="295"/>
        <v>36678760000000</v>
      </c>
      <c r="D6124" t="s">
        <v>7371</v>
      </c>
      <c r="E6124" t="str">
        <f>"36678766114763"</f>
        <v>36678766114763</v>
      </c>
      <c r="F6124" s="8">
        <v>428</v>
      </c>
      <c r="G6124" s="8">
        <v>6000</v>
      </c>
      <c r="H6124" s="8">
        <v>2391</v>
      </c>
      <c r="I6124" s="8">
        <v>5849</v>
      </c>
    </row>
    <row r="6125" spans="1:9" x14ac:dyDescent="0.2">
      <c r="A6125" t="s">
        <v>1202</v>
      </c>
      <c r="B6125" t="s">
        <v>1263</v>
      </c>
      <c r="C6125" t="str">
        <f t="shared" si="295"/>
        <v>36678760000000</v>
      </c>
      <c r="D6125" t="s">
        <v>7372</v>
      </c>
      <c r="E6125" t="str">
        <f>"36678766037055"</f>
        <v>36678766037055</v>
      </c>
      <c r="F6125" s="8">
        <v>674</v>
      </c>
      <c r="G6125" s="8">
        <v>5729</v>
      </c>
      <c r="H6125" s="8">
        <v>2391</v>
      </c>
      <c r="I6125" s="8">
        <v>5849</v>
      </c>
    </row>
    <row r="6126" spans="1:9" x14ac:dyDescent="0.2">
      <c r="A6126" t="s">
        <v>1202</v>
      </c>
      <c r="B6126" t="s">
        <v>1263</v>
      </c>
      <c r="C6126" t="str">
        <f t="shared" si="295"/>
        <v>36678760000000</v>
      </c>
      <c r="D6126" t="s">
        <v>4022</v>
      </c>
      <c r="E6126" t="str">
        <f>"36678766036776"</f>
        <v>36678766036776</v>
      </c>
      <c r="F6126" s="8">
        <v>480</v>
      </c>
      <c r="G6126" s="8">
        <v>5916</v>
      </c>
      <c r="H6126" s="8">
        <v>2391</v>
      </c>
      <c r="I6126" s="8">
        <v>5849</v>
      </c>
    </row>
    <row r="6127" spans="1:9" x14ac:dyDescent="0.2">
      <c r="A6127" t="s">
        <v>1202</v>
      </c>
      <c r="B6127" t="s">
        <v>1263</v>
      </c>
      <c r="C6127" t="str">
        <f t="shared" si="295"/>
        <v>36678760000000</v>
      </c>
      <c r="D6127" t="s">
        <v>7373</v>
      </c>
      <c r="E6127" t="str">
        <f>"36678760127324"</f>
        <v>36678760127324</v>
      </c>
      <c r="F6127" s="8">
        <v>497</v>
      </c>
      <c r="G6127" s="8">
        <v>5829</v>
      </c>
      <c r="H6127" s="8">
        <v>2391</v>
      </c>
      <c r="I6127" s="8">
        <v>5849</v>
      </c>
    </row>
    <row r="6128" spans="1:9" x14ac:dyDescent="0.2">
      <c r="A6128" t="s">
        <v>1202</v>
      </c>
      <c r="B6128" t="s">
        <v>1263</v>
      </c>
      <c r="C6128" t="str">
        <f t="shared" si="295"/>
        <v>36678760000000</v>
      </c>
      <c r="D6128" t="s">
        <v>7374</v>
      </c>
      <c r="E6128" t="str">
        <f>"36678763631082"</f>
        <v>36678763631082</v>
      </c>
      <c r="F6128" s="8">
        <v>331</v>
      </c>
      <c r="G6128" s="8">
        <v>6538</v>
      </c>
      <c r="H6128" s="8">
        <v>1391</v>
      </c>
      <c r="I6128" s="8">
        <v>5849</v>
      </c>
    </row>
    <row r="6129" spans="1:9" x14ac:dyDescent="0.2">
      <c r="A6129" t="s">
        <v>1202</v>
      </c>
      <c r="B6129" t="s">
        <v>1263</v>
      </c>
      <c r="C6129" t="str">
        <f t="shared" si="295"/>
        <v>36678760000000</v>
      </c>
      <c r="D6129" t="s">
        <v>7375</v>
      </c>
      <c r="E6129" t="str">
        <f>"36678760128934"</f>
        <v>36678760128934</v>
      </c>
      <c r="F6129" s="8">
        <v>434</v>
      </c>
      <c r="G6129" s="8">
        <v>344</v>
      </c>
      <c r="H6129" s="8">
        <v>2391</v>
      </c>
      <c r="I6129" s="8">
        <v>5849</v>
      </c>
    </row>
    <row r="6130" spans="1:9" x14ac:dyDescent="0.2">
      <c r="A6130" t="s">
        <v>1202</v>
      </c>
      <c r="B6130" t="s">
        <v>1263</v>
      </c>
      <c r="C6130" t="str">
        <f t="shared" si="295"/>
        <v>36678760000000</v>
      </c>
      <c r="D6130" t="s">
        <v>7376</v>
      </c>
      <c r="E6130" t="str">
        <f>"36678763630548"</f>
        <v>36678763630548</v>
      </c>
      <c r="F6130" s="8">
        <v>103</v>
      </c>
      <c r="G6130" s="8">
        <v>62</v>
      </c>
      <c r="H6130" s="8">
        <v>2391</v>
      </c>
      <c r="I6130" s="8">
        <v>5849</v>
      </c>
    </row>
    <row r="6131" spans="1:9" x14ac:dyDescent="0.2">
      <c r="A6131" t="s">
        <v>1202</v>
      </c>
      <c r="B6131" t="s">
        <v>1263</v>
      </c>
      <c r="C6131" t="str">
        <f t="shared" si="295"/>
        <v>36678760000000</v>
      </c>
      <c r="D6131" t="s">
        <v>7377</v>
      </c>
      <c r="E6131" t="str">
        <f>"36678763630043"</f>
        <v>36678763630043</v>
      </c>
      <c r="F6131" s="8" t="s">
        <v>30</v>
      </c>
      <c r="G6131" s="8" t="s">
        <v>30</v>
      </c>
      <c r="H6131" s="8" t="s">
        <v>30</v>
      </c>
      <c r="I6131" s="8" t="s">
        <v>30</v>
      </c>
    </row>
    <row r="6132" spans="1:9" x14ac:dyDescent="0.2">
      <c r="A6132" t="s">
        <v>1202</v>
      </c>
      <c r="B6132" t="s">
        <v>1264</v>
      </c>
      <c r="C6132" t="str">
        <f>"36103630000000"</f>
        <v>36103630000000</v>
      </c>
      <c r="D6132" t="s">
        <v>7378</v>
      </c>
      <c r="E6132" t="str">
        <f>"36103633630431"</f>
        <v>36103633630431</v>
      </c>
      <c r="F6132" s="8">
        <v>13203</v>
      </c>
      <c r="G6132" s="8">
        <v>43210</v>
      </c>
      <c r="H6132" s="8">
        <v>226</v>
      </c>
      <c r="I6132" s="8">
        <v>5005</v>
      </c>
    </row>
    <row r="6133" spans="1:9" x14ac:dyDescent="0.2">
      <c r="A6133" t="s">
        <v>1202</v>
      </c>
      <c r="B6133" t="s">
        <v>1264</v>
      </c>
      <c r="C6133" t="str">
        <f>"36103630000000"</f>
        <v>36103630000000</v>
      </c>
      <c r="D6133" t="s">
        <v>7379</v>
      </c>
      <c r="E6133" t="str">
        <f>"36103636069348"</f>
        <v>36103636069348</v>
      </c>
      <c r="F6133" s="8">
        <v>3837</v>
      </c>
      <c r="G6133" s="8">
        <v>46994</v>
      </c>
      <c r="H6133" s="8">
        <v>328</v>
      </c>
      <c r="I6133" s="8">
        <v>7258</v>
      </c>
    </row>
    <row r="6134" spans="1:9" x14ac:dyDescent="0.2">
      <c r="A6134" t="s">
        <v>1202</v>
      </c>
      <c r="B6134" t="s">
        <v>1264</v>
      </c>
      <c r="C6134" t="str">
        <f>"36103630000000"</f>
        <v>36103630000000</v>
      </c>
      <c r="D6134" t="s">
        <v>7380</v>
      </c>
      <c r="E6134" t="str">
        <f>"36103630107466"</f>
        <v>36103630107466</v>
      </c>
      <c r="F6134" s="8">
        <v>6050</v>
      </c>
      <c r="G6134" s="8">
        <v>16897</v>
      </c>
      <c r="H6134" s="8">
        <v>125</v>
      </c>
      <c r="I6134" s="8">
        <v>2772</v>
      </c>
    </row>
    <row r="6135" spans="1:9" x14ac:dyDescent="0.2">
      <c r="A6135" t="s">
        <v>1202</v>
      </c>
      <c r="B6135" t="s">
        <v>1266</v>
      </c>
      <c r="C6135" t="str">
        <f t="shared" ref="C6135:C6143" si="296">"36738900000000"</f>
        <v>36738900000000</v>
      </c>
      <c r="D6135" t="s">
        <v>7381</v>
      </c>
      <c r="E6135" t="str">
        <f>"36738906035406"</f>
        <v>36738906035406</v>
      </c>
      <c r="F6135" s="8">
        <v>1580</v>
      </c>
      <c r="G6135" s="8">
        <v>16486</v>
      </c>
      <c r="H6135" s="8">
        <v>474</v>
      </c>
      <c r="I6135" s="8">
        <v>6808</v>
      </c>
    </row>
    <row r="6136" spans="1:9" x14ac:dyDescent="0.2">
      <c r="A6136" t="s">
        <v>1202</v>
      </c>
      <c r="B6136" t="s">
        <v>1266</v>
      </c>
      <c r="C6136" t="str">
        <f t="shared" si="296"/>
        <v>36738900000000</v>
      </c>
      <c r="D6136" t="s">
        <v>7382</v>
      </c>
      <c r="E6136" t="str">
        <f>"36738903630282"</f>
        <v>36738903630282</v>
      </c>
      <c r="F6136" s="8">
        <v>91</v>
      </c>
      <c r="G6136" s="8">
        <v>14149</v>
      </c>
      <c r="H6136" s="8">
        <v>474</v>
      </c>
      <c r="I6136" s="8">
        <v>6808</v>
      </c>
    </row>
    <row r="6137" spans="1:9" x14ac:dyDescent="0.2">
      <c r="A6137" t="s">
        <v>1202</v>
      </c>
      <c r="B6137" t="s">
        <v>1266</v>
      </c>
      <c r="C6137" t="str">
        <f t="shared" si="296"/>
        <v>36738900000000</v>
      </c>
      <c r="D6137" t="s">
        <v>7383</v>
      </c>
      <c r="E6137" t="str">
        <f>"36738906035455"</f>
        <v>36738906035455</v>
      </c>
      <c r="F6137" s="8">
        <v>1437</v>
      </c>
      <c r="G6137" s="8">
        <v>11753</v>
      </c>
      <c r="H6137" s="8">
        <v>474</v>
      </c>
      <c r="I6137" s="8">
        <v>6808</v>
      </c>
    </row>
    <row r="6138" spans="1:9" x14ac:dyDescent="0.2">
      <c r="A6138" t="s">
        <v>1202</v>
      </c>
      <c r="B6138" t="s">
        <v>1266</v>
      </c>
      <c r="C6138" t="str">
        <f t="shared" si="296"/>
        <v>36738900000000</v>
      </c>
      <c r="D6138" t="s">
        <v>7384</v>
      </c>
      <c r="E6138" t="str">
        <f>"36738903630274"</f>
        <v>36738903630274</v>
      </c>
      <c r="F6138" s="8">
        <v>713</v>
      </c>
      <c r="G6138" s="8">
        <v>11476</v>
      </c>
      <c r="H6138" s="8">
        <v>474</v>
      </c>
      <c r="I6138" s="8">
        <v>6837</v>
      </c>
    </row>
    <row r="6139" spans="1:9" x14ac:dyDescent="0.2">
      <c r="A6139" t="s">
        <v>1202</v>
      </c>
      <c r="B6139" t="s">
        <v>1266</v>
      </c>
      <c r="C6139" t="str">
        <f t="shared" si="296"/>
        <v>36738900000000</v>
      </c>
      <c r="D6139" t="s">
        <v>7385</v>
      </c>
      <c r="E6139" t="str">
        <f>"36738906035331"</f>
        <v>36738906035331</v>
      </c>
      <c r="F6139" s="8">
        <v>317</v>
      </c>
      <c r="G6139" s="8">
        <v>8069</v>
      </c>
      <c r="H6139" s="8">
        <v>474</v>
      </c>
      <c r="I6139" s="8">
        <v>6808</v>
      </c>
    </row>
    <row r="6140" spans="1:9" x14ac:dyDescent="0.2">
      <c r="A6140" t="s">
        <v>1202</v>
      </c>
      <c r="B6140" t="s">
        <v>1266</v>
      </c>
      <c r="C6140" t="str">
        <f t="shared" si="296"/>
        <v>36738900000000</v>
      </c>
      <c r="D6140" t="s">
        <v>7386</v>
      </c>
      <c r="E6140" t="str">
        <f>"36738900111096"</f>
        <v>36738900111096</v>
      </c>
      <c r="F6140" s="8">
        <v>89</v>
      </c>
      <c r="G6140" s="8">
        <v>8278</v>
      </c>
      <c r="H6140" s="8">
        <v>474</v>
      </c>
      <c r="I6140" s="8">
        <v>6808</v>
      </c>
    </row>
    <row r="6141" spans="1:9" x14ac:dyDescent="0.2">
      <c r="A6141" t="s">
        <v>1202</v>
      </c>
      <c r="B6141" t="s">
        <v>1266</v>
      </c>
      <c r="C6141" t="str">
        <f t="shared" si="296"/>
        <v>36738900000000</v>
      </c>
      <c r="D6141" t="s">
        <v>7387</v>
      </c>
      <c r="E6141" t="str">
        <f>"36738906104681"</f>
        <v>36738906104681</v>
      </c>
      <c r="F6141" s="8">
        <v>2</v>
      </c>
      <c r="G6141" s="8">
        <v>8276</v>
      </c>
      <c r="H6141" s="8">
        <v>474</v>
      </c>
      <c r="I6141" s="8">
        <v>6808</v>
      </c>
    </row>
    <row r="6142" spans="1:9" x14ac:dyDescent="0.2">
      <c r="A6142" t="s">
        <v>1202</v>
      </c>
      <c r="B6142" t="s">
        <v>1266</v>
      </c>
      <c r="C6142" t="str">
        <f t="shared" si="296"/>
        <v>36738900000000</v>
      </c>
      <c r="D6142" t="s">
        <v>7388</v>
      </c>
      <c r="E6142" t="str">
        <f>"36738903631199"</f>
        <v>36738903631199</v>
      </c>
      <c r="F6142" s="8">
        <v>2490</v>
      </c>
      <c r="G6142" s="8">
        <v>3315</v>
      </c>
      <c r="H6142" s="8">
        <v>474</v>
      </c>
      <c r="I6142" s="8">
        <v>6808</v>
      </c>
    </row>
    <row r="6143" spans="1:9" x14ac:dyDescent="0.2">
      <c r="A6143" t="s">
        <v>1202</v>
      </c>
      <c r="B6143" t="s">
        <v>1266</v>
      </c>
      <c r="C6143" t="str">
        <f t="shared" si="296"/>
        <v>36738900000000</v>
      </c>
      <c r="D6143" t="s">
        <v>7389</v>
      </c>
      <c r="E6143" t="str">
        <f>"36738900118109"</f>
        <v>36738900118109</v>
      </c>
      <c r="F6143" s="8" t="s">
        <v>30</v>
      </c>
      <c r="G6143" s="8" t="s">
        <v>30</v>
      </c>
      <c r="H6143" s="8" t="s">
        <v>30</v>
      </c>
      <c r="I6143" s="8" t="s">
        <v>30</v>
      </c>
    </row>
    <row r="6144" spans="1:9" x14ac:dyDescent="0.2">
      <c r="A6144" t="s">
        <v>1202</v>
      </c>
      <c r="B6144" t="s">
        <v>1268</v>
      </c>
      <c r="C6144" t="str">
        <f t="shared" ref="C6144:C6155" si="297">"36739570000000"</f>
        <v>36739570000000</v>
      </c>
      <c r="D6144" t="s">
        <v>7390</v>
      </c>
      <c r="E6144" t="str">
        <f>"36739573631108"</f>
        <v>36739573631108</v>
      </c>
      <c r="F6144" s="8">
        <v>11638</v>
      </c>
      <c r="G6144" s="8">
        <v>31465</v>
      </c>
      <c r="H6144" s="8">
        <v>567</v>
      </c>
      <c r="I6144" s="8">
        <v>2569</v>
      </c>
    </row>
    <row r="6145" spans="1:9" x14ac:dyDescent="0.2">
      <c r="A6145" t="s">
        <v>1202</v>
      </c>
      <c r="B6145" t="s">
        <v>1268</v>
      </c>
      <c r="C6145" t="str">
        <f t="shared" si="297"/>
        <v>36739570000000</v>
      </c>
      <c r="D6145" t="s">
        <v>6654</v>
      </c>
      <c r="E6145" t="str">
        <f>"36739573630365"</f>
        <v>36739573630365</v>
      </c>
      <c r="F6145" s="8">
        <v>1582</v>
      </c>
      <c r="G6145" s="8">
        <v>11358</v>
      </c>
      <c r="H6145" s="8">
        <v>567</v>
      </c>
      <c r="I6145" s="8">
        <v>2569</v>
      </c>
    </row>
    <row r="6146" spans="1:9" x14ac:dyDescent="0.2">
      <c r="A6146" t="s">
        <v>1202</v>
      </c>
      <c r="B6146" t="s">
        <v>1268</v>
      </c>
      <c r="C6146" t="str">
        <f t="shared" si="297"/>
        <v>36739570000000</v>
      </c>
      <c r="D6146" t="s">
        <v>7391</v>
      </c>
      <c r="E6146" t="str">
        <f>"36739576037394"</f>
        <v>36739576037394</v>
      </c>
      <c r="F6146" s="8">
        <v>875</v>
      </c>
      <c r="G6146" s="8">
        <v>10014</v>
      </c>
      <c r="H6146" s="8">
        <v>567</v>
      </c>
      <c r="I6146" s="8">
        <v>2569</v>
      </c>
    </row>
    <row r="6147" spans="1:9" x14ac:dyDescent="0.2">
      <c r="A6147" t="s">
        <v>1202</v>
      </c>
      <c r="B6147" t="s">
        <v>1268</v>
      </c>
      <c r="C6147" t="str">
        <f t="shared" si="297"/>
        <v>36739570000000</v>
      </c>
      <c r="D6147" t="s">
        <v>7392</v>
      </c>
      <c r="E6147" t="str">
        <f>"36739576036461"</f>
        <v>36739576036461</v>
      </c>
      <c r="F6147" s="8">
        <v>1029</v>
      </c>
      <c r="G6147" s="8">
        <v>9410</v>
      </c>
      <c r="H6147" s="8">
        <v>567</v>
      </c>
      <c r="I6147" s="8">
        <v>2569</v>
      </c>
    </row>
    <row r="6148" spans="1:9" x14ac:dyDescent="0.2">
      <c r="A6148" t="s">
        <v>1202</v>
      </c>
      <c r="B6148" t="s">
        <v>1268</v>
      </c>
      <c r="C6148" t="str">
        <f t="shared" si="297"/>
        <v>36739570000000</v>
      </c>
      <c r="D6148" t="s">
        <v>7393</v>
      </c>
      <c r="E6148" t="str">
        <f>"36739576108260"</f>
        <v>36739576108260</v>
      </c>
      <c r="F6148" s="8">
        <v>1020</v>
      </c>
      <c r="G6148" s="8">
        <v>8897</v>
      </c>
      <c r="H6148" s="8">
        <v>567</v>
      </c>
      <c r="I6148" s="8">
        <v>2569</v>
      </c>
    </row>
    <row r="6149" spans="1:9" x14ac:dyDescent="0.2">
      <c r="A6149" t="s">
        <v>1202</v>
      </c>
      <c r="B6149" t="s">
        <v>1268</v>
      </c>
      <c r="C6149" t="str">
        <f t="shared" si="297"/>
        <v>36739570000000</v>
      </c>
      <c r="D6149" t="s">
        <v>7394</v>
      </c>
      <c r="E6149" t="str">
        <f>"36739570110718"</f>
        <v>36739570110718</v>
      </c>
      <c r="F6149" s="8">
        <v>1041</v>
      </c>
      <c r="G6149" s="8">
        <v>8448</v>
      </c>
      <c r="H6149" s="8">
        <v>567</v>
      </c>
      <c r="I6149" s="8">
        <v>2569</v>
      </c>
    </row>
    <row r="6150" spans="1:9" x14ac:dyDescent="0.2">
      <c r="A6150" t="s">
        <v>1202</v>
      </c>
      <c r="B6150" t="s">
        <v>1268</v>
      </c>
      <c r="C6150" t="str">
        <f t="shared" si="297"/>
        <v>36739570000000</v>
      </c>
      <c r="D6150" t="s">
        <v>7395</v>
      </c>
      <c r="E6150" t="str">
        <f>"36739576106116"</f>
        <v>36739576106116</v>
      </c>
      <c r="F6150" s="8">
        <v>969</v>
      </c>
      <c r="G6150" s="8">
        <v>8399</v>
      </c>
      <c r="H6150" s="8">
        <v>567</v>
      </c>
      <c r="I6150" s="8">
        <v>2569</v>
      </c>
    </row>
    <row r="6151" spans="1:9" x14ac:dyDescent="0.2">
      <c r="A6151" t="s">
        <v>1202</v>
      </c>
      <c r="B6151" t="s">
        <v>1268</v>
      </c>
      <c r="C6151" t="str">
        <f t="shared" si="297"/>
        <v>36739570000000</v>
      </c>
      <c r="D6151" t="s">
        <v>7396</v>
      </c>
      <c r="E6151" t="str">
        <f>"36739573630233"</f>
        <v>36739573630233</v>
      </c>
      <c r="F6151" s="8">
        <v>725</v>
      </c>
      <c r="G6151" s="8">
        <v>8536</v>
      </c>
      <c r="H6151" s="8">
        <v>567</v>
      </c>
      <c r="I6151" s="8">
        <v>2569</v>
      </c>
    </row>
    <row r="6152" spans="1:9" x14ac:dyDescent="0.2">
      <c r="A6152" t="s">
        <v>1202</v>
      </c>
      <c r="B6152" t="s">
        <v>1268</v>
      </c>
      <c r="C6152" t="str">
        <f t="shared" si="297"/>
        <v>36739570000000</v>
      </c>
      <c r="D6152" t="s">
        <v>7397</v>
      </c>
      <c r="E6152" t="str">
        <f>"36739576106710"</f>
        <v>36739576106710</v>
      </c>
      <c r="F6152" s="8">
        <v>992</v>
      </c>
      <c r="G6152" s="8">
        <v>8198</v>
      </c>
      <c r="H6152" s="8">
        <v>567</v>
      </c>
      <c r="I6152" s="8">
        <v>2569</v>
      </c>
    </row>
    <row r="6153" spans="1:9" x14ac:dyDescent="0.2">
      <c r="A6153" t="s">
        <v>1202</v>
      </c>
      <c r="B6153" t="s">
        <v>1268</v>
      </c>
      <c r="C6153" t="str">
        <f t="shared" si="297"/>
        <v>36739570000000</v>
      </c>
      <c r="D6153" t="s">
        <v>7398</v>
      </c>
      <c r="E6153" t="str">
        <f>"36739576112932"</f>
        <v>36739576112932</v>
      </c>
      <c r="F6153" s="8">
        <v>771</v>
      </c>
      <c r="G6153" s="8">
        <v>7704</v>
      </c>
      <c r="H6153" s="8">
        <v>567</v>
      </c>
      <c r="I6153" s="8">
        <v>2569</v>
      </c>
    </row>
    <row r="6154" spans="1:9" x14ac:dyDescent="0.2">
      <c r="A6154" t="s">
        <v>1202</v>
      </c>
      <c r="B6154" t="s">
        <v>1268</v>
      </c>
      <c r="C6154" t="str">
        <f t="shared" si="297"/>
        <v>36739570000000</v>
      </c>
      <c r="D6154" t="s">
        <v>7399</v>
      </c>
      <c r="E6154" t="str">
        <f>"36739576112924"</f>
        <v>36739576112924</v>
      </c>
      <c r="F6154" s="8">
        <v>606</v>
      </c>
      <c r="G6154" s="8">
        <v>7759</v>
      </c>
      <c r="H6154" s="8">
        <v>567</v>
      </c>
      <c r="I6154" s="8">
        <v>2569</v>
      </c>
    </row>
    <row r="6155" spans="1:9" x14ac:dyDescent="0.2">
      <c r="A6155" t="s">
        <v>1202</v>
      </c>
      <c r="B6155" t="s">
        <v>1268</v>
      </c>
      <c r="C6155" t="str">
        <f t="shared" si="297"/>
        <v>36739570000000</v>
      </c>
      <c r="D6155" t="s">
        <v>7400</v>
      </c>
      <c r="E6155" t="str">
        <f>"36739573630589"</f>
        <v>36739573630589</v>
      </c>
      <c r="F6155" s="8">
        <v>1128</v>
      </c>
      <c r="G6155" s="8">
        <v>3178</v>
      </c>
      <c r="H6155" s="8">
        <v>567</v>
      </c>
      <c r="I6155" s="8">
        <v>2569</v>
      </c>
    </row>
    <row r="6156" spans="1:9" x14ac:dyDescent="0.2">
      <c r="A6156" t="s">
        <v>1202</v>
      </c>
      <c r="B6156" t="s">
        <v>1273</v>
      </c>
      <c r="C6156" t="str">
        <f>"36678920000000"</f>
        <v>36678920000000</v>
      </c>
      <c r="D6156" t="s">
        <v>7401</v>
      </c>
      <c r="E6156" t="str">
        <f>"36678923636487"</f>
        <v>36678923636487</v>
      </c>
      <c r="F6156" s="8">
        <v>1838</v>
      </c>
      <c r="G6156" s="8">
        <v>13301</v>
      </c>
      <c r="H6156" s="8">
        <v>1717</v>
      </c>
      <c r="I6156" s="8">
        <v>14077</v>
      </c>
    </row>
    <row r="6157" spans="1:9" x14ac:dyDescent="0.2">
      <c r="A6157" t="s">
        <v>1202</v>
      </c>
      <c r="B6157" t="s">
        <v>1273</v>
      </c>
      <c r="C6157" t="str">
        <f>"36678920000000"</f>
        <v>36678920000000</v>
      </c>
      <c r="D6157" t="s">
        <v>7402</v>
      </c>
      <c r="E6157" t="str">
        <f>"36678926037188"</f>
        <v>36678926037188</v>
      </c>
      <c r="F6157" s="8">
        <v>2074</v>
      </c>
      <c r="G6157" s="8">
        <v>9104</v>
      </c>
      <c r="H6157" s="8">
        <v>1652</v>
      </c>
      <c r="I6157" s="8">
        <v>13543</v>
      </c>
    </row>
    <row r="6158" spans="1:9" x14ac:dyDescent="0.2">
      <c r="A6158" t="s">
        <v>1202</v>
      </c>
      <c r="B6158" t="s">
        <v>1274</v>
      </c>
      <c r="C6158" t="str">
        <f t="shared" ref="C6158:C6171" si="298">"36750690000000"</f>
        <v>36750690000000</v>
      </c>
      <c r="D6158" t="s">
        <v>7403</v>
      </c>
      <c r="E6158" t="str">
        <f>"36750693630456"</f>
        <v>36750693630456</v>
      </c>
      <c r="F6158" s="8">
        <v>80</v>
      </c>
      <c r="G6158" s="8">
        <v>16541</v>
      </c>
      <c r="H6158" s="8">
        <v>1795</v>
      </c>
      <c r="I6158" s="8">
        <v>8023</v>
      </c>
    </row>
    <row r="6159" spans="1:9" x14ac:dyDescent="0.2">
      <c r="A6159" t="s">
        <v>1202</v>
      </c>
      <c r="B6159" t="s">
        <v>1274</v>
      </c>
      <c r="C6159" t="str">
        <f t="shared" si="298"/>
        <v>36750690000000</v>
      </c>
      <c r="D6159" t="s">
        <v>7404</v>
      </c>
      <c r="E6159" t="str">
        <f>"36750696037295"</f>
        <v>36750696037295</v>
      </c>
      <c r="F6159" s="8">
        <v>503</v>
      </c>
      <c r="G6159" s="8">
        <v>3228</v>
      </c>
      <c r="H6159" s="8">
        <v>1795</v>
      </c>
      <c r="I6159" s="8">
        <v>8023</v>
      </c>
    </row>
    <row r="6160" spans="1:9" x14ac:dyDescent="0.2">
      <c r="A6160" t="s">
        <v>1202</v>
      </c>
      <c r="B6160" t="s">
        <v>1274</v>
      </c>
      <c r="C6160" t="str">
        <f t="shared" si="298"/>
        <v>36750690000000</v>
      </c>
      <c r="D6160" t="s">
        <v>7405</v>
      </c>
      <c r="E6160" t="str">
        <f>"36750696037287"</f>
        <v>36750696037287</v>
      </c>
      <c r="F6160" s="8">
        <v>586</v>
      </c>
      <c r="G6160" s="8">
        <v>2789</v>
      </c>
      <c r="H6160" s="8">
        <v>1795</v>
      </c>
      <c r="I6160" s="8">
        <v>8023</v>
      </c>
    </row>
    <row r="6161" spans="1:9" x14ac:dyDescent="0.2">
      <c r="A6161" t="s">
        <v>1202</v>
      </c>
      <c r="B6161" t="s">
        <v>1274</v>
      </c>
      <c r="C6161" t="str">
        <f t="shared" si="298"/>
        <v>36750690000000</v>
      </c>
      <c r="D6161" t="s">
        <v>7406</v>
      </c>
      <c r="E6161" t="str">
        <f>"36750696037204"</f>
        <v>36750696037204</v>
      </c>
      <c r="F6161" s="8">
        <v>633</v>
      </c>
      <c r="G6161" s="8">
        <v>2675</v>
      </c>
      <c r="H6161" s="8">
        <v>1795</v>
      </c>
      <c r="I6161" s="8">
        <v>8023</v>
      </c>
    </row>
    <row r="6162" spans="1:9" x14ac:dyDescent="0.2">
      <c r="A6162" t="s">
        <v>1202</v>
      </c>
      <c r="B6162" t="s">
        <v>1274</v>
      </c>
      <c r="C6162" t="str">
        <f t="shared" si="298"/>
        <v>36750690000000</v>
      </c>
      <c r="D6162" t="s">
        <v>7407</v>
      </c>
      <c r="E6162" t="str">
        <f>"36750693637584"</f>
        <v>36750693637584</v>
      </c>
      <c r="F6162" s="8">
        <v>14</v>
      </c>
      <c r="G6162" s="8">
        <v>3186</v>
      </c>
      <c r="H6162" s="8">
        <v>1795</v>
      </c>
      <c r="I6162" s="8">
        <v>8023</v>
      </c>
    </row>
    <row r="6163" spans="1:9" x14ac:dyDescent="0.2">
      <c r="A6163" t="s">
        <v>1202</v>
      </c>
      <c r="B6163" t="s">
        <v>1274</v>
      </c>
      <c r="C6163" t="str">
        <f t="shared" si="298"/>
        <v>36750690000000</v>
      </c>
      <c r="D6163" t="s">
        <v>2136</v>
      </c>
      <c r="E6163" t="str">
        <f>"36750696037212"</f>
        <v>36750696037212</v>
      </c>
      <c r="F6163" s="8">
        <v>655</v>
      </c>
      <c r="G6163" s="8">
        <v>2486</v>
      </c>
      <c r="H6163" s="8">
        <v>1795</v>
      </c>
      <c r="I6163" s="8">
        <v>8023</v>
      </c>
    </row>
    <row r="6164" spans="1:9" x14ac:dyDescent="0.2">
      <c r="A6164" t="s">
        <v>1202</v>
      </c>
      <c r="B6164" t="s">
        <v>1274</v>
      </c>
      <c r="C6164" t="str">
        <f t="shared" si="298"/>
        <v>36750690000000</v>
      </c>
      <c r="D6164" t="s">
        <v>7175</v>
      </c>
      <c r="E6164" t="str">
        <f>"36750696037220"</f>
        <v>36750696037220</v>
      </c>
      <c r="F6164" s="8">
        <v>605</v>
      </c>
      <c r="G6164" s="8">
        <v>2511</v>
      </c>
      <c r="H6164" s="8">
        <v>1795</v>
      </c>
      <c r="I6164" s="8">
        <v>8023</v>
      </c>
    </row>
    <row r="6165" spans="1:9" x14ac:dyDescent="0.2">
      <c r="A6165" t="s">
        <v>1202</v>
      </c>
      <c r="B6165" t="s">
        <v>1274</v>
      </c>
      <c r="C6165" t="str">
        <f t="shared" si="298"/>
        <v>36750690000000</v>
      </c>
      <c r="D6165" t="s">
        <v>2824</v>
      </c>
      <c r="E6165" t="str">
        <f>"36750696037261"</f>
        <v>36750696037261</v>
      </c>
      <c r="F6165" s="8">
        <v>368</v>
      </c>
      <c r="G6165" s="8">
        <v>2715</v>
      </c>
      <c r="H6165" s="8">
        <v>1795</v>
      </c>
      <c r="I6165" s="8">
        <v>8023</v>
      </c>
    </row>
    <row r="6166" spans="1:9" x14ac:dyDescent="0.2">
      <c r="A6166" t="s">
        <v>1202</v>
      </c>
      <c r="B6166" t="s">
        <v>1274</v>
      </c>
      <c r="C6166" t="str">
        <f t="shared" si="298"/>
        <v>36750690000000</v>
      </c>
      <c r="D6166" t="s">
        <v>7408</v>
      </c>
      <c r="E6166" t="str">
        <f>"36750696037253"</f>
        <v>36750696037253</v>
      </c>
      <c r="F6166" s="8">
        <v>0</v>
      </c>
      <c r="G6166" s="8">
        <v>3075</v>
      </c>
      <c r="H6166" s="8">
        <v>1795</v>
      </c>
      <c r="I6166" s="8">
        <v>8023</v>
      </c>
    </row>
    <row r="6167" spans="1:9" x14ac:dyDescent="0.2">
      <c r="A6167" t="s">
        <v>1202</v>
      </c>
      <c r="B6167" t="s">
        <v>1274</v>
      </c>
      <c r="C6167" t="str">
        <f t="shared" si="298"/>
        <v>36750690000000</v>
      </c>
      <c r="D6167" t="s">
        <v>3717</v>
      </c>
      <c r="E6167" t="str">
        <f>"36750696037279"</f>
        <v>36750696037279</v>
      </c>
      <c r="F6167" s="8">
        <v>408</v>
      </c>
      <c r="G6167" s="8">
        <v>2640</v>
      </c>
      <c r="H6167" s="8">
        <v>1795</v>
      </c>
      <c r="I6167" s="8">
        <v>8023</v>
      </c>
    </row>
    <row r="6168" spans="1:9" x14ac:dyDescent="0.2">
      <c r="A6168" t="s">
        <v>1202</v>
      </c>
      <c r="B6168" t="s">
        <v>1274</v>
      </c>
      <c r="C6168" t="str">
        <f t="shared" si="298"/>
        <v>36750690000000</v>
      </c>
      <c r="D6168" t="s">
        <v>7409</v>
      </c>
      <c r="E6168" t="str">
        <f>"36750696037238"</f>
        <v>36750696037238</v>
      </c>
      <c r="F6168" s="8">
        <v>329</v>
      </c>
      <c r="G6168" s="8">
        <v>2165</v>
      </c>
      <c r="H6168" s="8">
        <v>1795</v>
      </c>
      <c r="I6168" s="8">
        <v>8023</v>
      </c>
    </row>
    <row r="6169" spans="1:9" x14ac:dyDescent="0.2">
      <c r="A6169" t="s">
        <v>1202</v>
      </c>
      <c r="B6169" t="s">
        <v>1274</v>
      </c>
      <c r="C6169" t="str">
        <f t="shared" si="298"/>
        <v>36750690000000</v>
      </c>
      <c r="D6169" t="s">
        <v>1025</v>
      </c>
      <c r="E6169" t="str">
        <f>"36750696037246"</f>
        <v>36750696037246</v>
      </c>
      <c r="F6169" s="8">
        <v>0</v>
      </c>
      <c r="G6169" s="8">
        <v>2477</v>
      </c>
      <c r="H6169" s="8">
        <v>1795</v>
      </c>
      <c r="I6169" s="8">
        <v>8023</v>
      </c>
    </row>
    <row r="6170" spans="1:9" x14ac:dyDescent="0.2">
      <c r="A6170" t="s">
        <v>1202</v>
      </c>
      <c r="B6170" t="s">
        <v>1274</v>
      </c>
      <c r="C6170" t="str">
        <f t="shared" si="298"/>
        <v>36750690000000</v>
      </c>
      <c r="D6170" t="s">
        <v>6105</v>
      </c>
      <c r="E6170" t="str">
        <f>"36750696037311"</f>
        <v>36750696037311</v>
      </c>
      <c r="F6170" s="8">
        <v>0</v>
      </c>
      <c r="G6170" s="8">
        <v>2439</v>
      </c>
      <c r="H6170" s="8">
        <v>1795</v>
      </c>
      <c r="I6170" s="8">
        <v>8023</v>
      </c>
    </row>
    <row r="6171" spans="1:9" x14ac:dyDescent="0.2">
      <c r="A6171" t="s">
        <v>1202</v>
      </c>
      <c r="B6171" t="s">
        <v>1274</v>
      </c>
      <c r="C6171" t="str">
        <f t="shared" si="298"/>
        <v>36750690000000</v>
      </c>
      <c r="D6171" t="s">
        <v>7410</v>
      </c>
      <c r="E6171" t="str">
        <f>"36750696109573"</f>
        <v>36750696109573</v>
      </c>
      <c r="F6171" s="8">
        <v>0</v>
      </c>
      <c r="G6171" s="8">
        <v>2377</v>
      </c>
      <c r="H6171" s="8">
        <v>1795</v>
      </c>
      <c r="I6171" s="8">
        <v>8023</v>
      </c>
    </row>
    <row r="6172" spans="1:9" x14ac:dyDescent="0.2">
      <c r="A6172" t="s">
        <v>1202</v>
      </c>
      <c r="B6172" t="s">
        <v>1275</v>
      </c>
      <c r="C6172" t="str">
        <f t="shared" ref="C6172:C6189" si="299">"36679180000000"</f>
        <v>36679180000000</v>
      </c>
      <c r="D6172" t="s">
        <v>7411</v>
      </c>
      <c r="E6172" t="str">
        <f>"36679186037352"</f>
        <v>36679186037352</v>
      </c>
      <c r="F6172" s="8">
        <v>724</v>
      </c>
      <c r="G6172" s="8">
        <v>8396</v>
      </c>
      <c r="H6172" s="8">
        <v>2524</v>
      </c>
      <c r="I6172" s="8">
        <v>2554</v>
      </c>
    </row>
    <row r="6173" spans="1:9" x14ac:dyDescent="0.2">
      <c r="A6173" t="s">
        <v>1202</v>
      </c>
      <c r="B6173" t="s">
        <v>1275</v>
      </c>
      <c r="C6173" t="str">
        <f t="shared" si="299"/>
        <v>36679180000000</v>
      </c>
      <c r="D6173" t="s">
        <v>7412</v>
      </c>
      <c r="E6173" t="str">
        <f>"36679186110522"</f>
        <v>36679186110522</v>
      </c>
      <c r="F6173" s="8">
        <v>771</v>
      </c>
      <c r="G6173" s="8">
        <v>8206</v>
      </c>
      <c r="H6173" s="8">
        <v>2524</v>
      </c>
      <c r="I6173" s="8">
        <v>2554</v>
      </c>
    </row>
    <row r="6174" spans="1:9" x14ac:dyDescent="0.2">
      <c r="A6174" t="s">
        <v>1202</v>
      </c>
      <c r="B6174" t="s">
        <v>1275</v>
      </c>
      <c r="C6174" t="str">
        <f t="shared" si="299"/>
        <v>36679180000000</v>
      </c>
      <c r="D6174" t="s">
        <v>7413</v>
      </c>
      <c r="E6174" t="str">
        <f>"36679186106587"</f>
        <v>36679186106587</v>
      </c>
      <c r="F6174" s="8">
        <v>462</v>
      </c>
      <c r="G6174" s="8">
        <v>8138</v>
      </c>
      <c r="H6174" s="8">
        <v>2523</v>
      </c>
      <c r="I6174" s="8">
        <v>2555</v>
      </c>
    </row>
    <row r="6175" spans="1:9" x14ac:dyDescent="0.2">
      <c r="A6175" t="s">
        <v>1202</v>
      </c>
      <c r="B6175" t="s">
        <v>1275</v>
      </c>
      <c r="C6175" t="str">
        <f t="shared" si="299"/>
        <v>36679180000000</v>
      </c>
      <c r="D6175" t="s">
        <v>7414</v>
      </c>
      <c r="E6175" t="str">
        <f>"36679186109219"</f>
        <v>36679186109219</v>
      </c>
      <c r="F6175" s="8">
        <v>485</v>
      </c>
      <c r="G6175" s="8">
        <v>7986</v>
      </c>
      <c r="H6175" s="8">
        <v>2524</v>
      </c>
      <c r="I6175" s="8">
        <v>2554</v>
      </c>
    </row>
    <row r="6176" spans="1:9" x14ac:dyDescent="0.2">
      <c r="A6176" t="s">
        <v>1202</v>
      </c>
      <c r="B6176" t="s">
        <v>1275</v>
      </c>
      <c r="C6176" t="str">
        <f t="shared" si="299"/>
        <v>36679180000000</v>
      </c>
      <c r="D6176" t="s">
        <v>6984</v>
      </c>
      <c r="E6176" t="str">
        <f>"36679186037386"</f>
        <v>36679186037386</v>
      </c>
      <c r="F6176" s="8">
        <v>695</v>
      </c>
      <c r="G6176" s="8">
        <v>7690</v>
      </c>
      <c r="H6176" s="8">
        <v>2524</v>
      </c>
      <c r="I6176" s="8">
        <v>2554</v>
      </c>
    </row>
    <row r="6177" spans="1:9" x14ac:dyDescent="0.2">
      <c r="A6177" t="s">
        <v>1202</v>
      </c>
      <c r="B6177" t="s">
        <v>1275</v>
      </c>
      <c r="C6177" t="str">
        <f t="shared" si="299"/>
        <v>36679180000000</v>
      </c>
      <c r="D6177" t="s">
        <v>7415</v>
      </c>
      <c r="E6177" t="str">
        <f>"36679186037360"</f>
        <v>36679186037360</v>
      </c>
      <c r="F6177" s="8">
        <v>641</v>
      </c>
      <c r="G6177" s="8">
        <v>7733</v>
      </c>
      <c r="H6177" s="8">
        <v>2523</v>
      </c>
      <c r="I6177" s="8">
        <v>2554</v>
      </c>
    </row>
    <row r="6178" spans="1:9" x14ac:dyDescent="0.2">
      <c r="A6178" t="s">
        <v>1202</v>
      </c>
      <c r="B6178" t="s">
        <v>1275</v>
      </c>
      <c r="C6178" t="str">
        <f t="shared" si="299"/>
        <v>36679180000000</v>
      </c>
      <c r="D6178" t="s">
        <v>2361</v>
      </c>
      <c r="E6178" t="str">
        <f>"36679186037329"</f>
        <v>36679186037329</v>
      </c>
      <c r="F6178" s="8">
        <v>767</v>
      </c>
      <c r="G6178" s="8">
        <v>7543</v>
      </c>
      <c r="H6178" s="8">
        <v>2524</v>
      </c>
      <c r="I6178" s="8">
        <v>2554</v>
      </c>
    </row>
    <row r="6179" spans="1:9" x14ac:dyDescent="0.2">
      <c r="A6179" t="s">
        <v>1202</v>
      </c>
      <c r="B6179" t="s">
        <v>1275</v>
      </c>
      <c r="C6179" t="str">
        <f t="shared" si="299"/>
        <v>36679180000000</v>
      </c>
      <c r="D6179" t="s">
        <v>7416</v>
      </c>
      <c r="E6179" t="str">
        <f>"36679186109227"</f>
        <v>36679186109227</v>
      </c>
      <c r="F6179" s="8">
        <v>804</v>
      </c>
      <c r="G6179" s="8">
        <v>7441</v>
      </c>
      <c r="H6179" s="8">
        <v>2524</v>
      </c>
      <c r="I6179" s="8">
        <v>2554</v>
      </c>
    </row>
    <row r="6180" spans="1:9" x14ac:dyDescent="0.2">
      <c r="A6180" t="s">
        <v>1202</v>
      </c>
      <c r="B6180" t="s">
        <v>1275</v>
      </c>
      <c r="C6180" t="str">
        <f t="shared" si="299"/>
        <v>36679180000000</v>
      </c>
      <c r="D6180" t="s">
        <v>7417</v>
      </c>
      <c r="E6180" t="str">
        <f>"36679180106641"</f>
        <v>36679180106641</v>
      </c>
      <c r="F6180" s="8">
        <v>589</v>
      </c>
      <c r="G6180" s="8">
        <v>7545</v>
      </c>
      <c r="H6180" s="8">
        <v>2523</v>
      </c>
      <c r="I6180" s="8">
        <v>2555</v>
      </c>
    </row>
    <row r="6181" spans="1:9" x14ac:dyDescent="0.2">
      <c r="A6181" t="s">
        <v>1202</v>
      </c>
      <c r="B6181" t="s">
        <v>1275</v>
      </c>
      <c r="C6181" t="str">
        <f t="shared" si="299"/>
        <v>36679180000000</v>
      </c>
      <c r="D6181" t="s">
        <v>7418</v>
      </c>
      <c r="E6181" t="str">
        <f>"36679180113779"</f>
        <v>36679180113779</v>
      </c>
      <c r="F6181" s="8">
        <v>550</v>
      </c>
      <c r="G6181" s="8">
        <v>7522</v>
      </c>
      <c r="H6181" s="8">
        <v>2524</v>
      </c>
      <c r="I6181" s="8">
        <v>2554</v>
      </c>
    </row>
    <row r="6182" spans="1:9" x14ac:dyDescent="0.2">
      <c r="A6182" t="s">
        <v>1202</v>
      </c>
      <c r="B6182" t="s">
        <v>1275</v>
      </c>
      <c r="C6182" t="str">
        <f t="shared" si="299"/>
        <v>36679180000000</v>
      </c>
      <c r="D6182" t="s">
        <v>1811</v>
      </c>
      <c r="E6182" t="str">
        <f>"36679186105860"</f>
        <v>36679186105860</v>
      </c>
      <c r="F6182" s="8">
        <v>561</v>
      </c>
      <c r="G6182" s="8">
        <v>7458</v>
      </c>
      <c r="H6182" s="8">
        <v>2523</v>
      </c>
      <c r="I6182" s="8">
        <v>2555</v>
      </c>
    </row>
    <row r="6183" spans="1:9" x14ac:dyDescent="0.2">
      <c r="A6183" t="s">
        <v>1202</v>
      </c>
      <c r="B6183" t="s">
        <v>1275</v>
      </c>
      <c r="C6183" t="str">
        <f t="shared" si="299"/>
        <v>36679180000000</v>
      </c>
      <c r="D6183" t="s">
        <v>7419</v>
      </c>
      <c r="E6183" t="str">
        <f>"36679180108449"</f>
        <v>36679180108449</v>
      </c>
      <c r="F6183" s="8">
        <v>408</v>
      </c>
      <c r="G6183" s="8">
        <v>7526</v>
      </c>
      <c r="H6183" s="8">
        <v>2524</v>
      </c>
      <c r="I6183" s="8">
        <v>2554</v>
      </c>
    </row>
    <row r="6184" spans="1:9" x14ac:dyDescent="0.2">
      <c r="A6184" t="s">
        <v>1202</v>
      </c>
      <c r="B6184" t="s">
        <v>1275</v>
      </c>
      <c r="C6184" t="str">
        <f t="shared" si="299"/>
        <v>36679180000000</v>
      </c>
      <c r="D6184" t="s">
        <v>2520</v>
      </c>
      <c r="E6184" t="str">
        <f>"36679186113757"</f>
        <v>36679186113757</v>
      </c>
      <c r="F6184" s="8">
        <v>793</v>
      </c>
      <c r="G6184" s="8">
        <v>7093</v>
      </c>
      <c r="H6184" s="8">
        <v>2524</v>
      </c>
      <c r="I6184" s="8">
        <v>2554</v>
      </c>
    </row>
    <row r="6185" spans="1:9" x14ac:dyDescent="0.2">
      <c r="A6185" t="s">
        <v>1202</v>
      </c>
      <c r="B6185" t="s">
        <v>1275</v>
      </c>
      <c r="C6185" t="str">
        <f t="shared" si="299"/>
        <v>36679180000000</v>
      </c>
      <c r="D6185" t="s">
        <v>7420</v>
      </c>
      <c r="E6185" t="str">
        <f>"36679180108431"</f>
        <v>36679180108431</v>
      </c>
      <c r="F6185" s="8">
        <v>599</v>
      </c>
      <c r="G6185" s="8">
        <v>7200</v>
      </c>
      <c r="H6185" s="8">
        <v>2524</v>
      </c>
      <c r="I6185" s="8">
        <v>2554</v>
      </c>
    </row>
    <row r="6186" spans="1:9" x14ac:dyDescent="0.2">
      <c r="A6186" t="s">
        <v>1202</v>
      </c>
      <c r="B6186" t="s">
        <v>1275</v>
      </c>
      <c r="C6186" t="str">
        <f t="shared" si="299"/>
        <v>36679180000000</v>
      </c>
      <c r="D6186" t="s">
        <v>7421</v>
      </c>
      <c r="E6186" t="str">
        <f>"36679186117766"</f>
        <v>36679186117766</v>
      </c>
      <c r="F6186" s="8">
        <v>387</v>
      </c>
      <c r="G6186" s="8">
        <v>7144</v>
      </c>
      <c r="H6186" s="8">
        <v>2523</v>
      </c>
      <c r="I6186" s="8">
        <v>2555</v>
      </c>
    </row>
    <row r="6187" spans="1:9" x14ac:dyDescent="0.2">
      <c r="A6187" t="s">
        <v>1202</v>
      </c>
      <c r="B6187" t="s">
        <v>1275</v>
      </c>
      <c r="C6187" t="str">
        <f t="shared" si="299"/>
        <v>36679180000000</v>
      </c>
      <c r="D6187" t="s">
        <v>7422</v>
      </c>
      <c r="E6187" t="str">
        <f>"36679180138875"</f>
        <v>36679180138875</v>
      </c>
      <c r="F6187" s="8">
        <v>539</v>
      </c>
      <c r="G6187" s="8">
        <v>6652</v>
      </c>
      <c r="H6187" s="8">
        <v>2524</v>
      </c>
      <c r="I6187" s="8">
        <v>2554</v>
      </c>
    </row>
    <row r="6188" spans="1:9" x14ac:dyDescent="0.2">
      <c r="A6188" t="s">
        <v>1202</v>
      </c>
      <c r="B6188" t="s">
        <v>1275</v>
      </c>
      <c r="C6188" t="str">
        <f t="shared" si="299"/>
        <v>36679180000000</v>
      </c>
      <c r="D6188" t="s">
        <v>7423</v>
      </c>
      <c r="E6188" t="str">
        <f>"36679186101927"</f>
        <v>36679186101927</v>
      </c>
      <c r="F6188" s="8">
        <v>2025</v>
      </c>
      <c r="G6188" s="8">
        <v>8625</v>
      </c>
      <c r="H6188" s="8">
        <v>855</v>
      </c>
      <c r="I6188" s="8">
        <v>125</v>
      </c>
    </row>
    <row r="6189" spans="1:9" x14ac:dyDescent="0.2">
      <c r="A6189" t="s">
        <v>1202</v>
      </c>
      <c r="B6189" t="s">
        <v>1275</v>
      </c>
      <c r="C6189" t="str">
        <f t="shared" si="299"/>
        <v>36679180000000</v>
      </c>
      <c r="D6189" t="s">
        <v>7424</v>
      </c>
      <c r="E6189" t="str">
        <f>"36679186118350"</f>
        <v>36679186118350</v>
      </c>
      <c r="F6189" s="8">
        <v>963</v>
      </c>
      <c r="G6189" s="8">
        <v>8791</v>
      </c>
      <c r="H6189" s="8">
        <v>855</v>
      </c>
      <c r="I6189" s="8">
        <v>125</v>
      </c>
    </row>
    <row r="6190" spans="1:9" x14ac:dyDescent="0.2">
      <c r="A6190" t="s">
        <v>1202</v>
      </c>
      <c r="B6190" t="s">
        <v>1276</v>
      </c>
      <c r="C6190" t="str">
        <f t="shared" ref="C6190:C6199" si="300">"36679340000000"</f>
        <v>36679340000000</v>
      </c>
      <c r="D6190" t="s">
        <v>7425</v>
      </c>
      <c r="E6190" t="str">
        <f>"36679340138123"</f>
        <v>36679340138123</v>
      </c>
      <c r="F6190" s="8">
        <v>893</v>
      </c>
      <c r="G6190" s="8">
        <v>9687</v>
      </c>
      <c r="H6190" s="8">
        <v>0</v>
      </c>
      <c r="I6190" s="8">
        <v>0</v>
      </c>
    </row>
    <row r="6191" spans="1:9" x14ac:dyDescent="0.2">
      <c r="A6191" t="s">
        <v>1202</v>
      </c>
      <c r="B6191" t="s">
        <v>1276</v>
      </c>
      <c r="C6191" t="str">
        <f t="shared" si="300"/>
        <v>36679340000000</v>
      </c>
      <c r="D6191" t="s">
        <v>7426</v>
      </c>
      <c r="E6191" t="str">
        <f>"36679343630100"</f>
        <v>36679343630100</v>
      </c>
      <c r="F6191" s="8">
        <v>893</v>
      </c>
      <c r="G6191" s="8">
        <v>9686</v>
      </c>
      <c r="H6191" s="8">
        <v>0</v>
      </c>
      <c r="I6191" s="8">
        <v>0</v>
      </c>
    </row>
    <row r="6192" spans="1:9" x14ac:dyDescent="0.2">
      <c r="A6192" t="s">
        <v>1202</v>
      </c>
      <c r="B6192" t="s">
        <v>1276</v>
      </c>
      <c r="C6192" t="str">
        <f t="shared" si="300"/>
        <v>36679340000000</v>
      </c>
      <c r="D6192" t="s">
        <v>6095</v>
      </c>
      <c r="E6192" t="str">
        <f>"36679343630787"</f>
        <v>36679343630787</v>
      </c>
      <c r="F6192" s="8">
        <v>1054</v>
      </c>
      <c r="G6192" s="8">
        <v>7781</v>
      </c>
      <c r="H6192" s="8">
        <v>0</v>
      </c>
      <c r="I6192" s="8">
        <v>0</v>
      </c>
    </row>
    <row r="6193" spans="1:9" x14ac:dyDescent="0.2">
      <c r="A6193" t="s">
        <v>1202</v>
      </c>
      <c r="B6193" t="s">
        <v>1276</v>
      </c>
      <c r="C6193" t="str">
        <f t="shared" si="300"/>
        <v>36679340000000</v>
      </c>
      <c r="D6193" t="s">
        <v>7427</v>
      </c>
      <c r="E6193" t="str">
        <f>"36679340125419"</f>
        <v>36679340125419</v>
      </c>
      <c r="F6193" s="8">
        <v>1450</v>
      </c>
      <c r="G6193" s="8">
        <v>7207</v>
      </c>
      <c r="H6193" s="8">
        <v>0</v>
      </c>
      <c r="I6193" s="8">
        <v>0</v>
      </c>
    </row>
    <row r="6194" spans="1:9" x14ac:dyDescent="0.2">
      <c r="A6194" t="s">
        <v>1202</v>
      </c>
      <c r="B6194" t="s">
        <v>1276</v>
      </c>
      <c r="C6194" t="str">
        <f t="shared" si="300"/>
        <v>36679340000000</v>
      </c>
      <c r="D6194" t="s">
        <v>7428</v>
      </c>
      <c r="E6194" t="str">
        <f>"36679346059554"</f>
        <v>36679346059554</v>
      </c>
      <c r="F6194" s="8">
        <v>1082</v>
      </c>
      <c r="G6194" s="8">
        <v>7569</v>
      </c>
      <c r="H6194" s="8">
        <v>0</v>
      </c>
      <c r="I6194" s="8">
        <v>0</v>
      </c>
    </row>
    <row r="6195" spans="1:9" x14ac:dyDescent="0.2">
      <c r="A6195" t="s">
        <v>1202</v>
      </c>
      <c r="B6195" t="s">
        <v>1276</v>
      </c>
      <c r="C6195" t="str">
        <f t="shared" si="300"/>
        <v>36679340000000</v>
      </c>
      <c r="D6195" t="s">
        <v>7429</v>
      </c>
      <c r="E6195" t="str">
        <f>"36679343638012"</f>
        <v>36679343638012</v>
      </c>
      <c r="F6195" s="8">
        <v>1178</v>
      </c>
      <c r="G6195" s="8">
        <v>7206</v>
      </c>
      <c r="H6195" s="8">
        <v>0</v>
      </c>
      <c r="I6195" s="8">
        <v>0</v>
      </c>
    </row>
    <row r="6196" spans="1:9" x14ac:dyDescent="0.2">
      <c r="A6196" t="s">
        <v>1202</v>
      </c>
      <c r="B6196" t="s">
        <v>1276</v>
      </c>
      <c r="C6196" t="str">
        <f t="shared" si="300"/>
        <v>36679340000000</v>
      </c>
      <c r="D6196" t="s">
        <v>7430</v>
      </c>
      <c r="E6196" t="str">
        <f>"36679340137638"</f>
        <v>36679340137638</v>
      </c>
      <c r="F6196" s="8">
        <v>1132</v>
      </c>
      <c r="G6196" s="8">
        <v>6734</v>
      </c>
      <c r="H6196" s="8">
        <v>0</v>
      </c>
      <c r="I6196" s="8">
        <v>0</v>
      </c>
    </row>
    <row r="6197" spans="1:9" x14ac:dyDescent="0.2">
      <c r="A6197" t="s">
        <v>1202</v>
      </c>
      <c r="B6197" t="s">
        <v>1276</v>
      </c>
      <c r="C6197" t="str">
        <f t="shared" si="300"/>
        <v>36679340000000</v>
      </c>
      <c r="D6197" t="s">
        <v>7431</v>
      </c>
      <c r="E6197" t="str">
        <f>"36679346114698"</f>
        <v>36679346114698</v>
      </c>
      <c r="F6197" s="8">
        <v>893</v>
      </c>
      <c r="G6197" s="8">
        <v>6610</v>
      </c>
      <c r="H6197" s="8">
        <v>0</v>
      </c>
      <c r="I6197" s="8">
        <v>0</v>
      </c>
    </row>
    <row r="6198" spans="1:9" x14ac:dyDescent="0.2">
      <c r="A6198" t="s">
        <v>1202</v>
      </c>
      <c r="B6198" t="s">
        <v>1276</v>
      </c>
      <c r="C6198" t="str">
        <f t="shared" si="300"/>
        <v>36679340000000</v>
      </c>
      <c r="D6198" t="s">
        <v>1739</v>
      </c>
      <c r="E6198" t="str">
        <f>"36679340110064"</f>
        <v>36679340110064</v>
      </c>
      <c r="F6198" s="8">
        <v>836</v>
      </c>
      <c r="G6198" s="8">
        <v>6312</v>
      </c>
      <c r="H6198" s="8">
        <v>0</v>
      </c>
      <c r="I6198" s="8">
        <v>0</v>
      </c>
    </row>
    <row r="6199" spans="1:9" x14ac:dyDescent="0.2">
      <c r="A6199" t="s">
        <v>1202</v>
      </c>
      <c r="B6199" t="s">
        <v>1276</v>
      </c>
      <c r="C6199" t="str">
        <f t="shared" si="300"/>
        <v>36679340000000</v>
      </c>
      <c r="D6199" t="s">
        <v>7432</v>
      </c>
      <c r="E6199" t="str">
        <f>"36679340140202"</f>
        <v>36679340140202</v>
      </c>
      <c r="F6199" s="8">
        <v>200</v>
      </c>
      <c r="G6199" s="8">
        <v>1775</v>
      </c>
      <c r="H6199" s="8">
        <v>0</v>
      </c>
      <c r="I6199" s="8">
        <v>0</v>
      </c>
    </row>
    <row r="6200" spans="1:9" x14ac:dyDescent="0.2">
      <c r="A6200" t="s">
        <v>1202</v>
      </c>
      <c r="B6200" t="s">
        <v>1280</v>
      </c>
      <c r="C6200" t="str">
        <f t="shared" ref="C6200:C6212" si="301">"36679590000000"</f>
        <v>36679590000000</v>
      </c>
      <c r="D6200" t="s">
        <v>7433</v>
      </c>
      <c r="E6200" t="str">
        <f>"36679590101410"</f>
        <v>36679590101410</v>
      </c>
      <c r="F6200" s="8">
        <v>837</v>
      </c>
      <c r="G6200" s="8">
        <v>17033</v>
      </c>
      <c r="H6200" s="8">
        <v>1538</v>
      </c>
      <c r="I6200" s="8">
        <v>3572</v>
      </c>
    </row>
    <row r="6201" spans="1:9" x14ac:dyDescent="0.2">
      <c r="A6201" t="s">
        <v>1202</v>
      </c>
      <c r="B6201" t="s">
        <v>1280</v>
      </c>
      <c r="C6201" t="str">
        <f t="shared" si="301"/>
        <v>36679590000000</v>
      </c>
      <c r="D6201" t="s">
        <v>7434</v>
      </c>
      <c r="E6201" t="str">
        <f>"36679593633351"</f>
        <v>36679593633351</v>
      </c>
      <c r="F6201" s="8">
        <v>1061</v>
      </c>
      <c r="G6201" s="8">
        <v>11092</v>
      </c>
      <c r="H6201" s="8">
        <v>1538</v>
      </c>
      <c r="I6201" s="8">
        <v>3572</v>
      </c>
    </row>
    <row r="6202" spans="1:9" x14ac:dyDescent="0.2">
      <c r="A6202" t="s">
        <v>1202</v>
      </c>
      <c r="B6202" t="s">
        <v>1280</v>
      </c>
      <c r="C6202" t="str">
        <f t="shared" si="301"/>
        <v>36679590000000</v>
      </c>
      <c r="D6202" t="s">
        <v>7435</v>
      </c>
      <c r="E6202" t="str">
        <f>"36679590124032"</f>
        <v>36679590124032</v>
      </c>
      <c r="F6202" s="8">
        <v>268</v>
      </c>
      <c r="G6202" s="8">
        <v>8676</v>
      </c>
      <c r="H6202" s="8">
        <v>1538</v>
      </c>
      <c r="I6202" s="8">
        <v>3572</v>
      </c>
    </row>
    <row r="6203" spans="1:9" x14ac:dyDescent="0.2">
      <c r="A6203" t="s">
        <v>1202</v>
      </c>
      <c r="B6203" t="s">
        <v>1280</v>
      </c>
      <c r="C6203" t="str">
        <f t="shared" si="301"/>
        <v>36679590000000</v>
      </c>
      <c r="D6203" t="s">
        <v>6026</v>
      </c>
      <c r="E6203" t="str">
        <f>"36679590119164"</f>
        <v>36679590119164</v>
      </c>
      <c r="F6203" s="8">
        <v>698</v>
      </c>
      <c r="G6203" s="8">
        <v>8069</v>
      </c>
      <c r="H6203" s="8">
        <v>1538</v>
      </c>
      <c r="I6203" s="8">
        <v>3572</v>
      </c>
    </row>
    <row r="6204" spans="1:9" x14ac:dyDescent="0.2">
      <c r="A6204" t="s">
        <v>1202</v>
      </c>
      <c r="B6204" t="s">
        <v>1280</v>
      </c>
      <c r="C6204" t="str">
        <f t="shared" si="301"/>
        <v>36679590000000</v>
      </c>
      <c r="D6204" t="s">
        <v>2985</v>
      </c>
      <c r="E6204" t="str">
        <f>"36679596037410"</f>
        <v>36679596037410</v>
      </c>
      <c r="F6204" s="8">
        <v>685</v>
      </c>
      <c r="G6204" s="8">
        <v>7620</v>
      </c>
      <c r="H6204" s="8">
        <v>1538</v>
      </c>
      <c r="I6204" s="8">
        <v>3572</v>
      </c>
    </row>
    <row r="6205" spans="1:9" x14ac:dyDescent="0.2">
      <c r="A6205" t="s">
        <v>1202</v>
      </c>
      <c r="B6205" t="s">
        <v>1280</v>
      </c>
      <c r="C6205" t="str">
        <f t="shared" si="301"/>
        <v>36679590000000</v>
      </c>
      <c r="D6205" t="s">
        <v>7436</v>
      </c>
      <c r="E6205" t="str">
        <f>"36679596037428"</f>
        <v>36679596037428</v>
      </c>
      <c r="F6205" s="8">
        <v>733</v>
      </c>
      <c r="G6205" s="8">
        <v>6714</v>
      </c>
      <c r="H6205" s="8">
        <v>1538</v>
      </c>
      <c r="I6205" s="8">
        <v>3572</v>
      </c>
    </row>
    <row r="6206" spans="1:9" x14ac:dyDescent="0.2">
      <c r="A6206" t="s">
        <v>1202</v>
      </c>
      <c r="B6206" t="s">
        <v>1280</v>
      </c>
      <c r="C6206" t="str">
        <f t="shared" si="301"/>
        <v>36679590000000</v>
      </c>
      <c r="D6206" t="s">
        <v>2323</v>
      </c>
      <c r="E6206" t="str">
        <f>"36679596114177"</f>
        <v>36679596114177</v>
      </c>
      <c r="F6206" s="8">
        <v>257</v>
      </c>
      <c r="G6206" s="8">
        <v>6676</v>
      </c>
      <c r="H6206" s="8">
        <v>1538</v>
      </c>
      <c r="I6206" s="8">
        <v>3572</v>
      </c>
    </row>
    <row r="6207" spans="1:9" x14ac:dyDescent="0.2">
      <c r="A6207" t="s">
        <v>1202</v>
      </c>
      <c r="B6207" t="s">
        <v>1280</v>
      </c>
      <c r="C6207" t="str">
        <f t="shared" si="301"/>
        <v>36679590000000</v>
      </c>
      <c r="D6207" t="s">
        <v>7437</v>
      </c>
      <c r="E6207" t="str">
        <f>"36679596110357"</f>
        <v>36679596110357</v>
      </c>
      <c r="F6207" s="8">
        <v>375</v>
      </c>
      <c r="G6207" s="8">
        <v>6526</v>
      </c>
      <c r="H6207" s="8">
        <v>1538</v>
      </c>
      <c r="I6207" s="8">
        <v>3572</v>
      </c>
    </row>
    <row r="6208" spans="1:9" x14ac:dyDescent="0.2">
      <c r="A6208" t="s">
        <v>1202</v>
      </c>
      <c r="B6208" t="s">
        <v>1280</v>
      </c>
      <c r="C6208" t="str">
        <f t="shared" si="301"/>
        <v>36679590000000</v>
      </c>
      <c r="D6208" t="s">
        <v>7438</v>
      </c>
      <c r="E6208" t="str">
        <f>"36679590117416"</f>
        <v>36679590117416</v>
      </c>
      <c r="F6208" s="8">
        <v>307</v>
      </c>
      <c r="G6208" s="8">
        <v>6487</v>
      </c>
      <c r="H6208" s="8">
        <v>1538</v>
      </c>
      <c r="I6208" s="8">
        <v>3572</v>
      </c>
    </row>
    <row r="6209" spans="1:9" x14ac:dyDescent="0.2">
      <c r="A6209" t="s">
        <v>1202</v>
      </c>
      <c r="B6209" t="s">
        <v>1280</v>
      </c>
      <c r="C6209" t="str">
        <f t="shared" si="301"/>
        <v>36679590000000</v>
      </c>
      <c r="D6209" t="s">
        <v>7439</v>
      </c>
      <c r="E6209" t="str">
        <f>"36679593638509"</f>
        <v>36679593638509</v>
      </c>
      <c r="F6209" s="8">
        <v>357</v>
      </c>
      <c r="G6209" s="8">
        <v>6328</v>
      </c>
      <c r="H6209" s="8">
        <v>1538</v>
      </c>
      <c r="I6209" s="8">
        <v>3572</v>
      </c>
    </row>
    <row r="6210" spans="1:9" x14ac:dyDescent="0.2">
      <c r="A6210" t="s">
        <v>1202</v>
      </c>
      <c r="B6210" t="s">
        <v>1280</v>
      </c>
      <c r="C6210" t="str">
        <f t="shared" si="301"/>
        <v>36679590000000</v>
      </c>
      <c r="D6210" t="s">
        <v>6215</v>
      </c>
      <c r="E6210" t="str">
        <f>"36679596108880"</f>
        <v>36679596108880</v>
      </c>
      <c r="F6210" s="8">
        <v>319</v>
      </c>
      <c r="G6210" s="8">
        <v>6336</v>
      </c>
      <c r="H6210" s="8">
        <v>1538</v>
      </c>
      <c r="I6210" s="8">
        <v>3572</v>
      </c>
    </row>
    <row r="6211" spans="1:9" x14ac:dyDescent="0.2">
      <c r="A6211" t="s">
        <v>1202</v>
      </c>
      <c r="B6211" t="s">
        <v>1280</v>
      </c>
      <c r="C6211" t="str">
        <f t="shared" si="301"/>
        <v>36679590000000</v>
      </c>
      <c r="D6211" t="s">
        <v>7440</v>
      </c>
      <c r="E6211" t="str">
        <f>"36679596037402"</f>
        <v>36679596037402</v>
      </c>
      <c r="F6211" s="8">
        <v>533</v>
      </c>
      <c r="G6211" s="8">
        <v>5963</v>
      </c>
      <c r="H6211" s="8">
        <v>1538</v>
      </c>
      <c r="I6211" s="8">
        <v>3572</v>
      </c>
    </row>
    <row r="6212" spans="1:9" x14ac:dyDescent="0.2">
      <c r="A6212" t="s">
        <v>1202</v>
      </c>
      <c r="B6212" t="s">
        <v>1280</v>
      </c>
      <c r="C6212" t="str">
        <f t="shared" si="301"/>
        <v>36679590000000</v>
      </c>
      <c r="D6212" t="s">
        <v>7441</v>
      </c>
      <c r="E6212" t="str">
        <f>"36679590101816"</f>
        <v>36679590101816</v>
      </c>
      <c r="F6212" s="8">
        <v>0</v>
      </c>
      <c r="G6212" s="8">
        <v>2519</v>
      </c>
      <c r="H6212" s="8">
        <v>1538</v>
      </c>
      <c r="I6212" s="8">
        <v>3572</v>
      </c>
    </row>
    <row r="6213" spans="1:9" x14ac:dyDescent="0.2">
      <c r="A6213" t="s">
        <v>1281</v>
      </c>
      <c r="B6213" t="s">
        <v>1286</v>
      </c>
      <c r="C6213" t="str">
        <f>"37679670000000"</f>
        <v>37679670000000</v>
      </c>
      <c r="D6213" t="s">
        <v>7442</v>
      </c>
      <c r="E6213" t="str">
        <f>"37679676118723"</f>
        <v>37679676118723</v>
      </c>
      <c r="F6213" s="8">
        <v>1827</v>
      </c>
      <c r="G6213" s="8">
        <v>11690</v>
      </c>
      <c r="H6213" s="8">
        <v>216</v>
      </c>
      <c r="I6213" s="8">
        <v>1548</v>
      </c>
    </row>
    <row r="6214" spans="1:9" x14ac:dyDescent="0.2">
      <c r="A6214" t="s">
        <v>1281</v>
      </c>
      <c r="B6214" t="s">
        <v>1286</v>
      </c>
      <c r="C6214" t="str">
        <f>"37679670000000"</f>
        <v>37679670000000</v>
      </c>
      <c r="D6214" t="s">
        <v>7443</v>
      </c>
      <c r="E6214" t="str">
        <f>"37679676037535"</f>
        <v>37679676037535</v>
      </c>
      <c r="F6214" s="8">
        <v>1495</v>
      </c>
      <c r="G6214" s="8">
        <v>9767</v>
      </c>
      <c r="H6214" s="8">
        <v>216</v>
      </c>
      <c r="I6214" s="8">
        <v>1548</v>
      </c>
    </row>
    <row r="6215" spans="1:9" x14ac:dyDescent="0.2">
      <c r="A6215" t="s">
        <v>1281</v>
      </c>
      <c r="B6215" t="s">
        <v>1286</v>
      </c>
      <c r="C6215" t="str">
        <f>"37679670000000"</f>
        <v>37679670000000</v>
      </c>
      <c r="D6215" t="s">
        <v>7189</v>
      </c>
      <c r="E6215" t="str">
        <f>"37679676106256"</f>
        <v>37679676106256</v>
      </c>
      <c r="F6215" s="8">
        <v>1126</v>
      </c>
      <c r="G6215" s="8">
        <v>8385</v>
      </c>
      <c r="H6215" s="8">
        <v>216</v>
      </c>
      <c r="I6215" s="8">
        <v>1548</v>
      </c>
    </row>
    <row r="6216" spans="1:9" x14ac:dyDescent="0.2">
      <c r="A6216" t="s">
        <v>1281</v>
      </c>
      <c r="B6216" t="s">
        <v>1286</v>
      </c>
      <c r="C6216" t="str">
        <f>"37679670000000"</f>
        <v>37679670000000</v>
      </c>
      <c r="D6216" t="s">
        <v>7444</v>
      </c>
      <c r="E6216" t="str">
        <f>"37679676109086"</f>
        <v>37679676109086</v>
      </c>
      <c r="F6216" s="8">
        <v>1574</v>
      </c>
      <c r="G6216" s="8">
        <v>7087</v>
      </c>
      <c r="H6216" s="8">
        <v>216</v>
      </c>
      <c r="I6216" s="8">
        <v>1548</v>
      </c>
    </row>
    <row r="6217" spans="1:9" x14ac:dyDescent="0.2">
      <c r="A6217" t="s">
        <v>1281</v>
      </c>
      <c r="B6217" t="s">
        <v>1286</v>
      </c>
      <c r="C6217" t="str">
        <f>"37679670000000"</f>
        <v>37679670000000</v>
      </c>
      <c r="D6217" t="s">
        <v>7445</v>
      </c>
      <c r="E6217" t="str">
        <f>"37679676109953"</f>
        <v>37679676109953</v>
      </c>
      <c r="F6217" s="8">
        <v>1113</v>
      </c>
      <c r="G6217" s="8">
        <v>4083</v>
      </c>
      <c r="H6217" s="8">
        <v>216</v>
      </c>
      <c r="I6217" s="8">
        <v>1548</v>
      </c>
    </row>
    <row r="6218" spans="1:9" x14ac:dyDescent="0.2">
      <c r="A6218" t="s">
        <v>1281</v>
      </c>
      <c r="B6218" t="s">
        <v>1295</v>
      </c>
      <c r="C6218" t="str">
        <f>"37768510000000"</f>
        <v>37768510000000</v>
      </c>
      <c r="D6218" t="s">
        <v>7446</v>
      </c>
      <c r="E6218" t="str">
        <f>"37768516113468"</f>
        <v>37768516113468</v>
      </c>
      <c r="F6218" s="8">
        <v>1930</v>
      </c>
      <c r="G6218" s="8">
        <v>12692</v>
      </c>
      <c r="H6218" s="8">
        <v>3437</v>
      </c>
      <c r="I6218" s="8">
        <v>2944</v>
      </c>
    </row>
    <row r="6219" spans="1:9" x14ac:dyDescent="0.2">
      <c r="A6219" t="s">
        <v>1281</v>
      </c>
      <c r="B6219" t="s">
        <v>1295</v>
      </c>
      <c r="C6219" t="str">
        <f>"37768510000000"</f>
        <v>37768510000000</v>
      </c>
      <c r="D6219" t="s">
        <v>7447</v>
      </c>
      <c r="E6219" t="str">
        <f>"37768516108567"</f>
        <v>37768516108567</v>
      </c>
      <c r="F6219" s="8">
        <v>601</v>
      </c>
      <c r="G6219" s="8">
        <v>9179</v>
      </c>
      <c r="H6219" s="8">
        <v>1071</v>
      </c>
      <c r="I6219" s="8">
        <v>2129</v>
      </c>
    </row>
    <row r="6220" spans="1:9" x14ac:dyDescent="0.2">
      <c r="A6220" t="s">
        <v>1281</v>
      </c>
      <c r="B6220" t="s">
        <v>1295</v>
      </c>
      <c r="C6220" t="str">
        <f>"37768510000000"</f>
        <v>37768510000000</v>
      </c>
      <c r="D6220" t="s">
        <v>7448</v>
      </c>
      <c r="E6220" t="str">
        <f>"37768510110122"</f>
        <v>37768510110122</v>
      </c>
      <c r="F6220" s="8">
        <v>413</v>
      </c>
      <c r="G6220" s="8">
        <v>8651</v>
      </c>
      <c r="H6220" s="8">
        <v>737</v>
      </c>
      <c r="I6220" s="8">
        <v>2007</v>
      </c>
    </row>
    <row r="6221" spans="1:9" x14ac:dyDescent="0.2">
      <c r="A6221" t="s">
        <v>1281</v>
      </c>
      <c r="B6221" t="s">
        <v>1295</v>
      </c>
      <c r="C6221" t="str">
        <f>"37768510000000"</f>
        <v>37768510000000</v>
      </c>
      <c r="D6221" t="s">
        <v>7449</v>
      </c>
      <c r="E6221" t="str">
        <f>"37768510129320"</f>
        <v>37768510129320</v>
      </c>
      <c r="F6221" s="8">
        <v>779</v>
      </c>
      <c r="G6221" s="8">
        <v>7473</v>
      </c>
      <c r="H6221" s="8">
        <v>1387</v>
      </c>
      <c r="I6221" s="8">
        <v>1734</v>
      </c>
    </row>
    <row r="6222" spans="1:9" x14ac:dyDescent="0.2">
      <c r="A6222" t="s">
        <v>1281</v>
      </c>
      <c r="B6222" t="s">
        <v>1295</v>
      </c>
      <c r="C6222" t="str">
        <f>"37768510000000"</f>
        <v>37768510000000</v>
      </c>
      <c r="D6222" t="s">
        <v>7450</v>
      </c>
      <c r="E6222" t="str">
        <f>"37768516037543"</f>
        <v>37768516037543</v>
      </c>
      <c r="F6222" s="8">
        <v>546</v>
      </c>
      <c r="G6222" s="8">
        <v>7977</v>
      </c>
      <c r="H6222" s="8">
        <v>973</v>
      </c>
      <c r="I6222" s="8">
        <v>1850</v>
      </c>
    </row>
    <row r="6223" spans="1:9" x14ac:dyDescent="0.2">
      <c r="A6223" t="s">
        <v>1281</v>
      </c>
      <c r="B6223" t="s">
        <v>1296</v>
      </c>
      <c r="C6223" t="str">
        <f>"37679830000000"</f>
        <v>37679830000000</v>
      </c>
      <c r="D6223" t="s">
        <v>7451</v>
      </c>
      <c r="E6223" t="str">
        <f>"37679836115315"</f>
        <v>37679836115315</v>
      </c>
      <c r="F6223" s="8">
        <v>4953</v>
      </c>
      <c r="G6223" s="8">
        <v>25547</v>
      </c>
      <c r="H6223" s="8">
        <v>6</v>
      </c>
      <c r="I6223" s="8">
        <v>22</v>
      </c>
    </row>
    <row r="6224" spans="1:9" x14ac:dyDescent="0.2">
      <c r="A6224" t="s">
        <v>1281</v>
      </c>
      <c r="B6224" t="s">
        <v>1296</v>
      </c>
      <c r="C6224" t="str">
        <f>"37679830000000"</f>
        <v>37679830000000</v>
      </c>
      <c r="D6224" t="s">
        <v>7452</v>
      </c>
      <c r="E6224" t="str">
        <f>"37679836037550"</f>
        <v>37679836037550</v>
      </c>
      <c r="F6224" s="8">
        <v>3118</v>
      </c>
      <c r="G6224" s="8">
        <v>13838</v>
      </c>
      <c r="H6224" s="8">
        <v>6</v>
      </c>
      <c r="I6224" s="8">
        <v>22</v>
      </c>
    </row>
    <row r="6225" spans="1:9" x14ac:dyDescent="0.2">
      <c r="A6225" t="s">
        <v>1281</v>
      </c>
      <c r="B6225" t="s">
        <v>1296</v>
      </c>
      <c r="C6225" t="str">
        <f>"37679830000000"</f>
        <v>37679830000000</v>
      </c>
      <c r="D6225" t="s">
        <v>7453</v>
      </c>
      <c r="E6225" t="str">
        <f>"37679833730447"</f>
        <v>37679833730447</v>
      </c>
      <c r="F6225" s="8">
        <v>3094</v>
      </c>
      <c r="G6225" s="8">
        <v>7686</v>
      </c>
      <c r="H6225" s="8">
        <v>6</v>
      </c>
      <c r="I6225" s="8">
        <v>22</v>
      </c>
    </row>
    <row r="6226" spans="1:9" x14ac:dyDescent="0.2">
      <c r="A6226" t="s">
        <v>1281</v>
      </c>
      <c r="B6226" t="s">
        <v>1299</v>
      </c>
      <c r="C6226" t="str">
        <f t="shared" ref="C6226:C6252" si="302">"37679910000000"</f>
        <v>37679910000000</v>
      </c>
      <c r="D6226" t="s">
        <v>7454</v>
      </c>
      <c r="E6226" t="str">
        <f>"37679910136176"</f>
        <v>37679910136176</v>
      </c>
      <c r="F6226" s="8">
        <v>532</v>
      </c>
      <c r="G6226" s="8">
        <v>60927</v>
      </c>
      <c r="H6226" s="8">
        <v>1832</v>
      </c>
      <c r="I6226" s="8">
        <v>4809</v>
      </c>
    </row>
    <row r="6227" spans="1:9" x14ac:dyDescent="0.2">
      <c r="A6227" t="s">
        <v>1281</v>
      </c>
      <c r="B6227" t="s">
        <v>1299</v>
      </c>
      <c r="C6227" t="str">
        <f t="shared" si="302"/>
        <v>37679910000000</v>
      </c>
      <c r="D6227" t="s">
        <v>7455</v>
      </c>
      <c r="E6227" t="str">
        <f>"37679916037600"</f>
        <v>37679916037600</v>
      </c>
      <c r="F6227" s="8">
        <v>93</v>
      </c>
      <c r="G6227" s="8">
        <v>11778</v>
      </c>
      <c r="H6227" s="8">
        <v>1832</v>
      </c>
      <c r="I6227" s="8">
        <v>4809</v>
      </c>
    </row>
    <row r="6228" spans="1:9" x14ac:dyDescent="0.2">
      <c r="A6228" t="s">
        <v>1281</v>
      </c>
      <c r="B6228" t="s">
        <v>1299</v>
      </c>
      <c r="C6228" t="str">
        <f t="shared" si="302"/>
        <v>37679910000000</v>
      </c>
      <c r="D6228" t="s">
        <v>7456</v>
      </c>
      <c r="E6228" t="str">
        <f>"37679916037626"</f>
        <v>37679916037626</v>
      </c>
      <c r="F6228" s="8">
        <v>884</v>
      </c>
      <c r="G6228" s="8">
        <v>9684</v>
      </c>
      <c r="H6228" s="8">
        <v>1832</v>
      </c>
      <c r="I6228" s="8">
        <v>4809</v>
      </c>
    </row>
    <row r="6229" spans="1:9" x14ac:dyDescent="0.2">
      <c r="A6229" t="s">
        <v>1281</v>
      </c>
      <c r="B6229" t="s">
        <v>1299</v>
      </c>
      <c r="C6229" t="str">
        <f t="shared" si="302"/>
        <v>37679910000000</v>
      </c>
      <c r="D6229" t="s">
        <v>3299</v>
      </c>
      <c r="E6229" t="str">
        <f>"37679916037659"</f>
        <v>37679916037659</v>
      </c>
      <c r="F6229" s="8">
        <v>727</v>
      </c>
      <c r="G6229" s="8">
        <v>8605</v>
      </c>
      <c r="H6229" s="8">
        <v>1832</v>
      </c>
      <c r="I6229" s="8">
        <v>4809</v>
      </c>
    </row>
    <row r="6230" spans="1:9" x14ac:dyDescent="0.2">
      <c r="A6230" t="s">
        <v>1281</v>
      </c>
      <c r="B6230" t="s">
        <v>1299</v>
      </c>
      <c r="C6230" t="str">
        <f t="shared" si="302"/>
        <v>37679910000000</v>
      </c>
      <c r="D6230" t="s">
        <v>7457</v>
      </c>
      <c r="E6230" t="str">
        <f>"37679916037691"</f>
        <v>37679916037691</v>
      </c>
      <c r="F6230" s="8">
        <v>475</v>
      </c>
      <c r="G6230" s="8">
        <v>8516</v>
      </c>
      <c r="H6230" s="8">
        <v>1832</v>
      </c>
      <c r="I6230" s="8">
        <v>4809</v>
      </c>
    </row>
    <row r="6231" spans="1:9" x14ac:dyDescent="0.2">
      <c r="A6231" t="s">
        <v>1281</v>
      </c>
      <c r="B6231" t="s">
        <v>1299</v>
      </c>
      <c r="C6231" t="str">
        <f t="shared" si="302"/>
        <v>37679910000000</v>
      </c>
      <c r="D6231" t="s">
        <v>7458</v>
      </c>
      <c r="E6231" t="str">
        <f>"37679916112148"</f>
        <v>37679916112148</v>
      </c>
      <c r="F6231" s="8">
        <v>139</v>
      </c>
      <c r="G6231" s="8">
        <v>8705</v>
      </c>
      <c r="H6231" s="8">
        <v>1832</v>
      </c>
      <c r="I6231" s="8">
        <v>4809</v>
      </c>
    </row>
    <row r="6232" spans="1:9" x14ac:dyDescent="0.2">
      <c r="A6232" t="s">
        <v>1281</v>
      </c>
      <c r="B6232" t="s">
        <v>1299</v>
      </c>
      <c r="C6232" t="str">
        <f t="shared" si="302"/>
        <v>37679910000000</v>
      </c>
      <c r="D6232" t="s">
        <v>7459</v>
      </c>
      <c r="E6232" t="str">
        <f>"37679916037634"</f>
        <v>37679916037634</v>
      </c>
      <c r="F6232" s="8">
        <v>432</v>
      </c>
      <c r="G6232" s="8">
        <v>8373</v>
      </c>
      <c r="H6232" s="8">
        <v>1832</v>
      </c>
      <c r="I6232" s="8">
        <v>4809</v>
      </c>
    </row>
    <row r="6233" spans="1:9" x14ac:dyDescent="0.2">
      <c r="A6233" t="s">
        <v>1281</v>
      </c>
      <c r="B6233" t="s">
        <v>1299</v>
      </c>
      <c r="C6233" t="str">
        <f t="shared" si="302"/>
        <v>37679910000000</v>
      </c>
      <c r="D6233" t="s">
        <v>7460</v>
      </c>
      <c r="E6233" t="str">
        <f>"37679916106025"</f>
        <v>37679916106025</v>
      </c>
      <c r="F6233" s="8">
        <v>98</v>
      </c>
      <c r="G6233" s="8">
        <v>8595</v>
      </c>
      <c r="H6233" s="8">
        <v>1832</v>
      </c>
      <c r="I6233" s="8">
        <v>4809</v>
      </c>
    </row>
    <row r="6234" spans="1:9" x14ac:dyDescent="0.2">
      <c r="A6234" t="s">
        <v>1281</v>
      </c>
      <c r="B6234" t="s">
        <v>1299</v>
      </c>
      <c r="C6234" t="str">
        <f t="shared" si="302"/>
        <v>37679910000000</v>
      </c>
      <c r="D6234" t="s">
        <v>7461</v>
      </c>
      <c r="E6234" t="str">
        <f>"37679916037733"</f>
        <v>37679916037733</v>
      </c>
      <c r="F6234" s="8">
        <v>430</v>
      </c>
      <c r="G6234" s="8">
        <v>8250</v>
      </c>
      <c r="H6234" s="8">
        <v>1832</v>
      </c>
      <c r="I6234" s="8">
        <v>4809</v>
      </c>
    </row>
    <row r="6235" spans="1:9" x14ac:dyDescent="0.2">
      <c r="A6235" t="s">
        <v>1281</v>
      </c>
      <c r="B6235" t="s">
        <v>1299</v>
      </c>
      <c r="C6235" t="str">
        <f t="shared" si="302"/>
        <v>37679910000000</v>
      </c>
      <c r="D6235" t="s">
        <v>7462</v>
      </c>
      <c r="E6235" t="str">
        <f>"37679916037584"</f>
        <v>37679916037584</v>
      </c>
      <c r="F6235" s="8">
        <v>714</v>
      </c>
      <c r="G6235" s="8">
        <v>7855</v>
      </c>
      <c r="H6235" s="8">
        <v>1832</v>
      </c>
      <c r="I6235" s="8">
        <v>4809</v>
      </c>
    </row>
    <row r="6236" spans="1:9" x14ac:dyDescent="0.2">
      <c r="A6236" t="s">
        <v>1281</v>
      </c>
      <c r="B6236" t="s">
        <v>1299</v>
      </c>
      <c r="C6236" t="str">
        <f t="shared" si="302"/>
        <v>37679910000000</v>
      </c>
      <c r="D6236" t="s">
        <v>7463</v>
      </c>
      <c r="E6236" t="str">
        <f>"37679916037741"</f>
        <v>37679916037741</v>
      </c>
      <c r="F6236" s="8">
        <v>578</v>
      </c>
      <c r="G6236" s="8">
        <v>7818</v>
      </c>
      <c r="H6236" s="8">
        <v>1832</v>
      </c>
      <c r="I6236" s="8">
        <v>4809</v>
      </c>
    </row>
    <row r="6237" spans="1:9" x14ac:dyDescent="0.2">
      <c r="A6237" t="s">
        <v>1281</v>
      </c>
      <c r="B6237" t="s">
        <v>1299</v>
      </c>
      <c r="C6237" t="str">
        <f t="shared" si="302"/>
        <v>37679910000000</v>
      </c>
      <c r="D6237" t="s">
        <v>7464</v>
      </c>
      <c r="E6237" t="str">
        <f>"37679916093207"</f>
        <v>37679916093207</v>
      </c>
      <c r="F6237" s="8">
        <v>722</v>
      </c>
      <c r="G6237" s="8">
        <v>7547</v>
      </c>
      <c r="H6237" s="8">
        <v>1832</v>
      </c>
      <c r="I6237" s="8">
        <v>4809</v>
      </c>
    </row>
    <row r="6238" spans="1:9" x14ac:dyDescent="0.2">
      <c r="A6238" t="s">
        <v>1281</v>
      </c>
      <c r="B6238" t="s">
        <v>1299</v>
      </c>
      <c r="C6238" t="str">
        <f t="shared" si="302"/>
        <v>37679910000000</v>
      </c>
      <c r="D6238" t="s">
        <v>7465</v>
      </c>
      <c r="E6238" t="str">
        <f>"37679910111005"</f>
        <v>37679910111005</v>
      </c>
      <c r="F6238" s="8">
        <v>89</v>
      </c>
      <c r="G6238" s="8">
        <v>8096</v>
      </c>
      <c r="H6238" s="8">
        <v>1832</v>
      </c>
      <c r="I6238" s="8">
        <v>4809</v>
      </c>
    </row>
    <row r="6239" spans="1:9" x14ac:dyDescent="0.2">
      <c r="A6239" t="s">
        <v>1281</v>
      </c>
      <c r="B6239" t="s">
        <v>1299</v>
      </c>
      <c r="C6239" t="str">
        <f t="shared" si="302"/>
        <v>37679910000000</v>
      </c>
      <c r="D6239" t="s">
        <v>1025</v>
      </c>
      <c r="E6239" t="str">
        <f>"37679916037709"</f>
        <v>37679916037709</v>
      </c>
      <c r="F6239" s="8">
        <v>717</v>
      </c>
      <c r="G6239" s="8">
        <v>7371</v>
      </c>
      <c r="H6239" s="8">
        <v>1832</v>
      </c>
      <c r="I6239" s="8">
        <v>4809</v>
      </c>
    </row>
    <row r="6240" spans="1:9" x14ac:dyDescent="0.2">
      <c r="A6240" t="s">
        <v>1281</v>
      </c>
      <c r="B6240" t="s">
        <v>1299</v>
      </c>
      <c r="C6240" t="str">
        <f t="shared" si="302"/>
        <v>37679910000000</v>
      </c>
      <c r="D6240" t="s">
        <v>1897</v>
      </c>
      <c r="E6240" t="str">
        <f>"37679916037717"</f>
        <v>37679916037717</v>
      </c>
      <c r="F6240" s="8">
        <v>629</v>
      </c>
      <c r="G6240" s="8">
        <v>7442</v>
      </c>
      <c r="H6240" s="8">
        <v>1832</v>
      </c>
      <c r="I6240" s="8">
        <v>4809</v>
      </c>
    </row>
    <row r="6241" spans="1:9" x14ac:dyDescent="0.2">
      <c r="A6241" t="s">
        <v>1281</v>
      </c>
      <c r="B6241" t="s">
        <v>1299</v>
      </c>
      <c r="C6241" t="str">
        <f t="shared" si="302"/>
        <v>37679910000000</v>
      </c>
      <c r="D6241" t="s">
        <v>7466</v>
      </c>
      <c r="E6241" t="str">
        <f>"37679916037592"</f>
        <v>37679916037592</v>
      </c>
      <c r="F6241" s="8">
        <v>618</v>
      </c>
      <c r="G6241" s="8">
        <v>7430</v>
      </c>
      <c r="H6241" s="8">
        <v>1832</v>
      </c>
      <c r="I6241" s="8">
        <v>4809</v>
      </c>
    </row>
    <row r="6242" spans="1:9" x14ac:dyDescent="0.2">
      <c r="A6242" t="s">
        <v>1281</v>
      </c>
      <c r="B6242" t="s">
        <v>1299</v>
      </c>
      <c r="C6242" t="str">
        <f t="shared" si="302"/>
        <v>37679910000000</v>
      </c>
      <c r="D6242" t="s">
        <v>5021</v>
      </c>
      <c r="E6242" t="str">
        <f>"37679916037683"</f>
        <v>37679916037683</v>
      </c>
      <c r="F6242" s="8">
        <v>677</v>
      </c>
      <c r="G6242" s="8">
        <v>7227</v>
      </c>
      <c r="H6242" s="8">
        <v>1832</v>
      </c>
      <c r="I6242" s="8">
        <v>4809</v>
      </c>
    </row>
    <row r="6243" spans="1:9" x14ac:dyDescent="0.2">
      <c r="A6243" t="s">
        <v>1281</v>
      </c>
      <c r="B6243" t="s">
        <v>1299</v>
      </c>
      <c r="C6243" t="str">
        <f t="shared" si="302"/>
        <v>37679910000000</v>
      </c>
      <c r="D6243" t="s">
        <v>2653</v>
      </c>
      <c r="E6243" t="str">
        <f>"37679916101794"</f>
        <v>37679916101794</v>
      </c>
      <c r="F6243" s="8">
        <v>82</v>
      </c>
      <c r="G6243" s="8">
        <v>7528</v>
      </c>
      <c r="H6243" s="8">
        <v>1832</v>
      </c>
      <c r="I6243" s="8">
        <v>4809</v>
      </c>
    </row>
    <row r="6244" spans="1:9" x14ac:dyDescent="0.2">
      <c r="A6244" t="s">
        <v>1281</v>
      </c>
      <c r="B6244" t="s">
        <v>1299</v>
      </c>
      <c r="C6244" t="str">
        <f t="shared" si="302"/>
        <v>37679910000000</v>
      </c>
      <c r="D6244" t="s">
        <v>7467</v>
      </c>
      <c r="E6244" t="str">
        <f>"37679916069082"</f>
        <v>37679916069082</v>
      </c>
      <c r="F6244" s="8">
        <v>119</v>
      </c>
      <c r="G6244" s="8">
        <v>7316</v>
      </c>
      <c r="H6244" s="8">
        <v>1832</v>
      </c>
      <c r="I6244" s="8">
        <v>4809</v>
      </c>
    </row>
    <row r="6245" spans="1:9" x14ac:dyDescent="0.2">
      <c r="A6245" t="s">
        <v>1281</v>
      </c>
      <c r="B6245" t="s">
        <v>1299</v>
      </c>
      <c r="C6245" t="str">
        <f t="shared" si="302"/>
        <v>37679910000000</v>
      </c>
      <c r="D6245" t="s">
        <v>7468</v>
      </c>
      <c r="E6245" t="str">
        <f>"37679916037725"</f>
        <v>37679916037725</v>
      </c>
      <c r="F6245" s="8">
        <v>650</v>
      </c>
      <c r="G6245" s="8">
        <v>6741</v>
      </c>
      <c r="H6245" s="8">
        <v>1832</v>
      </c>
      <c r="I6245" s="8">
        <v>4809</v>
      </c>
    </row>
    <row r="6246" spans="1:9" x14ac:dyDescent="0.2">
      <c r="A6246" t="s">
        <v>1281</v>
      </c>
      <c r="B6246" t="s">
        <v>1299</v>
      </c>
      <c r="C6246" t="str">
        <f t="shared" si="302"/>
        <v>37679910000000</v>
      </c>
      <c r="D6246" t="s">
        <v>7469</v>
      </c>
      <c r="E6246" t="str">
        <f>"37679916037675"</f>
        <v>37679916037675</v>
      </c>
      <c r="F6246" s="8">
        <v>657</v>
      </c>
      <c r="G6246" s="8">
        <v>6728</v>
      </c>
      <c r="H6246" s="8">
        <v>1832</v>
      </c>
      <c r="I6246" s="8">
        <v>4809</v>
      </c>
    </row>
    <row r="6247" spans="1:9" x14ac:dyDescent="0.2">
      <c r="A6247" t="s">
        <v>1281</v>
      </c>
      <c r="B6247" t="s">
        <v>1299</v>
      </c>
      <c r="C6247" t="str">
        <f t="shared" si="302"/>
        <v>37679910000000</v>
      </c>
      <c r="D6247" t="s">
        <v>7470</v>
      </c>
      <c r="E6247" t="str">
        <f>"37679916112890"</f>
        <v>37679916112890</v>
      </c>
      <c r="F6247" s="8">
        <v>42</v>
      </c>
      <c r="G6247" s="8">
        <v>7177</v>
      </c>
      <c r="H6247" s="8">
        <v>1832</v>
      </c>
      <c r="I6247" s="8">
        <v>4809</v>
      </c>
    </row>
    <row r="6248" spans="1:9" x14ac:dyDescent="0.2">
      <c r="A6248" t="s">
        <v>1281</v>
      </c>
      <c r="B6248" t="s">
        <v>1299</v>
      </c>
      <c r="C6248" t="str">
        <f t="shared" si="302"/>
        <v>37679910000000</v>
      </c>
      <c r="D6248" t="s">
        <v>7471</v>
      </c>
      <c r="E6248" t="str">
        <f>"37679916037642"</f>
        <v>37679916037642</v>
      </c>
      <c r="F6248" s="8">
        <v>113</v>
      </c>
      <c r="G6248" s="8">
        <v>6935</v>
      </c>
      <c r="H6248" s="8">
        <v>1832</v>
      </c>
      <c r="I6248" s="8">
        <v>4809</v>
      </c>
    </row>
    <row r="6249" spans="1:9" x14ac:dyDescent="0.2">
      <c r="A6249" t="s">
        <v>1281</v>
      </c>
      <c r="B6249" t="s">
        <v>1299</v>
      </c>
      <c r="C6249" t="str">
        <f t="shared" si="302"/>
        <v>37679910000000</v>
      </c>
      <c r="D6249" t="s">
        <v>7472</v>
      </c>
      <c r="E6249" t="str">
        <f>"37679916037576"</f>
        <v>37679916037576</v>
      </c>
      <c r="F6249" s="8">
        <v>439</v>
      </c>
      <c r="G6249" s="8">
        <v>5915</v>
      </c>
      <c r="H6249" s="8">
        <v>1832</v>
      </c>
      <c r="I6249" s="8">
        <v>4809</v>
      </c>
    </row>
    <row r="6250" spans="1:9" x14ac:dyDescent="0.2">
      <c r="A6250" t="s">
        <v>1281</v>
      </c>
      <c r="B6250" t="s">
        <v>1299</v>
      </c>
      <c r="C6250" t="str">
        <f t="shared" si="302"/>
        <v>37679910000000</v>
      </c>
      <c r="D6250" t="s">
        <v>7473</v>
      </c>
      <c r="E6250" t="str">
        <f>"37679916118319"</f>
        <v>37679916118319</v>
      </c>
      <c r="F6250" s="8">
        <v>0</v>
      </c>
      <c r="G6250" s="8">
        <v>5389</v>
      </c>
      <c r="H6250" s="8">
        <v>1832</v>
      </c>
      <c r="I6250" s="8">
        <v>4809</v>
      </c>
    </row>
    <row r="6251" spans="1:9" x14ac:dyDescent="0.2">
      <c r="A6251" t="s">
        <v>1281</v>
      </c>
      <c r="B6251" t="s">
        <v>1299</v>
      </c>
      <c r="C6251" t="str">
        <f t="shared" si="302"/>
        <v>37679910000000</v>
      </c>
      <c r="D6251" t="s">
        <v>5145</v>
      </c>
      <c r="E6251" t="str">
        <f>"37679916037568"</f>
        <v>37679916037568</v>
      </c>
      <c r="F6251" s="8">
        <v>633</v>
      </c>
      <c r="G6251" s="8">
        <v>4302</v>
      </c>
      <c r="H6251" s="8">
        <v>1832</v>
      </c>
      <c r="I6251" s="8">
        <v>4809</v>
      </c>
    </row>
    <row r="6252" spans="1:9" x14ac:dyDescent="0.2">
      <c r="A6252" t="s">
        <v>1281</v>
      </c>
      <c r="B6252" t="s">
        <v>1299</v>
      </c>
      <c r="C6252" t="str">
        <f t="shared" si="302"/>
        <v>37679910000000</v>
      </c>
      <c r="D6252" t="s">
        <v>7474</v>
      </c>
      <c r="E6252" t="str">
        <f>"37679916110787"</f>
        <v>37679916110787</v>
      </c>
      <c r="F6252" s="8">
        <v>180</v>
      </c>
      <c r="G6252" s="8">
        <v>4251</v>
      </c>
      <c r="H6252" s="8">
        <v>1832</v>
      </c>
      <c r="I6252" s="8">
        <v>4809</v>
      </c>
    </row>
    <row r="6253" spans="1:9" x14ac:dyDescent="0.2">
      <c r="A6253" t="s">
        <v>1281</v>
      </c>
      <c r="B6253" t="s">
        <v>1302</v>
      </c>
      <c r="C6253" t="str">
        <f>"37680070000000"</f>
        <v>37680070000000</v>
      </c>
      <c r="D6253" t="s">
        <v>1302</v>
      </c>
      <c r="E6253" t="str">
        <f>"37680076037766"</f>
        <v>37680076037766</v>
      </c>
      <c r="F6253" s="8">
        <v>452</v>
      </c>
      <c r="G6253" s="8">
        <v>13569</v>
      </c>
      <c r="H6253" s="8">
        <v>231</v>
      </c>
      <c r="I6253" s="8">
        <v>3044</v>
      </c>
    </row>
    <row r="6254" spans="1:9" x14ac:dyDescent="0.2">
      <c r="A6254" t="s">
        <v>1281</v>
      </c>
      <c r="B6254" t="s">
        <v>1302</v>
      </c>
      <c r="C6254" t="str">
        <f>"37680070000000"</f>
        <v>37680070000000</v>
      </c>
      <c r="D6254" t="s">
        <v>7475</v>
      </c>
      <c r="E6254" t="str">
        <f>"37680076037758"</f>
        <v>37680076037758</v>
      </c>
      <c r="F6254" s="8">
        <v>145</v>
      </c>
      <c r="G6254" s="8">
        <v>10383</v>
      </c>
      <c r="H6254" s="8">
        <v>231</v>
      </c>
      <c r="I6254" s="8">
        <v>3044</v>
      </c>
    </row>
    <row r="6255" spans="1:9" x14ac:dyDescent="0.2">
      <c r="A6255" t="s">
        <v>1281</v>
      </c>
      <c r="B6255" t="s">
        <v>1303</v>
      </c>
      <c r="C6255" t="str">
        <f t="shared" ref="C6255:C6270" si="303">"37735510000000"</f>
        <v>37735510000000</v>
      </c>
      <c r="D6255" t="s">
        <v>1942</v>
      </c>
      <c r="E6255" t="str">
        <f>"37735516037774"</f>
        <v>37735516037774</v>
      </c>
      <c r="F6255" s="8">
        <v>1917</v>
      </c>
      <c r="G6255" s="8">
        <v>12529</v>
      </c>
      <c r="H6255" s="8">
        <v>725</v>
      </c>
      <c r="I6255" s="8">
        <v>2460</v>
      </c>
    </row>
    <row r="6256" spans="1:9" x14ac:dyDescent="0.2">
      <c r="A6256" t="s">
        <v>1281</v>
      </c>
      <c r="B6256" t="s">
        <v>1303</v>
      </c>
      <c r="C6256" t="str">
        <f t="shared" si="303"/>
        <v>37735510000000</v>
      </c>
      <c r="D6256" t="s">
        <v>7476</v>
      </c>
      <c r="E6256" t="str">
        <f>"37735513730017"</f>
        <v>37735513730017</v>
      </c>
      <c r="F6256" s="8">
        <v>1277</v>
      </c>
      <c r="G6256" s="8">
        <v>12168</v>
      </c>
      <c r="H6256" s="8">
        <v>725</v>
      </c>
      <c r="I6256" s="8">
        <v>2460</v>
      </c>
    </row>
    <row r="6257" spans="1:9" x14ac:dyDescent="0.2">
      <c r="A6257" t="s">
        <v>1281</v>
      </c>
      <c r="B6257" t="s">
        <v>1303</v>
      </c>
      <c r="C6257" t="str">
        <f t="shared" si="303"/>
        <v>37735510000000</v>
      </c>
      <c r="D6257" t="s">
        <v>1194</v>
      </c>
      <c r="E6257" t="str">
        <f>"37735516037782"</f>
        <v>37735516037782</v>
      </c>
      <c r="F6257" s="8">
        <v>790</v>
      </c>
      <c r="G6257" s="8">
        <v>11627</v>
      </c>
      <c r="H6257" s="8">
        <v>725</v>
      </c>
      <c r="I6257" s="8">
        <v>2460</v>
      </c>
    </row>
    <row r="6258" spans="1:9" x14ac:dyDescent="0.2">
      <c r="A6258" t="s">
        <v>1281</v>
      </c>
      <c r="B6258" t="s">
        <v>1303</v>
      </c>
      <c r="C6258" t="str">
        <f t="shared" si="303"/>
        <v>37735510000000</v>
      </c>
      <c r="D6258" t="s">
        <v>1582</v>
      </c>
      <c r="E6258" t="str">
        <f>"37735516106512"</f>
        <v>37735516106512</v>
      </c>
      <c r="F6258" s="8">
        <v>542</v>
      </c>
      <c r="G6258" s="8">
        <v>9965</v>
      </c>
      <c r="H6258" s="8">
        <v>725</v>
      </c>
      <c r="I6258" s="8">
        <v>2460</v>
      </c>
    </row>
    <row r="6259" spans="1:9" x14ac:dyDescent="0.2">
      <c r="A6259" t="s">
        <v>1281</v>
      </c>
      <c r="B6259" t="s">
        <v>1303</v>
      </c>
      <c r="C6259" t="str">
        <f t="shared" si="303"/>
        <v>37735510000000</v>
      </c>
      <c r="D6259" t="s">
        <v>7477</v>
      </c>
      <c r="E6259" t="str">
        <f>"37735516120711"</f>
        <v>37735516120711</v>
      </c>
      <c r="F6259" s="8">
        <v>740</v>
      </c>
      <c r="G6259" s="8">
        <v>9256</v>
      </c>
      <c r="H6259" s="8">
        <v>725</v>
      </c>
      <c r="I6259" s="8">
        <v>2460</v>
      </c>
    </row>
    <row r="6260" spans="1:9" x14ac:dyDescent="0.2">
      <c r="A6260" t="s">
        <v>1281</v>
      </c>
      <c r="B6260" t="s">
        <v>1303</v>
      </c>
      <c r="C6260" t="str">
        <f t="shared" si="303"/>
        <v>37735510000000</v>
      </c>
      <c r="D6260" t="s">
        <v>3741</v>
      </c>
      <c r="E6260" t="str">
        <f>"37735516099352"</f>
        <v>37735516099352</v>
      </c>
      <c r="F6260" s="8">
        <v>477</v>
      </c>
      <c r="G6260" s="8">
        <v>9304</v>
      </c>
      <c r="H6260" s="8">
        <v>725</v>
      </c>
      <c r="I6260" s="8">
        <v>2460</v>
      </c>
    </row>
    <row r="6261" spans="1:9" x14ac:dyDescent="0.2">
      <c r="A6261" t="s">
        <v>1281</v>
      </c>
      <c r="B6261" t="s">
        <v>1303</v>
      </c>
      <c r="C6261" t="str">
        <f t="shared" si="303"/>
        <v>37735510000000</v>
      </c>
      <c r="D6261" t="s">
        <v>7478</v>
      </c>
      <c r="E6261" t="str">
        <f>"37735510113498"</f>
        <v>37735510113498</v>
      </c>
      <c r="F6261" s="8">
        <v>223</v>
      </c>
      <c r="G6261" s="8">
        <v>9185</v>
      </c>
      <c r="H6261" s="8">
        <v>725</v>
      </c>
      <c r="I6261" s="8">
        <v>2460</v>
      </c>
    </row>
    <row r="6262" spans="1:9" x14ac:dyDescent="0.2">
      <c r="A6262" t="s">
        <v>1281</v>
      </c>
      <c r="B6262" t="s">
        <v>1303</v>
      </c>
      <c r="C6262" t="str">
        <f t="shared" si="303"/>
        <v>37735510000000</v>
      </c>
      <c r="D6262" t="s">
        <v>7479</v>
      </c>
      <c r="E6262" t="str">
        <f>"37735516037816"</f>
        <v>37735516037816</v>
      </c>
      <c r="F6262" s="8">
        <v>229</v>
      </c>
      <c r="G6262" s="8">
        <v>9002</v>
      </c>
      <c r="H6262" s="8">
        <v>725</v>
      </c>
      <c r="I6262" s="8">
        <v>2460</v>
      </c>
    </row>
    <row r="6263" spans="1:9" x14ac:dyDescent="0.2">
      <c r="A6263" t="s">
        <v>1281</v>
      </c>
      <c r="B6263" t="s">
        <v>1303</v>
      </c>
      <c r="C6263" t="str">
        <f t="shared" si="303"/>
        <v>37735510000000</v>
      </c>
      <c r="D6263" t="s">
        <v>7480</v>
      </c>
      <c r="E6263" t="str">
        <f>"37735510107557"</f>
        <v>37735510107557</v>
      </c>
      <c r="F6263" s="8">
        <v>271</v>
      </c>
      <c r="G6263" s="8">
        <v>8725</v>
      </c>
      <c r="H6263" s="8">
        <v>725</v>
      </c>
      <c r="I6263" s="8">
        <v>2460</v>
      </c>
    </row>
    <row r="6264" spans="1:9" x14ac:dyDescent="0.2">
      <c r="A6264" t="s">
        <v>1281</v>
      </c>
      <c r="B6264" t="s">
        <v>1303</v>
      </c>
      <c r="C6264" t="str">
        <f t="shared" si="303"/>
        <v>37735510000000</v>
      </c>
      <c r="D6264" t="s">
        <v>7481</v>
      </c>
      <c r="E6264" t="str">
        <f>"37735516116578"</f>
        <v>37735516116578</v>
      </c>
      <c r="F6264" s="8">
        <v>210</v>
      </c>
      <c r="G6264" s="8">
        <v>8695</v>
      </c>
      <c r="H6264" s="8">
        <v>725</v>
      </c>
      <c r="I6264" s="8">
        <v>2460</v>
      </c>
    </row>
    <row r="6265" spans="1:9" x14ac:dyDescent="0.2">
      <c r="A6265" t="s">
        <v>1281</v>
      </c>
      <c r="B6265" t="s">
        <v>1303</v>
      </c>
      <c r="C6265" t="str">
        <f t="shared" si="303"/>
        <v>37735510000000</v>
      </c>
      <c r="D6265" t="s">
        <v>1025</v>
      </c>
      <c r="E6265" t="str">
        <f>"37735516037790"</f>
        <v>37735516037790</v>
      </c>
      <c r="F6265" s="8">
        <v>163</v>
      </c>
      <c r="G6265" s="8">
        <v>8669</v>
      </c>
      <c r="H6265" s="8">
        <v>725</v>
      </c>
      <c r="I6265" s="8">
        <v>2460</v>
      </c>
    </row>
    <row r="6266" spans="1:9" x14ac:dyDescent="0.2">
      <c r="A6266" t="s">
        <v>1281</v>
      </c>
      <c r="B6266" t="s">
        <v>1303</v>
      </c>
      <c r="C6266" t="str">
        <f t="shared" si="303"/>
        <v>37735510000000</v>
      </c>
      <c r="D6266" t="s">
        <v>7482</v>
      </c>
      <c r="E6266" t="str">
        <f>"37735516118137"</f>
        <v>37735516118137</v>
      </c>
      <c r="F6266" s="8">
        <v>256</v>
      </c>
      <c r="G6266" s="8">
        <v>8327</v>
      </c>
      <c r="H6266" s="8">
        <v>725</v>
      </c>
      <c r="I6266" s="8">
        <v>2460</v>
      </c>
    </row>
    <row r="6267" spans="1:9" x14ac:dyDescent="0.2">
      <c r="A6267" t="s">
        <v>1281</v>
      </c>
      <c r="B6267" t="s">
        <v>1303</v>
      </c>
      <c r="C6267" t="str">
        <f t="shared" si="303"/>
        <v>37735510000000</v>
      </c>
      <c r="D6267" t="s">
        <v>7483</v>
      </c>
      <c r="E6267" t="str">
        <f>"37735513730694"</f>
        <v>37735513730694</v>
      </c>
      <c r="F6267" s="8">
        <v>334</v>
      </c>
      <c r="G6267" s="8">
        <v>7906</v>
      </c>
      <c r="H6267" s="8">
        <v>725</v>
      </c>
      <c r="I6267" s="8">
        <v>2460</v>
      </c>
    </row>
    <row r="6268" spans="1:9" x14ac:dyDescent="0.2">
      <c r="A6268" t="s">
        <v>1281</v>
      </c>
      <c r="B6268" t="s">
        <v>1303</v>
      </c>
      <c r="C6268" t="str">
        <f t="shared" si="303"/>
        <v>37735510000000</v>
      </c>
      <c r="D6268" t="s">
        <v>7484</v>
      </c>
      <c r="E6268" t="str">
        <f>"37735516109201"</f>
        <v>37735516109201</v>
      </c>
      <c r="F6268" s="8">
        <v>140</v>
      </c>
      <c r="G6268" s="8">
        <v>8035</v>
      </c>
      <c r="H6268" s="8">
        <v>725</v>
      </c>
      <c r="I6268" s="8">
        <v>2460</v>
      </c>
    </row>
    <row r="6269" spans="1:9" x14ac:dyDescent="0.2">
      <c r="A6269" t="s">
        <v>1281</v>
      </c>
      <c r="B6269" t="s">
        <v>1303</v>
      </c>
      <c r="C6269" t="str">
        <f t="shared" si="303"/>
        <v>37735510000000</v>
      </c>
      <c r="D6269" t="s">
        <v>7485</v>
      </c>
      <c r="E6269" t="str">
        <f>"37735510127423"</f>
        <v>37735510127423</v>
      </c>
      <c r="F6269" s="8">
        <v>225</v>
      </c>
      <c r="G6269" s="8">
        <v>7373</v>
      </c>
      <c r="H6269" s="8">
        <v>725</v>
      </c>
      <c r="I6269" s="8">
        <v>2460</v>
      </c>
    </row>
    <row r="6270" spans="1:9" x14ac:dyDescent="0.2">
      <c r="A6270" t="s">
        <v>1281</v>
      </c>
      <c r="B6270" t="s">
        <v>1303</v>
      </c>
      <c r="C6270" t="str">
        <f t="shared" si="303"/>
        <v>37735510000000</v>
      </c>
      <c r="D6270" t="s">
        <v>7486</v>
      </c>
      <c r="E6270" t="str">
        <f>"37735513731163"</f>
        <v>37735513731163</v>
      </c>
      <c r="F6270" s="8">
        <v>3316</v>
      </c>
      <c r="G6270" s="8">
        <v>2570</v>
      </c>
      <c r="H6270" s="8">
        <v>725</v>
      </c>
      <c r="I6270" s="8">
        <v>2460</v>
      </c>
    </row>
    <row r="6271" spans="1:9" x14ac:dyDescent="0.2">
      <c r="A6271" t="s">
        <v>1281</v>
      </c>
      <c r="B6271" t="s">
        <v>1305</v>
      </c>
      <c r="C6271" t="str">
        <f t="shared" ref="C6271:C6311" si="304">"37680230000000"</f>
        <v>37680230000000</v>
      </c>
      <c r="D6271" t="s">
        <v>7487</v>
      </c>
      <c r="E6271" t="str">
        <f>"37680236037857"</f>
        <v>37680236037857</v>
      </c>
      <c r="F6271" s="8">
        <v>1651</v>
      </c>
      <c r="G6271" s="8">
        <v>20878</v>
      </c>
      <c r="H6271" s="8">
        <v>1252</v>
      </c>
      <c r="I6271" s="8">
        <v>2794</v>
      </c>
    </row>
    <row r="6272" spans="1:9" x14ac:dyDescent="0.2">
      <c r="A6272" t="s">
        <v>1281</v>
      </c>
      <c r="B6272" t="s">
        <v>1305</v>
      </c>
      <c r="C6272" t="str">
        <f t="shared" si="304"/>
        <v>37680230000000</v>
      </c>
      <c r="D6272" t="s">
        <v>7488</v>
      </c>
      <c r="E6272" t="str">
        <f>"37680236037972"</f>
        <v>37680236037972</v>
      </c>
      <c r="F6272" s="8">
        <v>1172</v>
      </c>
      <c r="G6272" s="8">
        <v>13371</v>
      </c>
      <c r="H6272" s="8">
        <v>1252</v>
      </c>
      <c r="I6272" s="8">
        <v>2794</v>
      </c>
    </row>
    <row r="6273" spans="1:9" x14ac:dyDescent="0.2">
      <c r="A6273" t="s">
        <v>1281</v>
      </c>
      <c r="B6273" t="s">
        <v>1305</v>
      </c>
      <c r="C6273" t="str">
        <f t="shared" si="304"/>
        <v>37680230000000</v>
      </c>
      <c r="D6273" t="s">
        <v>7489</v>
      </c>
      <c r="E6273" t="str">
        <f>"37680236037832"</f>
        <v>37680236037832</v>
      </c>
      <c r="F6273" s="8">
        <v>1195</v>
      </c>
      <c r="G6273" s="8">
        <v>12465</v>
      </c>
      <c r="H6273" s="8">
        <v>1252</v>
      </c>
      <c r="I6273" s="8">
        <v>2794</v>
      </c>
    </row>
    <row r="6274" spans="1:9" x14ac:dyDescent="0.2">
      <c r="A6274" t="s">
        <v>1281</v>
      </c>
      <c r="B6274" t="s">
        <v>1305</v>
      </c>
      <c r="C6274" t="str">
        <f t="shared" si="304"/>
        <v>37680230000000</v>
      </c>
      <c r="D6274" t="s">
        <v>7490</v>
      </c>
      <c r="E6274" t="str">
        <f>"37680236037923"</f>
        <v>37680236037923</v>
      </c>
      <c r="F6274" s="8">
        <v>1796</v>
      </c>
      <c r="G6274" s="8">
        <v>11514</v>
      </c>
      <c r="H6274" s="8">
        <v>1252</v>
      </c>
      <c r="I6274" s="8">
        <v>2794</v>
      </c>
    </row>
    <row r="6275" spans="1:9" x14ac:dyDescent="0.2">
      <c r="A6275" t="s">
        <v>1281</v>
      </c>
      <c r="B6275" t="s">
        <v>1305</v>
      </c>
      <c r="C6275" t="str">
        <f t="shared" si="304"/>
        <v>37680230000000</v>
      </c>
      <c r="D6275" t="s">
        <v>7491</v>
      </c>
      <c r="E6275" t="str">
        <f>"37680236037840"</f>
        <v>37680236037840</v>
      </c>
      <c r="F6275" s="8">
        <v>1069</v>
      </c>
      <c r="G6275" s="8">
        <v>11947</v>
      </c>
      <c r="H6275" s="8">
        <v>1252</v>
      </c>
      <c r="I6275" s="8">
        <v>2794</v>
      </c>
    </row>
    <row r="6276" spans="1:9" x14ac:dyDescent="0.2">
      <c r="A6276" t="s">
        <v>1281</v>
      </c>
      <c r="B6276" t="s">
        <v>1305</v>
      </c>
      <c r="C6276" t="str">
        <f t="shared" si="304"/>
        <v>37680230000000</v>
      </c>
      <c r="D6276" t="s">
        <v>7492</v>
      </c>
      <c r="E6276" t="str">
        <f>"37680236037881"</f>
        <v>37680236037881</v>
      </c>
      <c r="F6276" s="8">
        <v>803</v>
      </c>
      <c r="G6276" s="8">
        <v>11500</v>
      </c>
      <c r="H6276" s="8">
        <v>1252</v>
      </c>
      <c r="I6276" s="8">
        <v>2794</v>
      </c>
    </row>
    <row r="6277" spans="1:9" x14ac:dyDescent="0.2">
      <c r="A6277" t="s">
        <v>1281</v>
      </c>
      <c r="B6277" t="s">
        <v>1305</v>
      </c>
      <c r="C6277" t="str">
        <f t="shared" si="304"/>
        <v>37680230000000</v>
      </c>
      <c r="D6277" t="s">
        <v>1642</v>
      </c>
      <c r="E6277" t="str">
        <f>"37680236070825"</f>
        <v>37680236070825</v>
      </c>
      <c r="F6277" s="8">
        <v>1528</v>
      </c>
      <c r="G6277" s="8">
        <v>10458</v>
      </c>
      <c r="H6277" s="8">
        <v>1252</v>
      </c>
      <c r="I6277" s="8">
        <v>2794</v>
      </c>
    </row>
    <row r="6278" spans="1:9" x14ac:dyDescent="0.2">
      <c r="A6278" t="s">
        <v>1281</v>
      </c>
      <c r="B6278" t="s">
        <v>1305</v>
      </c>
      <c r="C6278" t="str">
        <f t="shared" si="304"/>
        <v>37680230000000</v>
      </c>
      <c r="D6278" t="s">
        <v>7493</v>
      </c>
      <c r="E6278" t="str">
        <f>"37680236037915"</f>
        <v>37680236037915</v>
      </c>
      <c r="F6278" s="8">
        <v>1289</v>
      </c>
      <c r="G6278" s="8">
        <v>10062</v>
      </c>
      <c r="H6278" s="8">
        <v>1252</v>
      </c>
      <c r="I6278" s="8">
        <v>2794</v>
      </c>
    </row>
    <row r="6279" spans="1:9" x14ac:dyDescent="0.2">
      <c r="A6279" t="s">
        <v>1281</v>
      </c>
      <c r="B6279" t="s">
        <v>1305</v>
      </c>
      <c r="C6279" t="str">
        <f t="shared" si="304"/>
        <v>37680230000000</v>
      </c>
      <c r="D6279" t="s">
        <v>7494</v>
      </c>
      <c r="E6279" t="str">
        <f>"37680236037964"</f>
        <v>37680236037964</v>
      </c>
      <c r="F6279" s="8">
        <v>1498</v>
      </c>
      <c r="G6279" s="8">
        <v>9792</v>
      </c>
      <c r="H6279" s="8">
        <v>1252</v>
      </c>
      <c r="I6279" s="8">
        <v>2794</v>
      </c>
    </row>
    <row r="6280" spans="1:9" x14ac:dyDescent="0.2">
      <c r="A6280" t="s">
        <v>1281</v>
      </c>
      <c r="B6280" t="s">
        <v>1305</v>
      </c>
      <c r="C6280" t="str">
        <f t="shared" si="304"/>
        <v>37680230000000</v>
      </c>
      <c r="D6280" t="s">
        <v>7495</v>
      </c>
      <c r="E6280" t="str">
        <f>"37680236115646"</f>
        <v>37680236115646</v>
      </c>
      <c r="F6280" s="8">
        <v>919</v>
      </c>
      <c r="G6280" s="8">
        <v>10139</v>
      </c>
      <c r="H6280" s="8">
        <v>1252</v>
      </c>
      <c r="I6280" s="8">
        <v>2794</v>
      </c>
    </row>
    <row r="6281" spans="1:9" x14ac:dyDescent="0.2">
      <c r="A6281" t="s">
        <v>1281</v>
      </c>
      <c r="B6281" t="s">
        <v>1305</v>
      </c>
      <c r="C6281" t="str">
        <f t="shared" si="304"/>
        <v>37680230000000</v>
      </c>
      <c r="D6281" t="s">
        <v>7496</v>
      </c>
      <c r="E6281" t="str">
        <f>"37680236095020"</f>
        <v>37680236095020</v>
      </c>
      <c r="F6281" s="8">
        <v>1371</v>
      </c>
      <c r="G6281" s="8">
        <v>9669</v>
      </c>
      <c r="H6281" s="8">
        <v>1252</v>
      </c>
      <c r="I6281" s="8">
        <v>2794</v>
      </c>
    </row>
    <row r="6282" spans="1:9" x14ac:dyDescent="0.2">
      <c r="A6282" t="s">
        <v>1281</v>
      </c>
      <c r="B6282" t="s">
        <v>1305</v>
      </c>
      <c r="C6282" t="str">
        <f t="shared" si="304"/>
        <v>37680230000000</v>
      </c>
      <c r="D6282" t="s">
        <v>7497</v>
      </c>
      <c r="E6282" t="str">
        <f>"37680236037824"</f>
        <v>37680236037824</v>
      </c>
      <c r="F6282" s="8">
        <v>1058</v>
      </c>
      <c r="G6282" s="8">
        <v>9942</v>
      </c>
      <c r="H6282" s="8">
        <v>1252</v>
      </c>
      <c r="I6282" s="8">
        <v>2794</v>
      </c>
    </row>
    <row r="6283" spans="1:9" x14ac:dyDescent="0.2">
      <c r="A6283" t="s">
        <v>1281</v>
      </c>
      <c r="B6283" t="s">
        <v>1305</v>
      </c>
      <c r="C6283" t="str">
        <f t="shared" si="304"/>
        <v>37680230000000</v>
      </c>
      <c r="D6283" t="s">
        <v>2402</v>
      </c>
      <c r="E6283" t="str">
        <f>"37680236066971"</f>
        <v>37680236066971</v>
      </c>
      <c r="F6283" s="8">
        <v>1164</v>
      </c>
      <c r="G6283" s="8">
        <v>9596</v>
      </c>
      <c r="H6283" s="8">
        <v>1252</v>
      </c>
      <c r="I6283" s="8">
        <v>2794</v>
      </c>
    </row>
    <row r="6284" spans="1:9" x14ac:dyDescent="0.2">
      <c r="A6284" t="s">
        <v>1281</v>
      </c>
      <c r="B6284" t="s">
        <v>1305</v>
      </c>
      <c r="C6284" t="str">
        <f t="shared" si="304"/>
        <v>37680230000000</v>
      </c>
      <c r="D6284" t="s">
        <v>7498</v>
      </c>
      <c r="E6284" t="str">
        <f>"37680236037931"</f>
        <v>37680236037931</v>
      </c>
      <c r="F6284" s="8">
        <v>795</v>
      </c>
      <c r="G6284" s="8">
        <v>9930</v>
      </c>
      <c r="H6284" s="8">
        <v>1252</v>
      </c>
      <c r="I6284" s="8">
        <v>2794</v>
      </c>
    </row>
    <row r="6285" spans="1:9" x14ac:dyDescent="0.2">
      <c r="A6285" t="s">
        <v>1281</v>
      </c>
      <c r="B6285" t="s">
        <v>1305</v>
      </c>
      <c r="C6285" t="str">
        <f t="shared" si="304"/>
        <v>37680230000000</v>
      </c>
      <c r="D6285" t="s">
        <v>809</v>
      </c>
      <c r="E6285" t="str">
        <f>"37680236038020"</f>
        <v>37680236038020</v>
      </c>
      <c r="F6285" s="8">
        <v>634</v>
      </c>
      <c r="G6285" s="8">
        <v>9914</v>
      </c>
      <c r="H6285" s="8">
        <v>1252</v>
      </c>
      <c r="I6285" s="8">
        <v>2794</v>
      </c>
    </row>
    <row r="6286" spans="1:9" x14ac:dyDescent="0.2">
      <c r="A6286" t="s">
        <v>1281</v>
      </c>
      <c r="B6286" t="s">
        <v>1305</v>
      </c>
      <c r="C6286" t="str">
        <f t="shared" si="304"/>
        <v>37680230000000</v>
      </c>
      <c r="D6286" t="s">
        <v>7499</v>
      </c>
      <c r="E6286" t="str">
        <f>"37680236109771"</f>
        <v>37680236109771</v>
      </c>
      <c r="F6286" s="8">
        <v>952</v>
      </c>
      <c r="G6286" s="8">
        <v>9390</v>
      </c>
      <c r="H6286" s="8">
        <v>1252</v>
      </c>
      <c r="I6286" s="8">
        <v>2794</v>
      </c>
    </row>
    <row r="6287" spans="1:9" x14ac:dyDescent="0.2">
      <c r="A6287" t="s">
        <v>1281</v>
      </c>
      <c r="B6287" t="s">
        <v>1305</v>
      </c>
      <c r="C6287" t="str">
        <f t="shared" si="304"/>
        <v>37680230000000</v>
      </c>
      <c r="D6287" t="s">
        <v>7500</v>
      </c>
      <c r="E6287" t="str">
        <f>"37680236037865"</f>
        <v>37680236037865</v>
      </c>
      <c r="F6287" s="8">
        <v>630</v>
      </c>
      <c r="G6287" s="8">
        <v>9433</v>
      </c>
      <c r="H6287" s="8">
        <v>1252</v>
      </c>
      <c r="I6287" s="8">
        <v>2794</v>
      </c>
    </row>
    <row r="6288" spans="1:9" x14ac:dyDescent="0.2">
      <c r="A6288" t="s">
        <v>1281</v>
      </c>
      <c r="B6288" t="s">
        <v>1305</v>
      </c>
      <c r="C6288" t="str">
        <f t="shared" si="304"/>
        <v>37680230000000</v>
      </c>
      <c r="D6288" t="s">
        <v>7501</v>
      </c>
      <c r="E6288" t="str">
        <f>"37680236116396"</f>
        <v>37680236116396</v>
      </c>
      <c r="F6288" s="8">
        <v>517</v>
      </c>
      <c r="G6288" s="8">
        <v>9267</v>
      </c>
      <c r="H6288" s="8">
        <v>1252</v>
      </c>
      <c r="I6288" s="8">
        <v>2794</v>
      </c>
    </row>
    <row r="6289" spans="1:9" x14ac:dyDescent="0.2">
      <c r="A6289" t="s">
        <v>1281</v>
      </c>
      <c r="B6289" t="s">
        <v>1305</v>
      </c>
      <c r="C6289" t="str">
        <f t="shared" si="304"/>
        <v>37680230000000</v>
      </c>
      <c r="D6289" t="s">
        <v>7502</v>
      </c>
      <c r="E6289" t="str">
        <f>"37680236038046"</f>
        <v>37680236038046</v>
      </c>
      <c r="F6289" s="8">
        <v>671</v>
      </c>
      <c r="G6289" s="8">
        <v>8921</v>
      </c>
      <c r="H6289" s="8">
        <v>1252</v>
      </c>
      <c r="I6289" s="8">
        <v>2794</v>
      </c>
    </row>
    <row r="6290" spans="1:9" x14ac:dyDescent="0.2">
      <c r="A6290" t="s">
        <v>1281</v>
      </c>
      <c r="B6290" t="s">
        <v>1305</v>
      </c>
      <c r="C6290" t="str">
        <f t="shared" si="304"/>
        <v>37680230000000</v>
      </c>
      <c r="D6290" t="s">
        <v>7503</v>
      </c>
      <c r="E6290" t="str">
        <f>"37680236095038"</f>
        <v>37680236095038</v>
      </c>
      <c r="F6290" s="8">
        <v>822</v>
      </c>
      <c r="G6290" s="8">
        <v>8648</v>
      </c>
      <c r="H6290" s="8">
        <v>1252</v>
      </c>
      <c r="I6290" s="8">
        <v>2794</v>
      </c>
    </row>
    <row r="6291" spans="1:9" x14ac:dyDescent="0.2">
      <c r="A6291" t="s">
        <v>1281</v>
      </c>
      <c r="B6291" t="s">
        <v>1305</v>
      </c>
      <c r="C6291" t="str">
        <f t="shared" si="304"/>
        <v>37680230000000</v>
      </c>
      <c r="D6291" t="s">
        <v>7504</v>
      </c>
      <c r="E6291" t="str">
        <f>"37680236069090"</f>
        <v>37680236069090</v>
      </c>
      <c r="F6291" s="8">
        <v>689</v>
      </c>
      <c r="G6291" s="8">
        <v>8724</v>
      </c>
      <c r="H6291" s="8">
        <v>1252</v>
      </c>
      <c r="I6291" s="8">
        <v>2794</v>
      </c>
    </row>
    <row r="6292" spans="1:9" x14ac:dyDescent="0.2">
      <c r="A6292" t="s">
        <v>1281</v>
      </c>
      <c r="B6292" t="s">
        <v>1305</v>
      </c>
      <c r="C6292" t="str">
        <f t="shared" si="304"/>
        <v>37680230000000</v>
      </c>
      <c r="D6292" t="s">
        <v>7505</v>
      </c>
      <c r="E6292" t="str">
        <f>"37680236037873"</f>
        <v>37680236037873</v>
      </c>
      <c r="F6292" s="8">
        <v>888</v>
      </c>
      <c r="G6292" s="8">
        <v>8496</v>
      </c>
      <c r="H6292" s="8">
        <v>1252</v>
      </c>
      <c r="I6292" s="8">
        <v>2794</v>
      </c>
    </row>
    <row r="6293" spans="1:9" x14ac:dyDescent="0.2">
      <c r="A6293" t="s">
        <v>1281</v>
      </c>
      <c r="B6293" t="s">
        <v>1305</v>
      </c>
      <c r="C6293" t="str">
        <f t="shared" si="304"/>
        <v>37680230000000</v>
      </c>
      <c r="D6293" t="s">
        <v>7506</v>
      </c>
      <c r="E6293" t="str">
        <f>"37680236037998"</f>
        <v>37680236037998</v>
      </c>
      <c r="F6293" s="8">
        <v>763</v>
      </c>
      <c r="G6293" s="8">
        <v>8534</v>
      </c>
      <c r="H6293" s="8">
        <v>1252</v>
      </c>
      <c r="I6293" s="8">
        <v>2794</v>
      </c>
    </row>
    <row r="6294" spans="1:9" x14ac:dyDescent="0.2">
      <c r="A6294" t="s">
        <v>1281</v>
      </c>
      <c r="B6294" t="s">
        <v>1305</v>
      </c>
      <c r="C6294" t="str">
        <f t="shared" si="304"/>
        <v>37680230000000</v>
      </c>
      <c r="D6294" t="s">
        <v>5898</v>
      </c>
      <c r="E6294" t="str">
        <f>"37680236038012"</f>
        <v>37680236038012</v>
      </c>
      <c r="F6294" s="8">
        <v>421</v>
      </c>
      <c r="G6294" s="8">
        <v>8831</v>
      </c>
      <c r="H6294" s="8">
        <v>1252</v>
      </c>
      <c r="I6294" s="8">
        <v>2794</v>
      </c>
    </row>
    <row r="6295" spans="1:9" x14ac:dyDescent="0.2">
      <c r="A6295" t="s">
        <v>1281</v>
      </c>
      <c r="B6295" t="s">
        <v>1305</v>
      </c>
      <c r="C6295" t="str">
        <f t="shared" si="304"/>
        <v>37680230000000</v>
      </c>
      <c r="D6295" t="s">
        <v>7507</v>
      </c>
      <c r="E6295" t="str">
        <f>"37680236037907"</f>
        <v>37680236037907</v>
      </c>
      <c r="F6295" s="8">
        <v>799</v>
      </c>
      <c r="G6295" s="8">
        <v>8266</v>
      </c>
      <c r="H6295" s="8">
        <v>1252</v>
      </c>
      <c r="I6295" s="8">
        <v>2794</v>
      </c>
    </row>
    <row r="6296" spans="1:9" x14ac:dyDescent="0.2">
      <c r="A6296" t="s">
        <v>1281</v>
      </c>
      <c r="B6296" t="s">
        <v>1305</v>
      </c>
      <c r="C6296" t="str">
        <f t="shared" si="304"/>
        <v>37680230000000</v>
      </c>
      <c r="D6296" t="s">
        <v>7508</v>
      </c>
      <c r="E6296" t="str">
        <f>"37680236118988"</f>
        <v>37680236118988</v>
      </c>
      <c r="F6296" s="8">
        <v>588</v>
      </c>
      <c r="G6296" s="8">
        <v>8383</v>
      </c>
      <c r="H6296" s="8">
        <v>1252</v>
      </c>
      <c r="I6296" s="8">
        <v>2794</v>
      </c>
    </row>
    <row r="6297" spans="1:9" x14ac:dyDescent="0.2">
      <c r="A6297" t="s">
        <v>1281</v>
      </c>
      <c r="B6297" t="s">
        <v>1305</v>
      </c>
      <c r="C6297" t="str">
        <f t="shared" si="304"/>
        <v>37680230000000</v>
      </c>
      <c r="D6297" t="s">
        <v>7509</v>
      </c>
      <c r="E6297" t="str">
        <f>"37680236107775"</f>
        <v>37680236107775</v>
      </c>
      <c r="F6297" s="8">
        <v>465</v>
      </c>
      <c r="G6297" s="8">
        <v>8483</v>
      </c>
      <c r="H6297" s="8">
        <v>1252</v>
      </c>
      <c r="I6297" s="8">
        <v>2794</v>
      </c>
    </row>
    <row r="6298" spans="1:9" x14ac:dyDescent="0.2">
      <c r="A6298" t="s">
        <v>1281</v>
      </c>
      <c r="B6298" t="s">
        <v>1305</v>
      </c>
      <c r="C6298" t="str">
        <f t="shared" si="304"/>
        <v>37680230000000</v>
      </c>
      <c r="D6298" t="s">
        <v>7510</v>
      </c>
      <c r="E6298" t="str">
        <f>"37680236108492"</f>
        <v>37680236108492</v>
      </c>
      <c r="F6298" s="8">
        <v>579</v>
      </c>
      <c r="G6298" s="8">
        <v>8336</v>
      </c>
      <c r="H6298" s="8">
        <v>1252</v>
      </c>
      <c r="I6298" s="8">
        <v>2794</v>
      </c>
    </row>
    <row r="6299" spans="1:9" x14ac:dyDescent="0.2">
      <c r="A6299" t="s">
        <v>1281</v>
      </c>
      <c r="B6299" t="s">
        <v>1305</v>
      </c>
      <c r="C6299" t="str">
        <f t="shared" si="304"/>
        <v>37680230000000</v>
      </c>
      <c r="D6299" t="s">
        <v>7511</v>
      </c>
      <c r="E6299" t="str">
        <f>"37680236037899"</f>
        <v>37680236037899</v>
      </c>
      <c r="F6299" s="8">
        <v>740</v>
      </c>
      <c r="G6299" s="8">
        <v>8010</v>
      </c>
      <c r="H6299" s="8">
        <v>1252</v>
      </c>
      <c r="I6299" s="8">
        <v>2794</v>
      </c>
    </row>
    <row r="6300" spans="1:9" x14ac:dyDescent="0.2">
      <c r="A6300" t="s">
        <v>1281</v>
      </c>
      <c r="B6300" t="s">
        <v>1305</v>
      </c>
      <c r="C6300" t="str">
        <f t="shared" si="304"/>
        <v>37680230000000</v>
      </c>
      <c r="D6300" t="s">
        <v>5313</v>
      </c>
      <c r="E6300" t="str">
        <f>"37680236037949"</f>
        <v>37680236037949</v>
      </c>
      <c r="F6300" s="8">
        <v>628</v>
      </c>
      <c r="G6300" s="8">
        <v>8119</v>
      </c>
      <c r="H6300" s="8">
        <v>1252</v>
      </c>
      <c r="I6300" s="8">
        <v>2794</v>
      </c>
    </row>
    <row r="6301" spans="1:9" x14ac:dyDescent="0.2">
      <c r="A6301" t="s">
        <v>1281</v>
      </c>
      <c r="B6301" t="s">
        <v>1305</v>
      </c>
      <c r="C6301" t="str">
        <f t="shared" si="304"/>
        <v>37680230000000</v>
      </c>
      <c r="D6301" t="s">
        <v>1811</v>
      </c>
      <c r="E6301" t="str">
        <f>"37680230105957"</f>
        <v>37680230105957</v>
      </c>
      <c r="F6301" s="8">
        <v>566</v>
      </c>
      <c r="G6301" s="8">
        <v>8131</v>
      </c>
      <c r="H6301" s="8">
        <v>1252</v>
      </c>
      <c r="I6301" s="8">
        <v>2794</v>
      </c>
    </row>
    <row r="6302" spans="1:9" x14ac:dyDescent="0.2">
      <c r="A6302" t="s">
        <v>1281</v>
      </c>
      <c r="B6302" t="s">
        <v>1305</v>
      </c>
      <c r="C6302" t="str">
        <f t="shared" si="304"/>
        <v>37680230000000</v>
      </c>
      <c r="D6302" t="s">
        <v>7512</v>
      </c>
      <c r="E6302" t="str">
        <f>"37680236113021"</f>
        <v>37680236113021</v>
      </c>
      <c r="F6302" s="8">
        <v>447</v>
      </c>
      <c r="G6302" s="8">
        <v>8180</v>
      </c>
      <c r="H6302" s="8">
        <v>1252</v>
      </c>
      <c r="I6302" s="8">
        <v>2794</v>
      </c>
    </row>
    <row r="6303" spans="1:9" x14ac:dyDescent="0.2">
      <c r="A6303" t="s">
        <v>1281</v>
      </c>
      <c r="B6303" t="s">
        <v>1305</v>
      </c>
      <c r="C6303" t="str">
        <f t="shared" si="304"/>
        <v>37680230000000</v>
      </c>
      <c r="D6303" t="s">
        <v>7513</v>
      </c>
      <c r="E6303" t="str">
        <f>"37680236038004"</f>
        <v>37680236038004</v>
      </c>
      <c r="F6303" s="8">
        <v>581</v>
      </c>
      <c r="G6303" s="8">
        <v>8031</v>
      </c>
      <c r="H6303" s="8">
        <v>1252</v>
      </c>
      <c r="I6303" s="8">
        <v>2794</v>
      </c>
    </row>
    <row r="6304" spans="1:9" x14ac:dyDescent="0.2">
      <c r="A6304" t="s">
        <v>1281</v>
      </c>
      <c r="B6304" t="s">
        <v>1305</v>
      </c>
      <c r="C6304" t="str">
        <f t="shared" si="304"/>
        <v>37680230000000</v>
      </c>
      <c r="D6304" t="s">
        <v>3360</v>
      </c>
      <c r="E6304" t="str">
        <f>"37680230108662"</f>
        <v>37680230108662</v>
      </c>
      <c r="F6304" s="8">
        <v>244</v>
      </c>
      <c r="G6304" s="8">
        <v>8302</v>
      </c>
      <c r="H6304" s="8">
        <v>1252</v>
      </c>
      <c r="I6304" s="8">
        <v>2794</v>
      </c>
    </row>
    <row r="6305" spans="1:9" x14ac:dyDescent="0.2">
      <c r="A6305" t="s">
        <v>1281</v>
      </c>
      <c r="B6305" t="s">
        <v>1305</v>
      </c>
      <c r="C6305" t="str">
        <f t="shared" si="304"/>
        <v>37680230000000</v>
      </c>
      <c r="D6305" t="s">
        <v>5877</v>
      </c>
      <c r="E6305" t="str">
        <f>"37680236118970"</f>
        <v>37680236118970</v>
      </c>
      <c r="F6305" s="8">
        <v>424</v>
      </c>
      <c r="G6305" s="8">
        <v>7905</v>
      </c>
      <c r="H6305" s="8">
        <v>1252</v>
      </c>
      <c r="I6305" s="8">
        <v>2794</v>
      </c>
    </row>
    <row r="6306" spans="1:9" x14ac:dyDescent="0.2">
      <c r="A6306" t="s">
        <v>1281</v>
      </c>
      <c r="B6306" t="s">
        <v>1305</v>
      </c>
      <c r="C6306" t="str">
        <f t="shared" si="304"/>
        <v>37680230000000</v>
      </c>
      <c r="D6306" t="s">
        <v>7514</v>
      </c>
      <c r="E6306" t="str">
        <f>"37680236038038"</f>
        <v>37680236038038</v>
      </c>
      <c r="F6306" s="8">
        <v>494</v>
      </c>
      <c r="G6306" s="8">
        <v>7713</v>
      </c>
      <c r="H6306" s="8">
        <v>1252</v>
      </c>
      <c r="I6306" s="8">
        <v>2794</v>
      </c>
    </row>
    <row r="6307" spans="1:9" x14ac:dyDescent="0.2">
      <c r="A6307" t="s">
        <v>1281</v>
      </c>
      <c r="B6307" t="s">
        <v>1305</v>
      </c>
      <c r="C6307" t="str">
        <f t="shared" si="304"/>
        <v>37680230000000</v>
      </c>
      <c r="D6307" t="s">
        <v>7515</v>
      </c>
      <c r="E6307" t="str">
        <f>"37680230135277"</f>
        <v>37680230135277</v>
      </c>
      <c r="F6307" s="8">
        <v>331</v>
      </c>
      <c r="G6307" s="8">
        <v>7321</v>
      </c>
      <c r="H6307" s="8">
        <v>1252</v>
      </c>
      <c r="I6307" s="8">
        <v>2794</v>
      </c>
    </row>
    <row r="6308" spans="1:9" x14ac:dyDescent="0.2">
      <c r="A6308" t="s">
        <v>1281</v>
      </c>
      <c r="B6308" t="s">
        <v>1305</v>
      </c>
      <c r="C6308" t="str">
        <f t="shared" si="304"/>
        <v>37680230000000</v>
      </c>
      <c r="D6308" t="s">
        <v>7516</v>
      </c>
      <c r="E6308" t="str">
        <f>"37680230114009"</f>
        <v>37680230114009</v>
      </c>
      <c r="F6308" s="8">
        <v>321</v>
      </c>
      <c r="G6308" s="8">
        <v>7049</v>
      </c>
      <c r="H6308" s="8">
        <v>1252</v>
      </c>
      <c r="I6308" s="8">
        <v>2794</v>
      </c>
    </row>
    <row r="6309" spans="1:9" x14ac:dyDescent="0.2">
      <c r="A6309" t="s">
        <v>1281</v>
      </c>
      <c r="B6309" t="s">
        <v>1305</v>
      </c>
      <c r="C6309" t="str">
        <f t="shared" si="304"/>
        <v>37680230000000</v>
      </c>
      <c r="D6309" t="s">
        <v>7517</v>
      </c>
      <c r="E6309" t="str">
        <f>"37680230101592"</f>
        <v>37680230101592</v>
      </c>
      <c r="F6309" s="8">
        <v>246</v>
      </c>
      <c r="G6309" s="8">
        <v>7067</v>
      </c>
      <c r="H6309" s="8">
        <v>1252</v>
      </c>
      <c r="I6309" s="8">
        <v>2794</v>
      </c>
    </row>
    <row r="6310" spans="1:9" x14ac:dyDescent="0.2">
      <c r="A6310" t="s">
        <v>1281</v>
      </c>
      <c r="B6310" t="s">
        <v>1305</v>
      </c>
      <c r="C6310" t="str">
        <f t="shared" si="304"/>
        <v>37680230000000</v>
      </c>
      <c r="D6310" t="s">
        <v>7518</v>
      </c>
      <c r="E6310" t="str">
        <f>"37680230105965"</f>
        <v>37680230105965</v>
      </c>
      <c r="F6310" s="8">
        <v>239</v>
      </c>
      <c r="G6310" s="8">
        <v>6748</v>
      </c>
      <c r="H6310" s="8">
        <v>1252</v>
      </c>
      <c r="I6310" s="8">
        <v>2794</v>
      </c>
    </row>
    <row r="6311" spans="1:9" x14ac:dyDescent="0.2">
      <c r="A6311" t="s">
        <v>1281</v>
      </c>
      <c r="B6311" t="s">
        <v>1305</v>
      </c>
      <c r="C6311" t="str">
        <f t="shared" si="304"/>
        <v>37680230000000</v>
      </c>
      <c r="D6311" t="s">
        <v>7519</v>
      </c>
      <c r="E6311" t="str">
        <f>"37680230127431"</f>
        <v>37680230127431</v>
      </c>
      <c r="F6311" s="8">
        <v>237</v>
      </c>
      <c r="G6311" s="8">
        <v>6495</v>
      </c>
      <c r="H6311" s="8">
        <v>1252</v>
      </c>
      <c r="I6311" s="8">
        <v>2794</v>
      </c>
    </row>
    <row r="6312" spans="1:9" x14ac:dyDescent="0.2">
      <c r="A6312" t="s">
        <v>1281</v>
      </c>
      <c r="B6312" t="s">
        <v>1315</v>
      </c>
      <c r="C6312" t="str">
        <f>"37680310000000"</f>
        <v>37680310000000</v>
      </c>
      <c r="D6312" t="s">
        <v>7520</v>
      </c>
      <c r="E6312" t="str">
        <f>"37680316038053"</f>
        <v>37680316038053</v>
      </c>
      <c r="F6312" s="8">
        <v>437</v>
      </c>
      <c r="G6312" s="8">
        <v>11720</v>
      </c>
      <c r="H6312" s="8">
        <v>0</v>
      </c>
      <c r="I6312" s="8">
        <v>0</v>
      </c>
    </row>
    <row r="6313" spans="1:9" x14ac:dyDescent="0.2">
      <c r="A6313" t="s">
        <v>1281</v>
      </c>
      <c r="B6313" t="s">
        <v>1315</v>
      </c>
      <c r="C6313" t="str">
        <f>"37680310000000"</f>
        <v>37680310000000</v>
      </c>
      <c r="D6313" t="s">
        <v>7521</v>
      </c>
      <c r="E6313" t="str">
        <f>"37680316038087"</f>
        <v>37680316038087</v>
      </c>
      <c r="F6313" s="8">
        <v>917</v>
      </c>
      <c r="G6313" s="8">
        <v>11163</v>
      </c>
      <c r="H6313" s="8">
        <v>0</v>
      </c>
      <c r="I6313" s="8">
        <v>0</v>
      </c>
    </row>
    <row r="6314" spans="1:9" x14ac:dyDescent="0.2">
      <c r="A6314" t="s">
        <v>1281</v>
      </c>
      <c r="B6314" t="s">
        <v>1315</v>
      </c>
      <c r="C6314" t="str">
        <f>"37680310000000"</f>
        <v>37680310000000</v>
      </c>
      <c r="D6314" t="s">
        <v>7522</v>
      </c>
      <c r="E6314" t="str">
        <f>"37680313731478"</f>
        <v>37680313731478</v>
      </c>
      <c r="F6314" s="8">
        <v>343</v>
      </c>
      <c r="G6314" s="8">
        <v>9371</v>
      </c>
      <c r="H6314" s="8">
        <v>0</v>
      </c>
      <c r="I6314" s="8">
        <v>0</v>
      </c>
    </row>
    <row r="6315" spans="1:9" x14ac:dyDescent="0.2">
      <c r="A6315" t="s">
        <v>1281</v>
      </c>
      <c r="B6315" t="s">
        <v>1315</v>
      </c>
      <c r="C6315" t="str">
        <f>"37680310000000"</f>
        <v>37680310000000</v>
      </c>
      <c r="D6315" t="s">
        <v>7523</v>
      </c>
      <c r="E6315" t="str">
        <f>"37680316059570"</f>
        <v>37680316059570</v>
      </c>
      <c r="F6315" s="8">
        <v>247</v>
      </c>
      <c r="G6315" s="8">
        <v>8806</v>
      </c>
      <c r="H6315" s="8">
        <v>0</v>
      </c>
      <c r="I6315" s="8">
        <v>0</v>
      </c>
    </row>
    <row r="6316" spans="1:9" x14ac:dyDescent="0.2">
      <c r="A6316" t="s">
        <v>1281</v>
      </c>
      <c r="B6316" t="s">
        <v>1317</v>
      </c>
      <c r="C6316" t="str">
        <f>"37680490000000"</f>
        <v>37680490000000</v>
      </c>
      <c r="D6316" t="s">
        <v>1317</v>
      </c>
      <c r="E6316" t="str">
        <f>"37680496038095"</f>
        <v>37680496038095</v>
      </c>
      <c r="F6316" s="8">
        <v>2109</v>
      </c>
      <c r="G6316" s="8">
        <v>17414</v>
      </c>
      <c r="H6316" s="8">
        <v>0</v>
      </c>
      <c r="I6316" s="8">
        <v>0</v>
      </c>
    </row>
    <row r="6317" spans="1:9" x14ac:dyDescent="0.2">
      <c r="A6317" t="s">
        <v>1281</v>
      </c>
      <c r="B6317" t="s">
        <v>1318</v>
      </c>
      <c r="C6317" t="str">
        <f t="shared" ref="C6317:C6324" si="305">"37680560000000"</f>
        <v>37680560000000</v>
      </c>
      <c r="D6317" t="s">
        <v>7524</v>
      </c>
      <c r="E6317" t="str">
        <f>"37680566088983"</f>
        <v>37680566088983</v>
      </c>
      <c r="F6317" s="8">
        <v>458</v>
      </c>
      <c r="G6317" s="8">
        <v>12013</v>
      </c>
      <c r="H6317" s="8">
        <v>1110</v>
      </c>
      <c r="I6317" s="8">
        <v>7257</v>
      </c>
    </row>
    <row r="6318" spans="1:9" x14ac:dyDescent="0.2">
      <c r="A6318" t="s">
        <v>1281</v>
      </c>
      <c r="B6318" t="s">
        <v>1318</v>
      </c>
      <c r="C6318" t="str">
        <f t="shared" si="305"/>
        <v>37680560000000</v>
      </c>
      <c r="D6318" t="s">
        <v>7525</v>
      </c>
      <c r="E6318" t="str">
        <f>"37680566038111"</f>
        <v>37680566038111</v>
      </c>
      <c r="F6318" s="8">
        <v>332</v>
      </c>
      <c r="G6318" s="8">
        <v>11160</v>
      </c>
      <c r="H6318" s="8">
        <v>1110</v>
      </c>
      <c r="I6318" s="8">
        <v>7257</v>
      </c>
    </row>
    <row r="6319" spans="1:9" x14ac:dyDescent="0.2">
      <c r="A6319" t="s">
        <v>1281</v>
      </c>
      <c r="B6319" t="s">
        <v>1318</v>
      </c>
      <c r="C6319" t="str">
        <f t="shared" si="305"/>
        <v>37680560000000</v>
      </c>
      <c r="D6319" t="s">
        <v>7526</v>
      </c>
      <c r="E6319" t="str">
        <f>"37680566117923"</f>
        <v>37680566117923</v>
      </c>
      <c r="F6319" s="8">
        <v>212</v>
      </c>
      <c r="G6319" s="8">
        <v>9886</v>
      </c>
      <c r="H6319" s="8">
        <v>1110</v>
      </c>
      <c r="I6319" s="8">
        <v>7257</v>
      </c>
    </row>
    <row r="6320" spans="1:9" x14ac:dyDescent="0.2">
      <c r="A6320" t="s">
        <v>1281</v>
      </c>
      <c r="B6320" t="s">
        <v>1318</v>
      </c>
      <c r="C6320" t="str">
        <f t="shared" si="305"/>
        <v>37680560000000</v>
      </c>
      <c r="D6320" t="s">
        <v>7527</v>
      </c>
      <c r="E6320" t="str">
        <f>"37680566115620"</f>
        <v>37680566115620</v>
      </c>
      <c r="F6320" s="8">
        <v>376</v>
      </c>
      <c r="G6320" s="8">
        <v>9445</v>
      </c>
      <c r="H6320" s="8">
        <v>1110</v>
      </c>
      <c r="I6320" s="8">
        <v>7257</v>
      </c>
    </row>
    <row r="6321" spans="1:9" x14ac:dyDescent="0.2">
      <c r="A6321" t="s">
        <v>1281</v>
      </c>
      <c r="B6321" t="s">
        <v>1318</v>
      </c>
      <c r="C6321" t="str">
        <f t="shared" si="305"/>
        <v>37680560000000</v>
      </c>
      <c r="D6321" t="s">
        <v>7528</v>
      </c>
      <c r="E6321" t="str">
        <f>"37680566120596"</f>
        <v>37680566120596</v>
      </c>
      <c r="F6321" s="8">
        <v>158</v>
      </c>
      <c r="G6321" s="8">
        <v>8978</v>
      </c>
      <c r="H6321" s="8">
        <v>1110</v>
      </c>
      <c r="I6321" s="8">
        <v>7257</v>
      </c>
    </row>
    <row r="6322" spans="1:9" x14ac:dyDescent="0.2">
      <c r="A6322" t="s">
        <v>1281</v>
      </c>
      <c r="B6322" t="s">
        <v>1318</v>
      </c>
      <c r="C6322" t="str">
        <f t="shared" si="305"/>
        <v>37680560000000</v>
      </c>
      <c r="D6322" t="s">
        <v>7529</v>
      </c>
      <c r="E6322" t="str">
        <f>"37680560110114"</f>
        <v>37680560110114</v>
      </c>
      <c r="F6322" s="8">
        <v>396</v>
      </c>
      <c r="G6322" s="8">
        <v>8729</v>
      </c>
      <c r="H6322" s="8">
        <v>1110</v>
      </c>
      <c r="I6322" s="8">
        <v>7257</v>
      </c>
    </row>
    <row r="6323" spans="1:9" x14ac:dyDescent="0.2">
      <c r="A6323" t="s">
        <v>1281</v>
      </c>
      <c r="B6323" t="s">
        <v>1318</v>
      </c>
      <c r="C6323" t="str">
        <f t="shared" si="305"/>
        <v>37680560000000</v>
      </c>
      <c r="D6323" t="s">
        <v>7530</v>
      </c>
      <c r="E6323" t="str">
        <f>"37680566110696"</f>
        <v>37680566110696</v>
      </c>
      <c r="F6323" s="8">
        <v>160</v>
      </c>
      <c r="G6323" s="8">
        <v>8422</v>
      </c>
      <c r="H6323" s="8">
        <v>1110</v>
      </c>
      <c r="I6323" s="8">
        <v>7257</v>
      </c>
    </row>
    <row r="6324" spans="1:9" x14ac:dyDescent="0.2">
      <c r="A6324" t="s">
        <v>1281</v>
      </c>
      <c r="B6324" t="s">
        <v>1318</v>
      </c>
      <c r="C6324" t="str">
        <f t="shared" si="305"/>
        <v>37680560000000</v>
      </c>
      <c r="D6324" t="s">
        <v>7531</v>
      </c>
      <c r="E6324" t="str">
        <f>"37680560114686"</f>
        <v>37680560114686</v>
      </c>
      <c r="F6324" s="8">
        <v>129</v>
      </c>
      <c r="G6324" s="8">
        <v>8147</v>
      </c>
      <c r="H6324" s="8">
        <v>1110</v>
      </c>
      <c r="I6324" s="8">
        <v>7257</v>
      </c>
    </row>
    <row r="6325" spans="1:9" x14ac:dyDescent="0.2">
      <c r="A6325" t="s">
        <v>1281</v>
      </c>
      <c r="B6325" t="s">
        <v>1330</v>
      </c>
      <c r="C6325" t="str">
        <f t="shared" ref="C6325:C6333" si="306">"37680800000000"</f>
        <v>37680800000000</v>
      </c>
      <c r="D6325" t="s">
        <v>7532</v>
      </c>
      <c r="E6325" t="str">
        <f>"37680806108534"</f>
        <v>37680806108534</v>
      </c>
      <c r="F6325" s="8">
        <v>1267</v>
      </c>
      <c r="G6325" s="8">
        <v>12491</v>
      </c>
      <c r="H6325" s="8">
        <v>0</v>
      </c>
      <c r="I6325" s="8">
        <v>3791</v>
      </c>
    </row>
    <row r="6326" spans="1:9" x14ac:dyDescent="0.2">
      <c r="A6326" t="s">
        <v>1281</v>
      </c>
      <c r="B6326" t="s">
        <v>1330</v>
      </c>
      <c r="C6326" t="str">
        <f t="shared" si="306"/>
        <v>37680800000000</v>
      </c>
      <c r="D6326" t="s">
        <v>7533</v>
      </c>
      <c r="E6326" t="str">
        <f>"37680806099402"</f>
        <v>37680806099402</v>
      </c>
      <c r="F6326" s="8">
        <v>1348</v>
      </c>
      <c r="G6326" s="8">
        <v>11447</v>
      </c>
      <c r="H6326" s="8">
        <v>0</v>
      </c>
      <c r="I6326" s="8">
        <v>3791</v>
      </c>
    </row>
    <row r="6327" spans="1:9" x14ac:dyDescent="0.2">
      <c r="A6327" t="s">
        <v>1281</v>
      </c>
      <c r="B6327" t="s">
        <v>1330</v>
      </c>
      <c r="C6327" t="str">
        <f t="shared" si="306"/>
        <v>37680800000000</v>
      </c>
      <c r="D6327" t="s">
        <v>7534</v>
      </c>
      <c r="E6327" t="str">
        <f>"37680806106132"</f>
        <v>37680806106132</v>
      </c>
      <c r="F6327" s="8">
        <v>1867</v>
      </c>
      <c r="G6327" s="8">
        <v>8820</v>
      </c>
      <c r="H6327" s="8">
        <v>0</v>
      </c>
      <c r="I6327" s="8">
        <v>3791</v>
      </c>
    </row>
    <row r="6328" spans="1:9" x14ac:dyDescent="0.2">
      <c r="A6328" t="s">
        <v>1281</v>
      </c>
      <c r="B6328" t="s">
        <v>1330</v>
      </c>
      <c r="C6328" t="str">
        <f t="shared" si="306"/>
        <v>37680800000000</v>
      </c>
      <c r="D6328" t="s">
        <v>7535</v>
      </c>
      <c r="E6328" t="str">
        <f>"37680806095046"</f>
        <v>37680806095046</v>
      </c>
      <c r="F6328" s="8">
        <v>1277</v>
      </c>
      <c r="G6328" s="8">
        <v>9402</v>
      </c>
      <c r="H6328" s="8">
        <v>0</v>
      </c>
      <c r="I6328" s="8">
        <v>3791</v>
      </c>
    </row>
    <row r="6329" spans="1:9" x14ac:dyDescent="0.2">
      <c r="A6329" t="s">
        <v>1281</v>
      </c>
      <c r="B6329" t="s">
        <v>1330</v>
      </c>
      <c r="C6329" t="str">
        <f t="shared" si="306"/>
        <v>37680800000000</v>
      </c>
      <c r="D6329" t="s">
        <v>7536</v>
      </c>
      <c r="E6329" t="str">
        <f>"37680806038152"</f>
        <v>37680806038152</v>
      </c>
      <c r="F6329" s="8">
        <v>1417</v>
      </c>
      <c r="G6329" s="8">
        <v>8773</v>
      </c>
      <c r="H6329" s="8">
        <v>0</v>
      </c>
      <c r="I6329" s="8">
        <v>3791</v>
      </c>
    </row>
    <row r="6330" spans="1:9" x14ac:dyDescent="0.2">
      <c r="A6330" t="s">
        <v>1281</v>
      </c>
      <c r="B6330" t="s">
        <v>1330</v>
      </c>
      <c r="C6330" t="str">
        <f t="shared" si="306"/>
        <v>37680800000000</v>
      </c>
      <c r="D6330" t="s">
        <v>7537</v>
      </c>
      <c r="E6330" t="str">
        <f>"37680806117709"</f>
        <v>37680806117709</v>
      </c>
      <c r="F6330" s="8">
        <v>1238</v>
      </c>
      <c r="G6330" s="8">
        <v>8904</v>
      </c>
      <c r="H6330" s="8">
        <v>0</v>
      </c>
      <c r="I6330" s="8">
        <v>3791</v>
      </c>
    </row>
    <row r="6331" spans="1:9" x14ac:dyDescent="0.2">
      <c r="A6331" t="s">
        <v>1281</v>
      </c>
      <c r="B6331" t="s">
        <v>1330</v>
      </c>
      <c r="C6331" t="str">
        <f t="shared" si="306"/>
        <v>37680800000000</v>
      </c>
      <c r="D6331" t="s">
        <v>7538</v>
      </c>
      <c r="E6331" t="str">
        <f>"37680806066989"</f>
        <v>37680806066989</v>
      </c>
      <c r="F6331" s="8">
        <v>1408</v>
      </c>
      <c r="G6331" s="8">
        <v>8425</v>
      </c>
      <c r="H6331" s="8">
        <v>0</v>
      </c>
      <c r="I6331" s="8">
        <v>3791</v>
      </c>
    </row>
    <row r="6332" spans="1:9" x14ac:dyDescent="0.2">
      <c r="A6332" t="s">
        <v>1281</v>
      </c>
      <c r="B6332" t="s">
        <v>1330</v>
      </c>
      <c r="C6332" t="str">
        <f t="shared" si="306"/>
        <v>37680800000000</v>
      </c>
      <c r="D6332" t="s">
        <v>7539</v>
      </c>
      <c r="E6332" t="str">
        <f>"37680806038145"</f>
        <v>37680806038145</v>
      </c>
      <c r="F6332" s="8">
        <v>1521</v>
      </c>
      <c r="G6332" s="8">
        <v>8078</v>
      </c>
      <c r="H6332" s="8">
        <v>0</v>
      </c>
      <c r="I6332" s="8">
        <v>3791</v>
      </c>
    </row>
    <row r="6333" spans="1:9" x14ac:dyDescent="0.2">
      <c r="A6333" t="s">
        <v>1281</v>
      </c>
      <c r="B6333" t="s">
        <v>1330</v>
      </c>
      <c r="C6333" t="str">
        <f t="shared" si="306"/>
        <v>37680800000000</v>
      </c>
      <c r="D6333" t="s">
        <v>7540</v>
      </c>
      <c r="E6333" t="str">
        <f>"37680806112445"</f>
        <v>37680806112445</v>
      </c>
      <c r="F6333" s="8">
        <v>1298</v>
      </c>
      <c r="G6333" s="8">
        <v>8101</v>
      </c>
      <c r="H6333" s="8">
        <v>0</v>
      </c>
      <c r="I6333" s="8">
        <v>3791</v>
      </c>
    </row>
    <row r="6334" spans="1:9" x14ac:dyDescent="0.2">
      <c r="A6334" t="s">
        <v>1281</v>
      </c>
      <c r="B6334" t="s">
        <v>1333</v>
      </c>
      <c r="C6334" t="str">
        <f t="shared" ref="C6334:C6356" si="307">"37680980000000"</f>
        <v>37680980000000</v>
      </c>
      <c r="D6334" t="s">
        <v>7541</v>
      </c>
      <c r="E6334" t="str">
        <f>"37680980102590"</f>
        <v>37680980102590</v>
      </c>
      <c r="F6334" s="8">
        <v>1019.0409233997901</v>
      </c>
      <c r="G6334" s="8">
        <v>9192.1175236096533</v>
      </c>
      <c r="H6334" s="8">
        <v>1239.9548793284366</v>
      </c>
      <c r="I6334" s="8">
        <v>4959.4522560335781</v>
      </c>
    </row>
    <row r="6335" spans="1:9" x14ac:dyDescent="0.2">
      <c r="A6335" t="s">
        <v>1281</v>
      </c>
      <c r="B6335" t="s">
        <v>1333</v>
      </c>
      <c r="C6335" t="str">
        <f t="shared" si="307"/>
        <v>37680980000000</v>
      </c>
      <c r="D6335" t="s">
        <v>7542</v>
      </c>
      <c r="E6335" t="str">
        <f>"37680986105944"</f>
        <v>37680986105944</v>
      </c>
      <c r="F6335" s="8">
        <v>1485.7563559322034</v>
      </c>
      <c r="G6335" s="8">
        <v>8758.0264830508477</v>
      </c>
      <c r="H6335" s="8">
        <v>1245.1811440677966</v>
      </c>
      <c r="I6335" s="8">
        <v>4980.3559322033898</v>
      </c>
    </row>
    <row r="6336" spans="1:9" x14ac:dyDescent="0.2">
      <c r="A6336" t="s">
        <v>1281</v>
      </c>
      <c r="B6336" t="s">
        <v>1333</v>
      </c>
      <c r="C6336" t="str">
        <f t="shared" si="307"/>
        <v>37680980000000</v>
      </c>
      <c r="D6336" t="s">
        <v>6451</v>
      </c>
      <c r="E6336" t="str">
        <f>"37680986038210"</f>
        <v>37680986038210</v>
      </c>
      <c r="F6336" s="8">
        <v>1395.7136363636364</v>
      </c>
      <c r="G6336" s="8">
        <v>8749.261363636364</v>
      </c>
      <c r="H6336" s="8">
        <v>1246.5954545454545</v>
      </c>
      <c r="I6336" s="8">
        <v>4986.0159090909092</v>
      </c>
    </row>
    <row r="6337" spans="1:9" x14ac:dyDescent="0.2">
      <c r="A6337" t="s">
        <v>1281</v>
      </c>
      <c r="B6337" t="s">
        <v>1333</v>
      </c>
      <c r="C6337" t="str">
        <f t="shared" si="307"/>
        <v>37680980000000</v>
      </c>
      <c r="D6337" t="s">
        <v>7543</v>
      </c>
      <c r="E6337" t="str">
        <f>"37680986093215"</f>
        <v>37680986093215</v>
      </c>
      <c r="F6337" s="8">
        <v>1055.0983606557377</v>
      </c>
      <c r="G6337" s="8">
        <v>8242.6699453551919</v>
      </c>
      <c r="H6337" s="8">
        <v>1245.1814207650273</v>
      </c>
      <c r="I6337" s="8">
        <v>4980.3562841530056</v>
      </c>
    </row>
    <row r="6338" spans="1:9" x14ac:dyDescent="0.2">
      <c r="A6338" t="s">
        <v>1281</v>
      </c>
      <c r="B6338" t="s">
        <v>1333</v>
      </c>
      <c r="C6338" t="str">
        <f t="shared" si="307"/>
        <v>37680980000000</v>
      </c>
      <c r="D6338" t="s">
        <v>7544</v>
      </c>
      <c r="E6338" t="str">
        <f>"37680986038194"</f>
        <v>37680986038194</v>
      </c>
      <c r="F6338" s="8">
        <v>1272.6292749658003</v>
      </c>
      <c r="G6338" s="8">
        <v>8639.1176470588234</v>
      </c>
      <c r="H6338" s="8">
        <v>1245.1805745554036</v>
      </c>
      <c r="I6338" s="8">
        <v>4980.357045143639</v>
      </c>
    </row>
    <row r="6339" spans="1:9" x14ac:dyDescent="0.2">
      <c r="A6339" t="s">
        <v>1281</v>
      </c>
      <c r="B6339" t="s">
        <v>1333</v>
      </c>
      <c r="C6339" t="str">
        <f t="shared" si="307"/>
        <v>37680980000000</v>
      </c>
      <c r="D6339" t="s">
        <v>7545</v>
      </c>
      <c r="E6339" t="str">
        <f>"37680986107882"</f>
        <v>37680986107882</v>
      </c>
      <c r="F6339" s="8">
        <v>682.27307692307693</v>
      </c>
      <c r="G6339" s="8">
        <v>7744.169230769231</v>
      </c>
      <c r="H6339" s="8">
        <v>1245.1807692307693</v>
      </c>
      <c r="I6339" s="8">
        <v>4980.3564102564105</v>
      </c>
    </row>
    <row r="6340" spans="1:9" x14ac:dyDescent="0.2">
      <c r="A6340" t="s">
        <v>1281</v>
      </c>
      <c r="B6340" t="s">
        <v>1333</v>
      </c>
      <c r="C6340" t="str">
        <f t="shared" si="307"/>
        <v>37680980000000</v>
      </c>
      <c r="D6340" t="s">
        <v>6695</v>
      </c>
      <c r="E6340" t="str">
        <f>"37680986038244"</f>
        <v>37680986038244</v>
      </c>
      <c r="F6340" s="8">
        <v>817.94409937888202</v>
      </c>
      <c r="G6340" s="8">
        <v>8373.2531055900618</v>
      </c>
      <c r="H6340" s="8">
        <v>1245.1816770186335</v>
      </c>
      <c r="I6340" s="8">
        <v>4980.3571428571431</v>
      </c>
    </row>
    <row r="6341" spans="1:9" x14ac:dyDescent="0.2">
      <c r="A6341" t="s">
        <v>1281</v>
      </c>
      <c r="B6341" t="s">
        <v>1333</v>
      </c>
      <c r="C6341" t="str">
        <f t="shared" si="307"/>
        <v>37680980000000</v>
      </c>
      <c r="D6341" t="s">
        <v>7546</v>
      </c>
      <c r="E6341" t="str">
        <f>"37680986038939"</f>
        <v>37680986038939</v>
      </c>
      <c r="F6341" s="8">
        <v>824.33491311216426</v>
      </c>
      <c r="G6341" s="8">
        <v>8460.2432859399687</v>
      </c>
      <c r="H6341" s="8">
        <v>1245.1816745655608</v>
      </c>
      <c r="I6341" s="8">
        <v>4980.357030015798</v>
      </c>
    </row>
    <row r="6342" spans="1:9" x14ac:dyDescent="0.2">
      <c r="A6342" t="s">
        <v>1281</v>
      </c>
      <c r="B6342" t="s">
        <v>1333</v>
      </c>
      <c r="C6342" t="str">
        <f t="shared" si="307"/>
        <v>37680980000000</v>
      </c>
      <c r="D6342" t="s">
        <v>2229</v>
      </c>
      <c r="E6342" t="str">
        <f>"37680986110381"</f>
        <v>37680986110381</v>
      </c>
      <c r="F6342" s="8">
        <v>623.47407407407411</v>
      </c>
      <c r="G6342" s="8">
        <v>7677.1007407407405</v>
      </c>
      <c r="H6342" s="8">
        <v>1245.1807407407407</v>
      </c>
      <c r="I6342" s="8">
        <v>4980.3570370370371</v>
      </c>
    </row>
    <row r="6343" spans="1:9" x14ac:dyDescent="0.2">
      <c r="A6343" t="s">
        <v>1281</v>
      </c>
      <c r="B6343" t="s">
        <v>1333</v>
      </c>
      <c r="C6343" t="str">
        <f t="shared" si="307"/>
        <v>37680980000000</v>
      </c>
      <c r="D6343" t="s">
        <v>1214</v>
      </c>
      <c r="E6343" t="str">
        <f>"37680986038178"</f>
        <v>37680986038178</v>
      </c>
      <c r="F6343" s="8">
        <v>1410.8740740740741</v>
      </c>
      <c r="G6343" s="8">
        <v>10228.324074074075</v>
      </c>
      <c r="H6343" s="8">
        <v>1245.1814814814816</v>
      </c>
      <c r="I6343" s="8">
        <v>4980.3555555555558</v>
      </c>
    </row>
    <row r="6344" spans="1:9" x14ac:dyDescent="0.2">
      <c r="A6344" t="s">
        <v>1281</v>
      </c>
      <c r="B6344" t="s">
        <v>1333</v>
      </c>
      <c r="C6344" t="str">
        <f t="shared" si="307"/>
        <v>37680980000000</v>
      </c>
      <c r="D6344" t="s">
        <v>7185</v>
      </c>
      <c r="E6344" t="str">
        <f>"37680986038228"</f>
        <v>37680986038228</v>
      </c>
      <c r="F6344" s="8">
        <v>1014.3156996587031</v>
      </c>
      <c r="G6344" s="8">
        <v>8967.4761092150165</v>
      </c>
      <c r="H6344" s="8">
        <v>1247.3054607508532</v>
      </c>
      <c r="I6344" s="8">
        <v>4988.8549488054605</v>
      </c>
    </row>
    <row r="6345" spans="1:9" x14ac:dyDescent="0.2">
      <c r="A6345" t="s">
        <v>1281</v>
      </c>
      <c r="B6345" t="s">
        <v>1333</v>
      </c>
      <c r="C6345" t="str">
        <f t="shared" si="307"/>
        <v>37680980000000</v>
      </c>
      <c r="D6345" t="s">
        <v>7547</v>
      </c>
      <c r="E6345" t="str">
        <f>"37680986102750"</f>
        <v>37680986102750</v>
      </c>
      <c r="F6345" s="8">
        <v>807.31098696461822</v>
      </c>
      <c r="G6345" s="8">
        <v>9803.2271880819371</v>
      </c>
      <c r="H6345" s="8">
        <v>1249.8193668528863</v>
      </c>
      <c r="I6345" s="8">
        <v>4998.9050279329613</v>
      </c>
    </row>
    <row r="6346" spans="1:9" x14ac:dyDescent="0.2">
      <c r="A6346" t="s">
        <v>1281</v>
      </c>
      <c r="B6346" t="s">
        <v>1333</v>
      </c>
      <c r="C6346" t="str">
        <f t="shared" si="307"/>
        <v>37680980000000</v>
      </c>
      <c r="D6346" t="s">
        <v>7548</v>
      </c>
      <c r="E6346" t="str">
        <f>"37680980107862"</f>
        <v>37680980107862</v>
      </c>
      <c r="F6346" s="8">
        <v>370.14705882352939</v>
      </c>
      <c r="G6346" s="8">
        <v>9014.9792387543257</v>
      </c>
      <c r="H6346" s="8">
        <v>1245.1816608996539</v>
      </c>
      <c r="I6346" s="8">
        <v>4980.3564013840833</v>
      </c>
    </row>
    <row r="6347" spans="1:9" x14ac:dyDescent="0.2">
      <c r="A6347" t="s">
        <v>1281</v>
      </c>
      <c r="B6347" t="s">
        <v>1333</v>
      </c>
      <c r="C6347" t="str">
        <f t="shared" si="307"/>
        <v>37680980000000</v>
      </c>
      <c r="D6347" t="s">
        <v>7549</v>
      </c>
      <c r="E6347" t="str">
        <f>"37680980107870"</f>
        <v>37680980107870</v>
      </c>
      <c r="F6347" s="8">
        <v>459.57475083056477</v>
      </c>
      <c r="G6347" s="8">
        <v>8242.3122923588035</v>
      </c>
      <c r="H6347" s="8">
        <v>1247.2491694352159</v>
      </c>
      <c r="I6347" s="8">
        <v>4988.629568106312</v>
      </c>
    </row>
    <row r="6348" spans="1:9" x14ac:dyDescent="0.2">
      <c r="A6348" t="s">
        <v>1281</v>
      </c>
      <c r="B6348" t="s">
        <v>1333</v>
      </c>
      <c r="C6348" t="str">
        <f t="shared" si="307"/>
        <v>37680980000000</v>
      </c>
      <c r="D6348" t="s">
        <v>7550</v>
      </c>
      <c r="E6348" t="str">
        <f>"37680980102608"</f>
        <v>37680980102608</v>
      </c>
      <c r="F6348" s="8">
        <v>845.661231884058</v>
      </c>
      <c r="G6348" s="8">
        <v>9204.1557971014499</v>
      </c>
      <c r="H6348" s="8">
        <v>1245.1811594202898</v>
      </c>
      <c r="I6348" s="8">
        <v>4980.356884057971</v>
      </c>
    </row>
    <row r="6349" spans="1:9" x14ac:dyDescent="0.2">
      <c r="A6349" t="s">
        <v>1281</v>
      </c>
      <c r="B6349" t="s">
        <v>1333</v>
      </c>
      <c r="C6349" t="str">
        <f t="shared" si="307"/>
        <v>37680980000000</v>
      </c>
      <c r="D6349" t="s">
        <v>7551</v>
      </c>
      <c r="E6349" t="str">
        <f>"37680986111769"</f>
        <v>37680986111769</v>
      </c>
      <c r="F6349" s="8">
        <v>782.1479289940828</v>
      </c>
      <c r="G6349" s="8">
        <v>10281.392504930967</v>
      </c>
      <c r="H6349" s="8">
        <v>1245.1814595660749</v>
      </c>
      <c r="I6349" s="8">
        <v>4980.3570019723866</v>
      </c>
    </row>
    <row r="6350" spans="1:9" x14ac:dyDescent="0.2">
      <c r="A6350" t="s">
        <v>1281</v>
      </c>
      <c r="B6350" t="s">
        <v>1333</v>
      </c>
      <c r="C6350" t="str">
        <f t="shared" si="307"/>
        <v>37680980000000</v>
      </c>
      <c r="D6350" t="s">
        <v>7552</v>
      </c>
      <c r="E6350" t="str">
        <f>"37680986038186"</f>
        <v>37680986038186</v>
      </c>
      <c r="F6350" s="8">
        <v>846.61406844106466</v>
      </c>
      <c r="G6350" s="8">
        <v>9510.6026615969586</v>
      </c>
      <c r="H6350" s="8">
        <v>1245.180608365019</v>
      </c>
      <c r="I6350" s="8">
        <v>4980.3555133079844</v>
      </c>
    </row>
    <row r="6351" spans="1:9" x14ac:dyDescent="0.2">
      <c r="A6351" t="s">
        <v>1281</v>
      </c>
      <c r="B6351" t="s">
        <v>1333</v>
      </c>
      <c r="C6351" t="str">
        <f t="shared" si="307"/>
        <v>37680980000000</v>
      </c>
      <c r="D6351" t="s">
        <v>7553</v>
      </c>
      <c r="E6351" t="str">
        <f>"37680986038947"</f>
        <v>37680986038947</v>
      </c>
      <c r="F6351" s="8">
        <v>965.46168224299061</v>
      </c>
      <c r="G6351" s="8">
        <v>8888.1644859813077</v>
      </c>
      <c r="H6351" s="8">
        <v>1245.181308411215</v>
      </c>
      <c r="I6351" s="8">
        <v>4980.3570093457947</v>
      </c>
    </row>
    <row r="6352" spans="1:9" x14ac:dyDescent="0.2">
      <c r="A6352" t="s">
        <v>1281</v>
      </c>
      <c r="B6352" t="s">
        <v>1333</v>
      </c>
      <c r="C6352" t="str">
        <f t="shared" si="307"/>
        <v>37680980000000</v>
      </c>
      <c r="D6352" t="s">
        <v>7554</v>
      </c>
      <c r="E6352" t="str">
        <f>"37680986038251"</f>
        <v>37680986038251</v>
      </c>
      <c r="F6352" s="8">
        <v>822.46653543307082</v>
      </c>
      <c r="G6352" s="8">
        <v>8498.1870078740158</v>
      </c>
      <c r="H6352" s="8">
        <v>1245.1811023622047</v>
      </c>
      <c r="I6352" s="8">
        <v>4980.3562992125981</v>
      </c>
    </row>
    <row r="6353" spans="1:9" x14ac:dyDescent="0.2">
      <c r="A6353" t="s">
        <v>1281</v>
      </c>
      <c r="B6353" t="s">
        <v>1333</v>
      </c>
      <c r="C6353" t="str">
        <f t="shared" si="307"/>
        <v>37680980000000</v>
      </c>
      <c r="D6353" t="s">
        <v>2243</v>
      </c>
      <c r="E6353" t="str">
        <f>"37680986038236"</f>
        <v>37680986038236</v>
      </c>
      <c r="F6353" s="8">
        <v>1031.6877729257642</v>
      </c>
      <c r="G6353" s="8">
        <v>8508.9301310043666</v>
      </c>
      <c r="H6353" s="8">
        <v>1242.46288209607</v>
      </c>
      <c r="I6353" s="8">
        <v>4969.4825327510916</v>
      </c>
    </row>
    <row r="6354" spans="1:9" x14ac:dyDescent="0.2">
      <c r="A6354" t="s">
        <v>1281</v>
      </c>
      <c r="B6354" t="s">
        <v>1333</v>
      </c>
      <c r="C6354" t="str">
        <f t="shared" si="307"/>
        <v>37680980000000</v>
      </c>
      <c r="D6354" t="s">
        <v>7555</v>
      </c>
      <c r="E6354" t="str">
        <f>"37680986038202"</f>
        <v>37680986038202</v>
      </c>
      <c r="F6354" s="8">
        <v>1083.6276346604216</v>
      </c>
      <c r="G6354" s="8">
        <v>8631.4028103044493</v>
      </c>
      <c r="H6354" s="8">
        <v>1242.2646370023419</v>
      </c>
      <c r="I6354" s="8">
        <v>4968.6932084309137</v>
      </c>
    </row>
    <row r="6355" spans="1:9" x14ac:dyDescent="0.2">
      <c r="A6355" t="s">
        <v>1281</v>
      </c>
      <c r="B6355" t="s">
        <v>1333</v>
      </c>
      <c r="C6355" t="str">
        <f t="shared" si="307"/>
        <v>37680980000000</v>
      </c>
      <c r="D6355" t="s">
        <v>7556</v>
      </c>
      <c r="E6355" t="str">
        <f>"37680986066997"</f>
        <v>37680986066997</v>
      </c>
      <c r="F6355" s="8">
        <v>751.06684491978615</v>
      </c>
      <c r="G6355" s="8">
        <v>10280.088235294117</v>
      </c>
      <c r="H6355" s="8">
        <v>1245.1818181818182</v>
      </c>
      <c r="I6355" s="8">
        <v>4980.3556149732622</v>
      </c>
    </row>
    <row r="6356" spans="1:9" x14ac:dyDescent="0.2">
      <c r="A6356" t="s">
        <v>1281</v>
      </c>
      <c r="B6356" t="s">
        <v>1333</v>
      </c>
      <c r="C6356" t="str">
        <f t="shared" si="307"/>
        <v>37680980000000</v>
      </c>
      <c r="D6356" t="s">
        <v>7557</v>
      </c>
      <c r="E6356" t="str">
        <f>"37680980131813"</f>
        <v>37680980131813</v>
      </c>
      <c r="F6356" s="8">
        <v>1303.9253246753246</v>
      </c>
      <c r="G6356" s="8">
        <v>7469.772727272727</v>
      </c>
      <c r="H6356" s="8">
        <v>1249.2240259740261</v>
      </c>
      <c r="I6356" s="8">
        <v>4996.5259740259744</v>
      </c>
    </row>
    <row r="6357" spans="1:9" x14ac:dyDescent="0.2">
      <c r="A6357" t="s">
        <v>1281</v>
      </c>
      <c r="B6357" t="s">
        <v>1334</v>
      </c>
      <c r="C6357" t="str">
        <f>"37681060000000"</f>
        <v>37681060000000</v>
      </c>
      <c r="D6357" t="s">
        <v>2116</v>
      </c>
      <c r="E6357" t="str">
        <f>"37681063732054"</f>
        <v>37681063732054</v>
      </c>
      <c r="F6357" s="8">
        <v>3353</v>
      </c>
      <c r="G6357" s="8">
        <v>13077</v>
      </c>
      <c r="H6357" s="8">
        <v>676</v>
      </c>
      <c r="I6357" s="8">
        <v>3553</v>
      </c>
    </row>
    <row r="6358" spans="1:9" x14ac:dyDescent="0.2">
      <c r="A6358" t="s">
        <v>1281</v>
      </c>
      <c r="B6358" t="s">
        <v>1334</v>
      </c>
      <c r="C6358" t="str">
        <f>"37681060000000"</f>
        <v>37681060000000</v>
      </c>
      <c r="D6358" t="s">
        <v>7558</v>
      </c>
      <c r="E6358" t="str">
        <f>"37681063732062"</f>
        <v>37681063732062</v>
      </c>
      <c r="F6358" s="8">
        <v>2563</v>
      </c>
      <c r="G6358" s="8">
        <v>9046</v>
      </c>
      <c r="H6358" s="8">
        <v>676</v>
      </c>
      <c r="I6358" s="8">
        <v>3553</v>
      </c>
    </row>
    <row r="6359" spans="1:9" x14ac:dyDescent="0.2">
      <c r="A6359" t="s">
        <v>1281</v>
      </c>
      <c r="B6359" t="s">
        <v>1334</v>
      </c>
      <c r="C6359" t="str">
        <f>"37681060000000"</f>
        <v>37681060000000</v>
      </c>
      <c r="D6359" t="s">
        <v>7559</v>
      </c>
      <c r="E6359" t="str">
        <f>"37681063735313"</f>
        <v>37681063735313</v>
      </c>
      <c r="F6359" s="8">
        <v>1936</v>
      </c>
      <c r="G6359" s="8">
        <v>8764</v>
      </c>
      <c r="H6359" s="8">
        <v>676</v>
      </c>
      <c r="I6359" s="8">
        <v>3553</v>
      </c>
    </row>
    <row r="6360" spans="1:9" x14ac:dyDescent="0.2">
      <c r="A6360" t="s">
        <v>1281</v>
      </c>
      <c r="B6360" t="s">
        <v>1334</v>
      </c>
      <c r="C6360" t="str">
        <f>"37681060000000"</f>
        <v>37681060000000</v>
      </c>
      <c r="D6360" t="s">
        <v>7560</v>
      </c>
      <c r="E6360" t="str">
        <f>"37681060127241"</f>
        <v>37681060127241</v>
      </c>
      <c r="F6360" s="8">
        <v>1458</v>
      </c>
      <c r="G6360" s="8">
        <v>9107</v>
      </c>
      <c r="H6360" s="8">
        <v>676</v>
      </c>
      <c r="I6360" s="8">
        <v>3553</v>
      </c>
    </row>
    <row r="6361" spans="1:9" x14ac:dyDescent="0.2">
      <c r="A6361" t="s">
        <v>1281</v>
      </c>
      <c r="B6361" t="s">
        <v>1334</v>
      </c>
      <c r="C6361" t="str">
        <f>"37681060000000"</f>
        <v>37681060000000</v>
      </c>
      <c r="D6361" t="s">
        <v>7561</v>
      </c>
      <c r="E6361" t="str">
        <f>"37681063730058"</f>
        <v>37681063730058</v>
      </c>
      <c r="F6361" s="8">
        <v>1973</v>
      </c>
      <c r="G6361" s="8">
        <v>8012</v>
      </c>
      <c r="H6361" s="8">
        <v>676</v>
      </c>
      <c r="I6361" s="8">
        <v>3553</v>
      </c>
    </row>
    <row r="6362" spans="1:9" x14ac:dyDescent="0.2">
      <c r="A6362" t="s">
        <v>1281</v>
      </c>
      <c r="B6362" t="s">
        <v>1335</v>
      </c>
      <c r="C6362" t="str">
        <f t="shared" ref="C6362:C6371" si="308">"37681140000000"</f>
        <v>37681140000000</v>
      </c>
      <c r="D6362" t="s">
        <v>7562</v>
      </c>
      <c r="E6362" t="str">
        <f>"37681146096515"</f>
        <v>37681146096515</v>
      </c>
      <c r="F6362" s="8">
        <v>1261</v>
      </c>
      <c r="G6362" s="8">
        <v>8110</v>
      </c>
      <c r="H6362" s="8">
        <v>1217</v>
      </c>
      <c r="I6362" s="8">
        <v>6982</v>
      </c>
    </row>
    <row r="6363" spans="1:9" x14ac:dyDescent="0.2">
      <c r="A6363" t="s">
        <v>1281</v>
      </c>
      <c r="B6363" t="s">
        <v>1335</v>
      </c>
      <c r="C6363" t="str">
        <f t="shared" si="308"/>
        <v>37681140000000</v>
      </c>
      <c r="D6363" t="s">
        <v>7563</v>
      </c>
      <c r="E6363" t="str">
        <f>"37681146038301"</f>
        <v>37681146038301</v>
      </c>
      <c r="F6363" s="8">
        <v>1052</v>
      </c>
      <c r="G6363" s="8">
        <v>8587</v>
      </c>
      <c r="H6363" s="8">
        <v>1188</v>
      </c>
      <c r="I6363" s="8">
        <v>6585</v>
      </c>
    </row>
    <row r="6364" spans="1:9" x14ac:dyDescent="0.2">
      <c r="A6364" t="s">
        <v>1281</v>
      </c>
      <c r="B6364" t="s">
        <v>1335</v>
      </c>
      <c r="C6364" t="str">
        <f t="shared" si="308"/>
        <v>37681140000000</v>
      </c>
      <c r="D6364" t="s">
        <v>7564</v>
      </c>
      <c r="E6364" t="str">
        <f>"37681140131920"</f>
        <v>37681140131920</v>
      </c>
      <c r="F6364" s="8">
        <v>2513</v>
      </c>
      <c r="G6364" s="8">
        <v>7518</v>
      </c>
      <c r="H6364" s="8">
        <v>1410</v>
      </c>
      <c r="I6364" s="8">
        <v>5863</v>
      </c>
    </row>
    <row r="6365" spans="1:9" x14ac:dyDescent="0.2">
      <c r="A6365" t="s">
        <v>1281</v>
      </c>
      <c r="B6365" t="s">
        <v>1335</v>
      </c>
      <c r="C6365" t="str">
        <f t="shared" si="308"/>
        <v>37681140000000</v>
      </c>
      <c r="D6365" t="s">
        <v>7565</v>
      </c>
      <c r="E6365" t="str">
        <f>"37681146038285"</f>
        <v>37681146038285</v>
      </c>
      <c r="F6365" s="8">
        <v>552</v>
      </c>
      <c r="G6365" s="8">
        <v>7752</v>
      </c>
      <c r="H6365" s="8">
        <v>1446</v>
      </c>
      <c r="I6365" s="8">
        <v>7188</v>
      </c>
    </row>
    <row r="6366" spans="1:9" x14ac:dyDescent="0.2">
      <c r="A6366" t="s">
        <v>1281</v>
      </c>
      <c r="B6366" t="s">
        <v>1335</v>
      </c>
      <c r="C6366" t="str">
        <f t="shared" si="308"/>
        <v>37681140000000</v>
      </c>
      <c r="D6366" t="s">
        <v>7566</v>
      </c>
      <c r="E6366" t="str">
        <f>"37681146038269"</f>
        <v>37681146038269</v>
      </c>
      <c r="F6366" s="8">
        <v>696</v>
      </c>
      <c r="G6366" s="8">
        <v>7856</v>
      </c>
      <c r="H6366" s="8">
        <v>1301</v>
      </c>
      <c r="I6366" s="8">
        <v>7035</v>
      </c>
    </row>
    <row r="6367" spans="1:9" x14ac:dyDescent="0.2">
      <c r="A6367" t="s">
        <v>1281</v>
      </c>
      <c r="B6367" t="s">
        <v>1335</v>
      </c>
      <c r="C6367" t="str">
        <f t="shared" si="308"/>
        <v>37681140000000</v>
      </c>
      <c r="D6367" t="s">
        <v>7567</v>
      </c>
      <c r="E6367" t="str">
        <f>"37681146038277"</f>
        <v>37681146038277</v>
      </c>
      <c r="F6367" s="8">
        <v>382</v>
      </c>
      <c r="G6367" s="8">
        <v>7453</v>
      </c>
      <c r="H6367" s="8">
        <v>1242</v>
      </c>
      <c r="I6367" s="8">
        <v>7326</v>
      </c>
    </row>
    <row r="6368" spans="1:9" x14ac:dyDescent="0.2">
      <c r="A6368" t="s">
        <v>1281</v>
      </c>
      <c r="B6368" t="s">
        <v>1335</v>
      </c>
      <c r="C6368" t="str">
        <f t="shared" si="308"/>
        <v>37681140000000</v>
      </c>
      <c r="D6368" t="s">
        <v>1688</v>
      </c>
      <c r="E6368" t="str">
        <f>"37681146109524"</f>
        <v>37681146109524</v>
      </c>
      <c r="F6368" s="8">
        <v>602</v>
      </c>
      <c r="G6368" s="8">
        <v>7427</v>
      </c>
      <c r="H6368" s="8">
        <v>1274</v>
      </c>
      <c r="I6368" s="8">
        <v>6660</v>
      </c>
    </row>
    <row r="6369" spans="1:9" x14ac:dyDescent="0.2">
      <c r="A6369" t="s">
        <v>1281</v>
      </c>
      <c r="B6369" t="s">
        <v>1335</v>
      </c>
      <c r="C6369" t="str">
        <f t="shared" si="308"/>
        <v>37681140000000</v>
      </c>
      <c r="D6369" t="s">
        <v>7568</v>
      </c>
      <c r="E6369" t="str">
        <f>"37681146116420"</f>
        <v>37681146116420</v>
      </c>
      <c r="F6369" s="8">
        <v>865</v>
      </c>
      <c r="G6369" s="8">
        <v>7011</v>
      </c>
      <c r="H6369" s="8">
        <v>1295</v>
      </c>
      <c r="I6369" s="8">
        <v>6747</v>
      </c>
    </row>
    <row r="6370" spans="1:9" x14ac:dyDescent="0.2">
      <c r="A6370" t="s">
        <v>1281</v>
      </c>
      <c r="B6370" t="s">
        <v>1335</v>
      </c>
      <c r="C6370" t="str">
        <f t="shared" si="308"/>
        <v>37681140000000</v>
      </c>
      <c r="D6370" t="s">
        <v>7569</v>
      </c>
      <c r="E6370" t="str">
        <f>"37681146096911"</f>
        <v>37681146096911</v>
      </c>
      <c r="F6370" s="8">
        <v>0</v>
      </c>
      <c r="G6370" s="8">
        <v>1026</v>
      </c>
      <c r="H6370" s="8">
        <v>1159</v>
      </c>
      <c r="I6370" s="8">
        <v>6000</v>
      </c>
    </row>
    <row r="6371" spans="1:9" x14ac:dyDescent="0.2">
      <c r="A6371" t="s">
        <v>1281</v>
      </c>
      <c r="B6371" t="s">
        <v>1335</v>
      </c>
      <c r="C6371" t="str">
        <f t="shared" si="308"/>
        <v>37681140000000</v>
      </c>
      <c r="D6371" t="s">
        <v>7570</v>
      </c>
      <c r="E6371" t="str">
        <f>"37681140115519"</f>
        <v>37681140115519</v>
      </c>
      <c r="F6371" s="8" t="s">
        <v>30</v>
      </c>
      <c r="G6371" s="8" t="s">
        <v>30</v>
      </c>
      <c r="H6371" s="8" t="s">
        <v>30</v>
      </c>
      <c r="I6371" s="8" t="s">
        <v>30</v>
      </c>
    </row>
    <row r="6372" spans="1:9" x14ac:dyDescent="0.2">
      <c r="A6372" t="s">
        <v>1281</v>
      </c>
      <c r="B6372" t="s">
        <v>1336</v>
      </c>
      <c r="C6372" t="str">
        <f>"37681220000000"</f>
        <v>37681220000000</v>
      </c>
      <c r="D6372" t="s">
        <v>7571</v>
      </c>
      <c r="E6372" t="str">
        <f>"37681223732195"</f>
        <v>37681223732195</v>
      </c>
      <c r="F6372" s="8">
        <v>2278</v>
      </c>
      <c r="G6372" s="8">
        <v>9335</v>
      </c>
      <c r="H6372" s="8">
        <v>1022</v>
      </c>
      <c r="I6372" s="8">
        <v>4403</v>
      </c>
    </row>
    <row r="6373" spans="1:9" x14ac:dyDescent="0.2">
      <c r="A6373" t="s">
        <v>1281</v>
      </c>
      <c r="B6373" t="s">
        <v>1336</v>
      </c>
      <c r="C6373" t="str">
        <f>"37681220000000"</f>
        <v>37681220000000</v>
      </c>
      <c r="D6373" t="s">
        <v>7572</v>
      </c>
      <c r="E6373" t="str">
        <f>"37681223730967"</f>
        <v>37681223730967</v>
      </c>
      <c r="F6373" s="8">
        <v>1397</v>
      </c>
      <c r="G6373" s="8">
        <v>8731</v>
      </c>
      <c r="H6373" s="8">
        <v>1022</v>
      </c>
      <c r="I6373" s="8">
        <v>4403</v>
      </c>
    </row>
    <row r="6374" spans="1:9" x14ac:dyDescent="0.2">
      <c r="A6374" t="s">
        <v>1281</v>
      </c>
      <c r="B6374" t="s">
        <v>1336</v>
      </c>
      <c r="C6374" t="str">
        <f>"37681220000000"</f>
        <v>37681220000000</v>
      </c>
      <c r="D6374" t="s">
        <v>7573</v>
      </c>
      <c r="E6374" t="str">
        <f>"37681223732179"</f>
        <v>37681223732179</v>
      </c>
      <c r="F6374" s="8">
        <v>1547</v>
      </c>
      <c r="G6374" s="8">
        <v>8087</v>
      </c>
      <c r="H6374" s="8">
        <v>1022</v>
      </c>
      <c r="I6374" s="8">
        <v>4403</v>
      </c>
    </row>
    <row r="6375" spans="1:9" x14ac:dyDescent="0.2">
      <c r="A6375" t="s">
        <v>1281</v>
      </c>
      <c r="B6375" t="s">
        <v>1341</v>
      </c>
      <c r="C6375" t="str">
        <f t="shared" ref="C6375:C6389" si="309">"37681300000000"</f>
        <v>37681300000000</v>
      </c>
      <c r="D6375" t="s">
        <v>6125</v>
      </c>
      <c r="E6375" t="str">
        <f>"37681300128819"</f>
        <v>37681300128819</v>
      </c>
      <c r="F6375" s="8">
        <v>2359</v>
      </c>
      <c r="G6375" s="8">
        <v>61383</v>
      </c>
      <c r="H6375" s="8">
        <v>1260</v>
      </c>
      <c r="I6375" s="8">
        <v>4186</v>
      </c>
    </row>
    <row r="6376" spans="1:9" x14ac:dyDescent="0.2">
      <c r="A6376" t="s">
        <v>1281</v>
      </c>
      <c r="B6376" t="s">
        <v>1341</v>
      </c>
      <c r="C6376" t="str">
        <f t="shared" si="309"/>
        <v>37681300000000</v>
      </c>
      <c r="D6376" t="s">
        <v>7574</v>
      </c>
      <c r="E6376" t="str">
        <f>"37681303731486"</f>
        <v>37681303731486</v>
      </c>
      <c r="F6376" s="8">
        <v>497</v>
      </c>
      <c r="G6376" s="8">
        <v>47564</v>
      </c>
      <c r="H6376" s="8">
        <v>1260</v>
      </c>
      <c r="I6376" s="8">
        <v>4186</v>
      </c>
    </row>
    <row r="6377" spans="1:9" x14ac:dyDescent="0.2">
      <c r="A6377" t="s">
        <v>1281</v>
      </c>
      <c r="B6377" t="s">
        <v>1341</v>
      </c>
      <c r="C6377" t="str">
        <f t="shared" si="309"/>
        <v>37681300000000</v>
      </c>
      <c r="D6377" t="s">
        <v>6654</v>
      </c>
      <c r="E6377" t="str">
        <f>"37681303732559"</f>
        <v>37681303732559</v>
      </c>
      <c r="F6377" s="8">
        <v>2421</v>
      </c>
      <c r="G6377" s="8">
        <v>43786</v>
      </c>
      <c r="H6377" s="8">
        <v>1260</v>
      </c>
      <c r="I6377" s="8">
        <v>4186</v>
      </c>
    </row>
    <row r="6378" spans="1:9" x14ac:dyDescent="0.2">
      <c r="A6378" t="s">
        <v>1281</v>
      </c>
      <c r="B6378" t="s">
        <v>1341</v>
      </c>
      <c r="C6378" t="str">
        <f t="shared" si="309"/>
        <v>37681300000000</v>
      </c>
      <c r="D6378" t="s">
        <v>7575</v>
      </c>
      <c r="E6378" t="str">
        <f>"37681300128793"</f>
        <v>37681300128793</v>
      </c>
      <c r="F6378" s="8">
        <v>1050</v>
      </c>
      <c r="G6378" s="8">
        <v>17135</v>
      </c>
      <c r="H6378" s="8">
        <v>1260</v>
      </c>
      <c r="I6378" s="8">
        <v>4186</v>
      </c>
    </row>
    <row r="6379" spans="1:9" x14ac:dyDescent="0.2">
      <c r="A6379" t="s">
        <v>1281</v>
      </c>
      <c r="B6379" t="s">
        <v>1341</v>
      </c>
      <c r="C6379" t="str">
        <f t="shared" si="309"/>
        <v>37681300000000</v>
      </c>
      <c r="D6379" t="s">
        <v>7576</v>
      </c>
      <c r="E6379" t="str">
        <f>"37681300132548"</f>
        <v>37681300132548</v>
      </c>
      <c r="F6379" s="8">
        <v>730</v>
      </c>
      <c r="G6379" s="8">
        <v>13816</v>
      </c>
      <c r="H6379" s="8">
        <v>1260</v>
      </c>
      <c r="I6379" s="8">
        <v>4186</v>
      </c>
    </row>
    <row r="6380" spans="1:9" x14ac:dyDescent="0.2">
      <c r="A6380" t="s">
        <v>1281</v>
      </c>
      <c r="B6380" t="s">
        <v>1341</v>
      </c>
      <c r="C6380" t="str">
        <f t="shared" si="309"/>
        <v>37681300000000</v>
      </c>
      <c r="D6380" t="s">
        <v>7577</v>
      </c>
      <c r="E6380" t="str">
        <f>"37681303734761"</f>
        <v>37681303734761</v>
      </c>
      <c r="F6380" s="8">
        <v>2274</v>
      </c>
      <c r="G6380" s="8">
        <v>9629</v>
      </c>
      <c r="H6380" s="8">
        <v>1260</v>
      </c>
      <c r="I6380" s="8">
        <v>4186</v>
      </c>
    </row>
    <row r="6381" spans="1:9" x14ac:dyDescent="0.2">
      <c r="A6381" t="s">
        <v>1281</v>
      </c>
      <c r="B6381" t="s">
        <v>1341</v>
      </c>
      <c r="C6381" t="str">
        <f t="shared" si="309"/>
        <v>37681300000000</v>
      </c>
      <c r="D6381" t="s">
        <v>7578</v>
      </c>
      <c r="E6381" t="str">
        <f>"37681303731692"</f>
        <v>37681303731692</v>
      </c>
      <c r="F6381" s="8">
        <v>1700</v>
      </c>
      <c r="G6381" s="8">
        <v>9647</v>
      </c>
      <c r="H6381" s="8">
        <v>1260</v>
      </c>
      <c r="I6381" s="8">
        <v>4186</v>
      </c>
    </row>
    <row r="6382" spans="1:9" x14ac:dyDescent="0.2">
      <c r="A6382" t="s">
        <v>1281</v>
      </c>
      <c r="B6382" t="s">
        <v>1341</v>
      </c>
      <c r="C6382" t="str">
        <f t="shared" si="309"/>
        <v>37681300000000</v>
      </c>
      <c r="D6382" t="s">
        <v>2647</v>
      </c>
      <c r="E6382" t="str">
        <f>"37681303734548"</f>
        <v>37681303734548</v>
      </c>
      <c r="F6382" s="8">
        <v>1013</v>
      </c>
      <c r="G6382" s="8">
        <v>8976</v>
      </c>
      <c r="H6382" s="8">
        <v>1260</v>
      </c>
      <c r="I6382" s="8">
        <v>4186</v>
      </c>
    </row>
    <row r="6383" spans="1:9" x14ac:dyDescent="0.2">
      <c r="A6383" t="s">
        <v>1281</v>
      </c>
      <c r="B6383" t="s">
        <v>1341</v>
      </c>
      <c r="C6383" t="str">
        <f t="shared" si="309"/>
        <v>37681300000000</v>
      </c>
      <c r="D6383" t="s">
        <v>5492</v>
      </c>
      <c r="E6383" t="str">
        <f>"37681303731809"</f>
        <v>37681303731809</v>
      </c>
      <c r="F6383" s="8">
        <v>628</v>
      </c>
      <c r="G6383" s="8">
        <v>8857</v>
      </c>
      <c r="H6383" s="8">
        <v>1260</v>
      </c>
      <c r="I6383" s="8">
        <v>4186</v>
      </c>
    </row>
    <row r="6384" spans="1:9" x14ac:dyDescent="0.2">
      <c r="A6384" t="s">
        <v>1281</v>
      </c>
      <c r="B6384" t="s">
        <v>1341</v>
      </c>
      <c r="C6384" t="str">
        <f t="shared" si="309"/>
        <v>37681300000000</v>
      </c>
      <c r="D6384" t="s">
        <v>7579</v>
      </c>
      <c r="E6384" t="str">
        <f>"37681303730702"</f>
        <v>37681303730702</v>
      </c>
      <c r="F6384" s="8">
        <v>768</v>
      </c>
      <c r="G6384" s="8">
        <v>8003</v>
      </c>
      <c r="H6384" s="8">
        <v>1260</v>
      </c>
      <c r="I6384" s="8">
        <v>4186</v>
      </c>
    </row>
    <row r="6385" spans="1:9" x14ac:dyDescent="0.2">
      <c r="A6385" t="s">
        <v>1281</v>
      </c>
      <c r="B6385" t="s">
        <v>1341</v>
      </c>
      <c r="C6385" t="str">
        <f t="shared" si="309"/>
        <v>37681300000000</v>
      </c>
      <c r="D6385" t="s">
        <v>7580</v>
      </c>
      <c r="E6385" t="str">
        <f>"37681303732625"</f>
        <v>37681303732625</v>
      </c>
      <c r="F6385" s="8">
        <v>737</v>
      </c>
      <c r="G6385" s="8">
        <v>7792</v>
      </c>
      <c r="H6385" s="8">
        <v>1260</v>
      </c>
      <c r="I6385" s="8">
        <v>4186</v>
      </c>
    </row>
    <row r="6386" spans="1:9" x14ac:dyDescent="0.2">
      <c r="A6386" t="s">
        <v>1281</v>
      </c>
      <c r="B6386" t="s">
        <v>1341</v>
      </c>
      <c r="C6386" t="str">
        <f t="shared" si="309"/>
        <v>37681300000000</v>
      </c>
      <c r="D6386" t="s">
        <v>7041</v>
      </c>
      <c r="E6386" t="str">
        <f>"37681303732336"</f>
        <v>37681303732336</v>
      </c>
      <c r="F6386" s="8">
        <v>629</v>
      </c>
      <c r="G6386" s="8">
        <v>7549</v>
      </c>
      <c r="H6386" s="8">
        <v>1260</v>
      </c>
      <c r="I6386" s="8">
        <v>4186</v>
      </c>
    </row>
    <row r="6387" spans="1:9" x14ac:dyDescent="0.2">
      <c r="A6387" t="s">
        <v>1281</v>
      </c>
      <c r="B6387" t="s">
        <v>1341</v>
      </c>
      <c r="C6387" t="str">
        <f t="shared" si="309"/>
        <v>37681300000000</v>
      </c>
      <c r="D6387" t="s">
        <v>7581</v>
      </c>
      <c r="E6387" t="str">
        <f>"37681303737905"</f>
        <v>37681303737905</v>
      </c>
      <c r="F6387" s="8">
        <v>491</v>
      </c>
      <c r="G6387" s="8">
        <v>7492</v>
      </c>
      <c r="H6387" s="8">
        <v>1260</v>
      </c>
      <c r="I6387" s="8">
        <v>4186</v>
      </c>
    </row>
    <row r="6388" spans="1:9" x14ac:dyDescent="0.2">
      <c r="A6388" t="s">
        <v>1281</v>
      </c>
      <c r="B6388" t="s">
        <v>1341</v>
      </c>
      <c r="C6388" t="str">
        <f t="shared" si="309"/>
        <v>37681300000000</v>
      </c>
      <c r="D6388" t="s">
        <v>7582</v>
      </c>
      <c r="E6388" t="str">
        <f>"37681303730066"</f>
        <v>37681303730066</v>
      </c>
      <c r="F6388" s="8">
        <v>449</v>
      </c>
      <c r="G6388" s="8">
        <v>6814</v>
      </c>
      <c r="H6388" s="8">
        <v>1260</v>
      </c>
      <c r="I6388" s="8">
        <v>4186</v>
      </c>
    </row>
    <row r="6389" spans="1:9" x14ac:dyDescent="0.2">
      <c r="A6389" t="s">
        <v>1281</v>
      </c>
      <c r="B6389" t="s">
        <v>1341</v>
      </c>
      <c r="C6389" t="str">
        <f t="shared" si="309"/>
        <v>37681300000000</v>
      </c>
      <c r="D6389" t="s">
        <v>7583</v>
      </c>
      <c r="E6389" t="str">
        <f>"37681303731536"</f>
        <v>37681303731536</v>
      </c>
      <c r="F6389" s="8">
        <v>141</v>
      </c>
      <c r="G6389" s="8">
        <v>6017</v>
      </c>
      <c r="H6389" s="8">
        <v>1260</v>
      </c>
      <c r="I6389" s="8">
        <v>4186</v>
      </c>
    </row>
    <row r="6390" spans="1:9" x14ac:dyDescent="0.2">
      <c r="A6390" t="s">
        <v>1281</v>
      </c>
      <c r="B6390" t="s">
        <v>1373</v>
      </c>
      <c r="C6390" t="str">
        <f>"37681550000000"</f>
        <v>37681550000000</v>
      </c>
      <c r="D6390" t="s">
        <v>2581</v>
      </c>
      <c r="E6390" t="str">
        <f>"37681556097182"</f>
        <v>37681556097182</v>
      </c>
      <c r="F6390" s="8">
        <v>2809</v>
      </c>
      <c r="G6390" s="8">
        <v>8063</v>
      </c>
      <c r="H6390" s="8">
        <v>181</v>
      </c>
      <c r="I6390" s="8">
        <v>2908</v>
      </c>
    </row>
    <row r="6391" spans="1:9" x14ac:dyDescent="0.2">
      <c r="A6391" t="s">
        <v>1281</v>
      </c>
      <c r="B6391" t="s">
        <v>1373</v>
      </c>
      <c r="C6391" t="str">
        <f>"37681550000000"</f>
        <v>37681550000000</v>
      </c>
      <c r="D6391" t="s">
        <v>7584</v>
      </c>
      <c r="E6391" t="str">
        <f>"37681556038319"</f>
        <v>37681556038319</v>
      </c>
      <c r="F6391" s="8">
        <v>2347</v>
      </c>
      <c r="G6391" s="8">
        <v>6942</v>
      </c>
      <c r="H6391" s="8">
        <v>181</v>
      </c>
      <c r="I6391" s="8">
        <v>2908</v>
      </c>
    </row>
    <row r="6392" spans="1:9" x14ac:dyDescent="0.2">
      <c r="A6392" t="s">
        <v>1281</v>
      </c>
      <c r="B6392" t="s">
        <v>1379</v>
      </c>
      <c r="C6392" t="str">
        <f>"37681630000000"</f>
        <v>37681630000000</v>
      </c>
      <c r="D6392" t="s">
        <v>7585</v>
      </c>
      <c r="E6392" t="str">
        <f>"37681636038327"</f>
        <v>37681636038327</v>
      </c>
      <c r="F6392" s="8">
        <v>1731</v>
      </c>
      <c r="G6392" s="8">
        <v>6542</v>
      </c>
      <c r="H6392" s="8">
        <v>1612</v>
      </c>
      <c r="I6392" s="8">
        <v>3103</v>
      </c>
    </row>
    <row r="6393" spans="1:9" x14ac:dyDescent="0.2">
      <c r="A6393" t="s">
        <v>1281</v>
      </c>
      <c r="B6393" t="s">
        <v>1379</v>
      </c>
      <c r="C6393" t="str">
        <f>"37681630000000"</f>
        <v>37681630000000</v>
      </c>
      <c r="D6393" t="s">
        <v>7586</v>
      </c>
      <c r="E6393" t="str">
        <f>"37681636105845"</f>
        <v>37681636105845</v>
      </c>
      <c r="F6393" s="8">
        <v>1000</v>
      </c>
      <c r="G6393" s="8">
        <v>3113</v>
      </c>
      <c r="H6393" s="8">
        <v>932</v>
      </c>
      <c r="I6393" s="8">
        <v>1477</v>
      </c>
    </row>
    <row r="6394" spans="1:9" x14ac:dyDescent="0.2">
      <c r="A6394" t="s">
        <v>1281</v>
      </c>
      <c r="B6394" t="s">
        <v>1380</v>
      </c>
      <c r="C6394" t="str">
        <f>"37681710000000"</f>
        <v>37681710000000</v>
      </c>
      <c r="D6394" t="s">
        <v>7587</v>
      </c>
      <c r="E6394" t="str">
        <f>"37681713733219"</f>
        <v>37681713733219</v>
      </c>
      <c r="F6394" s="8">
        <v>5002</v>
      </c>
      <c r="G6394" s="8">
        <v>24063</v>
      </c>
      <c r="H6394" s="8">
        <v>0</v>
      </c>
      <c r="I6394" s="8">
        <v>4995</v>
      </c>
    </row>
    <row r="6395" spans="1:9" x14ac:dyDescent="0.2">
      <c r="A6395" t="s">
        <v>1281</v>
      </c>
      <c r="B6395" t="s">
        <v>1390</v>
      </c>
      <c r="C6395" t="str">
        <f t="shared" ref="C6395:C6417" si="310">"37681970000000"</f>
        <v>37681970000000</v>
      </c>
      <c r="D6395" t="s">
        <v>7588</v>
      </c>
      <c r="E6395" t="str">
        <f>"37681970134155"</f>
        <v>37681970134155</v>
      </c>
      <c r="F6395" s="8">
        <v>1717</v>
      </c>
      <c r="G6395" s="8">
        <v>7708</v>
      </c>
      <c r="H6395" s="8">
        <v>1043</v>
      </c>
      <c r="I6395" s="8">
        <v>5689</v>
      </c>
    </row>
    <row r="6396" spans="1:9" x14ac:dyDescent="0.2">
      <c r="A6396" t="s">
        <v>1281</v>
      </c>
      <c r="B6396" t="s">
        <v>1390</v>
      </c>
      <c r="C6396" t="str">
        <f t="shared" si="310"/>
        <v>37681970000000</v>
      </c>
      <c r="D6396" t="s">
        <v>7589</v>
      </c>
      <c r="E6396" t="str">
        <f>"37681970132431"</f>
        <v>37681970132431</v>
      </c>
      <c r="F6396" s="8">
        <v>1119</v>
      </c>
      <c r="G6396" s="8">
        <v>5792</v>
      </c>
      <c r="H6396" s="8">
        <v>1043</v>
      </c>
      <c r="I6396" s="8">
        <v>5689</v>
      </c>
    </row>
    <row r="6397" spans="1:9" x14ac:dyDescent="0.2">
      <c r="A6397" t="s">
        <v>1281</v>
      </c>
      <c r="B6397" t="s">
        <v>1390</v>
      </c>
      <c r="C6397" t="str">
        <f t="shared" si="310"/>
        <v>37681970000000</v>
      </c>
      <c r="D6397" t="s">
        <v>2601</v>
      </c>
      <c r="E6397" t="str">
        <f>"37681976038418"</f>
        <v>37681976038418</v>
      </c>
      <c r="F6397" s="8">
        <v>1093</v>
      </c>
      <c r="G6397" s="8">
        <v>5603</v>
      </c>
      <c r="H6397" s="8">
        <v>1043</v>
      </c>
      <c r="I6397" s="8">
        <v>5689</v>
      </c>
    </row>
    <row r="6398" spans="1:9" x14ac:dyDescent="0.2">
      <c r="A6398" t="s">
        <v>1281</v>
      </c>
      <c r="B6398" t="s">
        <v>1390</v>
      </c>
      <c r="C6398" t="str">
        <f t="shared" si="310"/>
        <v>37681970000000</v>
      </c>
      <c r="D6398" t="s">
        <v>7590</v>
      </c>
      <c r="E6398" t="str">
        <f>"37681970132951"</f>
        <v>37681970132951</v>
      </c>
      <c r="F6398" s="8">
        <v>0</v>
      </c>
      <c r="G6398" s="8">
        <v>6676</v>
      </c>
      <c r="H6398" s="8">
        <v>1043</v>
      </c>
      <c r="I6398" s="8">
        <v>5689</v>
      </c>
    </row>
    <row r="6399" spans="1:9" x14ac:dyDescent="0.2">
      <c r="A6399" t="s">
        <v>1281</v>
      </c>
      <c r="B6399" t="s">
        <v>1390</v>
      </c>
      <c r="C6399" t="str">
        <f t="shared" si="310"/>
        <v>37681970000000</v>
      </c>
      <c r="D6399" t="s">
        <v>7591</v>
      </c>
      <c r="E6399" t="str">
        <f>"37681976038558"</f>
        <v>37681976038558</v>
      </c>
      <c r="F6399" s="8">
        <v>1279</v>
      </c>
      <c r="G6399" s="8">
        <v>5291</v>
      </c>
      <c r="H6399" s="8">
        <v>1043</v>
      </c>
      <c r="I6399" s="8">
        <v>5689</v>
      </c>
    </row>
    <row r="6400" spans="1:9" x14ac:dyDescent="0.2">
      <c r="A6400" t="s">
        <v>1281</v>
      </c>
      <c r="B6400" t="s">
        <v>1390</v>
      </c>
      <c r="C6400" t="str">
        <f t="shared" si="310"/>
        <v>37681970000000</v>
      </c>
      <c r="D6400" t="s">
        <v>7592</v>
      </c>
      <c r="E6400" t="str">
        <f>"37681976038400"</f>
        <v>37681976038400</v>
      </c>
      <c r="F6400" s="8">
        <v>1181</v>
      </c>
      <c r="G6400" s="8">
        <v>5387</v>
      </c>
      <c r="H6400" s="8">
        <v>1043</v>
      </c>
      <c r="I6400" s="8">
        <v>5689</v>
      </c>
    </row>
    <row r="6401" spans="1:9" x14ac:dyDescent="0.2">
      <c r="A6401" t="s">
        <v>1281</v>
      </c>
      <c r="B6401" t="s">
        <v>1390</v>
      </c>
      <c r="C6401" t="str">
        <f t="shared" si="310"/>
        <v>37681970000000</v>
      </c>
      <c r="D6401" t="s">
        <v>7593</v>
      </c>
      <c r="E6401" t="str">
        <f>"37681976038434"</f>
        <v>37681976038434</v>
      </c>
      <c r="F6401" s="8">
        <v>1072</v>
      </c>
      <c r="G6401" s="8">
        <v>5438</v>
      </c>
      <c r="H6401" s="8">
        <v>1043</v>
      </c>
      <c r="I6401" s="8">
        <v>5689</v>
      </c>
    </row>
    <row r="6402" spans="1:9" x14ac:dyDescent="0.2">
      <c r="A6402" t="s">
        <v>1281</v>
      </c>
      <c r="B6402" t="s">
        <v>1390</v>
      </c>
      <c r="C6402" t="str">
        <f t="shared" si="310"/>
        <v>37681970000000</v>
      </c>
      <c r="D6402" t="s">
        <v>7594</v>
      </c>
      <c r="E6402" t="str">
        <f>"37681970132290"</f>
        <v>37681970132290</v>
      </c>
      <c r="F6402" s="8">
        <v>905</v>
      </c>
      <c r="G6402" s="8">
        <v>5578</v>
      </c>
      <c r="H6402" s="8">
        <v>1043</v>
      </c>
      <c r="I6402" s="8">
        <v>5689</v>
      </c>
    </row>
    <row r="6403" spans="1:9" x14ac:dyDescent="0.2">
      <c r="A6403" t="s">
        <v>1281</v>
      </c>
      <c r="B6403" t="s">
        <v>1390</v>
      </c>
      <c r="C6403" t="str">
        <f t="shared" si="310"/>
        <v>37681970000000</v>
      </c>
      <c r="D6403" t="s">
        <v>7595</v>
      </c>
      <c r="E6403" t="str">
        <f>"37681976098446"</f>
        <v>37681976098446</v>
      </c>
      <c r="F6403" s="8">
        <v>878</v>
      </c>
      <c r="G6403" s="8">
        <v>5579</v>
      </c>
      <c r="H6403" s="8">
        <v>1043</v>
      </c>
      <c r="I6403" s="8">
        <v>5689</v>
      </c>
    </row>
    <row r="6404" spans="1:9" x14ac:dyDescent="0.2">
      <c r="A6404" t="s">
        <v>1281</v>
      </c>
      <c r="B6404" t="s">
        <v>1390</v>
      </c>
      <c r="C6404" t="str">
        <f t="shared" si="310"/>
        <v>37681970000000</v>
      </c>
      <c r="D6404" t="s">
        <v>2589</v>
      </c>
      <c r="E6404" t="str">
        <f>"37681976038459"</f>
        <v>37681976038459</v>
      </c>
      <c r="F6404" s="8">
        <v>1151</v>
      </c>
      <c r="G6404" s="8">
        <v>5223</v>
      </c>
      <c r="H6404" s="8">
        <v>1043</v>
      </c>
      <c r="I6404" s="8">
        <v>5689</v>
      </c>
    </row>
    <row r="6405" spans="1:9" x14ac:dyDescent="0.2">
      <c r="A6405" t="s">
        <v>1281</v>
      </c>
      <c r="B6405" t="s">
        <v>1390</v>
      </c>
      <c r="C6405" t="str">
        <f t="shared" si="310"/>
        <v>37681970000000</v>
      </c>
      <c r="D6405" t="s">
        <v>7596</v>
      </c>
      <c r="E6405" t="str">
        <f>"37681976038574"</f>
        <v>37681976038574</v>
      </c>
      <c r="F6405" s="8">
        <v>754</v>
      </c>
      <c r="G6405" s="8">
        <v>5598</v>
      </c>
      <c r="H6405" s="8">
        <v>1043</v>
      </c>
      <c r="I6405" s="8">
        <v>5689</v>
      </c>
    </row>
    <row r="6406" spans="1:9" x14ac:dyDescent="0.2">
      <c r="A6406" t="s">
        <v>1281</v>
      </c>
      <c r="B6406" t="s">
        <v>1390</v>
      </c>
      <c r="C6406" t="str">
        <f t="shared" si="310"/>
        <v>37681970000000</v>
      </c>
      <c r="D6406" t="s">
        <v>7597</v>
      </c>
      <c r="E6406" t="str">
        <f>"37681976111207"</f>
        <v>37681976111207</v>
      </c>
      <c r="F6406" s="8">
        <v>932</v>
      </c>
      <c r="G6406" s="8">
        <v>5382</v>
      </c>
      <c r="H6406" s="8">
        <v>1043</v>
      </c>
      <c r="I6406" s="8">
        <v>5689</v>
      </c>
    </row>
    <row r="6407" spans="1:9" x14ac:dyDescent="0.2">
      <c r="A6407" t="s">
        <v>1281</v>
      </c>
      <c r="B6407" t="s">
        <v>1390</v>
      </c>
      <c r="C6407" t="str">
        <f t="shared" si="310"/>
        <v>37681970000000</v>
      </c>
      <c r="D6407" t="s">
        <v>7598</v>
      </c>
      <c r="E6407" t="str">
        <f>"37681976038517"</f>
        <v>37681976038517</v>
      </c>
      <c r="F6407" s="8">
        <v>780</v>
      </c>
      <c r="G6407" s="8">
        <v>5399</v>
      </c>
      <c r="H6407" s="8">
        <v>1043</v>
      </c>
      <c r="I6407" s="8">
        <v>5689</v>
      </c>
    </row>
    <row r="6408" spans="1:9" x14ac:dyDescent="0.2">
      <c r="A6408" t="s">
        <v>1281</v>
      </c>
      <c r="B6408" t="s">
        <v>1390</v>
      </c>
      <c r="C6408" t="str">
        <f t="shared" si="310"/>
        <v>37681970000000</v>
      </c>
      <c r="D6408" t="s">
        <v>7599</v>
      </c>
      <c r="E6408" t="str">
        <f>"37681976038442"</f>
        <v>37681976038442</v>
      </c>
      <c r="F6408" s="8">
        <v>1298</v>
      </c>
      <c r="G6408" s="8">
        <v>4714</v>
      </c>
      <c r="H6408" s="8">
        <v>1043</v>
      </c>
      <c r="I6408" s="8">
        <v>5689</v>
      </c>
    </row>
    <row r="6409" spans="1:9" x14ac:dyDescent="0.2">
      <c r="A6409" t="s">
        <v>1281</v>
      </c>
      <c r="B6409" t="s">
        <v>1390</v>
      </c>
      <c r="C6409" t="str">
        <f t="shared" si="310"/>
        <v>37681970000000</v>
      </c>
      <c r="D6409" t="s">
        <v>7600</v>
      </c>
      <c r="E6409" t="str">
        <f>"37681970115543"</f>
        <v>37681970115543</v>
      </c>
      <c r="F6409" s="8">
        <v>5956</v>
      </c>
      <c r="G6409" s="8">
        <v>0</v>
      </c>
      <c r="H6409" s="8">
        <v>1043</v>
      </c>
      <c r="I6409" s="8">
        <v>5689</v>
      </c>
    </row>
    <row r="6410" spans="1:9" x14ac:dyDescent="0.2">
      <c r="A6410" t="s">
        <v>1281</v>
      </c>
      <c r="B6410" t="s">
        <v>1390</v>
      </c>
      <c r="C6410" t="str">
        <f t="shared" si="310"/>
        <v>37681970000000</v>
      </c>
      <c r="D6410" t="s">
        <v>7601</v>
      </c>
      <c r="E6410" t="str">
        <f>"37681976038475"</f>
        <v>37681976038475</v>
      </c>
      <c r="F6410" s="8">
        <v>1294</v>
      </c>
      <c r="G6410" s="8">
        <v>4646</v>
      </c>
      <c r="H6410" s="8">
        <v>1043</v>
      </c>
      <c r="I6410" s="8">
        <v>5689</v>
      </c>
    </row>
    <row r="6411" spans="1:9" x14ac:dyDescent="0.2">
      <c r="A6411" t="s">
        <v>1281</v>
      </c>
      <c r="B6411" t="s">
        <v>1390</v>
      </c>
      <c r="C6411" t="str">
        <f t="shared" si="310"/>
        <v>37681970000000</v>
      </c>
      <c r="D6411" t="s">
        <v>7602</v>
      </c>
      <c r="E6411" t="str">
        <f>"37681976038533"</f>
        <v>37681976038533</v>
      </c>
      <c r="F6411" s="8">
        <v>1190</v>
      </c>
      <c r="G6411" s="8">
        <v>4648</v>
      </c>
      <c r="H6411" s="8">
        <v>1043</v>
      </c>
      <c r="I6411" s="8">
        <v>5689</v>
      </c>
    </row>
    <row r="6412" spans="1:9" x14ac:dyDescent="0.2">
      <c r="A6412" t="s">
        <v>1281</v>
      </c>
      <c r="B6412" t="s">
        <v>1390</v>
      </c>
      <c r="C6412" t="str">
        <f t="shared" si="310"/>
        <v>37681970000000</v>
      </c>
      <c r="D6412" t="s">
        <v>7603</v>
      </c>
      <c r="E6412" t="str">
        <f>"37681976038467"</f>
        <v>37681976038467</v>
      </c>
      <c r="F6412" s="8">
        <v>1032</v>
      </c>
      <c r="G6412" s="8">
        <v>4753</v>
      </c>
      <c r="H6412" s="8">
        <v>1043</v>
      </c>
      <c r="I6412" s="8">
        <v>5689</v>
      </c>
    </row>
    <row r="6413" spans="1:9" x14ac:dyDescent="0.2">
      <c r="A6413" t="s">
        <v>1281</v>
      </c>
      <c r="B6413" t="s">
        <v>1390</v>
      </c>
      <c r="C6413" t="str">
        <f t="shared" si="310"/>
        <v>37681970000000</v>
      </c>
      <c r="D6413" t="s">
        <v>3085</v>
      </c>
      <c r="E6413" t="str">
        <f>"37681976070833"</f>
        <v>37681976070833</v>
      </c>
      <c r="F6413" s="8">
        <v>702</v>
      </c>
      <c r="G6413" s="8">
        <v>5078</v>
      </c>
      <c r="H6413" s="8">
        <v>1043</v>
      </c>
      <c r="I6413" s="8">
        <v>5689</v>
      </c>
    </row>
    <row r="6414" spans="1:9" x14ac:dyDescent="0.2">
      <c r="A6414" t="s">
        <v>1281</v>
      </c>
      <c r="B6414" t="s">
        <v>1390</v>
      </c>
      <c r="C6414" t="str">
        <f t="shared" si="310"/>
        <v>37681970000000</v>
      </c>
      <c r="D6414" t="s">
        <v>7604</v>
      </c>
      <c r="E6414" t="str">
        <f>"37681976038525"</f>
        <v>37681976038525</v>
      </c>
      <c r="F6414" s="8">
        <v>654</v>
      </c>
      <c r="G6414" s="8">
        <v>5081</v>
      </c>
      <c r="H6414" s="8">
        <v>1043</v>
      </c>
      <c r="I6414" s="8">
        <v>5689</v>
      </c>
    </row>
    <row r="6415" spans="1:9" x14ac:dyDescent="0.2">
      <c r="A6415" t="s">
        <v>1281</v>
      </c>
      <c r="B6415" t="s">
        <v>1390</v>
      </c>
      <c r="C6415" t="str">
        <f t="shared" si="310"/>
        <v>37681970000000</v>
      </c>
      <c r="D6415" t="s">
        <v>5315</v>
      </c>
      <c r="E6415" t="str">
        <f>"37681976038566"</f>
        <v>37681976038566</v>
      </c>
      <c r="F6415" s="8">
        <v>1039</v>
      </c>
      <c r="G6415" s="8">
        <v>4608</v>
      </c>
      <c r="H6415" s="8">
        <v>1043</v>
      </c>
      <c r="I6415" s="8">
        <v>5689</v>
      </c>
    </row>
    <row r="6416" spans="1:9" x14ac:dyDescent="0.2">
      <c r="A6416" t="s">
        <v>1281</v>
      </c>
      <c r="B6416" t="s">
        <v>1390</v>
      </c>
      <c r="C6416" t="str">
        <f t="shared" si="310"/>
        <v>37681970000000</v>
      </c>
      <c r="D6416" t="s">
        <v>7605</v>
      </c>
      <c r="E6416" t="str">
        <f>"37681976038509"</f>
        <v>37681976038509</v>
      </c>
      <c r="F6416" s="8">
        <v>105</v>
      </c>
      <c r="G6416" s="8">
        <v>5237</v>
      </c>
      <c r="H6416" s="8">
        <v>1043</v>
      </c>
      <c r="I6416" s="8">
        <v>5689</v>
      </c>
    </row>
    <row r="6417" spans="1:9" x14ac:dyDescent="0.2">
      <c r="A6417" t="s">
        <v>1281</v>
      </c>
      <c r="B6417" t="s">
        <v>1390</v>
      </c>
      <c r="C6417" t="str">
        <f t="shared" si="310"/>
        <v>37681970000000</v>
      </c>
      <c r="D6417" t="s">
        <v>7606</v>
      </c>
      <c r="E6417" t="str">
        <f>"37681976038541"</f>
        <v>37681976038541</v>
      </c>
      <c r="F6417" s="8">
        <v>1025</v>
      </c>
      <c r="G6417" s="8">
        <v>4103</v>
      </c>
      <c r="H6417" s="8">
        <v>1043</v>
      </c>
      <c r="I6417" s="8">
        <v>5689</v>
      </c>
    </row>
    <row r="6418" spans="1:9" x14ac:dyDescent="0.2">
      <c r="A6418" t="s">
        <v>1281</v>
      </c>
      <c r="B6418" t="s">
        <v>406</v>
      </c>
      <c r="C6418" t="str">
        <f t="shared" ref="C6418:C6427" si="311">"37681890000000"</f>
        <v>37681890000000</v>
      </c>
      <c r="D6418" t="s">
        <v>7607</v>
      </c>
      <c r="E6418" t="str">
        <f>"37681896038376"</f>
        <v>37681896038376</v>
      </c>
      <c r="F6418" s="8">
        <v>778</v>
      </c>
      <c r="G6418" s="8">
        <v>7243</v>
      </c>
      <c r="H6418" s="8">
        <v>1235</v>
      </c>
      <c r="I6418" s="8">
        <v>6168</v>
      </c>
    </row>
    <row r="6419" spans="1:9" x14ac:dyDescent="0.2">
      <c r="A6419" t="s">
        <v>1281</v>
      </c>
      <c r="B6419" t="s">
        <v>406</v>
      </c>
      <c r="C6419" t="str">
        <f t="shared" si="311"/>
        <v>37681890000000</v>
      </c>
      <c r="D6419" t="s">
        <v>4875</v>
      </c>
      <c r="E6419" t="str">
        <f>"37681896038392"</f>
        <v>37681896038392</v>
      </c>
      <c r="F6419" s="8">
        <v>524</v>
      </c>
      <c r="G6419" s="8">
        <v>7005</v>
      </c>
      <c r="H6419" s="8">
        <v>1235</v>
      </c>
      <c r="I6419" s="8">
        <v>6168</v>
      </c>
    </row>
    <row r="6420" spans="1:9" x14ac:dyDescent="0.2">
      <c r="A6420" t="s">
        <v>1281</v>
      </c>
      <c r="B6420" t="s">
        <v>406</v>
      </c>
      <c r="C6420" t="str">
        <f t="shared" si="311"/>
        <v>37681890000000</v>
      </c>
      <c r="D6420" t="s">
        <v>7608</v>
      </c>
      <c r="E6420" t="str">
        <f>"37681896038343"</f>
        <v>37681896038343</v>
      </c>
      <c r="F6420" s="8">
        <v>689</v>
      </c>
      <c r="G6420" s="8">
        <v>6833</v>
      </c>
      <c r="H6420" s="8">
        <v>1235</v>
      </c>
      <c r="I6420" s="8">
        <v>6168</v>
      </c>
    </row>
    <row r="6421" spans="1:9" x14ac:dyDescent="0.2">
      <c r="A6421" t="s">
        <v>1281</v>
      </c>
      <c r="B6421" t="s">
        <v>406</v>
      </c>
      <c r="C6421" t="str">
        <f t="shared" si="311"/>
        <v>37681890000000</v>
      </c>
      <c r="D6421" t="s">
        <v>2783</v>
      </c>
      <c r="E6421" t="str">
        <f>"37681896038368"</f>
        <v>37681896038368</v>
      </c>
      <c r="F6421" s="8">
        <v>511</v>
      </c>
      <c r="G6421" s="8">
        <v>6756</v>
      </c>
      <c r="H6421" s="8">
        <v>1235</v>
      </c>
      <c r="I6421" s="8">
        <v>6168</v>
      </c>
    </row>
    <row r="6422" spans="1:9" x14ac:dyDescent="0.2">
      <c r="A6422" t="s">
        <v>1281</v>
      </c>
      <c r="B6422" t="s">
        <v>406</v>
      </c>
      <c r="C6422" t="str">
        <f t="shared" si="311"/>
        <v>37681890000000</v>
      </c>
      <c r="D6422" t="s">
        <v>7609</v>
      </c>
      <c r="E6422" t="str">
        <f>"37681896110092"</f>
        <v>37681896110092</v>
      </c>
      <c r="F6422" s="8">
        <v>890</v>
      </c>
      <c r="G6422" s="8">
        <v>6254</v>
      </c>
      <c r="H6422" s="8">
        <v>1235</v>
      </c>
      <c r="I6422" s="8">
        <v>6168</v>
      </c>
    </row>
    <row r="6423" spans="1:9" x14ac:dyDescent="0.2">
      <c r="A6423" t="s">
        <v>1281</v>
      </c>
      <c r="B6423" t="s">
        <v>406</v>
      </c>
      <c r="C6423" t="str">
        <f t="shared" si="311"/>
        <v>37681890000000</v>
      </c>
      <c r="D6423" t="s">
        <v>7610</v>
      </c>
      <c r="E6423" t="str">
        <f>"37681890129288"</f>
        <v>37681890129288</v>
      </c>
      <c r="F6423" s="8">
        <v>498</v>
      </c>
      <c r="G6423" s="8">
        <v>6386</v>
      </c>
      <c r="H6423" s="8">
        <v>1235</v>
      </c>
      <c r="I6423" s="8">
        <v>6168</v>
      </c>
    </row>
    <row r="6424" spans="1:9" x14ac:dyDescent="0.2">
      <c r="A6424" t="s">
        <v>1281</v>
      </c>
      <c r="B6424" t="s">
        <v>406</v>
      </c>
      <c r="C6424" t="str">
        <f t="shared" si="311"/>
        <v>37681890000000</v>
      </c>
      <c r="D6424" t="s">
        <v>2850</v>
      </c>
      <c r="E6424" t="str">
        <f>"37681896038384"</f>
        <v>37681896038384</v>
      </c>
      <c r="F6424" s="8">
        <v>535</v>
      </c>
      <c r="G6424" s="8">
        <v>6128</v>
      </c>
      <c r="H6424" s="8">
        <v>1235</v>
      </c>
      <c r="I6424" s="8">
        <v>6168</v>
      </c>
    </row>
    <row r="6425" spans="1:9" x14ac:dyDescent="0.2">
      <c r="A6425" t="s">
        <v>1281</v>
      </c>
      <c r="B6425" t="s">
        <v>406</v>
      </c>
      <c r="C6425" t="str">
        <f t="shared" si="311"/>
        <v>37681890000000</v>
      </c>
      <c r="D6425" t="s">
        <v>7611</v>
      </c>
      <c r="E6425" t="str">
        <f>"37681896085047"</f>
        <v>37681896085047</v>
      </c>
      <c r="F6425" s="8">
        <v>604</v>
      </c>
      <c r="G6425" s="8">
        <v>5564</v>
      </c>
      <c r="H6425" s="8">
        <v>1235</v>
      </c>
      <c r="I6425" s="8">
        <v>6168</v>
      </c>
    </row>
    <row r="6426" spans="1:9" x14ac:dyDescent="0.2">
      <c r="A6426" t="s">
        <v>1281</v>
      </c>
      <c r="B6426" t="s">
        <v>406</v>
      </c>
      <c r="C6426" t="str">
        <f t="shared" si="311"/>
        <v>37681890000000</v>
      </c>
      <c r="D6426" t="s">
        <v>4005</v>
      </c>
      <c r="E6426" t="str">
        <f>"37681896038350"</f>
        <v>37681896038350</v>
      </c>
      <c r="F6426" s="8">
        <v>683</v>
      </c>
      <c r="G6426" s="8">
        <v>5424</v>
      </c>
      <c r="H6426" s="8">
        <v>1235</v>
      </c>
      <c r="I6426" s="8">
        <v>6168</v>
      </c>
    </row>
    <row r="6427" spans="1:9" x14ac:dyDescent="0.2">
      <c r="A6427" t="s">
        <v>1281</v>
      </c>
      <c r="B6427" t="s">
        <v>406</v>
      </c>
      <c r="C6427" t="str">
        <f t="shared" si="311"/>
        <v>37681890000000</v>
      </c>
      <c r="D6427" t="s">
        <v>7612</v>
      </c>
      <c r="E6427" t="str">
        <f>"37681896107742"</f>
        <v>37681896107742</v>
      </c>
      <c r="F6427" s="8">
        <v>952</v>
      </c>
      <c r="G6427" s="8">
        <v>2928</v>
      </c>
      <c r="H6427" s="8">
        <v>1235</v>
      </c>
      <c r="I6427" s="8">
        <v>6168</v>
      </c>
    </row>
    <row r="6428" spans="1:9" x14ac:dyDescent="0.2">
      <c r="A6428" t="s">
        <v>1281</v>
      </c>
      <c r="B6428" t="s">
        <v>1393</v>
      </c>
      <c r="C6428" t="str">
        <f t="shared" ref="C6428:C6433" si="312">"37682050000000"</f>
        <v>37682050000000</v>
      </c>
      <c r="D6428" t="s">
        <v>7613</v>
      </c>
      <c r="E6428" t="str">
        <f>"37682056038657"</f>
        <v>37682056038657</v>
      </c>
      <c r="F6428" s="8">
        <v>2270</v>
      </c>
      <c r="G6428" s="8">
        <v>16193</v>
      </c>
      <c r="H6428" s="8">
        <v>591</v>
      </c>
      <c r="I6428" s="8">
        <v>2936</v>
      </c>
    </row>
    <row r="6429" spans="1:9" x14ac:dyDescent="0.2">
      <c r="A6429" t="s">
        <v>1281</v>
      </c>
      <c r="B6429" t="s">
        <v>1393</v>
      </c>
      <c r="C6429" t="str">
        <f t="shared" si="312"/>
        <v>37682050000000</v>
      </c>
      <c r="D6429" t="s">
        <v>7614</v>
      </c>
      <c r="E6429" t="str">
        <f>"37682056038632"</f>
        <v>37682056038632</v>
      </c>
      <c r="F6429" s="8">
        <v>1815</v>
      </c>
      <c r="G6429" s="8">
        <v>12139</v>
      </c>
      <c r="H6429" s="8">
        <v>591</v>
      </c>
      <c r="I6429" s="8">
        <v>2936</v>
      </c>
    </row>
    <row r="6430" spans="1:9" x14ac:dyDescent="0.2">
      <c r="A6430" t="s">
        <v>1281</v>
      </c>
      <c r="B6430" t="s">
        <v>1393</v>
      </c>
      <c r="C6430" t="str">
        <f t="shared" si="312"/>
        <v>37682050000000</v>
      </c>
      <c r="D6430" t="s">
        <v>7615</v>
      </c>
      <c r="E6430" t="str">
        <f>"37682056038624"</f>
        <v>37682056038624</v>
      </c>
      <c r="F6430" s="8">
        <v>2274</v>
      </c>
      <c r="G6430" s="8">
        <v>11580</v>
      </c>
      <c r="H6430" s="8">
        <v>591</v>
      </c>
      <c r="I6430" s="8">
        <v>2936</v>
      </c>
    </row>
    <row r="6431" spans="1:9" x14ac:dyDescent="0.2">
      <c r="A6431" t="s">
        <v>1281</v>
      </c>
      <c r="B6431" t="s">
        <v>1393</v>
      </c>
      <c r="C6431" t="str">
        <f t="shared" si="312"/>
        <v>37682050000000</v>
      </c>
      <c r="D6431" t="s">
        <v>4499</v>
      </c>
      <c r="E6431" t="str">
        <f>"37682056038665"</f>
        <v>37682056038665</v>
      </c>
      <c r="F6431" s="8">
        <v>1903</v>
      </c>
      <c r="G6431" s="8">
        <v>10765</v>
      </c>
      <c r="H6431" s="8">
        <v>591</v>
      </c>
      <c r="I6431" s="8">
        <v>2936</v>
      </c>
    </row>
    <row r="6432" spans="1:9" x14ac:dyDescent="0.2">
      <c r="A6432" t="s">
        <v>1281</v>
      </c>
      <c r="B6432" t="s">
        <v>1393</v>
      </c>
      <c r="C6432" t="str">
        <f t="shared" si="312"/>
        <v>37682050000000</v>
      </c>
      <c r="D6432" t="s">
        <v>7616</v>
      </c>
      <c r="E6432" t="str">
        <f>"37682056038608"</f>
        <v>37682056038608</v>
      </c>
      <c r="F6432" s="8">
        <v>1751</v>
      </c>
      <c r="G6432" s="8">
        <v>7525</v>
      </c>
      <c r="H6432" s="8">
        <v>591</v>
      </c>
      <c r="I6432" s="8">
        <v>2936</v>
      </c>
    </row>
    <row r="6433" spans="1:9" x14ac:dyDescent="0.2">
      <c r="A6433" t="s">
        <v>1281</v>
      </c>
      <c r="B6433" t="s">
        <v>1393</v>
      </c>
      <c r="C6433" t="str">
        <f t="shared" si="312"/>
        <v>37682050000000</v>
      </c>
      <c r="D6433" t="s">
        <v>7617</v>
      </c>
      <c r="E6433" t="str">
        <f>"37682056038673"</f>
        <v>37682056038673</v>
      </c>
      <c r="F6433" s="8">
        <v>1197</v>
      </c>
      <c r="G6433" s="8">
        <v>5524</v>
      </c>
      <c r="H6433" s="8">
        <v>591</v>
      </c>
      <c r="I6433" s="8">
        <v>2936</v>
      </c>
    </row>
    <row r="6434" spans="1:9" x14ac:dyDescent="0.2">
      <c r="A6434" t="s">
        <v>1281</v>
      </c>
      <c r="B6434" t="s">
        <v>1401</v>
      </c>
      <c r="C6434" t="str">
        <f t="shared" ref="C6434:C6443" si="313">"37682130000000"</f>
        <v>37682130000000</v>
      </c>
      <c r="D6434" t="s">
        <v>7618</v>
      </c>
      <c r="E6434" t="str">
        <f>"37682133730934"</f>
        <v>37682133730934</v>
      </c>
      <c r="F6434" s="8">
        <v>8368</v>
      </c>
      <c r="G6434" s="8">
        <v>38066</v>
      </c>
      <c r="H6434" s="8">
        <v>888</v>
      </c>
      <c r="I6434" s="8">
        <v>4570</v>
      </c>
    </row>
    <row r="6435" spans="1:9" x14ac:dyDescent="0.2">
      <c r="A6435" t="s">
        <v>1281</v>
      </c>
      <c r="B6435" t="s">
        <v>1401</v>
      </c>
      <c r="C6435" t="str">
        <f t="shared" si="313"/>
        <v>37682130000000</v>
      </c>
      <c r="D6435" t="s">
        <v>7619</v>
      </c>
      <c r="E6435" t="str">
        <f>"37682133730991"</f>
        <v>37682133730991</v>
      </c>
      <c r="F6435" s="8">
        <v>6595</v>
      </c>
      <c r="G6435" s="8">
        <v>7030</v>
      </c>
      <c r="H6435" s="8">
        <v>888</v>
      </c>
      <c r="I6435" s="8">
        <v>4570</v>
      </c>
    </row>
    <row r="6436" spans="1:9" x14ac:dyDescent="0.2">
      <c r="A6436" t="s">
        <v>1281</v>
      </c>
      <c r="B6436" t="s">
        <v>1401</v>
      </c>
      <c r="C6436" t="str">
        <f t="shared" si="313"/>
        <v>37682130000000</v>
      </c>
      <c r="D6436" t="s">
        <v>7620</v>
      </c>
      <c r="E6436" t="str">
        <f>"37682136038681"</f>
        <v>37682136038681</v>
      </c>
      <c r="F6436" s="8">
        <v>2690</v>
      </c>
      <c r="G6436" s="8">
        <v>8029</v>
      </c>
      <c r="H6436" s="8">
        <v>888</v>
      </c>
      <c r="I6436" s="8">
        <v>4570</v>
      </c>
    </row>
    <row r="6437" spans="1:9" x14ac:dyDescent="0.2">
      <c r="A6437" t="s">
        <v>1281</v>
      </c>
      <c r="B6437" t="s">
        <v>1401</v>
      </c>
      <c r="C6437" t="str">
        <f t="shared" si="313"/>
        <v>37682130000000</v>
      </c>
      <c r="D6437" t="s">
        <v>2657</v>
      </c>
      <c r="E6437" t="str">
        <f>"37682130127001"</f>
        <v>37682130127001</v>
      </c>
      <c r="F6437" s="8">
        <v>1992</v>
      </c>
      <c r="G6437" s="8">
        <v>8079</v>
      </c>
      <c r="H6437" s="8">
        <v>888</v>
      </c>
      <c r="I6437" s="8">
        <v>4570</v>
      </c>
    </row>
    <row r="6438" spans="1:9" x14ac:dyDescent="0.2">
      <c r="A6438" t="s">
        <v>1281</v>
      </c>
      <c r="B6438" t="s">
        <v>1401</v>
      </c>
      <c r="C6438" t="str">
        <f t="shared" si="313"/>
        <v>37682130000000</v>
      </c>
      <c r="D6438" t="s">
        <v>7621</v>
      </c>
      <c r="E6438" t="str">
        <f>"37682133734878"</f>
        <v>37682133734878</v>
      </c>
      <c r="F6438" s="8">
        <v>1970</v>
      </c>
      <c r="G6438" s="8">
        <v>7857</v>
      </c>
      <c r="H6438" s="8">
        <v>888</v>
      </c>
      <c r="I6438" s="8">
        <v>4570</v>
      </c>
    </row>
    <row r="6439" spans="1:9" x14ac:dyDescent="0.2">
      <c r="A6439" t="s">
        <v>1281</v>
      </c>
      <c r="B6439" t="s">
        <v>1401</v>
      </c>
      <c r="C6439" t="str">
        <f t="shared" si="313"/>
        <v>37682130000000</v>
      </c>
      <c r="D6439" t="s">
        <v>3818</v>
      </c>
      <c r="E6439" t="str">
        <f>"37682136097190"</f>
        <v>37682136097190</v>
      </c>
      <c r="F6439" s="8">
        <v>2892</v>
      </c>
      <c r="G6439" s="8">
        <v>6076</v>
      </c>
      <c r="H6439" s="8">
        <v>888</v>
      </c>
      <c r="I6439" s="8">
        <v>4570</v>
      </c>
    </row>
    <row r="6440" spans="1:9" x14ac:dyDescent="0.2">
      <c r="A6440" t="s">
        <v>1281</v>
      </c>
      <c r="B6440" t="s">
        <v>1401</v>
      </c>
      <c r="C6440" t="str">
        <f t="shared" si="313"/>
        <v>37682130000000</v>
      </c>
      <c r="D6440" t="s">
        <v>7622</v>
      </c>
      <c r="E6440" t="str">
        <f>"37682136085054"</f>
        <v>37682136085054</v>
      </c>
      <c r="F6440" s="8">
        <v>2035</v>
      </c>
      <c r="G6440" s="8">
        <v>6830</v>
      </c>
      <c r="H6440" s="8">
        <v>888</v>
      </c>
      <c r="I6440" s="8">
        <v>4570</v>
      </c>
    </row>
    <row r="6441" spans="1:9" x14ac:dyDescent="0.2">
      <c r="A6441" t="s">
        <v>1281</v>
      </c>
      <c r="B6441" t="s">
        <v>1401</v>
      </c>
      <c r="C6441" t="str">
        <f t="shared" si="313"/>
        <v>37682130000000</v>
      </c>
      <c r="D6441" t="s">
        <v>7623</v>
      </c>
      <c r="E6441" t="str">
        <f>"37682136038699"</f>
        <v>37682136038699</v>
      </c>
      <c r="F6441" s="8">
        <v>1610</v>
      </c>
      <c r="G6441" s="8">
        <v>6880</v>
      </c>
      <c r="H6441" s="8">
        <v>888</v>
      </c>
      <c r="I6441" s="8">
        <v>4570</v>
      </c>
    </row>
    <row r="6442" spans="1:9" x14ac:dyDescent="0.2">
      <c r="A6442" t="s">
        <v>1281</v>
      </c>
      <c r="B6442" t="s">
        <v>1401</v>
      </c>
      <c r="C6442" t="str">
        <f t="shared" si="313"/>
        <v>37682130000000</v>
      </c>
      <c r="D6442" t="s">
        <v>7624</v>
      </c>
      <c r="E6442" t="str">
        <f>"37682130126995"</f>
        <v>37682130126995</v>
      </c>
      <c r="F6442" s="8">
        <v>2560</v>
      </c>
      <c r="G6442" s="8">
        <v>5406</v>
      </c>
      <c r="H6442" s="8">
        <v>888</v>
      </c>
      <c r="I6442" s="8">
        <v>4570</v>
      </c>
    </row>
    <row r="6443" spans="1:9" x14ac:dyDescent="0.2">
      <c r="A6443" t="s">
        <v>1281</v>
      </c>
      <c r="B6443" t="s">
        <v>1401</v>
      </c>
      <c r="C6443" t="str">
        <f t="shared" si="313"/>
        <v>37682130000000</v>
      </c>
      <c r="D6443" t="s">
        <v>7625</v>
      </c>
      <c r="E6443" t="str">
        <f>"37682133731080"</f>
        <v>37682133731080</v>
      </c>
      <c r="F6443" s="8">
        <v>431</v>
      </c>
      <c r="G6443" s="8">
        <v>3070</v>
      </c>
      <c r="H6443" s="8">
        <v>888</v>
      </c>
      <c r="I6443" s="8">
        <v>4570</v>
      </c>
    </row>
    <row r="6444" spans="1:9" x14ac:dyDescent="0.2">
      <c r="A6444" t="s">
        <v>1281</v>
      </c>
      <c r="B6444" t="s">
        <v>1404</v>
      </c>
      <c r="C6444" t="str">
        <f t="shared" ref="C6444:C6453" si="314">"37682210000000"</f>
        <v>37682210000000</v>
      </c>
      <c r="D6444" t="s">
        <v>7626</v>
      </c>
      <c r="E6444" t="str">
        <f>"37682216038798"</f>
        <v>37682216038798</v>
      </c>
      <c r="F6444" s="8">
        <v>835</v>
      </c>
      <c r="G6444" s="8">
        <v>9707</v>
      </c>
      <c r="H6444" s="8">
        <v>2356</v>
      </c>
      <c r="I6444" s="8">
        <v>2424</v>
      </c>
    </row>
    <row r="6445" spans="1:9" x14ac:dyDescent="0.2">
      <c r="A6445" t="s">
        <v>1281</v>
      </c>
      <c r="B6445" t="s">
        <v>1404</v>
      </c>
      <c r="C6445" t="str">
        <f t="shared" si="314"/>
        <v>37682210000000</v>
      </c>
      <c r="D6445" t="s">
        <v>7627</v>
      </c>
      <c r="E6445" t="str">
        <f>"37682216038814"</f>
        <v>37682216038814</v>
      </c>
      <c r="F6445" s="8">
        <v>677</v>
      </c>
      <c r="G6445" s="8">
        <v>9531</v>
      </c>
      <c r="H6445" s="8">
        <v>2356</v>
      </c>
      <c r="I6445" s="8">
        <v>2424</v>
      </c>
    </row>
    <row r="6446" spans="1:9" x14ac:dyDescent="0.2">
      <c r="A6446" t="s">
        <v>1281</v>
      </c>
      <c r="B6446" t="s">
        <v>1404</v>
      </c>
      <c r="C6446" t="str">
        <f t="shared" si="314"/>
        <v>37682210000000</v>
      </c>
      <c r="D6446" t="s">
        <v>7628</v>
      </c>
      <c r="E6446" t="str">
        <f>"37682216038749"</f>
        <v>37682216038749</v>
      </c>
      <c r="F6446" s="8">
        <v>966</v>
      </c>
      <c r="G6446" s="8">
        <v>9208</v>
      </c>
      <c r="H6446" s="8">
        <v>2356</v>
      </c>
      <c r="I6446" s="8">
        <v>2424</v>
      </c>
    </row>
    <row r="6447" spans="1:9" x14ac:dyDescent="0.2">
      <c r="A6447" t="s">
        <v>1281</v>
      </c>
      <c r="B6447" t="s">
        <v>1404</v>
      </c>
      <c r="C6447" t="str">
        <f t="shared" si="314"/>
        <v>37682210000000</v>
      </c>
      <c r="D6447" t="s">
        <v>7629</v>
      </c>
      <c r="E6447" t="str">
        <f>"37682216038806"</f>
        <v>37682216038806</v>
      </c>
      <c r="F6447" s="8">
        <v>629</v>
      </c>
      <c r="G6447" s="8">
        <v>9539</v>
      </c>
      <c r="H6447" s="8">
        <v>2356</v>
      </c>
      <c r="I6447" s="8">
        <v>2424</v>
      </c>
    </row>
    <row r="6448" spans="1:9" x14ac:dyDescent="0.2">
      <c r="A6448" t="s">
        <v>1281</v>
      </c>
      <c r="B6448" t="s">
        <v>1404</v>
      </c>
      <c r="C6448" t="str">
        <f t="shared" si="314"/>
        <v>37682210000000</v>
      </c>
      <c r="D6448" t="s">
        <v>1214</v>
      </c>
      <c r="E6448" t="str">
        <f>"37682216038731"</f>
        <v>37682216038731</v>
      </c>
      <c r="F6448" s="8">
        <v>721</v>
      </c>
      <c r="G6448" s="8">
        <v>9413</v>
      </c>
      <c r="H6448" s="8">
        <v>2356</v>
      </c>
      <c r="I6448" s="8">
        <v>2424</v>
      </c>
    </row>
    <row r="6449" spans="1:9" x14ac:dyDescent="0.2">
      <c r="A6449" t="s">
        <v>1281</v>
      </c>
      <c r="B6449" t="s">
        <v>1404</v>
      </c>
      <c r="C6449" t="str">
        <f t="shared" si="314"/>
        <v>37682210000000</v>
      </c>
      <c r="D6449" t="s">
        <v>7630</v>
      </c>
      <c r="E6449" t="str">
        <f>"37682216038772"</f>
        <v>37682216038772</v>
      </c>
      <c r="F6449" s="8">
        <v>1012</v>
      </c>
      <c r="G6449" s="8">
        <v>9103</v>
      </c>
      <c r="H6449" s="8">
        <v>2356</v>
      </c>
      <c r="I6449" s="8">
        <v>2424</v>
      </c>
    </row>
    <row r="6450" spans="1:9" x14ac:dyDescent="0.2">
      <c r="A6450" t="s">
        <v>1281</v>
      </c>
      <c r="B6450" t="s">
        <v>1404</v>
      </c>
      <c r="C6450" t="str">
        <f t="shared" si="314"/>
        <v>37682210000000</v>
      </c>
      <c r="D6450" t="s">
        <v>7631</v>
      </c>
      <c r="E6450" t="str">
        <f>"37682216038780"</f>
        <v>37682216038780</v>
      </c>
      <c r="F6450" s="8">
        <v>864</v>
      </c>
      <c r="G6450" s="8">
        <v>9092</v>
      </c>
      <c r="H6450" s="8">
        <v>2356</v>
      </c>
      <c r="I6450" s="8">
        <v>2424</v>
      </c>
    </row>
    <row r="6451" spans="1:9" x14ac:dyDescent="0.2">
      <c r="A6451" t="s">
        <v>1281</v>
      </c>
      <c r="B6451" t="s">
        <v>1404</v>
      </c>
      <c r="C6451" t="str">
        <f t="shared" si="314"/>
        <v>37682210000000</v>
      </c>
      <c r="D6451" t="s">
        <v>7632</v>
      </c>
      <c r="E6451" t="str">
        <f>"37682216108559"</f>
        <v>37682216108559</v>
      </c>
      <c r="F6451" s="8">
        <v>703</v>
      </c>
      <c r="G6451" s="8">
        <v>9077</v>
      </c>
      <c r="H6451" s="8">
        <v>2356</v>
      </c>
      <c r="I6451" s="8">
        <v>2424</v>
      </c>
    </row>
    <row r="6452" spans="1:9" x14ac:dyDescent="0.2">
      <c r="A6452" t="s">
        <v>1281</v>
      </c>
      <c r="B6452" t="s">
        <v>1404</v>
      </c>
      <c r="C6452" t="str">
        <f t="shared" si="314"/>
        <v>37682210000000</v>
      </c>
      <c r="D6452" t="s">
        <v>7633</v>
      </c>
      <c r="E6452" t="str">
        <f>"37682216038756"</f>
        <v>37682216038756</v>
      </c>
      <c r="F6452" s="8">
        <v>409</v>
      </c>
      <c r="G6452" s="8">
        <v>9337</v>
      </c>
      <c r="H6452" s="8">
        <v>2356</v>
      </c>
      <c r="I6452" s="8">
        <v>2424</v>
      </c>
    </row>
    <row r="6453" spans="1:9" x14ac:dyDescent="0.2">
      <c r="A6453" t="s">
        <v>1281</v>
      </c>
      <c r="B6453" t="s">
        <v>1404</v>
      </c>
      <c r="C6453" t="str">
        <f t="shared" si="314"/>
        <v>37682210000000</v>
      </c>
      <c r="D6453" t="s">
        <v>7634</v>
      </c>
      <c r="E6453" t="str">
        <f>"37682216038764"</f>
        <v>37682216038764</v>
      </c>
      <c r="F6453" s="8">
        <v>580</v>
      </c>
      <c r="G6453" s="8">
        <v>8842</v>
      </c>
      <c r="H6453" s="8">
        <v>2356</v>
      </c>
      <c r="I6453" s="8">
        <v>2424</v>
      </c>
    </row>
    <row r="6454" spans="1:9" x14ac:dyDescent="0.2">
      <c r="A6454" t="s">
        <v>1281</v>
      </c>
      <c r="B6454" t="s">
        <v>1406</v>
      </c>
      <c r="C6454" t="str">
        <f t="shared" ref="C6454:C6477" si="315">"37735690000000"</f>
        <v>37735690000000</v>
      </c>
      <c r="D6454" t="s">
        <v>7635</v>
      </c>
      <c r="E6454" t="str">
        <f>"37735690140343"</f>
        <v>37735690140343</v>
      </c>
      <c r="F6454" s="8">
        <v>3978</v>
      </c>
      <c r="G6454" s="8">
        <v>30179</v>
      </c>
      <c r="H6454" s="8">
        <v>193</v>
      </c>
      <c r="I6454" s="8">
        <v>295</v>
      </c>
    </row>
    <row r="6455" spans="1:9" x14ac:dyDescent="0.2">
      <c r="A6455" t="s">
        <v>1281</v>
      </c>
      <c r="B6455" t="s">
        <v>1406</v>
      </c>
      <c r="C6455" t="str">
        <f t="shared" si="315"/>
        <v>37735690000000</v>
      </c>
      <c r="D6455" t="s">
        <v>7636</v>
      </c>
      <c r="E6455" t="str">
        <f>"37735690140079"</f>
        <v>37735690140079</v>
      </c>
      <c r="F6455" s="8">
        <v>1290</v>
      </c>
      <c r="G6455" s="8">
        <v>21254</v>
      </c>
      <c r="H6455" s="8">
        <v>193</v>
      </c>
      <c r="I6455" s="8">
        <v>295</v>
      </c>
    </row>
    <row r="6456" spans="1:9" x14ac:dyDescent="0.2">
      <c r="A6456" t="s">
        <v>1281</v>
      </c>
      <c r="B6456" t="s">
        <v>1406</v>
      </c>
      <c r="C6456" t="str">
        <f t="shared" si="315"/>
        <v>37735690000000</v>
      </c>
      <c r="D6456" t="s">
        <v>5074</v>
      </c>
      <c r="E6456" t="str">
        <f>"37735696038830"</f>
        <v>37735696038830</v>
      </c>
      <c r="F6456" s="8">
        <v>1865</v>
      </c>
      <c r="G6456" s="8">
        <v>12932</v>
      </c>
      <c r="H6456" s="8">
        <v>193</v>
      </c>
      <c r="I6456" s="8">
        <v>295</v>
      </c>
    </row>
    <row r="6457" spans="1:9" x14ac:dyDescent="0.2">
      <c r="A6457" t="s">
        <v>1281</v>
      </c>
      <c r="B6457" t="s">
        <v>1406</v>
      </c>
      <c r="C6457" t="str">
        <f t="shared" si="315"/>
        <v>37735690000000</v>
      </c>
      <c r="D6457" t="s">
        <v>3393</v>
      </c>
      <c r="E6457" t="str">
        <f>"37735696088991"</f>
        <v>37735696088991</v>
      </c>
      <c r="F6457" s="8">
        <v>2073</v>
      </c>
      <c r="G6457" s="8">
        <v>12721</v>
      </c>
      <c r="H6457" s="8">
        <v>193</v>
      </c>
      <c r="I6457" s="8">
        <v>295</v>
      </c>
    </row>
    <row r="6458" spans="1:9" x14ac:dyDescent="0.2">
      <c r="A6458" t="s">
        <v>1281</v>
      </c>
      <c r="B6458" t="s">
        <v>1406</v>
      </c>
      <c r="C6458" t="str">
        <f t="shared" si="315"/>
        <v>37735690000000</v>
      </c>
      <c r="D6458" t="s">
        <v>7637</v>
      </c>
      <c r="E6458" t="str">
        <f>"37735693739026"</f>
        <v>37735693739026</v>
      </c>
      <c r="F6458" s="8">
        <v>1318</v>
      </c>
      <c r="G6458" s="8">
        <v>13428</v>
      </c>
      <c r="H6458" s="8">
        <v>193</v>
      </c>
      <c r="I6458" s="8">
        <v>295</v>
      </c>
    </row>
    <row r="6459" spans="1:9" x14ac:dyDescent="0.2">
      <c r="A6459" t="s">
        <v>1281</v>
      </c>
      <c r="B6459" t="s">
        <v>1406</v>
      </c>
      <c r="C6459" t="str">
        <f t="shared" si="315"/>
        <v>37735690000000</v>
      </c>
      <c r="D6459" t="s">
        <v>7638</v>
      </c>
      <c r="E6459" t="str">
        <f>"37735696038889"</f>
        <v>37735696038889</v>
      </c>
      <c r="F6459" s="8">
        <v>1649</v>
      </c>
      <c r="G6459" s="8">
        <v>12891</v>
      </c>
      <c r="H6459" s="8">
        <v>193</v>
      </c>
      <c r="I6459" s="8">
        <v>295</v>
      </c>
    </row>
    <row r="6460" spans="1:9" x14ac:dyDescent="0.2">
      <c r="A6460" t="s">
        <v>1281</v>
      </c>
      <c r="B6460" t="s">
        <v>1406</v>
      </c>
      <c r="C6460" t="str">
        <f t="shared" si="315"/>
        <v>37735690000000</v>
      </c>
      <c r="D6460" t="s">
        <v>7639</v>
      </c>
      <c r="E6460" t="str">
        <f>"37735696115299"</f>
        <v>37735696115299</v>
      </c>
      <c r="F6460" s="8">
        <v>1550</v>
      </c>
      <c r="G6460" s="8">
        <v>12926</v>
      </c>
      <c r="H6460" s="8">
        <v>193</v>
      </c>
      <c r="I6460" s="8">
        <v>295</v>
      </c>
    </row>
    <row r="6461" spans="1:9" x14ac:dyDescent="0.2">
      <c r="A6461" t="s">
        <v>1281</v>
      </c>
      <c r="B6461" t="s">
        <v>1406</v>
      </c>
      <c r="C6461" t="str">
        <f t="shared" si="315"/>
        <v>37735690000000</v>
      </c>
      <c r="D6461" t="s">
        <v>7640</v>
      </c>
      <c r="E6461" t="str">
        <f>"37735696038905"</f>
        <v>37735696038905</v>
      </c>
      <c r="F6461" s="8">
        <v>1534</v>
      </c>
      <c r="G6461" s="8">
        <v>12936</v>
      </c>
      <c r="H6461" s="8">
        <v>193</v>
      </c>
      <c r="I6461" s="8">
        <v>295</v>
      </c>
    </row>
    <row r="6462" spans="1:9" x14ac:dyDescent="0.2">
      <c r="A6462" t="s">
        <v>1281</v>
      </c>
      <c r="B6462" t="s">
        <v>1406</v>
      </c>
      <c r="C6462" t="str">
        <f t="shared" si="315"/>
        <v>37735690000000</v>
      </c>
      <c r="D6462" t="s">
        <v>7641</v>
      </c>
      <c r="E6462" t="str">
        <f>"37735696038855"</f>
        <v>37735696038855</v>
      </c>
      <c r="F6462" s="8">
        <v>1863</v>
      </c>
      <c r="G6462" s="8">
        <v>12526</v>
      </c>
      <c r="H6462" s="8">
        <v>193</v>
      </c>
      <c r="I6462" s="8">
        <v>295</v>
      </c>
    </row>
    <row r="6463" spans="1:9" x14ac:dyDescent="0.2">
      <c r="A6463" t="s">
        <v>1281</v>
      </c>
      <c r="B6463" t="s">
        <v>1406</v>
      </c>
      <c r="C6463" t="str">
        <f t="shared" si="315"/>
        <v>37735690000000</v>
      </c>
      <c r="D6463" t="s">
        <v>7642</v>
      </c>
      <c r="E6463" t="str">
        <f>"37735690113514"</f>
        <v>37735690113514</v>
      </c>
      <c r="F6463" s="8">
        <v>1739</v>
      </c>
      <c r="G6463" s="8">
        <v>11758</v>
      </c>
      <c r="H6463" s="8">
        <v>193</v>
      </c>
      <c r="I6463" s="8">
        <v>295</v>
      </c>
    </row>
    <row r="6464" spans="1:9" x14ac:dyDescent="0.2">
      <c r="A6464" t="s">
        <v>1281</v>
      </c>
      <c r="B6464" t="s">
        <v>1406</v>
      </c>
      <c r="C6464" t="str">
        <f t="shared" si="315"/>
        <v>37735690000000</v>
      </c>
      <c r="D6464" t="s">
        <v>7643</v>
      </c>
      <c r="E6464" t="str">
        <f>"37735696038913"</f>
        <v>37735696038913</v>
      </c>
      <c r="F6464" s="8">
        <v>1765</v>
      </c>
      <c r="G6464" s="8">
        <v>11684</v>
      </c>
      <c r="H6464" s="8">
        <v>193</v>
      </c>
      <c r="I6464" s="8">
        <v>295</v>
      </c>
    </row>
    <row r="6465" spans="1:9" x14ac:dyDescent="0.2">
      <c r="A6465" t="s">
        <v>1281</v>
      </c>
      <c r="B6465" t="s">
        <v>1406</v>
      </c>
      <c r="C6465" t="str">
        <f t="shared" si="315"/>
        <v>37735690000000</v>
      </c>
      <c r="D6465" t="s">
        <v>7644</v>
      </c>
      <c r="E6465" t="str">
        <f>"37735696119713"</f>
        <v>37735696119713</v>
      </c>
      <c r="F6465" s="8">
        <v>1755</v>
      </c>
      <c r="G6465" s="8">
        <v>11673</v>
      </c>
      <c r="H6465" s="8">
        <v>193</v>
      </c>
      <c r="I6465" s="8">
        <v>295</v>
      </c>
    </row>
    <row r="6466" spans="1:9" x14ac:dyDescent="0.2">
      <c r="A6466" t="s">
        <v>1281</v>
      </c>
      <c r="B6466" t="s">
        <v>1406</v>
      </c>
      <c r="C6466" t="str">
        <f t="shared" si="315"/>
        <v>37735690000000</v>
      </c>
      <c r="D6466" t="s">
        <v>7645</v>
      </c>
      <c r="E6466" t="str">
        <f>"37735693735206"</f>
        <v>37735693735206</v>
      </c>
      <c r="F6466" s="8">
        <v>1486</v>
      </c>
      <c r="G6466" s="8">
        <v>11811</v>
      </c>
      <c r="H6466" s="8">
        <v>193</v>
      </c>
      <c r="I6466" s="8">
        <v>295</v>
      </c>
    </row>
    <row r="6467" spans="1:9" x14ac:dyDescent="0.2">
      <c r="A6467" t="s">
        <v>1281</v>
      </c>
      <c r="B6467" t="s">
        <v>1406</v>
      </c>
      <c r="C6467" t="str">
        <f t="shared" si="315"/>
        <v>37735690000000</v>
      </c>
      <c r="D6467" t="s">
        <v>2297</v>
      </c>
      <c r="E6467" t="str">
        <f>"37735696038848"</f>
        <v>37735696038848</v>
      </c>
      <c r="F6467" s="8">
        <v>1758</v>
      </c>
      <c r="G6467" s="8">
        <v>11356</v>
      </c>
      <c r="H6467" s="8">
        <v>193</v>
      </c>
      <c r="I6467" s="8">
        <v>295</v>
      </c>
    </row>
    <row r="6468" spans="1:9" x14ac:dyDescent="0.2">
      <c r="A6468" t="s">
        <v>1281</v>
      </c>
      <c r="B6468" t="s">
        <v>1406</v>
      </c>
      <c r="C6468" t="str">
        <f t="shared" si="315"/>
        <v>37735690000000</v>
      </c>
      <c r="D6468" t="s">
        <v>7646</v>
      </c>
      <c r="E6468" t="str">
        <f>"37735696109995"</f>
        <v>37735696109995</v>
      </c>
      <c r="F6468" s="8">
        <v>1602</v>
      </c>
      <c r="G6468" s="8">
        <v>11444</v>
      </c>
      <c r="H6468" s="8">
        <v>193</v>
      </c>
      <c r="I6468" s="8">
        <v>295</v>
      </c>
    </row>
    <row r="6469" spans="1:9" x14ac:dyDescent="0.2">
      <c r="A6469" t="s">
        <v>1281</v>
      </c>
      <c r="B6469" t="s">
        <v>1406</v>
      </c>
      <c r="C6469" t="str">
        <f t="shared" si="315"/>
        <v>37735690000000</v>
      </c>
      <c r="D6469" t="s">
        <v>2178</v>
      </c>
      <c r="E6469" t="str">
        <f>"37735690113522"</f>
        <v>37735690113522</v>
      </c>
      <c r="F6469" s="8">
        <v>1600</v>
      </c>
      <c r="G6469" s="8">
        <v>11374</v>
      </c>
      <c r="H6469" s="8">
        <v>193</v>
      </c>
      <c r="I6469" s="8">
        <v>295</v>
      </c>
    </row>
    <row r="6470" spans="1:9" x14ac:dyDescent="0.2">
      <c r="A6470" t="s">
        <v>1281</v>
      </c>
      <c r="B6470" t="s">
        <v>1406</v>
      </c>
      <c r="C6470" t="str">
        <f t="shared" si="315"/>
        <v>37735690000000</v>
      </c>
      <c r="D6470" t="s">
        <v>7647</v>
      </c>
      <c r="E6470" t="str">
        <f>"37735696038921"</f>
        <v>37735696038921</v>
      </c>
      <c r="F6470" s="8">
        <v>1630</v>
      </c>
      <c r="G6470" s="8">
        <v>11219</v>
      </c>
      <c r="H6470" s="8">
        <v>193</v>
      </c>
      <c r="I6470" s="8">
        <v>295</v>
      </c>
    </row>
    <row r="6471" spans="1:9" x14ac:dyDescent="0.2">
      <c r="A6471" t="s">
        <v>1281</v>
      </c>
      <c r="B6471" t="s">
        <v>1406</v>
      </c>
      <c r="C6471" t="str">
        <f t="shared" si="315"/>
        <v>37735690000000</v>
      </c>
      <c r="D6471" t="s">
        <v>2511</v>
      </c>
      <c r="E6471" t="str">
        <f>"37735696038871"</f>
        <v>37735696038871</v>
      </c>
      <c r="F6471" s="8">
        <v>1660</v>
      </c>
      <c r="G6471" s="8">
        <v>11119</v>
      </c>
      <c r="H6471" s="8">
        <v>193</v>
      </c>
      <c r="I6471" s="8">
        <v>295</v>
      </c>
    </row>
    <row r="6472" spans="1:9" x14ac:dyDescent="0.2">
      <c r="A6472" t="s">
        <v>1281</v>
      </c>
      <c r="B6472" t="s">
        <v>1406</v>
      </c>
      <c r="C6472" t="str">
        <f t="shared" si="315"/>
        <v>37735690000000</v>
      </c>
      <c r="D6472" t="s">
        <v>3368</v>
      </c>
      <c r="E6472" t="str">
        <f>"37735696108211"</f>
        <v>37735696108211</v>
      </c>
      <c r="F6472" s="8">
        <v>1693</v>
      </c>
      <c r="G6472" s="8">
        <v>10876</v>
      </c>
      <c r="H6472" s="8">
        <v>193</v>
      </c>
      <c r="I6472" s="8">
        <v>295</v>
      </c>
    </row>
    <row r="6473" spans="1:9" x14ac:dyDescent="0.2">
      <c r="A6473" t="s">
        <v>1281</v>
      </c>
      <c r="B6473" t="s">
        <v>1406</v>
      </c>
      <c r="C6473" t="str">
        <f t="shared" si="315"/>
        <v>37735690000000</v>
      </c>
      <c r="D6473" t="s">
        <v>7648</v>
      </c>
      <c r="E6473" t="str">
        <f>"37735696038897"</f>
        <v>37735696038897</v>
      </c>
      <c r="F6473" s="8">
        <v>1554</v>
      </c>
      <c r="G6473" s="8">
        <v>10996</v>
      </c>
      <c r="H6473" s="8">
        <v>193</v>
      </c>
      <c r="I6473" s="8">
        <v>295</v>
      </c>
    </row>
    <row r="6474" spans="1:9" x14ac:dyDescent="0.2">
      <c r="A6474" t="s">
        <v>1281</v>
      </c>
      <c r="B6474" t="s">
        <v>1406</v>
      </c>
      <c r="C6474" t="str">
        <f t="shared" si="315"/>
        <v>37735690000000</v>
      </c>
      <c r="D6474" t="s">
        <v>2074</v>
      </c>
      <c r="E6474" t="str">
        <f>"37735696038863"</f>
        <v>37735696038863</v>
      </c>
      <c r="F6474" s="8">
        <v>1665</v>
      </c>
      <c r="G6474" s="8">
        <v>10833</v>
      </c>
      <c r="H6474" s="8">
        <v>193</v>
      </c>
      <c r="I6474" s="8">
        <v>295</v>
      </c>
    </row>
    <row r="6475" spans="1:9" x14ac:dyDescent="0.2">
      <c r="A6475" t="s">
        <v>1281</v>
      </c>
      <c r="B6475" t="s">
        <v>1406</v>
      </c>
      <c r="C6475" t="str">
        <f t="shared" si="315"/>
        <v>37735690000000</v>
      </c>
      <c r="D6475" t="s">
        <v>5261</v>
      </c>
      <c r="E6475" t="str">
        <f>"37735696111777"</f>
        <v>37735696111777</v>
      </c>
      <c r="F6475" s="8">
        <v>1496</v>
      </c>
      <c r="G6475" s="8">
        <v>10878</v>
      </c>
      <c r="H6475" s="8">
        <v>193</v>
      </c>
      <c r="I6475" s="8">
        <v>295</v>
      </c>
    </row>
    <row r="6476" spans="1:9" x14ac:dyDescent="0.2">
      <c r="A6476" t="s">
        <v>1281</v>
      </c>
      <c r="B6476" t="s">
        <v>1406</v>
      </c>
      <c r="C6476" t="str">
        <f t="shared" si="315"/>
        <v>37735690000000</v>
      </c>
      <c r="D6476" t="s">
        <v>7649</v>
      </c>
      <c r="E6476" t="str">
        <f>"37735693739018"</f>
        <v>37735693739018</v>
      </c>
      <c r="F6476" s="8">
        <v>1550</v>
      </c>
      <c r="G6476" s="8">
        <v>10727</v>
      </c>
      <c r="H6476" s="8">
        <v>193</v>
      </c>
      <c r="I6476" s="8">
        <v>295</v>
      </c>
    </row>
    <row r="6477" spans="1:9" x14ac:dyDescent="0.2">
      <c r="A6477" t="s">
        <v>1281</v>
      </c>
      <c r="B6477" t="s">
        <v>1406</v>
      </c>
      <c r="C6477" t="str">
        <f t="shared" si="315"/>
        <v>37735690000000</v>
      </c>
      <c r="D6477" t="s">
        <v>7650</v>
      </c>
      <c r="E6477" t="str">
        <f>"37735696106546"</f>
        <v>37735696106546</v>
      </c>
      <c r="F6477" s="8">
        <v>1689</v>
      </c>
      <c r="G6477" s="8">
        <v>10020</v>
      </c>
      <c r="H6477" s="8">
        <v>193</v>
      </c>
      <c r="I6477" s="8">
        <v>295</v>
      </c>
    </row>
    <row r="6478" spans="1:9" x14ac:dyDescent="0.2">
      <c r="A6478" t="s">
        <v>1281</v>
      </c>
      <c r="B6478" t="s">
        <v>1413</v>
      </c>
      <c r="C6478" t="str">
        <f t="shared" ref="C6478:C6515" si="316">"37682960000000"</f>
        <v>37682960000000</v>
      </c>
      <c r="D6478" t="s">
        <v>7651</v>
      </c>
      <c r="E6478" t="str">
        <f>"37682963735842"</f>
        <v>37682963735842</v>
      </c>
      <c r="F6478" s="8">
        <v>3124</v>
      </c>
      <c r="G6478" s="8">
        <v>23551</v>
      </c>
      <c r="H6478" s="8">
        <v>508</v>
      </c>
      <c r="I6478" s="8">
        <v>3431</v>
      </c>
    </row>
    <row r="6479" spans="1:9" x14ac:dyDescent="0.2">
      <c r="A6479" t="s">
        <v>1281</v>
      </c>
      <c r="B6479" t="s">
        <v>1413</v>
      </c>
      <c r="C6479" t="str">
        <f t="shared" si="316"/>
        <v>37682960000000</v>
      </c>
      <c r="D6479" t="s">
        <v>7652</v>
      </c>
      <c r="E6479" t="str">
        <f>"37682966039002"</f>
        <v>37682966039002</v>
      </c>
      <c r="F6479" s="8">
        <v>1883</v>
      </c>
      <c r="G6479" s="8">
        <v>11573</v>
      </c>
      <c r="H6479" s="8">
        <v>508</v>
      </c>
      <c r="I6479" s="8">
        <v>3431</v>
      </c>
    </row>
    <row r="6480" spans="1:9" x14ac:dyDescent="0.2">
      <c r="A6480" t="s">
        <v>1281</v>
      </c>
      <c r="B6480" t="s">
        <v>1413</v>
      </c>
      <c r="C6480" t="str">
        <f t="shared" si="316"/>
        <v>37682960000000</v>
      </c>
      <c r="D6480" t="s">
        <v>5835</v>
      </c>
      <c r="E6480" t="str">
        <f>"37682966097208"</f>
        <v>37682966097208</v>
      </c>
      <c r="F6480" s="8">
        <v>472</v>
      </c>
      <c r="G6480" s="8">
        <v>12454</v>
      </c>
      <c r="H6480" s="8">
        <v>508</v>
      </c>
      <c r="I6480" s="8">
        <v>3431</v>
      </c>
    </row>
    <row r="6481" spans="1:9" x14ac:dyDescent="0.2">
      <c r="A6481" t="s">
        <v>1281</v>
      </c>
      <c r="B6481" t="s">
        <v>1413</v>
      </c>
      <c r="C6481" t="str">
        <f t="shared" si="316"/>
        <v>37682960000000</v>
      </c>
      <c r="D6481" t="s">
        <v>7653</v>
      </c>
      <c r="E6481" t="str">
        <f>"37682966111314"</f>
        <v>37682966111314</v>
      </c>
      <c r="F6481" s="8">
        <v>177</v>
      </c>
      <c r="G6481" s="8">
        <v>10776</v>
      </c>
      <c r="H6481" s="8">
        <v>508</v>
      </c>
      <c r="I6481" s="8">
        <v>3431</v>
      </c>
    </row>
    <row r="6482" spans="1:9" x14ac:dyDescent="0.2">
      <c r="A6482" t="s">
        <v>1281</v>
      </c>
      <c r="B6482" t="s">
        <v>1413</v>
      </c>
      <c r="C6482" t="str">
        <f t="shared" si="316"/>
        <v>37682960000000</v>
      </c>
      <c r="D6482" t="s">
        <v>3808</v>
      </c>
      <c r="E6482" t="str">
        <f>"37682966095053"</f>
        <v>37682966095053</v>
      </c>
      <c r="F6482" s="8">
        <v>270</v>
      </c>
      <c r="G6482" s="8">
        <v>10597</v>
      </c>
      <c r="H6482" s="8">
        <v>508</v>
      </c>
      <c r="I6482" s="8">
        <v>3431</v>
      </c>
    </row>
    <row r="6483" spans="1:9" x14ac:dyDescent="0.2">
      <c r="A6483" t="s">
        <v>1281</v>
      </c>
      <c r="B6483" t="s">
        <v>1413</v>
      </c>
      <c r="C6483" t="str">
        <f t="shared" si="316"/>
        <v>37682960000000</v>
      </c>
      <c r="D6483" t="s">
        <v>6343</v>
      </c>
      <c r="E6483" t="str">
        <f>"37682966099444"</f>
        <v>37682966099444</v>
      </c>
      <c r="F6483" s="8">
        <v>549</v>
      </c>
      <c r="G6483" s="8">
        <v>10270</v>
      </c>
      <c r="H6483" s="8">
        <v>508</v>
      </c>
      <c r="I6483" s="8">
        <v>3431</v>
      </c>
    </row>
    <row r="6484" spans="1:9" x14ac:dyDescent="0.2">
      <c r="A6484" t="s">
        <v>1281</v>
      </c>
      <c r="B6484" t="s">
        <v>1413</v>
      </c>
      <c r="C6484" t="str">
        <f t="shared" si="316"/>
        <v>37682960000000</v>
      </c>
      <c r="D6484" t="s">
        <v>5946</v>
      </c>
      <c r="E6484" t="str">
        <f>"37682966106520"</f>
        <v>37682966106520</v>
      </c>
      <c r="F6484" s="8">
        <v>318</v>
      </c>
      <c r="G6484" s="8">
        <v>10158</v>
      </c>
      <c r="H6484" s="8">
        <v>508</v>
      </c>
      <c r="I6484" s="8">
        <v>3431</v>
      </c>
    </row>
    <row r="6485" spans="1:9" x14ac:dyDescent="0.2">
      <c r="A6485" t="s">
        <v>1281</v>
      </c>
      <c r="B6485" t="s">
        <v>1413</v>
      </c>
      <c r="C6485" t="str">
        <f t="shared" si="316"/>
        <v>37682960000000</v>
      </c>
      <c r="D6485" t="s">
        <v>7654</v>
      </c>
      <c r="E6485" t="str">
        <f>"37682966093231"</f>
        <v>37682966093231</v>
      </c>
      <c r="F6485" s="8">
        <v>185</v>
      </c>
      <c r="G6485" s="8">
        <v>10266</v>
      </c>
      <c r="H6485" s="8">
        <v>508</v>
      </c>
      <c r="I6485" s="8">
        <v>3431</v>
      </c>
    </row>
    <row r="6486" spans="1:9" x14ac:dyDescent="0.2">
      <c r="A6486" t="s">
        <v>1281</v>
      </c>
      <c r="B6486" t="s">
        <v>1413</v>
      </c>
      <c r="C6486" t="str">
        <f t="shared" si="316"/>
        <v>37682960000000</v>
      </c>
      <c r="D6486" t="s">
        <v>7031</v>
      </c>
      <c r="E6486" t="str">
        <f>"37682966109300"</f>
        <v>37682966109300</v>
      </c>
      <c r="F6486" s="8">
        <v>1523</v>
      </c>
      <c r="G6486" s="8">
        <v>8889</v>
      </c>
      <c r="H6486" s="8">
        <v>508</v>
      </c>
      <c r="I6486" s="8">
        <v>3431</v>
      </c>
    </row>
    <row r="6487" spans="1:9" x14ac:dyDescent="0.2">
      <c r="A6487" t="s">
        <v>1281</v>
      </c>
      <c r="B6487" t="s">
        <v>1413</v>
      </c>
      <c r="C6487" t="str">
        <f t="shared" si="316"/>
        <v>37682960000000</v>
      </c>
      <c r="D6487" t="s">
        <v>7655</v>
      </c>
      <c r="E6487" t="str">
        <f>"37682966110878"</f>
        <v>37682966110878</v>
      </c>
      <c r="F6487" s="8">
        <v>1307</v>
      </c>
      <c r="G6487" s="8">
        <v>8984</v>
      </c>
      <c r="H6487" s="8">
        <v>508</v>
      </c>
      <c r="I6487" s="8">
        <v>3431</v>
      </c>
    </row>
    <row r="6488" spans="1:9" x14ac:dyDescent="0.2">
      <c r="A6488" t="s">
        <v>1281</v>
      </c>
      <c r="B6488" t="s">
        <v>1413</v>
      </c>
      <c r="C6488" t="str">
        <f t="shared" si="316"/>
        <v>37682960000000</v>
      </c>
      <c r="D6488" t="s">
        <v>7656</v>
      </c>
      <c r="E6488" t="str">
        <f>"37682966038970"</f>
        <v>37682966038970</v>
      </c>
      <c r="F6488" s="8">
        <v>1358</v>
      </c>
      <c r="G6488" s="8">
        <v>8759</v>
      </c>
      <c r="H6488" s="8">
        <v>508</v>
      </c>
      <c r="I6488" s="8">
        <v>3431</v>
      </c>
    </row>
    <row r="6489" spans="1:9" x14ac:dyDescent="0.2">
      <c r="A6489" t="s">
        <v>1281</v>
      </c>
      <c r="B6489" t="s">
        <v>1413</v>
      </c>
      <c r="C6489" t="str">
        <f t="shared" si="316"/>
        <v>37682960000000</v>
      </c>
      <c r="D6489" t="s">
        <v>7657</v>
      </c>
      <c r="E6489" t="str">
        <f>"37682966070841"</f>
        <v>37682966070841</v>
      </c>
      <c r="F6489" s="8">
        <v>1244</v>
      </c>
      <c r="G6489" s="8">
        <v>8754</v>
      </c>
      <c r="H6489" s="8">
        <v>508</v>
      </c>
      <c r="I6489" s="8">
        <v>3431</v>
      </c>
    </row>
    <row r="6490" spans="1:9" x14ac:dyDescent="0.2">
      <c r="A6490" t="s">
        <v>1281</v>
      </c>
      <c r="B6490" t="s">
        <v>1413</v>
      </c>
      <c r="C6490" t="str">
        <f t="shared" si="316"/>
        <v>37682960000000</v>
      </c>
      <c r="D6490" t="s">
        <v>7658</v>
      </c>
      <c r="E6490" t="str">
        <f>"37682966109326"</f>
        <v>37682966109326</v>
      </c>
      <c r="F6490" s="8">
        <v>881</v>
      </c>
      <c r="G6490" s="8">
        <v>9017</v>
      </c>
      <c r="H6490" s="8">
        <v>508</v>
      </c>
      <c r="I6490" s="8">
        <v>3431</v>
      </c>
    </row>
    <row r="6491" spans="1:9" x14ac:dyDescent="0.2">
      <c r="A6491" t="s">
        <v>1281</v>
      </c>
      <c r="B6491" t="s">
        <v>1413</v>
      </c>
      <c r="C6491" t="str">
        <f t="shared" si="316"/>
        <v>37682960000000</v>
      </c>
      <c r="D6491" t="s">
        <v>7659</v>
      </c>
      <c r="E6491" t="str">
        <f>"37682966114854"</f>
        <v>37682966114854</v>
      </c>
      <c r="F6491" s="8">
        <v>224</v>
      </c>
      <c r="G6491" s="8">
        <v>9591</v>
      </c>
      <c r="H6491" s="8">
        <v>508</v>
      </c>
      <c r="I6491" s="8">
        <v>3431</v>
      </c>
    </row>
    <row r="6492" spans="1:9" x14ac:dyDescent="0.2">
      <c r="A6492" t="s">
        <v>1281</v>
      </c>
      <c r="B6492" t="s">
        <v>1413</v>
      </c>
      <c r="C6492" t="str">
        <f t="shared" si="316"/>
        <v>37682960000000</v>
      </c>
      <c r="D6492" t="s">
        <v>7660</v>
      </c>
      <c r="E6492" t="str">
        <f>"37682960102822"</f>
        <v>37682960102822</v>
      </c>
      <c r="F6492" s="8">
        <v>264</v>
      </c>
      <c r="G6492" s="8">
        <v>9391</v>
      </c>
      <c r="H6492" s="8">
        <v>508</v>
      </c>
      <c r="I6492" s="8">
        <v>3431</v>
      </c>
    </row>
    <row r="6493" spans="1:9" x14ac:dyDescent="0.2">
      <c r="A6493" t="s">
        <v>1281</v>
      </c>
      <c r="B6493" t="s">
        <v>1413</v>
      </c>
      <c r="C6493" t="str">
        <f t="shared" si="316"/>
        <v>37682960000000</v>
      </c>
      <c r="D6493" t="s">
        <v>7661</v>
      </c>
      <c r="E6493" t="str">
        <f>"37682966110886"</f>
        <v>37682966110886</v>
      </c>
      <c r="F6493" s="8">
        <v>722</v>
      </c>
      <c r="G6493" s="8">
        <v>8790</v>
      </c>
      <c r="H6493" s="8">
        <v>508</v>
      </c>
      <c r="I6493" s="8">
        <v>3431</v>
      </c>
    </row>
    <row r="6494" spans="1:9" x14ac:dyDescent="0.2">
      <c r="A6494" t="s">
        <v>1281</v>
      </c>
      <c r="B6494" t="s">
        <v>1413</v>
      </c>
      <c r="C6494" t="str">
        <f t="shared" si="316"/>
        <v>37682960000000</v>
      </c>
      <c r="D6494" t="s">
        <v>2637</v>
      </c>
      <c r="E6494" t="str">
        <f>"37682966117469"</f>
        <v>37682966117469</v>
      </c>
      <c r="F6494" s="8">
        <v>245</v>
      </c>
      <c r="G6494" s="8">
        <v>9067</v>
      </c>
      <c r="H6494" s="8">
        <v>508</v>
      </c>
      <c r="I6494" s="8">
        <v>3431</v>
      </c>
    </row>
    <row r="6495" spans="1:9" x14ac:dyDescent="0.2">
      <c r="A6495" t="s">
        <v>1281</v>
      </c>
      <c r="B6495" t="s">
        <v>1413</v>
      </c>
      <c r="C6495" t="str">
        <f t="shared" si="316"/>
        <v>37682960000000</v>
      </c>
      <c r="D6495" t="s">
        <v>7662</v>
      </c>
      <c r="E6495" t="str">
        <f>"37682966109318"</f>
        <v>37682966109318</v>
      </c>
      <c r="F6495" s="8">
        <v>284</v>
      </c>
      <c r="G6495" s="8">
        <v>8820</v>
      </c>
      <c r="H6495" s="8">
        <v>508</v>
      </c>
      <c r="I6495" s="8">
        <v>3431</v>
      </c>
    </row>
    <row r="6496" spans="1:9" x14ac:dyDescent="0.2">
      <c r="A6496" t="s">
        <v>1281</v>
      </c>
      <c r="B6496" t="s">
        <v>1413</v>
      </c>
      <c r="C6496" t="str">
        <f t="shared" si="316"/>
        <v>37682960000000</v>
      </c>
      <c r="D6496" t="s">
        <v>7436</v>
      </c>
      <c r="E6496" t="str">
        <f>"37682966039010"</f>
        <v>37682966039010</v>
      </c>
      <c r="F6496" s="8">
        <v>1171</v>
      </c>
      <c r="G6496" s="8">
        <v>7813</v>
      </c>
      <c r="H6496" s="8">
        <v>508</v>
      </c>
      <c r="I6496" s="8">
        <v>3431</v>
      </c>
    </row>
    <row r="6497" spans="1:9" x14ac:dyDescent="0.2">
      <c r="A6497" t="s">
        <v>1281</v>
      </c>
      <c r="B6497" t="s">
        <v>1413</v>
      </c>
      <c r="C6497" t="str">
        <f t="shared" si="316"/>
        <v>37682960000000</v>
      </c>
      <c r="D6497" t="s">
        <v>2565</v>
      </c>
      <c r="E6497" t="str">
        <f>"37682966070858"</f>
        <v>37682966070858</v>
      </c>
      <c r="F6497" s="8">
        <v>178</v>
      </c>
      <c r="G6497" s="8">
        <v>8806</v>
      </c>
      <c r="H6497" s="8">
        <v>508</v>
      </c>
      <c r="I6497" s="8">
        <v>3431</v>
      </c>
    </row>
    <row r="6498" spans="1:9" x14ac:dyDescent="0.2">
      <c r="A6498" t="s">
        <v>1281</v>
      </c>
      <c r="B6498" t="s">
        <v>1413</v>
      </c>
      <c r="C6498" t="str">
        <f t="shared" si="316"/>
        <v>37682960000000</v>
      </c>
      <c r="D6498" t="s">
        <v>3714</v>
      </c>
      <c r="E6498" t="str">
        <f>"37682966097216"</f>
        <v>37682966097216</v>
      </c>
      <c r="F6498" s="8">
        <v>349</v>
      </c>
      <c r="G6498" s="8">
        <v>8458</v>
      </c>
      <c r="H6498" s="8">
        <v>508</v>
      </c>
      <c r="I6498" s="8">
        <v>3431</v>
      </c>
    </row>
    <row r="6499" spans="1:9" x14ac:dyDescent="0.2">
      <c r="A6499" t="s">
        <v>1281</v>
      </c>
      <c r="B6499" t="s">
        <v>1413</v>
      </c>
      <c r="C6499" t="str">
        <f t="shared" si="316"/>
        <v>37682960000000</v>
      </c>
      <c r="D6499" t="s">
        <v>6527</v>
      </c>
      <c r="E6499" t="str">
        <f>"37682966038996"</f>
        <v>37682966038996</v>
      </c>
      <c r="F6499" s="8">
        <v>783</v>
      </c>
      <c r="G6499" s="8">
        <v>7830</v>
      </c>
      <c r="H6499" s="8">
        <v>508</v>
      </c>
      <c r="I6499" s="8">
        <v>3431</v>
      </c>
    </row>
    <row r="6500" spans="1:9" x14ac:dyDescent="0.2">
      <c r="A6500" t="s">
        <v>1281</v>
      </c>
      <c r="B6500" t="s">
        <v>1413</v>
      </c>
      <c r="C6500" t="str">
        <f t="shared" si="316"/>
        <v>37682960000000</v>
      </c>
      <c r="D6500" t="s">
        <v>7663</v>
      </c>
      <c r="E6500" t="str">
        <f>"37682960111187"</f>
        <v>37682960111187</v>
      </c>
      <c r="F6500" s="8">
        <v>244</v>
      </c>
      <c r="G6500" s="8">
        <v>8315</v>
      </c>
      <c r="H6500" s="8">
        <v>508</v>
      </c>
      <c r="I6500" s="8">
        <v>3431</v>
      </c>
    </row>
    <row r="6501" spans="1:9" x14ac:dyDescent="0.2">
      <c r="A6501" t="s">
        <v>1281</v>
      </c>
      <c r="B6501" t="s">
        <v>1413</v>
      </c>
      <c r="C6501" t="str">
        <f t="shared" si="316"/>
        <v>37682960000000</v>
      </c>
      <c r="D6501" t="s">
        <v>7013</v>
      </c>
      <c r="E6501" t="str">
        <f>"37682960116764"</f>
        <v>37682960116764</v>
      </c>
      <c r="F6501" s="8">
        <v>238</v>
      </c>
      <c r="G6501" s="8">
        <v>8282</v>
      </c>
      <c r="H6501" s="8">
        <v>508</v>
      </c>
      <c r="I6501" s="8">
        <v>3431</v>
      </c>
    </row>
    <row r="6502" spans="1:9" x14ac:dyDescent="0.2">
      <c r="A6502" t="s">
        <v>1281</v>
      </c>
      <c r="B6502" t="s">
        <v>1413</v>
      </c>
      <c r="C6502" t="str">
        <f t="shared" si="316"/>
        <v>37682960000000</v>
      </c>
      <c r="D6502" t="s">
        <v>7664</v>
      </c>
      <c r="E6502" t="str">
        <f>"37682963730074"</f>
        <v>37682963730074</v>
      </c>
      <c r="F6502" s="8">
        <v>300</v>
      </c>
      <c r="G6502" s="8">
        <v>7951</v>
      </c>
      <c r="H6502" s="8">
        <v>508</v>
      </c>
      <c r="I6502" s="8">
        <v>3431</v>
      </c>
    </row>
    <row r="6503" spans="1:9" x14ac:dyDescent="0.2">
      <c r="A6503" t="s">
        <v>1281</v>
      </c>
      <c r="B6503" t="s">
        <v>1413</v>
      </c>
      <c r="C6503" t="str">
        <f t="shared" si="316"/>
        <v>37682960000000</v>
      </c>
      <c r="D6503" t="s">
        <v>7665</v>
      </c>
      <c r="E6503" t="str">
        <f>"37682966111306"</f>
        <v>37682966111306</v>
      </c>
      <c r="F6503" s="8">
        <v>189</v>
      </c>
      <c r="G6503" s="8">
        <v>7899</v>
      </c>
      <c r="H6503" s="8">
        <v>508</v>
      </c>
      <c r="I6503" s="8">
        <v>3431</v>
      </c>
    </row>
    <row r="6504" spans="1:9" x14ac:dyDescent="0.2">
      <c r="A6504" t="s">
        <v>1281</v>
      </c>
      <c r="B6504" t="s">
        <v>1413</v>
      </c>
      <c r="C6504" t="str">
        <f t="shared" si="316"/>
        <v>37682960000000</v>
      </c>
      <c r="D6504" t="s">
        <v>7666</v>
      </c>
      <c r="E6504" t="str">
        <f>"37682966093223"</f>
        <v>37682966093223</v>
      </c>
      <c r="F6504" s="8">
        <v>243</v>
      </c>
      <c r="G6504" s="8">
        <v>7699</v>
      </c>
      <c r="H6504" s="8">
        <v>508</v>
      </c>
      <c r="I6504" s="8">
        <v>3431</v>
      </c>
    </row>
    <row r="6505" spans="1:9" x14ac:dyDescent="0.2">
      <c r="A6505" t="s">
        <v>1281</v>
      </c>
      <c r="B6505" t="s">
        <v>1413</v>
      </c>
      <c r="C6505" t="str">
        <f t="shared" si="316"/>
        <v>37682960000000</v>
      </c>
      <c r="D6505" t="s">
        <v>7667</v>
      </c>
      <c r="E6505" t="str">
        <f>"37682960129056"</f>
        <v>37682960129056</v>
      </c>
      <c r="F6505" s="8">
        <v>317</v>
      </c>
      <c r="G6505" s="8">
        <v>7549</v>
      </c>
      <c r="H6505" s="8">
        <v>508</v>
      </c>
      <c r="I6505" s="8">
        <v>3431</v>
      </c>
    </row>
    <row r="6506" spans="1:9" x14ac:dyDescent="0.2">
      <c r="A6506" t="s">
        <v>1281</v>
      </c>
      <c r="B6506" t="s">
        <v>1413</v>
      </c>
      <c r="C6506" t="str">
        <f t="shared" si="316"/>
        <v>37682960000000</v>
      </c>
      <c r="D6506" t="s">
        <v>7668</v>
      </c>
      <c r="E6506" t="str">
        <f>"37682966070866"</f>
        <v>37682966070866</v>
      </c>
      <c r="F6506" s="8">
        <v>390</v>
      </c>
      <c r="G6506" s="8">
        <v>7446</v>
      </c>
      <c r="H6506" s="8">
        <v>508</v>
      </c>
      <c r="I6506" s="8">
        <v>3431</v>
      </c>
    </row>
    <row r="6507" spans="1:9" x14ac:dyDescent="0.2">
      <c r="A6507" t="s">
        <v>1281</v>
      </c>
      <c r="B6507" t="s">
        <v>1413</v>
      </c>
      <c r="C6507" t="str">
        <f t="shared" si="316"/>
        <v>37682960000000</v>
      </c>
      <c r="D6507" t="s">
        <v>7669</v>
      </c>
      <c r="E6507" t="str">
        <f>"37682966038988"</f>
        <v>37682966038988</v>
      </c>
      <c r="F6507" s="8">
        <v>214</v>
      </c>
      <c r="G6507" s="8">
        <v>7549</v>
      </c>
      <c r="H6507" s="8">
        <v>508</v>
      </c>
      <c r="I6507" s="8">
        <v>3431</v>
      </c>
    </row>
    <row r="6508" spans="1:9" x14ac:dyDescent="0.2">
      <c r="A6508" t="s">
        <v>1281</v>
      </c>
      <c r="B6508" t="s">
        <v>1413</v>
      </c>
      <c r="C6508" t="str">
        <f t="shared" si="316"/>
        <v>37682960000000</v>
      </c>
      <c r="D6508" t="s">
        <v>7670</v>
      </c>
      <c r="E6508" t="str">
        <f>"37682966085088"</f>
        <v>37682966085088</v>
      </c>
      <c r="F6508" s="8">
        <v>178</v>
      </c>
      <c r="G6508" s="8">
        <v>7539</v>
      </c>
      <c r="H6508" s="8">
        <v>508</v>
      </c>
      <c r="I6508" s="8">
        <v>3431</v>
      </c>
    </row>
    <row r="6509" spans="1:9" x14ac:dyDescent="0.2">
      <c r="A6509" t="s">
        <v>1281</v>
      </c>
      <c r="B6509" t="s">
        <v>1413</v>
      </c>
      <c r="C6509" t="str">
        <f t="shared" si="316"/>
        <v>37682960000000</v>
      </c>
      <c r="D6509" t="s">
        <v>7671</v>
      </c>
      <c r="E6509" t="str">
        <f>"37682963735867"</f>
        <v>37682963735867</v>
      </c>
      <c r="F6509" s="8">
        <v>265</v>
      </c>
      <c r="G6509" s="8">
        <v>7427</v>
      </c>
      <c r="H6509" s="8">
        <v>508</v>
      </c>
      <c r="I6509" s="8">
        <v>3431</v>
      </c>
    </row>
    <row r="6510" spans="1:9" x14ac:dyDescent="0.2">
      <c r="A6510" t="s">
        <v>1281</v>
      </c>
      <c r="B6510" t="s">
        <v>1413</v>
      </c>
      <c r="C6510" t="str">
        <f t="shared" si="316"/>
        <v>37682960000000</v>
      </c>
      <c r="D6510" t="s">
        <v>7672</v>
      </c>
      <c r="E6510" t="str">
        <f>"37682963731528"</f>
        <v>37682963731528</v>
      </c>
      <c r="F6510" s="8">
        <v>496</v>
      </c>
      <c r="G6510" s="8">
        <v>7066</v>
      </c>
      <c r="H6510" s="8">
        <v>508</v>
      </c>
      <c r="I6510" s="8">
        <v>3431</v>
      </c>
    </row>
    <row r="6511" spans="1:9" x14ac:dyDescent="0.2">
      <c r="A6511" t="s">
        <v>1281</v>
      </c>
      <c r="B6511" t="s">
        <v>1413</v>
      </c>
      <c r="C6511" t="str">
        <f t="shared" si="316"/>
        <v>37682960000000</v>
      </c>
      <c r="D6511" t="s">
        <v>7673</v>
      </c>
      <c r="E6511" t="str">
        <f>"37682960116475"</f>
        <v>37682960116475</v>
      </c>
      <c r="F6511" s="8">
        <v>225</v>
      </c>
      <c r="G6511" s="8">
        <v>7292</v>
      </c>
      <c r="H6511" s="8">
        <v>508</v>
      </c>
      <c r="I6511" s="8">
        <v>3431</v>
      </c>
    </row>
    <row r="6512" spans="1:9" x14ac:dyDescent="0.2">
      <c r="A6512" t="s">
        <v>1281</v>
      </c>
      <c r="B6512" t="s">
        <v>1413</v>
      </c>
      <c r="C6512" t="str">
        <f t="shared" si="316"/>
        <v>37682960000000</v>
      </c>
      <c r="D6512" t="s">
        <v>7674</v>
      </c>
      <c r="E6512" t="str">
        <f>"37682963730819"</f>
        <v>37682963730819</v>
      </c>
      <c r="F6512" s="8">
        <v>318</v>
      </c>
      <c r="G6512" s="8">
        <v>6844</v>
      </c>
      <c r="H6512" s="8">
        <v>508</v>
      </c>
      <c r="I6512" s="8">
        <v>3431</v>
      </c>
    </row>
    <row r="6513" spans="1:9" x14ac:dyDescent="0.2">
      <c r="A6513" t="s">
        <v>1281</v>
      </c>
      <c r="B6513" t="s">
        <v>1413</v>
      </c>
      <c r="C6513" t="str">
        <f t="shared" si="316"/>
        <v>37682960000000</v>
      </c>
      <c r="D6513" t="s">
        <v>7675</v>
      </c>
      <c r="E6513" t="str">
        <f>"37682966107460"</f>
        <v>37682966107460</v>
      </c>
      <c r="F6513" s="8">
        <v>240</v>
      </c>
      <c r="G6513" s="8">
        <v>6903</v>
      </c>
      <c r="H6513" s="8">
        <v>508</v>
      </c>
      <c r="I6513" s="8">
        <v>3431</v>
      </c>
    </row>
    <row r="6514" spans="1:9" x14ac:dyDescent="0.2">
      <c r="A6514" t="s">
        <v>1281</v>
      </c>
      <c r="B6514" t="s">
        <v>1413</v>
      </c>
      <c r="C6514" t="str">
        <f t="shared" si="316"/>
        <v>37682960000000</v>
      </c>
      <c r="D6514" t="s">
        <v>2728</v>
      </c>
      <c r="E6514" t="str">
        <f>"37682960118935"</f>
        <v>37682960118935</v>
      </c>
      <c r="F6514" s="8">
        <v>208</v>
      </c>
      <c r="G6514" s="8">
        <v>6673</v>
      </c>
      <c r="H6514" s="8">
        <v>508</v>
      </c>
      <c r="I6514" s="8">
        <v>3431</v>
      </c>
    </row>
    <row r="6515" spans="1:9" x14ac:dyDescent="0.2">
      <c r="A6515" t="s">
        <v>1281</v>
      </c>
      <c r="B6515" t="s">
        <v>1413</v>
      </c>
      <c r="C6515" t="str">
        <f t="shared" si="316"/>
        <v>37682960000000</v>
      </c>
      <c r="D6515" t="s">
        <v>7676</v>
      </c>
      <c r="E6515" t="str">
        <f>"37682960108332"</f>
        <v>37682960108332</v>
      </c>
      <c r="F6515" s="8">
        <v>182</v>
      </c>
      <c r="G6515" s="8">
        <v>6381</v>
      </c>
      <c r="H6515" s="8">
        <v>508</v>
      </c>
      <c r="I6515" s="8">
        <v>3431</v>
      </c>
    </row>
    <row r="6516" spans="1:9" x14ac:dyDescent="0.2">
      <c r="A6516" t="s">
        <v>1281</v>
      </c>
      <c r="B6516" t="s">
        <v>1415</v>
      </c>
      <c r="C6516" t="str">
        <f t="shared" ref="C6516:C6526" si="317">"37683040000000"</f>
        <v>37683040000000</v>
      </c>
      <c r="D6516" t="s">
        <v>6611</v>
      </c>
      <c r="E6516" t="str">
        <f>"37683043735974"</f>
        <v>37683043735974</v>
      </c>
      <c r="F6516" s="8">
        <v>276</v>
      </c>
      <c r="G6516" s="8">
        <v>526</v>
      </c>
      <c r="H6516" s="8">
        <v>576</v>
      </c>
      <c r="I6516" s="8">
        <v>14933</v>
      </c>
    </row>
    <row r="6517" spans="1:9" x14ac:dyDescent="0.2">
      <c r="A6517" t="s">
        <v>1281</v>
      </c>
      <c r="B6517" t="s">
        <v>1415</v>
      </c>
      <c r="C6517" t="str">
        <f t="shared" si="317"/>
        <v>37683040000000</v>
      </c>
      <c r="D6517" t="s">
        <v>7677</v>
      </c>
      <c r="E6517" t="str">
        <f>"37683043735958"</f>
        <v>37683043735958</v>
      </c>
      <c r="F6517" s="8">
        <v>1087</v>
      </c>
      <c r="G6517" s="8">
        <v>352</v>
      </c>
      <c r="H6517" s="8">
        <v>2273</v>
      </c>
      <c r="I6517" s="8">
        <v>9984</v>
      </c>
    </row>
    <row r="6518" spans="1:9" x14ac:dyDescent="0.2">
      <c r="A6518" t="s">
        <v>1281</v>
      </c>
      <c r="B6518" t="s">
        <v>1415</v>
      </c>
      <c r="C6518" t="str">
        <f t="shared" si="317"/>
        <v>37683040000000</v>
      </c>
      <c r="D6518" t="s">
        <v>7678</v>
      </c>
      <c r="E6518" t="str">
        <f>"37683046107999"</f>
        <v>37683046107999</v>
      </c>
      <c r="F6518" s="8">
        <v>403</v>
      </c>
      <c r="G6518" s="8">
        <v>411</v>
      </c>
      <c r="H6518" s="8">
        <v>843</v>
      </c>
      <c r="I6518" s="8">
        <v>11659</v>
      </c>
    </row>
    <row r="6519" spans="1:9" x14ac:dyDescent="0.2">
      <c r="A6519" t="s">
        <v>1281</v>
      </c>
      <c r="B6519" t="s">
        <v>1415</v>
      </c>
      <c r="C6519" t="str">
        <f t="shared" si="317"/>
        <v>37683040000000</v>
      </c>
      <c r="D6519" t="s">
        <v>7679</v>
      </c>
      <c r="E6519" t="str">
        <f>"37683046110720"</f>
        <v>37683046110720</v>
      </c>
      <c r="F6519" s="8">
        <v>273</v>
      </c>
      <c r="G6519" s="8">
        <v>386</v>
      </c>
      <c r="H6519" s="8">
        <v>571</v>
      </c>
      <c r="I6519" s="8">
        <v>10964</v>
      </c>
    </row>
    <row r="6520" spans="1:9" x14ac:dyDescent="0.2">
      <c r="A6520" t="s">
        <v>1281</v>
      </c>
      <c r="B6520" t="s">
        <v>1415</v>
      </c>
      <c r="C6520" t="str">
        <f t="shared" si="317"/>
        <v>37683040000000</v>
      </c>
      <c r="D6520" t="s">
        <v>7680</v>
      </c>
      <c r="E6520" t="str">
        <f>"37683046105555"</f>
        <v>37683046105555</v>
      </c>
      <c r="F6520" s="8">
        <v>265</v>
      </c>
      <c r="G6520" s="8">
        <v>353</v>
      </c>
      <c r="H6520" s="8">
        <v>554</v>
      </c>
      <c r="I6520" s="8">
        <v>10014</v>
      </c>
    </row>
    <row r="6521" spans="1:9" x14ac:dyDescent="0.2">
      <c r="A6521" t="s">
        <v>1281</v>
      </c>
      <c r="B6521" t="s">
        <v>1415</v>
      </c>
      <c r="C6521" t="str">
        <f t="shared" si="317"/>
        <v>37683040000000</v>
      </c>
      <c r="D6521" t="s">
        <v>7681</v>
      </c>
      <c r="E6521" t="str">
        <f>"37683040102178"</f>
        <v>37683040102178</v>
      </c>
      <c r="F6521" s="8">
        <v>502</v>
      </c>
      <c r="G6521" s="8">
        <v>311</v>
      </c>
      <c r="H6521" s="8">
        <v>1049</v>
      </c>
      <c r="I6521" s="8">
        <v>8828</v>
      </c>
    </row>
    <row r="6522" spans="1:9" x14ac:dyDescent="0.2">
      <c r="A6522" t="s">
        <v>1281</v>
      </c>
      <c r="B6522" t="s">
        <v>1415</v>
      </c>
      <c r="C6522" t="str">
        <f t="shared" si="317"/>
        <v>37683040000000</v>
      </c>
      <c r="D6522" t="s">
        <v>7682</v>
      </c>
      <c r="E6522" t="str">
        <f>"37683046039028"</f>
        <v>37683046039028</v>
      </c>
      <c r="F6522" s="8">
        <v>492</v>
      </c>
      <c r="G6522" s="8">
        <v>292</v>
      </c>
      <c r="H6522" s="8">
        <v>1028</v>
      </c>
      <c r="I6522" s="8">
        <v>8280</v>
      </c>
    </row>
    <row r="6523" spans="1:9" x14ac:dyDescent="0.2">
      <c r="A6523" t="s">
        <v>1281</v>
      </c>
      <c r="B6523" t="s">
        <v>1415</v>
      </c>
      <c r="C6523" t="str">
        <f t="shared" si="317"/>
        <v>37683040000000</v>
      </c>
      <c r="D6523" t="s">
        <v>7683</v>
      </c>
      <c r="E6523" t="str">
        <f>"37683046105563"</f>
        <v>37683046105563</v>
      </c>
      <c r="F6523" s="8">
        <v>366</v>
      </c>
      <c r="G6523" s="8">
        <v>222</v>
      </c>
      <c r="H6523" s="8">
        <v>765</v>
      </c>
      <c r="I6523" s="8">
        <v>6289</v>
      </c>
    </row>
    <row r="6524" spans="1:9" x14ac:dyDescent="0.2">
      <c r="A6524" t="s">
        <v>1281</v>
      </c>
      <c r="B6524" t="s">
        <v>1415</v>
      </c>
      <c r="C6524" t="str">
        <f t="shared" si="317"/>
        <v>37683040000000</v>
      </c>
      <c r="D6524" t="s">
        <v>7684</v>
      </c>
      <c r="E6524" t="str">
        <f>"37683040131268"</f>
        <v>37683040131268</v>
      </c>
      <c r="F6524" s="8">
        <v>243</v>
      </c>
      <c r="G6524" s="8">
        <v>219</v>
      </c>
      <c r="H6524" s="8">
        <v>509</v>
      </c>
      <c r="I6524" s="8">
        <v>6214</v>
      </c>
    </row>
    <row r="6525" spans="1:9" x14ac:dyDescent="0.2">
      <c r="A6525" t="s">
        <v>1281</v>
      </c>
      <c r="B6525" t="s">
        <v>1415</v>
      </c>
      <c r="C6525" t="str">
        <f t="shared" si="317"/>
        <v>37683040000000</v>
      </c>
      <c r="D6525" t="s">
        <v>7685</v>
      </c>
      <c r="E6525" t="str">
        <f>"37683040131250"</f>
        <v>37683040131250</v>
      </c>
      <c r="F6525" s="8">
        <v>243</v>
      </c>
      <c r="G6525" s="8">
        <v>207</v>
      </c>
      <c r="H6525" s="8">
        <v>508</v>
      </c>
      <c r="I6525" s="8">
        <v>5878</v>
      </c>
    </row>
    <row r="6526" spans="1:9" x14ac:dyDescent="0.2">
      <c r="A6526" t="s">
        <v>1281</v>
      </c>
      <c r="B6526" t="s">
        <v>1415</v>
      </c>
      <c r="C6526" t="str">
        <f t="shared" si="317"/>
        <v>37683040000000</v>
      </c>
      <c r="D6526" t="s">
        <v>3580</v>
      </c>
      <c r="E6526" t="str">
        <f>"37683046039036"</f>
        <v>37683046039036</v>
      </c>
      <c r="F6526" s="8">
        <v>502</v>
      </c>
      <c r="G6526" s="8">
        <v>176</v>
      </c>
      <c r="H6526" s="8">
        <v>1051</v>
      </c>
      <c r="I6526" s="8">
        <v>4993</v>
      </c>
    </row>
    <row r="6527" spans="1:9" x14ac:dyDescent="0.2">
      <c r="A6527" t="s">
        <v>1281</v>
      </c>
      <c r="B6527" t="s">
        <v>1416</v>
      </c>
      <c r="C6527" t="str">
        <f>"37683120000000"</f>
        <v>37683120000000</v>
      </c>
      <c r="D6527" t="s">
        <v>7686</v>
      </c>
      <c r="E6527" t="str">
        <f>"37683126039051"</f>
        <v>37683126039051</v>
      </c>
      <c r="F6527" s="8">
        <v>533</v>
      </c>
      <c r="G6527" s="8">
        <v>16704</v>
      </c>
      <c r="H6527" s="8">
        <v>644</v>
      </c>
      <c r="I6527" s="8">
        <v>3588</v>
      </c>
    </row>
    <row r="6528" spans="1:9" x14ac:dyDescent="0.2">
      <c r="A6528" t="s">
        <v>1281</v>
      </c>
      <c r="B6528" t="s">
        <v>1416</v>
      </c>
      <c r="C6528" t="str">
        <f>"37683120000000"</f>
        <v>37683120000000</v>
      </c>
      <c r="D6528" t="s">
        <v>7687</v>
      </c>
      <c r="E6528" t="str">
        <f>"37683126070908"</f>
        <v>37683126070908</v>
      </c>
      <c r="F6528" s="8">
        <v>0</v>
      </c>
      <c r="G6528" s="8">
        <v>9745</v>
      </c>
      <c r="H6528" s="8">
        <v>1025</v>
      </c>
      <c r="I6528" s="8">
        <v>5709</v>
      </c>
    </row>
    <row r="6529" spans="1:9" x14ac:dyDescent="0.2">
      <c r="A6529" t="s">
        <v>1281</v>
      </c>
      <c r="B6529" t="s">
        <v>1420</v>
      </c>
      <c r="C6529" t="str">
        <f t="shared" ref="C6529:C6535" si="318">"37103710000000"</f>
        <v>37103710000000</v>
      </c>
      <c r="D6529" t="s">
        <v>7688</v>
      </c>
      <c r="E6529" t="str">
        <f>"37103711996545"</f>
        <v>37103711996545</v>
      </c>
      <c r="F6529" s="8">
        <v>0</v>
      </c>
      <c r="G6529" s="8">
        <v>90603</v>
      </c>
      <c r="H6529" s="8">
        <v>0</v>
      </c>
      <c r="I6529" s="8">
        <v>0</v>
      </c>
    </row>
    <row r="6530" spans="1:9" x14ac:dyDescent="0.2">
      <c r="A6530" t="s">
        <v>1281</v>
      </c>
      <c r="B6530" t="s">
        <v>1420</v>
      </c>
      <c r="C6530" t="str">
        <f t="shared" si="318"/>
        <v>37103710000000</v>
      </c>
      <c r="D6530" t="s">
        <v>7689</v>
      </c>
      <c r="E6530" t="str">
        <f>"37103710120485"</f>
        <v>37103710120485</v>
      </c>
      <c r="F6530" s="8">
        <v>2147</v>
      </c>
      <c r="G6530" s="8">
        <v>83101</v>
      </c>
      <c r="H6530" s="8">
        <v>0</v>
      </c>
      <c r="I6530" s="8">
        <v>0</v>
      </c>
    </row>
    <row r="6531" spans="1:9" x14ac:dyDescent="0.2">
      <c r="A6531" t="s">
        <v>1281</v>
      </c>
      <c r="B6531" t="s">
        <v>1420</v>
      </c>
      <c r="C6531" t="str">
        <f t="shared" si="318"/>
        <v>37103710000000</v>
      </c>
      <c r="D6531" t="s">
        <v>7690</v>
      </c>
      <c r="E6531" t="str">
        <f>"37103710128538"</f>
        <v>37103710128538</v>
      </c>
      <c r="F6531" s="8">
        <v>10187</v>
      </c>
      <c r="G6531" s="8">
        <v>59543</v>
      </c>
      <c r="H6531" s="8">
        <v>0</v>
      </c>
      <c r="I6531" s="8">
        <v>0</v>
      </c>
    </row>
    <row r="6532" spans="1:9" x14ac:dyDescent="0.2">
      <c r="A6532" t="s">
        <v>1281</v>
      </c>
      <c r="B6532" t="s">
        <v>1420</v>
      </c>
      <c r="C6532" t="str">
        <f t="shared" si="318"/>
        <v>37103710000000</v>
      </c>
      <c r="D6532" t="s">
        <v>7691</v>
      </c>
      <c r="E6532" t="str">
        <f>"37103710115998"</f>
        <v>37103710115998</v>
      </c>
      <c r="F6532" s="8">
        <v>9171</v>
      </c>
      <c r="G6532" s="8">
        <v>48539</v>
      </c>
      <c r="H6532" s="8">
        <v>0</v>
      </c>
      <c r="I6532" s="8">
        <v>0</v>
      </c>
    </row>
    <row r="6533" spans="1:9" x14ac:dyDescent="0.2">
      <c r="A6533" t="s">
        <v>1281</v>
      </c>
      <c r="B6533" t="s">
        <v>1420</v>
      </c>
      <c r="C6533" t="str">
        <f t="shared" si="318"/>
        <v>37103710000000</v>
      </c>
      <c r="D6533" t="s">
        <v>7692</v>
      </c>
      <c r="E6533" t="str">
        <f>"37103716069355"</f>
        <v>37103716069355</v>
      </c>
      <c r="F6533" s="8">
        <v>11216</v>
      </c>
      <c r="G6533" s="8">
        <v>44124</v>
      </c>
      <c r="H6533" s="8">
        <v>0</v>
      </c>
      <c r="I6533" s="8">
        <v>0</v>
      </c>
    </row>
    <row r="6534" spans="1:9" x14ac:dyDescent="0.2">
      <c r="A6534" t="s">
        <v>1281</v>
      </c>
      <c r="B6534" t="s">
        <v>1420</v>
      </c>
      <c r="C6534" t="str">
        <f t="shared" si="318"/>
        <v>37103710000000</v>
      </c>
      <c r="D6534" t="s">
        <v>7693</v>
      </c>
      <c r="E6534" t="str">
        <f>"37103710128520"</f>
        <v>37103710128520</v>
      </c>
      <c r="F6534" s="8">
        <v>5467</v>
      </c>
      <c r="G6534" s="8">
        <v>41767</v>
      </c>
      <c r="H6534" s="8">
        <v>0</v>
      </c>
      <c r="I6534" s="8">
        <v>0</v>
      </c>
    </row>
    <row r="6535" spans="1:9" x14ac:dyDescent="0.2">
      <c r="A6535" t="s">
        <v>1281</v>
      </c>
      <c r="B6535" t="s">
        <v>1420</v>
      </c>
      <c r="C6535" t="str">
        <f t="shared" si="318"/>
        <v>37103710000000</v>
      </c>
      <c r="D6535" t="s">
        <v>7694</v>
      </c>
      <c r="E6535" t="str">
        <f>"37103710120493"</f>
        <v>37103710120493</v>
      </c>
      <c r="F6535" s="8">
        <v>4811</v>
      </c>
      <c r="G6535" s="8">
        <v>30468</v>
      </c>
      <c r="H6535" s="8">
        <v>0</v>
      </c>
      <c r="I6535" s="8">
        <v>0</v>
      </c>
    </row>
    <row r="6536" spans="1:9" x14ac:dyDescent="0.2">
      <c r="A6536" t="s">
        <v>1281</v>
      </c>
      <c r="B6536" t="s">
        <v>1423</v>
      </c>
      <c r="C6536" t="str">
        <f t="shared" ref="C6536:C6567" si="319">"37683380000000"</f>
        <v>37683380000000</v>
      </c>
      <c r="D6536" t="s">
        <v>7695</v>
      </c>
      <c r="E6536" t="str">
        <f>"37683383730363"</f>
        <v>37683383730363</v>
      </c>
      <c r="F6536" s="8">
        <v>21950</v>
      </c>
      <c r="G6536" s="8">
        <v>95462</v>
      </c>
      <c r="H6536" s="8">
        <v>1043</v>
      </c>
      <c r="I6536" s="8">
        <v>4279</v>
      </c>
    </row>
    <row r="6537" spans="1:9" x14ac:dyDescent="0.2">
      <c r="A6537" t="s">
        <v>1281</v>
      </c>
      <c r="B6537" t="s">
        <v>1423</v>
      </c>
      <c r="C6537" t="str">
        <f t="shared" si="319"/>
        <v>37683380000000</v>
      </c>
      <c r="D6537" t="s">
        <v>7696</v>
      </c>
      <c r="E6537" t="str">
        <f>"37683380120410"</f>
        <v>37683380120410</v>
      </c>
      <c r="F6537" s="8">
        <v>41020</v>
      </c>
      <c r="G6537" s="8">
        <v>48576</v>
      </c>
      <c r="H6537" s="8">
        <v>1043</v>
      </c>
      <c r="I6537" s="8">
        <v>4279</v>
      </c>
    </row>
    <row r="6538" spans="1:9" x14ac:dyDescent="0.2">
      <c r="A6538" t="s">
        <v>1281</v>
      </c>
      <c r="B6538" t="s">
        <v>1423</v>
      </c>
      <c r="C6538" t="str">
        <f t="shared" si="319"/>
        <v>37683380000000</v>
      </c>
      <c r="D6538" t="s">
        <v>7697</v>
      </c>
      <c r="E6538" t="str">
        <f>"37683383731130"</f>
        <v>37683383731130</v>
      </c>
      <c r="F6538" s="8">
        <v>3841</v>
      </c>
      <c r="G6538" s="8">
        <v>80155</v>
      </c>
      <c r="H6538" s="8">
        <v>1043</v>
      </c>
      <c r="I6538" s="8">
        <v>4279</v>
      </c>
    </row>
    <row r="6539" spans="1:9" x14ac:dyDescent="0.2">
      <c r="A6539" t="s">
        <v>1281</v>
      </c>
      <c r="B6539" t="s">
        <v>1423</v>
      </c>
      <c r="C6539" t="str">
        <f t="shared" si="319"/>
        <v>37683380000000</v>
      </c>
      <c r="D6539" t="s">
        <v>7698</v>
      </c>
      <c r="E6539" t="str">
        <f>"37683380126938"</f>
        <v>37683380126938</v>
      </c>
      <c r="F6539" s="8">
        <v>1274</v>
      </c>
      <c r="G6539" s="8">
        <v>72695</v>
      </c>
      <c r="H6539" s="8">
        <v>1043</v>
      </c>
      <c r="I6539" s="8">
        <v>4279</v>
      </c>
    </row>
    <row r="6540" spans="1:9" x14ac:dyDescent="0.2">
      <c r="A6540" t="s">
        <v>1281</v>
      </c>
      <c r="B6540" t="s">
        <v>1423</v>
      </c>
      <c r="C6540" t="str">
        <f t="shared" si="319"/>
        <v>37683380000000</v>
      </c>
      <c r="D6540" t="s">
        <v>7699</v>
      </c>
      <c r="E6540" t="str">
        <f>"37683386040083"</f>
        <v>37683386040083</v>
      </c>
      <c r="F6540" s="8">
        <v>1143</v>
      </c>
      <c r="G6540" s="8">
        <v>29322</v>
      </c>
      <c r="H6540" s="8">
        <v>1043</v>
      </c>
      <c r="I6540" s="8">
        <v>4279</v>
      </c>
    </row>
    <row r="6541" spans="1:9" x14ac:dyDescent="0.2">
      <c r="A6541" t="s">
        <v>1281</v>
      </c>
      <c r="B6541" t="s">
        <v>1423</v>
      </c>
      <c r="C6541" t="str">
        <f t="shared" si="319"/>
        <v>37683380000000</v>
      </c>
      <c r="D6541" t="s">
        <v>7700</v>
      </c>
      <c r="E6541" t="str">
        <f>"37683383731056"</f>
        <v>37683383731056</v>
      </c>
      <c r="F6541" s="8">
        <v>1692</v>
      </c>
      <c r="G6541" s="8">
        <v>28282</v>
      </c>
      <c r="H6541" s="8">
        <v>1043</v>
      </c>
      <c r="I6541" s="8">
        <v>4279</v>
      </c>
    </row>
    <row r="6542" spans="1:9" x14ac:dyDescent="0.2">
      <c r="A6542" t="s">
        <v>1281</v>
      </c>
      <c r="B6542" t="s">
        <v>1423</v>
      </c>
      <c r="C6542" t="str">
        <f t="shared" si="319"/>
        <v>37683380000000</v>
      </c>
      <c r="D6542" t="s">
        <v>5031</v>
      </c>
      <c r="E6542" t="str">
        <f>"37683386039119"</f>
        <v>37683386039119</v>
      </c>
      <c r="F6542" s="8">
        <v>2030</v>
      </c>
      <c r="G6542" s="8">
        <v>24701</v>
      </c>
      <c r="H6542" s="8">
        <v>1043</v>
      </c>
      <c r="I6542" s="8">
        <v>4279</v>
      </c>
    </row>
    <row r="6543" spans="1:9" x14ac:dyDescent="0.2">
      <c r="A6543" t="s">
        <v>1281</v>
      </c>
      <c r="B6543" t="s">
        <v>1423</v>
      </c>
      <c r="C6543" t="str">
        <f t="shared" si="319"/>
        <v>37683380000000</v>
      </c>
      <c r="D6543" t="s">
        <v>7701</v>
      </c>
      <c r="E6543" t="str">
        <f>"37683383737962"</f>
        <v>37683383737962</v>
      </c>
      <c r="F6543" s="8">
        <v>1289</v>
      </c>
      <c r="G6543" s="8">
        <v>25289</v>
      </c>
      <c r="H6543" s="8">
        <v>1043</v>
      </c>
      <c r="I6543" s="8">
        <v>4279</v>
      </c>
    </row>
    <row r="6544" spans="1:9" x14ac:dyDescent="0.2">
      <c r="A6544" t="s">
        <v>1281</v>
      </c>
      <c r="B6544" t="s">
        <v>1423</v>
      </c>
      <c r="C6544" t="str">
        <f t="shared" si="319"/>
        <v>37683380000000</v>
      </c>
      <c r="D6544" t="s">
        <v>7702</v>
      </c>
      <c r="E6544" t="str">
        <f>"37683383730231"</f>
        <v>37683383730231</v>
      </c>
      <c r="F6544" s="8">
        <v>1436</v>
      </c>
      <c r="G6544" s="8">
        <v>21783</v>
      </c>
      <c r="H6544" s="8">
        <v>1043</v>
      </c>
      <c r="I6544" s="8">
        <v>4279</v>
      </c>
    </row>
    <row r="6545" spans="1:9" x14ac:dyDescent="0.2">
      <c r="A6545" t="s">
        <v>1281</v>
      </c>
      <c r="B6545" t="s">
        <v>1423</v>
      </c>
      <c r="C6545" t="str">
        <f t="shared" si="319"/>
        <v>37683380000000</v>
      </c>
      <c r="D6545" t="s">
        <v>7703</v>
      </c>
      <c r="E6545" t="str">
        <f>"37683386039887"</f>
        <v>37683386039887</v>
      </c>
      <c r="F6545" s="8">
        <v>1813</v>
      </c>
      <c r="G6545" s="8">
        <v>18343</v>
      </c>
      <c r="H6545" s="8">
        <v>1043</v>
      </c>
      <c r="I6545" s="8">
        <v>4279</v>
      </c>
    </row>
    <row r="6546" spans="1:9" x14ac:dyDescent="0.2">
      <c r="A6546" t="s">
        <v>1281</v>
      </c>
      <c r="B6546" t="s">
        <v>1423</v>
      </c>
      <c r="C6546" t="str">
        <f t="shared" si="319"/>
        <v>37683380000000</v>
      </c>
      <c r="D6546" t="s">
        <v>7704</v>
      </c>
      <c r="E6546" t="str">
        <f>"37683380107482"</f>
        <v>37683380107482</v>
      </c>
      <c r="F6546" s="8">
        <v>748</v>
      </c>
      <c r="G6546" s="8">
        <v>16371</v>
      </c>
      <c r="H6546" s="8">
        <v>1043</v>
      </c>
      <c r="I6546" s="8">
        <v>4279</v>
      </c>
    </row>
    <row r="6547" spans="1:9" x14ac:dyDescent="0.2">
      <c r="A6547" t="s">
        <v>1281</v>
      </c>
      <c r="B6547" t="s">
        <v>1423</v>
      </c>
      <c r="C6547" t="str">
        <f t="shared" si="319"/>
        <v>37683380000000</v>
      </c>
      <c r="D6547" t="s">
        <v>3728</v>
      </c>
      <c r="E6547" t="str">
        <f>"37683386039358"</f>
        <v>37683386039358</v>
      </c>
      <c r="F6547" s="8">
        <v>2696</v>
      </c>
      <c r="G6547" s="8">
        <v>14286</v>
      </c>
      <c r="H6547" s="8">
        <v>1043</v>
      </c>
      <c r="I6547" s="8">
        <v>4279</v>
      </c>
    </row>
    <row r="6548" spans="1:9" x14ac:dyDescent="0.2">
      <c r="A6548" t="s">
        <v>1281</v>
      </c>
      <c r="B6548" t="s">
        <v>1423</v>
      </c>
      <c r="C6548" t="str">
        <f t="shared" si="319"/>
        <v>37683380000000</v>
      </c>
      <c r="D6548" t="s">
        <v>7705</v>
      </c>
      <c r="E6548" t="str">
        <f>"37683386040117"</f>
        <v>37683386040117</v>
      </c>
      <c r="F6548" s="8">
        <v>3732</v>
      </c>
      <c r="G6548" s="8">
        <v>12710</v>
      </c>
      <c r="H6548" s="8">
        <v>1043</v>
      </c>
      <c r="I6548" s="8">
        <v>4279</v>
      </c>
    </row>
    <row r="6549" spans="1:9" x14ac:dyDescent="0.2">
      <c r="A6549" t="s">
        <v>1281</v>
      </c>
      <c r="B6549" t="s">
        <v>1423</v>
      </c>
      <c r="C6549" t="str">
        <f t="shared" si="319"/>
        <v>37683380000000</v>
      </c>
      <c r="D6549" t="s">
        <v>7706</v>
      </c>
      <c r="E6549" t="str">
        <f>"37683386040307"</f>
        <v>37683386040307</v>
      </c>
      <c r="F6549" s="8">
        <v>1253</v>
      </c>
      <c r="G6549" s="8">
        <v>15125</v>
      </c>
      <c r="H6549" s="8">
        <v>1043</v>
      </c>
      <c r="I6549" s="8">
        <v>4279</v>
      </c>
    </row>
    <row r="6550" spans="1:9" x14ac:dyDescent="0.2">
      <c r="A6550" t="s">
        <v>1281</v>
      </c>
      <c r="B6550" t="s">
        <v>1423</v>
      </c>
      <c r="C6550" t="str">
        <f t="shared" si="319"/>
        <v>37683380000000</v>
      </c>
      <c r="D6550" t="s">
        <v>2136</v>
      </c>
      <c r="E6550" t="str">
        <f>"37683386039291"</f>
        <v>37683386039291</v>
      </c>
      <c r="F6550" s="8">
        <v>1684</v>
      </c>
      <c r="G6550" s="8">
        <v>14460</v>
      </c>
      <c r="H6550" s="8">
        <v>1043</v>
      </c>
      <c r="I6550" s="8">
        <v>4279</v>
      </c>
    </row>
    <row r="6551" spans="1:9" x14ac:dyDescent="0.2">
      <c r="A6551" t="s">
        <v>1281</v>
      </c>
      <c r="B6551" t="s">
        <v>1423</v>
      </c>
      <c r="C6551" t="str">
        <f t="shared" si="319"/>
        <v>37683380000000</v>
      </c>
      <c r="D6551" t="s">
        <v>7707</v>
      </c>
      <c r="E6551" t="str">
        <f>"37683383730116"</f>
        <v>37683383730116</v>
      </c>
      <c r="F6551" s="8">
        <v>2428</v>
      </c>
      <c r="G6551" s="8">
        <v>13087</v>
      </c>
      <c r="H6551" s="8">
        <v>1043</v>
      </c>
      <c r="I6551" s="8">
        <v>4279</v>
      </c>
    </row>
    <row r="6552" spans="1:9" x14ac:dyDescent="0.2">
      <c r="A6552" t="s">
        <v>1281</v>
      </c>
      <c r="B6552" t="s">
        <v>1423</v>
      </c>
      <c r="C6552" t="str">
        <f t="shared" si="319"/>
        <v>37683380000000</v>
      </c>
      <c r="D6552" t="s">
        <v>7708</v>
      </c>
      <c r="E6552" t="str">
        <f>"37683386040281"</f>
        <v>37683386040281</v>
      </c>
      <c r="F6552" s="8">
        <v>1736</v>
      </c>
      <c r="G6552" s="8">
        <v>13191</v>
      </c>
      <c r="H6552" s="8">
        <v>1043</v>
      </c>
      <c r="I6552" s="8">
        <v>4279</v>
      </c>
    </row>
    <row r="6553" spans="1:9" x14ac:dyDescent="0.2">
      <c r="A6553" t="s">
        <v>1281</v>
      </c>
      <c r="B6553" t="s">
        <v>1423</v>
      </c>
      <c r="C6553" t="str">
        <f t="shared" si="319"/>
        <v>37683380000000</v>
      </c>
      <c r="D6553" t="s">
        <v>2300</v>
      </c>
      <c r="E6553" t="str">
        <f>"37683386040133"</f>
        <v>37683386040133</v>
      </c>
      <c r="F6553" s="8">
        <v>1706</v>
      </c>
      <c r="G6553" s="8">
        <v>13134</v>
      </c>
      <c r="H6553" s="8">
        <v>1043</v>
      </c>
      <c r="I6553" s="8">
        <v>4279</v>
      </c>
    </row>
    <row r="6554" spans="1:9" x14ac:dyDescent="0.2">
      <c r="A6554" t="s">
        <v>1281</v>
      </c>
      <c r="B6554" t="s">
        <v>1423</v>
      </c>
      <c r="C6554" t="str">
        <f t="shared" si="319"/>
        <v>37683380000000</v>
      </c>
      <c r="D6554" t="s">
        <v>7709</v>
      </c>
      <c r="E6554" t="str">
        <f>"37683386039309"</f>
        <v>37683386039309</v>
      </c>
      <c r="F6554" s="8">
        <v>2433</v>
      </c>
      <c r="G6554" s="8">
        <v>12328</v>
      </c>
      <c r="H6554" s="8">
        <v>1043</v>
      </c>
      <c r="I6554" s="8">
        <v>4279</v>
      </c>
    </row>
    <row r="6555" spans="1:9" x14ac:dyDescent="0.2">
      <c r="A6555" t="s">
        <v>1281</v>
      </c>
      <c r="B6555" t="s">
        <v>1423</v>
      </c>
      <c r="C6555" t="str">
        <f t="shared" si="319"/>
        <v>37683380000000</v>
      </c>
      <c r="D6555" t="s">
        <v>7710</v>
      </c>
      <c r="E6555" t="str">
        <f>"37683386114292"</f>
        <v>37683386114292</v>
      </c>
      <c r="F6555" s="8">
        <v>2570</v>
      </c>
      <c r="G6555" s="8">
        <v>11997</v>
      </c>
      <c r="H6555" s="8">
        <v>1043</v>
      </c>
      <c r="I6555" s="8">
        <v>4279</v>
      </c>
    </row>
    <row r="6556" spans="1:9" x14ac:dyDescent="0.2">
      <c r="A6556" t="s">
        <v>1281</v>
      </c>
      <c r="B6556" t="s">
        <v>1423</v>
      </c>
      <c r="C6556" t="str">
        <f t="shared" si="319"/>
        <v>37683380000000</v>
      </c>
      <c r="D6556" t="s">
        <v>7711</v>
      </c>
      <c r="E6556" t="str">
        <f>"37683380140319"</f>
        <v>37683380140319</v>
      </c>
      <c r="F6556" s="8">
        <v>4211</v>
      </c>
      <c r="G6556" s="8">
        <v>10350</v>
      </c>
      <c r="H6556" s="8">
        <v>1043</v>
      </c>
      <c r="I6556" s="8">
        <v>4279</v>
      </c>
    </row>
    <row r="6557" spans="1:9" x14ac:dyDescent="0.2">
      <c r="A6557" t="s">
        <v>1281</v>
      </c>
      <c r="B6557" t="s">
        <v>1423</v>
      </c>
      <c r="C6557" t="str">
        <f t="shared" si="319"/>
        <v>37683380000000</v>
      </c>
      <c r="D6557" t="s">
        <v>7712</v>
      </c>
      <c r="E6557" t="str">
        <f>"37683380111864"</f>
        <v>37683380111864</v>
      </c>
      <c r="F6557" s="8">
        <v>3110</v>
      </c>
      <c r="G6557" s="8">
        <v>11393</v>
      </c>
      <c r="H6557" s="8">
        <v>1043</v>
      </c>
      <c r="I6557" s="8">
        <v>4279</v>
      </c>
    </row>
    <row r="6558" spans="1:9" x14ac:dyDescent="0.2">
      <c r="A6558" t="s">
        <v>1281</v>
      </c>
      <c r="B6558" t="s">
        <v>1423</v>
      </c>
      <c r="C6558" t="str">
        <f t="shared" si="319"/>
        <v>37683380000000</v>
      </c>
      <c r="D6558" t="s">
        <v>7464</v>
      </c>
      <c r="E6558" t="str">
        <f>"37683386059679"</f>
        <v>37683386059679</v>
      </c>
      <c r="F6558" s="8">
        <v>3159</v>
      </c>
      <c r="G6558" s="8">
        <v>9987</v>
      </c>
      <c r="H6558" s="8">
        <v>1043</v>
      </c>
      <c r="I6558" s="8">
        <v>4279</v>
      </c>
    </row>
    <row r="6559" spans="1:9" x14ac:dyDescent="0.2">
      <c r="A6559" t="s">
        <v>1281</v>
      </c>
      <c r="B6559" t="s">
        <v>1423</v>
      </c>
      <c r="C6559" t="str">
        <f t="shared" si="319"/>
        <v>37683380000000</v>
      </c>
      <c r="D6559" t="s">
        <v>7713</v>
      </c>
      <c r="E6559" t="str">
        <f>"37683386039507"</f>
        <v>37683386039507</v>
      </c>
      <c r="F6559" s="8">
        <v>2165</v>
      </c>
      <c r="G6559" s="8">
        <v>10937</v>
      </c>
      <c r="H6559" s="8">
        <v>1043</v>
      </c>
      <c r="I6559" s="8">
        <v>4279</v>
      </c>
    </row>
    <row r="6560" spans="1:9" x14ac:dyDescent="0.2">
      <c r="A6560" t="s">
        <v>1281</v>
      </c>
      <c r="B6560" t="s">
        <v>1423</v>
      </c>
      <c r="C6560" t="str">
        <f t="shared" si="319"/>
        <v>37683380000000</v>
      </c>
      <c r="D6560" t="s">
        <v>7714</v>
      </c>
      <c r="E6560" t="str">
        <f>"37683386039481"</f>
        <v>37683386039481</v>
      </c>
      <c r="F6560" s="8">
        <v>2360</v>
      </c>
      <c r="G6560" s="8">
        <v>10697</v>
      </c>
      <c r="H6560" s="8">
        <v>1043</v>
      </c>
      <c r="I6560" s="8">
        <v>4279</v>
      </c>
    </row>
    <row r="6561" spans="1:9" x14ac:dyDescent="0.2">
      <c r="A6561" t="s">
        <v>1281</v>
      </c>
      <c r="B6561" t="s">
        <v>1423</v>
      </c>
      <c r="C6561" t="str">
        <f t="shared" si="319"/>
        <v>37683380000000</v>
      </c>
      <c r="D6561" t="s">
        <v>6046</v>
      </c>
      <c r="E6561" t="str">
        <f>"37683386039564"</f>
        <v>37683386039564</v>
      </c>
      <c r="F6561" s="8">
        <v>2449</v>
      </c>
      <c r="G6561" s="8">
        <v>10585</v>
      </c>
      <c r="H6561" s="8">
        <v>1043</v>
      </c>
      <c r="I6561" s="8">
        <v>4279</v>
      </c>
    </row>
    <row r="6562" spans="1:9" x14ac:dyDescent="0.2">
      <c r="A6562" t="s">
        <v>1281</v>
      </c>
      <c r="B6562" t="s">
        <v>1423</v>
      </c>
      <c r="C6562" t="str">
        <f t="shared" si="319"/>
        <v>37683380000000</v>
      </c>
      <c r="D6562" t="s">
        <v>7715</v>
      </c>
      <c r="E6562" t="str">
        <f>"37683386039572"</f>
        <v>37683386039572</v>
      </c>
      <c r="F6562" s="8">
        <v>1538</v>
      </c>
      <c r="G6562" s="8">
        <v>11228</v>
      </c>
      <c r="H6562" s="8">
        <v>1043</v>
      </c>
      <c r="I6562" s="8">
        <v>4279</v>
      </c>
    </row>
    <row r="6563" spans="1:9" x14ac:dyDescent="0.2">
      <c r="A6563" t="s">
        <v>1281</v>
      </c>
      <c r="B6563" t="s">
        <v>1423</v>
      </c>
      <c r="C6563" t="str">
        <f t="shared" si="319"/>
        <v>37683380000000</v>
      </c>
      <c r="D6563" t="s">
        <v>7716</v>
      </c>
      <c r="E6563" t="str">
        <f>"37683380108282"</f>
        <v>37683380108282</v>
      </c>
      <c r="F6563" s="8">
        <v>2278</v>
      </c>
      <c r="G6563" s="8">
        <v>10475</v>
      </c>
      <c r="H6563" s="8">
        <v>1043</v>
      </c>
      <c r="I6563" s="8">
        <v>4279</v>
      </c>
    </row>
    <row r="6564" spans="1:9" x14ac:dyDescent="0.2">
      <c r="A6564" t="s">
        <v>1281</v>
      </c>
      <c r="B6564" t="s">
        <v>1423</v>
      </c>
      <c r="C6564" t="str">
        <f t="shared" si="319"/>
        <v>37683380000000</v>
      </c>
      <c r="D6564" t="s">
        <v>7717</v>
      </c>
      <c r="E6564" t="str">
        <f>"37683386039861"</f>
        <v>37683386039861</v>
      </c>
      <c r="F6564" s="8">
        <v>1539</v>
      </c>
      <c r="G6564" s="8">
        <v>11190</v>
      </c>
      <c r="H6564" s="8">
        <v>1043</v>
      </c>
      <c r="I6564" s="8">
        <v>4279</v>
      </c>
    </row>
    <row r="6565" spans="1:9" x14ac:dyDescent="0.2">
      <c r="A6565" t="s">
        <v>1281</v>
      </c>
      <c r="B6565" t="s">
        <v>1423</v>
      </c>
      <c r="C6565" t="str">
        <f t="shared" si="319"/>
        <v>37683380000000</v>
      </c>
      <c r="D6565" t="s">
        <v>3662</v>
      </c>
      <c r="E6565" t="str">
        <f>"37683386039721"</f>
        <v>37683386039721</v>
      </c>
      <c r="F6565" s="8">
        <v>1803</v>
      </c>
      <c r="G6565" s="8">
        <v>10892</v>
      </c>
      <c r="H6565" s="8">
        <v>1043</v>
      </c>
      <c r="I6565" s="8">
        <v>4279</v>
      </c>
    </row>
    <row r="6566" spans="1:9" x14ac:dyDescent="0.2">
      <c r="A6566" t="s">
        <v>1281</v>
      </c>
      <c r="B6566" t="s">
        <v>1423</v>
      </c>
      <c r="C6566" t="str">
        <f t="shared" si="319"/>
        <v>37683380000000</v>
      </c>
      <c r="D6566" t="s">
        <v>7718</v>
      </c>
      <c r="E6566" t="str">
        <f>"37683386039929"</f>
        <v>37683386039929</v>
      </c>
      <c r="F6566" s="8">
        <v>1416</v>
      </c>
      <c r="G6566" s="8">
        <v>11242</v>
      </c>
      <c r="H6566" s="8">
        <v>1043</v>
      </c>
      <c r="I6566" s="8">
        <v>4279</v>
      </c>
    </row>
    <row r="6567" spans="1:9" x14ac:dyDescent="0.2">
      <c r="A6567" t="s">
        <v>1281</v>
      </c>
      <c r="B6567" t="s">
        <v>1423</v>
      </c>
      <c r="C6567" t="str">
        <f t="shared" si="319"/>
        <v>37683380000000</v>
      </c>
      <c r="D6567" t="s">
        <v>7719</v>
      </c>
      <c r="E6567" t="str">
        <f>"37683380140384"</f>
        <v>37683380140384</v>
      </c>
      <c r="F6567" s="8">
        <v>1485</v>
      </c>
      <c r="G6567" s="8">
        <v>11129</v>
      </c>
      <c r="H6567" s="8">
        <v>1043</v>
      </c>
      <c r="I6567" s="8">
        <v>4279</v>
      </c>
    </row>
    <row r="6568" spans="1:9" x14ac:dyDescent="0.2">
      <c r="A6568" t="s">
        <v>1281</v>
      </c>
      <c r="B6568" t="s">
        <v>1423</v>
      </c>
      <c r="C6568" t="str">
        <f t="shared" ref="C6568:C6599" si="320">"37683380000000"</f>
        <v>37683380000000</v>
      </c>
      <c r="D6568" t="s">
        <v>2898</v>
      </c>
      <c r="E6568" t="str">
        <f>"37683386040273"</f>
        <v>37683386040273</v>
      </c>
      <c r="F6568" s="8">
        <v>2043</v>
      </c>
      <c r="G6568" s="8">
        <v>10567</v>
      </c>
      <c r="H6568" s="8">
        <v>1043</v>
      </c>
      <c r="I6568" s="8">
        <v>4279</v>
      </c>
    </row>
    <row r="6569" spans="1:9" x14ac:dyDescent="0.2">
      <c r="A6569" t="s">
        <v>1281</v>
      </c>
      <c r="B6569" t="s">
        <v>1423</v>
      </c>
      <c r="C6569" t="str">
        <f t="shared" si="320"/>
        <v>37683380000000</v>
      </c>
      <c r="D6569" t="s">
        <v>7720</v>
      </c>
      <c r="E6569" t="str">
        <f>"37683386040224"</f>
        <v>37683386040224</v>
      </c>
      <c r="F6569" s="8">
        <v>1088</v>
      </c>
      <c r="G6569" s="8">
        <v>11511</v>
      </c>
      <c r="H6569" s="8">
        <v>1043</v>
      </c>
      <c r="I6569" s="8">
        <v>4279</v>
      </c>
    </row>
    <row r="6570" spans="1:9" x14ac:dyDescent="0.2">
      <c r="A6570" t="s">
        <v>1281</v>
      </c>
      <c r="B6570" t="s">
        <v>1423</v>
      </c>
      <c r="C6570" t="str">
        <f t="shared" si="320"/>
        <v>37683380000000</v>
      </c>
      <c r="D6570" t="s">
        <v>7469</v>
      </c>
      <c r="E6570" t="str">
        <f>"37683386039788"</f>
        <v>37683386039788</v>
      </c>
      <c r="F6570" s="8">
        <v>2401</v>
      </c>
      <c r="G6570" s="8">
        <v>10110</v>
      </c>
      <c r="H6570" s="8">
        <v>1043</v>
      </c>
      <c r="I6570" s="8">
        <v>4279</v>
      </c>
    </row>
    <row r="6571" spans="1:9" x14ac:dyDescent="0.2">
      <c r="A6571" t="s">
        <v>1281</v>
      </c>
      <c r="B6571" t="s">
        <v>1423</v>
      </c>
      <c r="C6571" t="str">
        <f t="shared" si="320"/>
        <v>37683380000000</v>
      </c>
      <c r="D6571" t="s">
        <v>3633</v>
      </c>
      <c r="E6571" t="str">
        <f>"37683386039598"</f>
        <v>37683386039598</v>
      </c>
      <c r="F6571" s="8">
        <v>1583</v>
      </c>
      <c r="G6571" s="8">
        <v>10886</v>
      </c>
      <c r="H6571" s="8">
        <v>1043</v>
      </c>
      <c r="I6571" s="8">
        <v>4279</v>
      </c>
    </row>
    <row r="6572" spans="1:9" x14ac:dyDescent="0.2">
      <c r="A6572" t="s">
        <v>1281</v>
      </c>
      <c r="B6572" t="s">
        <v>1423</v>
      </c>
      <c r="C6572" t="str">
        <f t="shared" si="320"/>
        <v>37683380000000</v>
      </c>
      <c r="D6572" t="s">
        <v>280</v>
      </c>
      <c r="E6572" t="str">
        <f>"37683386039655"</f>
        <v>37683386039655</v>
      </c>
      <c r="F6572" s="8">
        <v>1875</v>
      </c>
      <c r="G6572" s="8">
        <v>10566</v>
      </c>
      <c r="H6572" s="8">
        <v>1043</v>
      </c>
      <c r="I6572" s="8">
        <v>4279</v>
      </c>
    </row>
    <row r="6573" spans="1:9" x14ac:dyDescent="0.2">
      <c r="A6573" t="s">
        <v>1281</v>
      </c>
      <c r="B6573" t="s">
        <v>1423</v>
      </c>
      <c r="C6573" t="str">
        <f t="shared" si="320"/>
        <v>37683380000000</v>
      </c>
      <c r="D6573" t="s">
        <v>3875</v>
      </c>
      <c r="E6573" t="str">
        <f>"37683386039168"</f>
        <v>37683386039168</v>
      </c>
      <c r="F6573" s="8">
        <v>1935</v>
      </c>
      <c r="G6573" s="8">
        <v>10499</v>
      </c>
      <c r="H6573" s="8">
        <v>1043</v>
      </c>
      <c r="I6573" s="8">
        <v>4279</v>
      </c>
    </row>
    <row r="6574" spans="1:9" x14ac:dyDescent="0.2">
      <c r="A6574" t="s">
        <v>1281</v>
      </c>
      <c r="B6574" t="s">
        <v>1423</v>
      </c>
      <c r="C6574" t="str">
        <f t="shared" si="320"/>
        <v>37683380000000</v>
      </c>
      <c r="D6574" t="s">
        <v>5998</v>
      </c>
      <c r="E6574" t="str">
        <f>"37683386039101"</f>
        <v>37683386039101</v>
      </c>
      <c r="F6574" s="8">
        <v>2035</v>
      </c>
      <c r="G6574" s="8">
        <v>10398</v>
      </c>
      <c r="H6574" s="8">
        <v>1043</v>
      </c>
      <c r="I6574" s="8">
        <v>4279</v>
      </c>
    </row>
    <row r="6575" spans="1:9" x14ac:dyDescent="0.2">
      <c r="A6575" t="s">
        <v>1281</v>
      </c>
      <c r="B6575" t="s">
        <v>1423</v>
      </c>
      <c r="C6575" t="str">
        <f t="shared" si="320"/>
        <v>37683380000000</v>
      </c>
      <c r="D6575" t="s">
        <v>7261</v>
      </c>
      <c r="E6575" t="str">
        <f>"37683386039523"</f>
        <v>37683386039523</v>
      </c>
      <c r="F6575" s="8">
        <v>3412</v>
      </c>
      <c r="G6575" s="8">
        <v>9007</v>
      </c>
      <c r="H6575" s="8">
        <v>1043</v>
      </c>
      <c r="I6575" s="8">
        <v>4279</v>
      </c>
    </row>
    <row r="6576" spans="1:9" x14ac:dyDescent="0.2">
      <c r="A6576" t="s">
        <v>1281</v>
      </c>
      <c r="B6576" t="s">
        <v>1423</v>
      </c>
      <c r="C6576" t="str">
        <f t="shared" si="320"/>
        <v>37683380000000</v>
      </c>
      <c r="D6576" t="s">
        <v>7721</v>
      </c>
      <c r="E6576" t="str">
        <f>"37683386039143"</f>
        <v>37683386039143</v>
      </c>
      <c r="F6576" s="8">
        <v>2021</v>
      </c>
      <c r="G6576" s="8">
        <v>10318</v>
      </c>
      <c r="H6576" s="8">
        <v>1043</v>
      </c>
      <c r="I6576" s="8">
        <v>4279</v>
      </c>
    </row>
    <row r="6577" spans="1:9" x14ac:dyDescent="0.2">
      <c r="A6577" t="s">
        <v>1281</v>
      </c>
      <c r="B6577" t="s">
        <v>1423</v>
      </c>
      <c r="C6577" t="str">
        <f t="shared" si="320"/>
        <v>37683380000000</v>
      </c>
      <c r="D6577" t="s">
        <v>7722</v>
      </c>
      <c r="E6577" t="str">
        <f>"37683386039804"</f>
        <v>37683386039804</v>
      </c>
      <c r="F6577" s="8">
        <v>2111</v>
      </c>
      <c r="G6577" s="8">
        <v>10220</v>
      </c>
      <c r="H6577" s="8">
        <v>1043</v>
      </c>
      <c r="I6577" s="8">
        <v>4279</v>
      </c>
    </row>
    <row r="6578" spans="1:9" x14ac:dyDescent="0.2">
      <c r="A6578" t="s">
        <v>1281</v>
      </c>
      <c r="B6578" t="s">
        <v>1423</v>
      </c>
      <c r="C6578" t="str">
        <f t="shared" si="320"/>
        <v>37683380000000</v>
      </c>
      <c r="D6578" t="s">
        <v>7723</v>
      </c>
      <c r="E6578" t="str">
        <f>"37683386039382"</f>
        <v>37683386039382</v>
      </c>
      <c r="F6578" s="8">
        <v>2680</v>
      </c>
      <c r="G6578" s="8">
        <v>9642</v>
      </c>
      <c r="H6578" s="8">
        <v>1043</v>
      </c>
      <c r="I6578" s="8">
        <v>4279</v>
      </c>
    </row>
    <row r="6579" spans="1:9" x14ac:dyDescent="0.2">
      <c r="A6579" t="s">
        <v>1281</v>
      </c>
      <c r="B6579" t="s">
        <v>1423</v>
      </c>
      <c r="C6579" t="str">
        <f t="shared" si="320"/>
        <v>37683380000000</v>
      </c>
      <c r="D6579" t="s">
        <v>7724</v>
      </c>
      <c r="E6579" t="str">
        <f>"37683386040091"</f>
        <v>37683386040091</v>
      </c>
      <c r="F6579" s="8">
        <v>2280</v>
      </c>
      <c r="G6579" s="8">
        <v>10037</v>
      </c>
      <c r="H6579" s="8">
        <v>1043</v>
      </c>
      <c r="I6579" s="8">
        <v>4279</v>
      </c>
    </row>
    <row r="6580" spans="1:9" x14ac:dyDescent="0.2">
      <c r="A6580" t="s">
        <v>1281</v>
      </c>
      <c r="B6580" t="s">
        <v>1423</v>
      </c>
      <c r="C6580" t="str">
        <f t="shared" si="320"/>
        <v>37683380000000</v>
      </c>
      <c r="D6580" t="s">
        <v>6044</v>
      </c>
      <c r="E6580" t="str">
        <f>"37683386039879"</f>
        <v>37683386039879</v>
      </c>
      <c r="F6580" s="8">
        <v>2232</v>
      </c>
      <c r="G6580" s="8">
        <v>10025</v>
      </c>
      <c r="H6580" s="8">
        <v>1043</v>
      </c>
      <c r="I6580" s="8">
        <v>4279</v>
      </c>
    </row>
    <row r="6581" spans="1:9" x14ac:dyDescent="0.2">
      <c r="A6581" t="s">
        <v>1281</v>
      </c>
      <c r="B6581" t="s">
        <v>1423</v>
      </c>
      <c r="C6581" t="str">
        <f t="shared" si="320"/>
        <v>37683380000000</v>
      </c>
      <c r="D6581" t="s">
        <v>5832</v>
      </c>
      <c r="E6581" t="str">
        <f>"37683386040257"</f>
        <v>37683386040257</v>
      </c>
      <c r="F6581" s="8">
        <v>2186</v>
      </c>
      <c r="G6581" s="8">
        <v>10034</v>
      </c>
      <c r="H6581" s="8">
        <v>1043</v>
      </c>
      <c r="I6581" s="8">
        <v>4279</v>
      </c>
    </row>
    <row r="6582" spans="1:9" x14ac:dyDescent="0.2">
      <c r="A6582" t="s">
        <v>1281</v>
      </c>
      <c r="B6582" t="s">
        <v>1423</v>
      </c>
      <c r="C6582" t="str">
        <f t="shared" si="320"/>
        <v>37683380000000</v>
      </c>
      <c r="D6582" t="s">
        <v>7725</v>
      </c>
      <c r="E6582" t="str">
        <f>"37683386040059"</f>
        <v>37683386040059</v>
      </c>
      <c r="F6582" s="8">
        <v>1547</v>
      </c>
      <c r="G6582" s="8">
        <v>10671</v>
      </c>
      <c r="H6582" s="8">
        <v>1043</v>
      </c>
      <c r="I6582" s="8">
        <v>4279</v>
      </c>
    </row>
    <row r="6583" spans="1:9" x14ac:dyDescent="0.2">
      <c r="A6583" t="s">
        <v>1281</v>
      </c>
      <c r="B6583" t="s">
        <v>1423</v>
      </c>
      <c r="C6583" t="str">
        <f t="shared" si="320"/>
        <v>37683380000000</v>
      </c>
      <c r="D6583" t="s">
        <v>1214</v>
      </c>
      <c r="E6583" t="str">
        <f>"37683386039366"</f>
        <v>37683386039366</v>
      </c>
      <c r="F6583" s="8">
        <v>2388</v>
      </c>
      <c r="G6583" s="8">
        <v>9802</v>
      </c>
      <c r="H6583" s="8">
        <v>1043</v>
      </c>
      <c r="I6583" s="8">
        <v>4279</v>
      </c>
    </row>
    <row r="6584" spans="1:9" x14ac:dyDescent="0.2">
      <c r="A6584" t="s">
        <v>1281</v>
      </c>
      <c r="B6584" t="s">
        <v>1423</v>
      </c>
      <c r="C6584" t="str">
        <f t="shared" si="320"/>
        <v>37683380000000</v>
      </c>
      <c r="D6584" t="s">
        <v>7726</v>
      </c>
      <c r="E6584" t="str">
        <f>"37683386059711"</f>
        <v>37683386059711</v>
      </c>
      <c r="F6584" s="8">
        <v>1506</v>
      </c>
      <c r="G6584" s="8">
        <v>10461</v>
      </c>
      <c r="H6584" s="8">
        <v>1043</v>
      </c>
      <c r="I6584" s="8">
        <v>4279</v>
      </c>
    </row>
    <row r="6585" spans="1:9" x14ac:dyDescent="0.2">
      <c r="A6585" t="s">
        <v>1281</v>
      </c>
      <c r="B6585" t="s">
        <v>1423</v>
      </c>
      <c r="C6585" t="str">
        <f t="shared" si="320"/>
        <v>37683380000000</v>
      </c>
      <c r="D6585" t="s">
        <v>2094</v>
      </c>
      <c r="E6585" t="str">
        <f>"37683386040265"</f>
        <v>37683386040265</v>
      </c>
      <c r="F6585" s="8">
        <v>1868</v>
      </c>
      <c r="G6585" s="8">
        <v>10006</v>
      </c>
      <c r="H6585" s="8">
        <v>1043</v>
      </c>
      <c r="I6585" s="8">
        <v>4279</v>
      </c>
    </row>
    <row r="6586" spans="1:9" x14ac:dyDescent="0.2">
      <c r="A6586" t="s">
        <v>1281</v>
      </c>
      <c r="B6586" t="s">
        <v>1423</v>
      </c>
      <c r="C6586" t="str">
        <f t="shared" si="320"/>
        <v>37683380000000</v>
      </c>
      <c r="D6586" t="s">
        <v>7727</v>
      </c>
      <c r="E6586" t="str">
        <f>"37683380108290"</f>
        <v>37683380108290</v>
      </c>
      <c r="F6586" s="8">
        <v>2626</v>
      </c>
      <c r="G6586" s="8">
        <v>9108</v>
      </c>
      <c r="H6586" s="8">
        <v>1043</v>
      </c>
      <c r="I6586" s="8">
        <v>4279</v>
      </c>
    </row>
    <row r="6587" spans="1:9" x14ac:dyDescent="0.2">
      <c r="A6587" t="s">
        <v>1281</v>
      </c>
      <c r="B6587" t="s">
        <v>1423</v>
      </c>
      <c r="C6587" t="str">
        <f t="shared" si="320"/>
        <v>37683380000000</v>
      </c>
      <c r="D6587" t="s">
        <v>348</v>
      </c>
      <c r="E6587" t="str">
        <f>"37683386039499"</f>
        <v>37683386039499</v>
      </c>
      <c r="F6587" s="8">
        <v>1703</v>
      </c>
      <c r="G6587" s="8">
        <v>9967</v>
      </c>
      <c r="H6587" s="8">
        <v>1043</v>
      </c>
      <c r="I6587" s="8">
        <v>4279</v>
      </c>
    </row>
    <row r="6588" spans="1:9" x14ac:dyDescent="0.2">
      <c r="A6588" t="s">
        <v>1281</v>
      </c>
      <c r="B6588" t="s">
        <v>1423</v>
      </c>
      <c r="C6588" t="str">
        <f t="shared" si="320"/>
        <v>37683380000000</v>
      </c>
      <c r="D6588" t="s">
        <v>4892</v>
      </c>
      <c r="E6588" t="str">
        <f>"37683386039150"</f>
        <v>37683386039150</v>
      </c>
      <c r="F6588" s="8">
        <v>2139</v>
      </c>
      <c r="G6588" s="8">
        <v>9488</v>
      </c>
      <c r="H6588" s="8">
        <v>1043</v>
      </c>
      <c r="I6588" s="8">
        <v>4279</v>
      </c>
    </row>
    <row r="6589" spans="1:9" x14ac:dyDescent="0.2">
      <c r="A6589" t="s">
        <v>1281</v>
      </c>
      <c r="B6589" t="s">
        <v>1423</v>
      </c>
      <c r="C6589" t="str">
        <f t="shared" si="320"/>
        <v>37683380000000</v>
      </c>
      <c r="D6589" t="s">
        <v>2203</v>
      </c>
      <c r="E6589" t="str">
        <f>"37683386039283"</f>
        <v>37683386039283</v>
      </c>
      <c r="F6589" s="8">
        <v>1814</v>
      </c>
      <c r="G6589" s="8">
        <v>9791</v>
      </c>
      <c r="H6589" s="8">
        <v>1043</v>
      </c>
      <c r="I6589" s="8">
        <v>4279</v>
      </c>
    </row>
    <row r="6590" spans="1:9" x14ac:dyDescent="0.2">
      <c r="A6590" t="s">
        <v>1281</v>
      </c>
      <c r="B6590" t="s">
        <v>1423</v>
      </c>
      <c r="C6590" t="str">
        <f t="shared" si="320"/>
        <v>37683380000000</v>
      </c>
      <c r="D6590" t="s">
        <v>7728</v>
      </c>
      <c r="E6590" t="str">
        <f>"37683386039556"</f>
        <v>37683386039556</v>
      </c>
      <c r="F6590" s="8">
        <v>1262</v>
      </c>
      <c r="G6590" s="8">
        <v>10334</v>
      </c>
      <c r="H6590" s="8">
        <v>1043</v>
      </c>
      <c r="I6590" s="8">
        <v>4279</v>
      </c>
    </row>
    <row r="6591" spans="1:9" x14ac:dyDescent="0.2">
      <c r="A6591" t="s">
        <v>1281</v>
      </c>
      <c r="B6591" t="s">
        <v>1423</v>
      </c>
      <c r="C6591" t="str">
        <f t="shared" si="320"/>
        <v>37683380000000</v>
      </c>
      <c r="D6591" t="s">
        <v>7729</v>
      </c>
      <c r="E6591" t="str">
        <f>"37683386039432"</f>
        <v>37683386039432</v>
      </c>
      <c r="F6591" s="8">
        <v>2452</v>
      </c>
      <c r="G6591" s="8">
        <v>9094</v>
      </c>
      <c r="H6591" s="8">
        <v>1043</v>
      </c>
      <c r="I6591" s="8">
        <v>4279</v>
      </c>
    </row>
    <row r="6592" spans="1:9" x14ac:dyDescent="0.2">
      <c r="A6592" t="s">
        <v>1281</v>
      </c>
      <c r="B6592" t="s">
        <v>1423</v>
      </c>
      <c r="C6592" t="str">
        <f t="shared" si="320"/>
        <v>37683380000000</v>
      </c>
      <c r="D6592" t="s">
        <v>7730</v>
      </c>
      <c r="E6592" t="str">
        <f>"37683386040158"</f>
        <v>37683386040158</v>
      </c>
      <c r="F6592" s="8">
        <v>1167</v>
      </c>
      <c r="G6592" s="8">
        <v>10356</v>
      </c>
      <c r="H6592" s="8">
        <v>1043</v>
      </c>
      <c r="I6592" s="8">
        <v>4279</v>
      </c>
    </row>
    <row r="6593" spans="1:9" x14ac:dyDescent="0.2">
      <c r="A6593" t="s">
        <v>1281</v>
      </c>
      <c r="B6593" t="s">
        <v>1423</v>
      </c>
      <c r="C6593" t="str">
        <f t="shared" si="320"/>
        <v>37683380000000</v>
      </c>
      <c r="D6593" t="s">
        <v>7731</v>
      </c>
      <c r="E6593" t="str">
        <f>"37683380117325"</f>
        <v>37683380117325</v>
      </c>
      <c r="F6593" s="8">
        <v>2127</v>
      </c>
      <c r="G6593" s="8">
        <v>9380</v>
      </c>
      <c r="H6593" s="8">
        <v>1043</v>
      </c>
      <c r="I6593" s="8">
        <v>4279</v>
      </c>
    </row>
    <row r="6594" spans="1:9" x14ac:dyDescent="0.2">
      <c r="A6594" t="s">
        <v>1281</v>
      </c>
      <c r="B6594" t="s">
        <v>1423</v>
      </c>
      <c r="C6594" t="str">
        <f t="shared" si="320"/>
        <v>37683380000000</v>
      </c>
      <c r="D6594" t="s">
        <v>868</v>
      </c>
      <c r="E6594" t="str">
        <f>"37683386040109"</f>
        <v>37683386040109</v>
      </c>
      <c r="F6594" s="8">
        <v>2170</v>
      </c>
      <c r="G6594" s="8">
        <v>9303</v>
      </c>
      <c r="H6594" s="8">
        <v>1043</v>
      </c>
      <c r="I6594" s="8">
        <v>4279</v>
      </c>
    </row>
    <row r="6595" spans="1:9" x14ac:dyDescent="0.2">
      <c r="A6595" t="s">
        <v>1281</v>
      </c>
      <c r="B6595" t="s">
        <v>1423</v>
      </c>
      <c r="C6595" t="str">
        <f t="shared" si="320"/>
        <v>37683380000000</v>
      </c>
      <c r="D6595" t="s">
        <v>7732</v>
      </c>
      <c r="E6595" t="str">
        <f>"37683386112460"</f>
        <v>37683386112460</v>
      </c>
      <c r="F6595" s="8">
        <v>1702</v>
      </c>
      <c r="G6595" s="8">
        <v>9687</v>
      </c>
      <c r="H6595" s="8">
        <v>1043</v>
      </c>
      <c r="I6595" s="8">
        <v>4279</v>
      </c>
    </row>
    <row r="6596" spans="1:9" x14ac:dyDescent="0.2">
      <c r="A6596" t="s">
        <v>1281</v>
      </c>
      <c r="B6596" t="s">
        <v>1423</v>
      </c>
      <c r="C6596" t="str">
        <f t="shared" si="320"/>
        <v>37683380000000</v>
      </c>
      <c r="D6596" t="s">
        <v>7733</v>
      </c>
      <c r="E6596" t="str">
        <f>"37683380118315"</f>
        <v>37683380118315</v>
      </c>
      <c r="F6596" s="8">
        <v>624</v>
      </c>
      <c r="G6596" s="8">
        <v>10759</v>
      </c>
      <c r="H6596" s="8">
        <v>1043</v>
      </c>
      <c r="I6596" s="8">
        <v>4279</v>
      </c>
    </row>
    <row r="6597" spans="1:9" x14ac:dyDescent="0.2">
      <c r="A6597" t="s">
        <v>1281</v>
      </c>
      <c r="B6597" t="s">
        <v>1423</v>
      </c>
      <c r="C6597" t="str">
        <f t="shared" si="320"/>
        <v>37683380000000</v>
      </c>
      <c r="D6597" t="s">
        <v>7734</v>
      </c>
      <c r="E6597" t="str">
        <f>"37683386077317"</f>
        <v>37683386077317</v>
      </c>
      <c r="F6597" s="8">
        <v>1937</v>
      </c>
      <c r="G6597" s="8">
        <v>9431</v>
      </c>
      <c r="H6597" s="8">
        <v>1043</v>
      </c>
      <c r="I6597" s="8">
        <v>4279</v>
      </c>
    </row>
    <row r="6598" spans="1:9" x14ac:dyDescent="0.2">
      <c r="A6598" t="s">
        <v>1281</v>
      </c>
      <c r="B6598" t="s">
        <v>1423</v>
      </c>
      <c r="C6598" t="str">
        <f t="shared" si="320"/>
        <v>37683380000000</v>
      </c>
      <c r="D6598" t="s">
        <v>7735</v>
      </c>
      <c r="E6598" t="str">
        <f>"37683380108266"</f>
        <v>37683380108266</v>
      </c>
      <c r="F6598" s="8">
        <v>1986</v>
      </c>
      <c r="G6598" s="8">
        <v>9318</v>
      </c>
      <c r="H6598" s="8">
        <v>1043</v>
      </c>
      <c r="I6598" s="8">
        <v>4279</v>
      </c>
    </row>
    <row r="6599" spans="1:9" x14ac:dyDescent="0.2">
      <c r="A6599" t="s">
        <v>1281</v>
      </c>
      <c r="B6599" t="s">
        <v>1423</v>
      </c>
      <c r="C6599" t="str">
        <f t="shared" si="320"/>
        <v>37683380000000</v>
      </c>
      <c r="D6599" t="s">
        <v>7736</v>
      </c>
      <c r="E6599" t="str">
        <f>"37683380124115"</f>
        <v>37683380124115</v>
      </c>
      <c r="F6599" s="8">
        <v>2841</v>
      </c>
      <c r="G6599" s="8">
        <v>8437</v>
      </c>
      <c r="H6599" s="8">
        <v>1043</v>
      </c>
      <c r="I6599" s="8">
        <v>4279</v>
      </c>
    </row>
    <row r="6600" spans="1:9" x14ac:dyDescent="0.2">
      <c r="A6600" t="s">
        <v>1281</v>
      </c>
      <c r="B6600" t="s">
        <v>1423</v>
      </c>
      <c r="C6600" t="str">
        <f t="shared" ref="C6600:C6631" si="321">"37683380000000"</f>
        <v>37683380000000</v>
      </c>
      <c r="D6600" t="s">
        <v>2110</v>
      </c>
      <c r="E6600" t="str">
        <f>"37683386039952"</f>
        <v>37683386039952</v>
      </c>
      <c r="F6600" s="8">
        <v>2425</v>
      </c>
      <c r="G6600" s="8">
        <v>8837</v>
      </c>
      <c r="H6600" s="8">
        <v>1043</v>
      </c>
      <c r="I6600" s="8">
        <v>4279</v>
      </c>
    </row>
    <row r="6601" spans="1:9" x14ac:dyDescent="0.2">
      <c r="A6601" t="s">
        <v>1281</v>
      </c>
      <c r="B6601" t="s">
        <v>1423</v>
      </c>
      <c r="C6601" t="str">
        <f t="shared" si="321"/>
        <v>37683380000000</v>
      </c>
      <c r="D6601" t="s">
        <v>7737</v>
      </c>
      <c r="E6601" t="str">
        <f>"37683386039614"</f>
        <v>37683386039614</v>
      </c>
      <c r="F6601" s="8">
        <v>1572</v>
      </c>
      <c r="G6601" s="8">
        <v>9679</v>
      </c>
      <c r="H6601" s="8">
        <v>1043</v>
      </c>
      <c r="I6601" s="8">
        <v>4279</v>
      </c>
    </row>
    <row r="6602" spans="1:9" x14ac:dyDescent="0.2">
      <c r="A6602" t="s">
        <v>1281</v>
      </c>
      <c r="B6602" t="s">
        <v>1423</v>
      </c>
      <c r="C6602" t="str">
        <f t="shared" si="321"/>
        <v>37683380000000</v>
      </c>
      <c r="D6602" t="s">
        <v>7738</v>
      </c>
      <c r="E6602" t="str">
        <f>"37683386112478"</f>
        <v>37683386112478</v>
      </c>
      <c r="F6602" s="8">
        <v>1826</v>
      </c>
      <c r="G6602" s="8">
        <v>9421</v>
      </c>
      <c r="H6602" s="8">
        <v>1043</v>
      </c>
      <c r="I6602" s="8">
        <v>4279</v>
      </c>
    </row>
    <row r="6603" spans="1:9" x14ac:dyDescent="0.2">
      <c r="A6603" t="s">
        <v>1281</v>
      </c>
      <c r="B6603" t="s">
        <v>1423</v>
      </c>
      <c r="C6603" t="str">
        <f t="shared" si="321"/>
        <v>37683380000000</v>
      </c>
      <c r="D6603" t="s">
        <v>2908</v>
      </c>
      <c r="E6603" t="str">
        <f>"37683386039705"</f>
        <v>37683386039705</v>
      </c>
      <c r="F6603" s="8">
        <v>1977</v>
      </c>
      <c r="G6603" s="8">
        <v>9255</v>
      </c>
      <c r="H6603" s="8">
        <v>1043</v>
      </c>
      <c r="I6603" s="8">
        <v>4279</v>
      </c>
    </row>
    <row r="6604" spans="1:9" x14ac:dyDescent="0.2">
      <c r="A6604" t="s">
        <v>1281</v>
      </c>
      <c r="B6604" t="s">
        <v>1423</v>
      </c>
      <c r="C6604" t="str">
        <f t="shared" si="321"/>
        <v>37683380000000</v>
      </c>
      <c r="D6604" t="s">
        <v>7739</v>
      </c>
      <c r="E6604" t="str">
        <f>"37683386039796"</f>
        <v>37683386039796</v>
      </c>
      <c r="F6604" s="8">
        <v>1660</v>
      </c>
      <c r="G6604" s="8">
        <v>9445</v>
      </c>
      <c r="H6604" s="8">
        <v>1043</v>
      </c>
      <c r="I6604" s="8">
        <v>4279</v>
      </c>
    </row>
    <row r="6605" spans="1:9" x14ac:dyDescent="0.2">
      <c r="A6605" t="s">
        <v>1281</v>
      </c>
      <c r="B6605" t="s">
        <v>1423</v>
      </c>
      <c r="C6605" t="str">
        <f t="shared" si="321"/>
        <v>37683380000000</v>
      </c>
      <c r="D6605" t="s">
        <v>7556</v>
      </c>
      <c r="E6605" t="str">
        <f>"37683386093256"</f>
        <v>37683386093256</v>
      </c>
      <c r="F6605" s="8">
        <v>2128</v>
      </c>
      <c r="G6605" s="8">
        <v>8934</v>
      </c>
      <c r="H6605" s="8">
        <v>1043</v>
      </c>
      <c r="I6605" s="8">
        <v>4279</v>
      </c>
    </row>
    <row r="6606" spans="1:9" x14ac:dyDescent="0.2">
      <c r="A6606" t="s">
        <v>1281</v>
      </c>
      <c r="B6606" t="s">
        <v>1423</v>
      </c>
      <c r="C6606" t="str">
        <f t="shared" si="321"/>
        <v>37683380000000</v>
      </c>
      <c r="D6606" t="s">
        <v>5236</v>
      </c>
      <c r="E6606" t="str">
        <f>"37683386061980"</f>
        <v>37683386061980</v>
      </c>
      <c r="F6606" s="8">
        <v>1539</v>
      </c>
      <c r="G6606" s="8">
        <v>9421</v>
      </c>
      <c r="H6606" s="8">
        <v>1043</v>
      </c>
      <c r="I6606" s="8">
        <v>4279</v>
      </c>
    </row>
    <row r="6607" spans="1:9" x14ac:dyDescent="0.2">
      <c r="A6607" t="s">
        <v>1281</v>
      </c>
      <c r="B6607" t="s">
        <v>1423</v>
      </c>
      <c r="C6607" t="str">
        <f t="shared" si="321"/>
        <v>37683380000000</v>
      </c>
      <c r="D6607" t="s">
        <v>7740</v>
      </c>
      <c r="E6607" t="str">
        <f>"37683386040141"</f>
        <v>37683386040141</v>
      </c>
      <c r="F6607" s="8">
        <v>1369</v>
      </c>
      <c r="G6607" s="8">
        <v>9477</v>
      </c>
      <c r="H6607" s="8">
        <v>1043</v>
      </c>
      <c r="I6607" s="8">
        <v>4279</v>
      </c>
    </row>
    <row r="6608" spans="1:9" x14ac:dyDescent="0.2">
      <c r="A6608" t="s">
        <v>1281</v>
      </c>
      <c r="B6608" t="s">
        <v>1423</v>
      </c>
      <c r="C6608" t="str">
        <f t="shared" si="321"/>
        <v>37683380000000</v>
      </c>
      <c r="D6608" t="s">
        <v>7741</v>
      </c>
      <c r="E6608" t="str">
        <f>"37683386039267"</f>
        <v>37683386039267</v>
      </c>
      <c r="F6608" s="8">
        <v>1677</v>
      </c>
      <c r="G6608" s="8">
        <v>9045</v>
      </c>
      <c r="H6608" s="8">
        <v>1043</v>
      </c>
      <c r="I6608" s="8">
        <v>4279</v>
      </c>
    </row>
    <row r="6609" spans="1:9" x14ac:dyDescent="0.2">
      <c r="A6609" t="s">
        <v>1281</v>
      </c>
      <c r="B6609" t="s">
        <v>1423</v>
      </c>
      <c r="C6609" t="str">
        <f t="shared" si="321"/>
        <v>37683380000000</v>
      </c>
      <c r="D6609" t="s">
        <v>7742</v>
      </c>
      <c r="E6609" t="str">
        <f>"37683386039515"</f>
        <v>37683386039515</v>
      </c>
      <c r="F6609" s="8">
        <v>2173</v>
      </c>
      <c r="G6609" s="8">
        <v>8507</v>
      </c>
      <c r="H6609" s="8">
        <v>1043</v>
      </c>
      <c r="I6609" s="8">
        <v>4279</v>
      </c>
    </row>
    <row r="6610" spans="1:9" x14ac:dyDescent="0.2">
      <c r="A6610" t="s">
        <v>1281</v>
      </c>
      <c r="B6610" t="s">
        <v>1423</v>
      </c>
      <c r="C6610" t="str">
        <f t="shared" si="321"/>
        <v>37683380000000</v>
      </c>
      <c r="D6610" t="s">
        <v>7743</v>
      </c>
      <c r="E6610" t="str">
        <f>"37683386040067"</f>
        <v>37683386040067</v>
      </c>
      <c r="F6610" s="8">
        <v>1333</v>
      </c>
      <c r="G6610" s="8">
        <v>9278</v>
      </c>
      <c r="H6610" s="8">
        <v>1043</v>
      </c>
      <c r="I6610" s="8">
        <v>4279</v>
      </c>
    </row>
    <row r="6611" spans="1:9" x14ac:dyDescent="0.2">
      <c r="A6611" t="s">
        <v>1281</v>
      </c>
      <c r="B6611" t="s">
        <v>1423</v>
      </c>
      <c r="C6611" t="str">
        <f t="shared" si="321"/>
        <v>37683380000000</v>
      </c>
      <c r="D6611" t="s">
        <v>1194</v>
      </c>
      <c r="E6611" t="str">
        <f>"37683386039770"</f>
        <v>37683386039770</v>
      </c>
      <c r="F6611" s="8">
        <v>2565</v>
      </c>
      <c r="G6611" s="8">
        <v>8039</v>
      </c>
      <c r="H6611" s="8">
        <v>1043</v>
      </c>
      <c r="I6611" s="8">
        <v>4279</v>
      </c>
    </row>
    <row r="6612" spans="1:9" x14ac:dyDescent="0.2">
      <c r="A6612" t="s">
        <v>1281</v>
      </c>
      <c r="B6612" t="s">
        <v>1423</v>
      </c>
      <c r="C6612" t="str">
        <f t="shared" si="321"/>
        <v>37683380000000</v>
      </c>
      <c r="D6612" t="s">
        <v>7744</v>
      </c>
      <c r="E6612" t="str">
        <f>"37683380114033"</f>
        <v>37683380114033</v>
      </c>
      <c r="F6612" s="8">
        <v>1571</v>
      </c>
      <c r="G6612" s="8">
        <v>8986</v>
      </c>
      <c r="H6612" s="8">
        <v>1043</v>
      </c>
      <c r="I6612" s="8">
        <v>4279</v>
      </c>
    </row>
    <row r="6613" spans="1:9" x14ac:dyDescent="0.2">
      <c r="A6613" t="s">
        <v>1281</v>
      </c>
      <c r="B6613" t="s">
        <v>1423</v>
      </c>
      <c r="C6613" t="str">
        <f t="shared" si="321"/>
        <v>37683380000000</v>
      </c>
      <c r="D6613" t="s">
        <v>7745</v>
      </c>
      <c r="E6613" t="str">
        <f>"37683383731551"</f>
        <v>37683383731551</v>
      </c>
      <c r="F6613" s="8">
        <v>1621</v>
      </c>
      <c r="G6613" s="8">
        <v>8894</v>
      </c>
      <c r="H6613" s="8">
        <v>1043</v>
      </c>
      <c r="I6613" s="8">
        <v>4279</v>
      </c>
    </row>
    <row r="6614" spans="1:9" x14ac:dyDescent="0.2">
      <c r="A6614" t="s">
        <v>1281</v>
      </c>
      <c r="B6614" t="s">
        <v>1423</v>
      </c>
      <c r="C6614" t="str">
        <f t="shared" si="321"/>
        <v>37683380000000</v>
      </c>
      <c r="D6614" t="s">
        <v>4838</v>
      </c>
      <c r="E6614" t="str">
        <f>"37683386114375"</f>
        <v>37683386114375</v>
      </c>
      <c r="F6614" s="8">
        <v>1379</v>
      </c>
      <c r="G6614" s="8">
        <v>9136</v>
      </c>
      <c r="H6614" s="8">
        <v>1043</v>
      </c>
      <c r="I6614" s="8">
        <v>4279</v>
      </c>
    </row>
    <row r="6615" spans="1:9" x14ac:dyDescent="0.2">
      <c r="A6615" t="s">
        <v>1281</v>
      </c>
      <c r="B6615" t="s">
        <v>1423</v>
      </c>
      <c r="C6615" t="str">
        <f t="shared" si="321"/>
        <v>37683380000000</v>
      </c>
      <c r="D6615" t="s">
        <v>7746</v>
      </c>
      <c r="E6615" t="str">
        <f>"37683386059703"</f>
        <v>37683386059703</v>
      </c>
      <c r="F6615" s="8">
        <v>1260</v>
      </c>
      <c r="G6615" s="8">
        <v>9252</v>
      </c>
      <c r="H6615" s="8">
        <v>1043</v>
      </c>
      <c r="I6615" s="8">
        <v>4279</v>
      </c>
    </row>
    <row r="6616" spans="1:9" x14ac:dyDescent="0.2">
      <c r="A6616" t="s">
        <v>1281</v>
      </c>
      <c r="B6616" t="s">
        <v>1423</v>
      </c>
      <c r="C6616" t="str">
        <f t="shared" si="321"/>
        <v>37683380000000</v>
      </c>
      <c r="D6616" t="s">
        <v>7747</v>
      </c>
      <c r="E6616" t="str">
        <f>"37683386039630"</f>
        <v>37683386039630</v>
      </c>
      <c r="F6616" s="8">
        <v>1525</v>
      </c>
      <c r="G6616" s="8">
        <v>8936</v>
      </c>
      <c r="H6616" s="8">
        <v>1043</v>
      </c>
      <c r="I6616" s="8">
        <v>4279</v>
      </c>
    </row>
    <row r="6617" spans="1:9" x14ac:dyDescent="0.2">
      <c r="A6617" t="s">
        <v>1281</v>
      </c>
      <c r="B6617" t="s">
        <v>1423</v>
      </c>
      <c r="C6617" t="str">
        <f t="shared" si="321"/>
        <v>37683380000000</v>
      </c>
      <c r="D6617" t="s">
        <v>2813</v>
      </c>
      <c r="E6617" t="str">
        <f>"37683386039390"</f>
        <v>37683386039390</v>
      </c>
      <c r="F6617" s="8">
        <v>1477</v>
      </c>
      <c r="G6617" s="8">
        <v>8968</v>
      </c>
      <c r="H6617" s="8">
        <v>1043</v>
      </c>
      <c r="I6617" s="8">
        <v>4279</v>
      </c>
    </row>
    <row r="6618" spans="1:9" x14ac:dyDescent="0.2">
      <c r="A6618" t="s">
        <v>1281</v>
      </c>
      <c r="B6618" t="s">
        <v>1423</v>
      </c>
      <c r="C6618" t="str">
        <f t="shared" si="321"/>
        <v>37683380000000</v>
      </c>
      <c r="D6618" t="s">
        <v>6294</v>
      </c>
      <c r="E6618" t="str">
        <f>"37683380114025"</f>
        <v>37683380114025</v>
      </c>
      <c r="F6618" s="8">
        <v>1301</v>
      </c>
      <c r="G6618" s="8">
        <v>9116</v>
      </c>
      <c r="H6618" s="8">
        <v>1043</v>
      </c>
      <c r="I6618" s="8">
        <v>4279</v>
      </c>
    </row>
    <row r="6619" spans="1:9" x14ac:dyDescent="0.2">
      <c r="A6619" t="s">
        <v>1281</v>
      </c>
      <c r="B6619" t="s">
        <v>1423</v>
      </c>
      <c r="C6619" t="str">
        <f t="shared" si="321"/>
        <v>37683380000000</v>
      </c>
      <c r="D6619" t="s">
        <v>7748</v>
      </c>
      <c r="E6619" t="str">
        <f>"37683386039424"</f>
        <v>37683386039424</v>
      </c>
      <c r="F6619" s="8">
        <v>1410</v>
      </c>
      <c r="G6619" s="8">
        <v>8939</v>
      </c>
      <c r="H6619" s="8">
        <v>1043</v>
      </c>
      <c r="I6619" s="8">
        <v>4279</v>
      </c>
    </row>
    <row r="6620" spans="1:9" x14ac:dyDescent="0.2">
      <c r="A6620" t="s">
        <v>1281</v>
      </c>
      <c r="B6620" t="s">
        <v>1423</v>
      </c>
      <c r="C6620" t="str">
        <f t="shared" si="321"/>
        <v>37683380000000</v>
      </c>
      <c r="D6620" t="s">
        <v>7749</v>
      </c>
      <c r="E6620" t="str">
        <f>"37683380116939"</f>
        <v>37683380116939</v>
      </c>
      <c r="F6620" s="8">
        <v>1049</v>
      </c>
      <c r="G6620" s="8">
        <v>9279</v>
      </c>
      <c r="H6620" s="8">
        <v>1043</v>
      </c>
      <c r="I6620" s="8">
        <v>4279</v>
      </c>
    </row>
    <row r="6621" spans="1:9" x14ac:dyDescent="0.2">
      <c r="A6621" t="s">
        <v>1281</v>
      </c>
      <c r="B6621" t="s">
        <v>1423</v>
      </c>
      <c r="C6621" t="str">
        <f t="shared" si="321"/>
        <v>37683380000000</v>
      </c>
      <c r="D6621" t="s">
        <v>7750</v>
      </c>
      <c r="E6621" t="str">
        <f>"37683386040034"</f>
        <v>37683386040034</v>
      </c>
      <c r="F6621" s="8">
        <v>1559</v>
      </c>
      <c r="G6621" s="8">
        <v>8671</v>
      </c>
      <c r="H6621" s="8">
        <v>1043</v>
      </c>
      <c r="I6621" s="8">
        <v>4279</v>
      </c>
    </row>
    <row r="6622" spans="1:9" x14ac:dyDescent="0.2">
      <c r="A6622" t="s">
        <v>1281</v>
      </c>
      <c r="B6622" t="s">
        <v>1423</v>
      </c>
      <c r="C6622" t="str">
        <f t="shared" si="321"/>
        <v>37683380000000</v>
      </c>
      <c r="D6622" t="s">
        <v>7751</v>
      </c>
      <c r="E6622" t="str">
        <f>"37683380107052"</f>
        <v>37683380107052</v>
      </c>
      <c r="F6622" s="8">
        <v>1925</v>
      </c>
      <c r="G6622" s="8">
        <v>8303</v>
      </c>
      <c r="H6622" s="8">
        <v>1043</v>
      </c>
      <c r="I6622" s="8">
        <v>4279</v>
      </c>
    </row>
    <row r="6623" spans="1:9" x14ac:dyDescent="0.2">
      <c r="A6623" t="s">
        <v>1281</v>
      </c>
      <c r="B6623" t="s">
        <v>1423</v>
      </c>
      <c r="C6623" t="str">
        <f t="shared" si="321"/>
        <v>37683380000000</v>
      </c>
      <c r="D6623" t="s">
        <v>7752</v>
      </c>
      <c r="E6623" t="str">
        <f>"37683386039135"</f>
        <v>37683386039135</v>
      </c>
      <c r="F6623" s="8">
        <v>1477</v>
      </c>
      <c r="G6623" s="8">
        <v>8746</v>
      </c>
      <c r="H6623" s="8">
        <v>1043</v>
      </c>
      <c r="I6623" s="8">
        <v>4279</v>
      </c>
    </row>
    <row r="6624" spans="1:9" x14ac:dyDescent="0.2">
      <c r="A6624" t="s">
        <v>1281</v>
      </c>
      <c r="B6624" t="s">
        <v>1423</v>
      </c>
      <c r="C6624" t="str">
        <f t="shared" si="321"/>
        <v>37683380000000</v>
      </c>
      <c r="D6624" t="s">
        <v>7753</v>
      </c>
      <c r="E6624" t="str">
        <f>"37683386089064"</f>
        <v>37683386089064</v>
      </c>
      <c r="F6624" s="8">
        <v>1371</v>
      </c>
      <c r="G6624" s="8">
        <v>8827</v>
      </c>
      <c r="H6624" s="8">
        <v>1043</v>
      </c>
      <c r="I6624" s="8">
        <v>4279</v>
      </c>
    </row>
    <row r="6625" spans="1:9" x14ac:dyDescent="0.2">
      <c r="A6625" t="s">
        <v>1281</v>
      </c>
      <c r="B6625" t="s">
        <v>1423</v>
      </c>
      <c r="C6625" t="str">
        <f t="shared" si="321"/>
        <v>37683380000000</v>
      </c>
      <c r="D6625" t="s">
        <v>2936</v>
      </c>
      <c r="E6625" t="str">
        <f>"37683386089015"</f>
        <v>37683386089015</v>
      </c>
      <c r="F6625" s="8">
        <v>827</v>
      </c>
      <c r="G6625" s="8">
        <v>9348</v>
      </c>
      <c r="H6625" s="8">
        <v>1043</v>
      </c>
      <c r="I6625" s="8">
        <v>4279</v>
      </c>
    </row>
    <row r="6626" spans="1:9" x14ac:dyDescent="0.2">
      <c r="A6626" t="s">
        <v>1281</v>
      </c>
      <c r="B6626" t="s">
        <v>1423</v>
      </c>
      <c r="C6626" t="str">
        <f t="shared" si="321"/>
        <v>37683380000000</v>
      </c>
      <c r="D6626" t="s">
        <v>7198</v>
      </c>
      <c r="E6626" t="str">
        <f>"37683386040026"</f>
        <v>37683386040026</v>
      </c>
      <c r="F6626" s="8">
        <v>1602</v>
      </c>
      <c r="G6626" s="8">
        <v>8559</v>
      </c>
      <c r="H6626" s="8">
        <v>1043</v>
      </c>
      <c r="I6626" s="8">
        <v>4279</v>
      </c>
    </row>
    <row r="6627" spans="1:9" x14ac:dyDescent="0.2">
      <c r="A6627" t="s">
        <v>1281</v>
      </c>
      <c r="B6627" t="s">
        <v>1423</v>
      </c>
      <c r="C6627" t="str">
        <f t="shared" si="321"/>
        <v>37683380000000</v>
      </c>
      <c r="D6627" t="s">
        <v>7754</v>
      </c>
      <c r="E6627" t="str">
        <f>"37683386114060"</f>
        <v>37683386114060</v>
      </c>
      <c r="F6627" s="8">
        <v>1403</v>
      </c>
      <c r="G6627" s="8">
        <v>8756</v>
      </c>
      <c r="H6627" s="8">
        <v>1043</v>
      </c>
      <c r="I6627" s="8">
        <v>4279</v>
      </c>
    </row>
    <row r="6628" spans="1:9" x14ac:dyDescent="0.2">
      <c r="A6628" t="s">
        <v>1281</v>
      </c>
      <c r="B6628" t="s">
        <v>1423</v>
      </c>
      <c r="C6628" t="str">
        <f t="shared" si="321"/>
        <v>37683380000000</v>
      </c>
      <c r="D6628" t="s">
        <v>7755</v>
      </c>
      <c r="E6628" t="str">
        <f>"37683386106173"</f>
        <v>37683386106173</v>
      </c>
      <c r="F6628" s="8">
        <v>1537</v>
      </c>
      <c r="G6628" s="8">
        <v>8587</v>
      </c>
      <c r="H6628" s="8">
        <v>1043</v>
      </c>
      <c r="I6628" s="8">
        <v>4279</v>
      </c>
    </row>
    <row r="6629" spans="1:9" x14ac:dyDescent="0.2">
      <c r="A6629" t="s">
        <v>1281</v>
      </c>
      <c r="B6629" t="s">
        <v>1423</v>
      </c>
      <c r="C6629" t="str">
        <f t="shared" si="321"/>
        <v>37683380000000</v>
      </c>
      <c r="D6629" t="s">
        <v>7756</v>
      </c>
      <c r="E6629" t="str">
        <f>"37683380114041"</f>
        <v>37683380114041</v>
      </c>
      <c r="F6629" s="8">
        <v>1552</v>
      </c>
      <c r="G6629" s="8">
        <v>8537</v>
      </c>
      <c r="H6629" s="8">
        <v>1043</v>
      </c>
      <c r="I6629" s="8">
        <v>4279</v>
      </c>
    </row>
    <row r="6630" spans="1:9" x14ac:dyDescent="0.2">
      <c r="A6630" t="s">
        <v>1281</v>
      </c>
      <c r="B6630" t="s">
        <v>1423</v>
      </c>
      <c r="C6630" t="str">
        <f t="shared" si="321"/>
        <v>37683380000000</v>
      </c>
      <c r="D6630" t="s">
        <v>4015</v>
      </c>
      <c r="E6630" t="str">
        <f>"37683386114300"</f>
        <v>37683386114300</v>
      </c>
      <c r="F6630" s="8">
        <v>1860</v>
      </c>
      <c r="G6630" s="8">
        <v>8224</v>
      </c>
      <c r="H6630" s="8">
        <v>1043</v>
      </c>
      <c r="I6630" s="8">
        <v>4279</v>
      </c>
    </row>
    <row r="6631" spans="1:9" x14ac:dyDescent="0.2">
      <c r="A6631" t="s">
        <v>1281</v>
      </c>
      <c r="B6631" t="s">
        <v>1423</v>
      </c>
      <c r="C6631" t="str">
        <f t="shared" si="321"/>
        <v>37683380000000</v>
      </c>
      <c r="D6631" t="s">
        <v>7757</v>
      </c>
      <c r="E6631" t="str">
        <f>"37683383733698"</f>
        <v>37683383733698</v>
      </c>
      <c r="F6631" s="8">
        <v>1312</v>
      </c>
      <c r="G6631" s="8">
        <v>8760</v>
      </c>
      <c r="H6631" s="8">
        <v>1043</v>
      </c>
      <c r="I6631" s="8">
        <v>4279</v>
      </c>
    </row>
    <row r="6632" spans="1:9" x14ac:dyDescent="0.2">
      <c r="A6632" t="s">
        <v>1281</v>
      </c>
      <c r="B6632" t="s">
        <v>1423</v>
      </c>
      <c r="C6632" t="str">
        <f t="shared" ref="C6632:C6663" si="322">"37683380000000"</f>
        <v>37683380000000</v>
      </c>
      <c r="D6632" t="s">
        <v>7758</v>
      </c>
      <c r="E6632" t="str">
        <f>"37683386106199"</f>
        <v>37683386106199</v>
      </c>
      <c r="F6632" s="8">
        <v>1846</v>
      </c>
      <c r="G6632" s="8">
        <v>8188</v>
      </c>
      <c r="H6632" s="8">
        <v>1043</v>
      </c>
      <c r="I6632" s="8">
        <v>4279</v>
      </c>
    </row>
    <row r="6633" spans="1:9" x14ac:dyDescent="0.2">
      <c r="A6633" t="s">
        <v>1281</v>
      </c>
      <c r="B6633" t="s">
        <v>1423</v>
      </c>
      <c r="C6633" t="str">
        <f t="shared" si="322"/>
        <v>37683380000000</v>
      </c>
      <c r="D6633" t="s">
        <v>7759</v>
      </c>
      <c r="E6633" t="str">
        <f>"37683386099063"</f>
        <v>37683386099063</v>
      </c>
      <c r="F6633" s="8">
        <v>858</v>
      </c>
      <c r="G6633" s="8">
        <v>9096</v>
      </c>
      <c r="H6633" s="8">
        <v>1043</v>
      </c>
      <c r="I6633" s="8">
        <v>4279</v>
      </c>
    </row>
    <row r="6634" spans="1:9" x14ac:dyDescent="0.2">
      <c r="A6634" t="s">
        <v>1281</v>
      </c>
      <c r="B6634" t="s">
        <v>1423</v>
      </c>
      <c r="C6634" t="str">
        <f t="shared" si="322"/>
        <v>37683380000000</v>
      </c>
      <c r="D6634" t="s">
        <v>7760</v>
      </c>
      <c r="E6634" t="str">
        <f>"37683386109599"</f>
        <v>37683386109599</v>
      </c>
      <c r="F6634" s="8">
        <v>1544</v>
      </c>
      <c r="G6634" s="8">
        <v>8347</v>
      </c>
      <c r="H6634" s="8">
        <v>1043</v>
      </c>
      <c r="I6634" s="8">
        <v>4279</v>
      </c>
    </row>
    <row r="6635" spans="1:9" x14ac:dyDescent="0.2">
      <c r="A6635" t="s">
        <v>1281</v>
      </c>
      <c r="B6635" t="s">
        <v>1423</v>
      </c>
      <c r="C6635" t="str">
        <f t="shared" si="322"/>
        <v>37683380000000</v>
      </c>
      <c r="D6635" t="s">
        <v>7761</v>
      </c>
      <c r="E6635" t="str">
        <f>"37683380108274"</f>
        <v>37683380108274</v>
      </c>
      <c r="F6635" s="8">
        <v>1860</v>
      </c>
      <c r="G6635" s="8">
        <v>8000</v>
      </c>
      <c r="H6635" s="8">
        <v>1043</v>
      </c>
      <c r="I6635" s="8">
        <v>4279</v>
      </c>
    </row>
    <row r="6636" spans="1:9" x14ac:dyDescent="0.2">
      <c r="A6636" t="s">
        <v>1281</v>
      </c>
      <c r="B6636" t="s">
        <v>1423</v>
      </c>
      <c r="C6636" t="str">
        <f t="shared" si="322"/>
        <v>37683380000000</v>
      </c>
      <c r="D6636" t="s">
        <v>7762</v>
      </c>
      <c r="E6636" t="str">
        <f>"37683386039341"</f>
        <v>37683386039341</v>
      </c>
      <c r="F6636" s="8">
        <v>1964</v>
      </c>
      <c r="G6636" s="8">
        <v>7890</v>
      </c>
      <c r="H6636" s="8">
        <v>1043</v>
      </c>
      <c r="I6636" s="8">
        <v>4279</v>
      </c>
    </row>
    <row r="6637" spans="1:9" x14ac:dyDescent="0.2">
      <c r="A6637" t="s">
        <v>1281</v>
      </c>
      <c r="B6637" t="s">
        <v>1423</v>
      </c>
      <c r="C6637" t="str">
        <f t="shared" si="322"/>
        <v>37683380000000</v>
      </c>
      <c r="D6637" t="s">
        <v>1894</v>
      </c>
      <c r="E6637" t="str">
        <f>"37683386039606"</f>
        <v>37683386039606</v>
      </c>
      <c r="F6637" s="8">
        <v>1185</v>
      </c>
      <c r="G6637" s="8">
        <v>8652</v>
      </c>
      <c r="H6637" s="8">
        <v>1043</v>
      </c>
      <c r="I6637" s="8">
        <v>4279</v>
      </c>
    </row>
    <row r="6638" spans="1:9" x14ac:dyDescent="0.2">
      <c r="A6638" t="s">
        <v>1281</v>
      </c>
      <c r="B6638" t="s">
        <v>1423</v>
      </c>
      <c r="C6638" t="str">
        <f t="shared" si="322"/>
        <v>37683380000000</v>
      </c>
      <c r="D6638" t="s">
        <v>7763</v>
      </c>
      <c r="E6638" t="str">
        <f>"37683380107177"</f>
        <v>37683380107177</v>
      </c>
      <c r="F6638" s="8">
        <v>1615</v>
      </c>
      <c r="G6638" s="8">
        <v>8157</v>
      </c>
      <c r="H6638" s="8">
        <v>1043</v>
      </c>
      <c r="I6638" s="8">
        <v>4279</v>
      </c>
    </row>
    <row r="6639" spans="1:9" x14ac:dyDescent="0.2">
      <c r="A6639" t="s">
        <v>1281</v>
      </c>
      <c r="B6639" t="s">
        <v>1423</v>
      </c>
      <c r="C6639" t="str">
        <f t="shared" si="322"/>
        <v>37683380000000</v>
      </c>
      <c r="D6639" t="s">
        <v>7764</v>
      </c>
      <c r="E6639" t="str">
        <f>"37683386089023"</f>
        <v>37683386089023</v>
      </c>
      <c r="F6639" s="8">
        <v>1298</v>
      </c>
      <c r="G6639" s="8">
        <v>8376</v>
      </c>
      <c r="H6639" s="8">
        <v>1043</v>
      </c>
      <c r="I6639" s="8">
        <v>4279</v>
      </c>
    </row>
    <row r="6640" spans="1:9" x14ac:dyDescent="0.2">
      <c r="A6640" t="s">
        <v>1281</v>
      </c>
      <c r="B6640" t="s">
        <v>1423</v>
      </c>
      <c r="C6640" t="str">
        <f t="shared" si="322"/>
        <v>37683380000000</v>
      </c>
      <c r="D6640" t="s">
        <v>149</v>
      </c>
      <c r="E6640" t="str">
        <f>"37683386039853"</f>
        <v>37683386039853</v>
      </c>
      <c r="F6640" s="8">
        <v>1182</v>
      </c>
      <c r="G6640" s="8">
        <v>8486</v>
      </c>
      <c r="H6640" s="8">
        <v>1043</v>
      </c>
      <c r="I6640" s="8">
        <v>4279</v>
      </c>
    </row>
    <row r="6641" spans="1:9" x14ac:dyDescent="0.2">
      <c r="A6641" t="s">
        <v>1281</v>
      </c>
      <c r="B6641" t="s">
        <v>1423</v>
      </c>
      <c r="C6641" t="str">
        <f t="shared" si="322"/>
        <v>37683380000000</v>
      </c>
      <c r="D6641" t="s">
        <v>7765</v>
      </c>
      <c r="E6641" t="str">
        <f>"37683380132316"</f>
        <v>37683380132316</v>
      </c>
      <c r="F6641" s="8">
        <v>943</v>
      </c>
      <c r="G6641" s="8">
        <v>8656</v>
      </c>
      <c r="H6641" s="8">
        <v>1043</v>
      </c>
      <c r="I6641" s="8">
        <v>4279</v>
      </c>
    </row>
    <row r="6642" spans="1:9" x14ac:dyDescent="0.2">
      <c r="A6642" t="s">
        <v>1281</v>
      </c>
      <c r="B6642" t="s">
        <v>1423</v>
      </c>
      <c r="C6642" t="str">
        <f t="shared" si="322"/>
        <v>37683380000000</v>
      </c>
      <c r="D6642" t="s">
        <v>7766</v>
      </c>
      <c r="E6642" t="str">
        <f>"37683380107102"</f>
        <v>37683380107102</v>
      </c>
      <c r="F6642" s="8">
        <v>2146</v>
      </c>
      <c r="G6642" s="8">
        <v>7450</v>
      </c>
      <c r="H6642" s="8">
        <v>1043</v>
      </c>
      <c r="I6642" s="8">
        <v>4279</v>
      </c>
    </row>
    <row r="6643" spans="1:9" x14ac:dyDescent="0.2">
      <c r="A6643" t="s">
        <v>1281</v>
      </c>
      <c r="B6643" t="s">
        <v>1423</v>
      </c>
      <c r="C6643" t="str">
        <f t="shared" si="322"/>
        <v>37683380000000</v>
      </c>
      <c r="D6643" t="s">
        <v>7767</v>
      </c>
      <c r="E6643" t="str">
        <f>"37683386039762"</f>
        <v>37683386039762</v>
      </c>
      <c r="F6643" s="8">
        <v>2006</v>
      </c>
      <c r="G6643" s="8">
        <v>7587</v>
      </c>
      <c r="H6643" s="8">
        <v>1043</v>
      </c>
      <c r="I6643" s="8">
        <v>4279</v>
      </c>
    </row>
    <row r="6644" spans="1:9" x14ac:dyDescent="0.2">
      <c r="A6644" t="s">
        <v>1281</v>
      </c>
      <c r="B6644" t="s">
        <v>1423</v>
      </c>
      <c r="C6644" t="str">
        <f t="shared" si="322"/>
        <v>37683380000000</v>
      </c>
      <c r="D6644" t="s">
        <v>7768</v>
      </c>
      <c r="E6644" t="str">
        <f>"37683386059646"</f>
        <v>37683386059646</v>
      </c>
      <c r="F6644" s="8">
        <v>1706</v>
      </c>
      <c r="G6644" s="8">
        <v>7875</v>
      </c>
      <c r="H6644" s="8">
        <v>1043</v>
      </c>
      <c r="I6644" s="8">
        <v>4279</v>
      </c>
    </row>
    <row r="6645" spans="1:9" x14ac:dyDescent="0.2">
      <c r="A6645" t="s">
        <v>1281</v>
      </c>
      <c r="B6645" t="s">
        <v>1423</v>
      </c>
      <c r="C6645" t="str">
        <f t="shared" si="322"/>
        <v>37683380000000</v>
      </c>
      <c r="D6645" t="s">
        <v>7769</v>
      </c>
      <c r="E6645" t="str">
        <f>"37683386040166"</f>
        <v>37683386040166</v>
      </c>
      <c r="F6645" s="8">
        <v>943</v>
      </c>
      <c r="G6645" s="8">
        <v>8615</v>
      </c>
      <c r="H6645" s="8">
        <v>1043</v>
      </c>
      <c r="I6645" s="8">
        <v>4279</v>
      </c>
    </row>
    <row r="6646" spans="1:9" x14ac:dyDescent="0.2">
      <c r="A6646" t="s">
        <v>1281</v>
      </c>
      <c r="B6646" t="s">
        <v>1423</v>
      </c>
      <c r="C6646" t="str">
        <f t="shared" si="322"/>
        <v>37683380000000</v>
      </c>
      <c r="D6646" t="s">
        <v>2922</v>
      </c>
      <c r="E6646" t="str">
        <f>"37683386039259"</f>
        <v>37683386039259</v>
      </c>
      <c r="F6646" s="8">
        <v>1230</v>
      </c>
      <c r="G6646" s="8">
        <v>8325</v>
      </c>
      <c r="H6646" s="8">
        <v>1043</v>
      </c>
      <c r="I6646" s="8">
        <v>4279</v>
      </c>
    </row>
    <row r="6647" spans="1:9" x14ac:dyDescent="0.2">
      <c r="A6647" t="s">
        <v>1281</v>
      </c>
      <c r="B6647" t="s">
        <v>1423</v>
      </c>
      <c r="C6647" t="str">
        <f t="shared" si="322"/>
        <v>37683380000000</v>
      </c>
      <c r="D6647" t="s">
        <v>6522</v>
      </c>
      <c r="E6647" t="str">
        <f>"37683386039846"</f>
        <v>37683386039846</v>
      </c>
      <c r="F6647" s="8">
        <v>1141</v>
      </c>
      <c r="G6647" s="8">
        <v>8346</v>
      </c>
      <c r="H6647" s="8">
        <v>1043</v>
      </c>
      <c r="I6647" s="8">
        <v>4279</v>
      </c>
    </row>
    <row r="6648" spans="1:9" x14ac:dyDescent="0.2">
      <c r="A6648" t="s">
        <v>1281</v>
      </c>
      <c r="B6648" t="s">
        <v>1423</v>
      </c>
      <c r="C6648" t="str">
        <f t="shared" si="322"/>
        <v>37683380000000</v>
      </c>
      <c r="D6648" t="s">
        <v>7770</v>
      </c>
      <c r="E6648" t="str">
        <f>"37683386059653"</f>
        <v>37683386059653</v>
      </c>
      <c r="F6648" s="8">
        <v>927</v>
      </c>
      <c r="G6648" s="8">
        <v>8557</v>
      </c>
      <c r="H6648" s="8">
        <v>1043</v>
      </c>
      <c r="I6648" s="8">
        <v>4279</v>
      </c>
    </row>
    <row r="6649" spans="1:9" x14ac:dyDescent="0.2">
      <c r="A6649" t="s">
        <v>1281</v>
      </c>
      <c r="B6649" t="s">
        <v>1423</v>
      </c>
      <c r="C6649" t="str">
        <f t="shared" si="322"/>
        <v>37683380000000</v>
      </c>
      <c r="D6649" t="s">
        <v>7771</v>
      </c>
      <c r="E6649" t="str">
        <f>"37683386039671"</f>
        <v>37683386039671</v>
      </c>
      <c r="F6649" s="8">
        <v>1204</v>
      </c>
      <c r="G6649" s="8">
        <v>8236</v>
      </c>
      <c r="H6649" s="8">
        <v>1043</v>
      </c>
      <c r="I6649" s="8">
        <v>4279</v>
      </c>
    </row>
    <row r="6650" spans="1:9" x14ac:dyDescent="0.2">
      <c r="A6650" t="s">
        <v>1281</v>
      </c>
      <c r="B6650" t="s">
        <v>1423</v>
      </c>
      <c r="C6650" t="str">
        <f t="shared" si="322"/>
        <v>37683380000000</v>
      </c>
      <c r="D6650" t="s">
        <v>7772</v>
      </c>
      <c r="E6650" t="str">
        <f>"37683386039713"</f>
        <v>37683386039713</v>
      </c>
      <c r="F6650" s="8">
        <v>1280</v>
      </c>
      <c r="G6650" s="8">
        <v>8100</v>
      </c>
      <c r="H6650" s="8">
        <v>1043</v>
      </c>
      <c r="I6650" s="8">
        <v>4279</v>
      </c>
    </row>
    <row r="6651" spans="1:9" x14ac:dyDescent="0.2">
      <c r="A6651" t="s">
        <v>1281</v>
      </c>
      <c r="B6651" t="s">
        <v>1423</v>
      </c>
      <c r="C6651" t="str">
        <f t="shared" si="322"/>
        <v>37683380000000</v>
      </c>
      <c r="D6651" t="s">
        <v>7773</v>
      </c>
      <c r="E6651" t="str">
        <f>"37683383731213"</f>
        <v>37683383731213</v>
      </c>
      <c r="F6651" s="8">
        <v>557</v>
      </c>
      <c r="G6651" s="8">
        <v>8817</v>
      </c>
      <c r="H6651" s="8">
        <v>1043</v>
      </c>
      <c r="I6651" s="8">
        <v>4279</v>
      </c>
    </row>
    <row r="6652" spans="1:9" x14ac:dyDescent="0.2">
      <c r="A6652" t="s">
        <v>1281</v>
      </c>
      <c r="B6652" t="s">
        <v>1423</v>
      </c>
      <c r="C6652" t="str">
        <f t="shared" si="322"/>
        <v>37683380000000</v>
      </c>
      <c r="D6652" t="s">
        <v>7774</v>
      </c>
      <c r="E6652" t="str">
        <f>"37683386071914"</f>
        <v>37683386071914</v>
      </c>
      <c r="F6652" s="8">
        <v>1116</v>
      </c>
      <c r="G6652" s="8">
        <v>8232</v>
      </c>
      <c r="H6652" s="8">
        <v>1043</v>
      </c>
      <c r="I6652" s="8">
        <v>4279</v>
      </c>
    </row>
    <row r="6653" spans="1:9" x14ac:dyDescent="0.2">
      <c r="A6653" t="s">
        <v>1281</v>
      </c>
      <c r="B6653" t="s">
        <v>1423</v>
      </c>
      <c r="C6653" t="str">
        <f t="shared" si="322"/>
        <v>37683380000000</v>
      </c>
      <c r="D6653" t="s">
        <v>7775</v>
      </c>
      <c r="E6653" t="str">
        <f>"37683386099055"</f>
        <v>37683386099055</v>
      </c>
      <c r="F6653" s="8">
        <v>671</v>
      </c>
      <c r="G6653" s="8">
        <v>8663</v>
      </c>
      <c r="H6653" s="8">
        <v>1043</v>
      </c>
      <c r="I6653" s="8">
        <v>4279</v>
      </c>
    </row>
    <row r="6654" spans="1:9" x14ac:dyDescent="0.2">
      <c r="A6654" t="s">
        <v>1281</v>
      </c>
      <c r="B6654" t="s">
        <v>1423</v>
      </c>
      <c r="C6654" t="str">
        <f t="shared" si="322"/>
        <v>37683380000000</v>
      </c>
      <c r="D6654" t="s">
        <v>7776</v>
      </c>
      <c r="E6654" t="str">
        <f>"37683386059588"</f>
        <v>37683386059588</v>
      </c>
      <c r="F6654" s="8">
        <v>1046</v>
      </c>
      <c r="G6654" s="8">
        <v>8254</v>
      </c>
      <c r="H6654" s="8">
        <v>1043</v>
      </c>
      <c r="I6654" s="8">
        <v>4279</v>
      </c>
    </row>
    <row r="6655" spans="1:9" x14ac:dyDescent="0.2">
      <c r="A6655" t="s">
        <v>1281</v>
      </c>
      <c r="B6655" t="s">
        <v>1423</v>
      </c>
      <c r="C6655" t="str">
        <f t="shared" si="322"/>
        <v>37683380000000</v>
      </c>
      <c r="D6655" t="s">
        <v>7777</v>
      </c>
      <c r="E6655" t="str">
        <f>"37683386040042"</f>
        <v>37683386040042</v>
      </c>
      <c r="F6655" s="8">
        <v>887</v>
      </c>
      <c r="G6655" s="8">
        <v>8368</v>
      </c>
      <c r="H6655" s="8">
        <v>1043</v>
      </c>
      <c r="I6655" s="8">
        <v>4279</v>
      </c>
    </row>
    <row r="6656" spans="1:9" x14ac:dyDescent="0.2">
      <c r="A6656" t="s">
        <v>1281</v>
      </c>
      <c r="B6656" t="s">
        <v>1423</v>
      </c>
      <c r="C6656" t="str">
        <f t="shared" si="322"/>
        <v>37683380000000</v>
      </c>
      <c r="D6656" t="s">
        <v>7778</v>
      </c>
      <c r="E6656" t="str">
        <f>"37683386089056"</f>
        <v>37683386089056</v>
      </c>
      <c r="F6656" s="8">
        <v>1063</v>
      </c>
      <c r="G6656" s="8">
        <v>8182</v>
      </c>
      <c r="H6656" s="8">
        <v>1043</v>
      </c>
      <c r="I6656" s="8">
        <v>4279</v>
      </c>
    </row>
    <row r="6657" spans="1:9" x14ac:dyDescent="0.2">
      <c r="A6657" t="s">
        <v>1281</v>
      </c>
      <c r="B6657" t="s">
        <v>1423</v>
      </c>
      <c r="C6657" t="str">
        <f t="shared" si="322"/>
        <v>37683380000000</v>
      </c>
      <c r="D6657" t="s">
        <v>7779</v>
      </c>
      <c r="E6657" t="str">
        <f>"37683383734431"</f>
        <v>37683383734431</v>
      </c>
      <c r="F6657" s="8">
        <v>672</v>
      </c>
      <c r="G6657" s="8">
        <v>8538</v>
      </c>
      <c r="H6657" s="8">
        <v>1043</v>
      </c>
      <c r="I6657" s="8">
        <v>4279</v>
      </c>
    </row>
    <row r="6658" spans="1:9" x14ac:dyDescent="0.2">
      <c r="A6658" t="s">
        <v>1281</v>
      </c>
      <c r="B6658" t="s">
        <v>1423</v>
      </c>
      <c r="C6658" t="str">
        <f t="shared" si="322"/>
        <v>37683380000000</v>
      </c>
      <c r="D6658" t="s">
        <v>7780</v>
      </c>
      <c r="E6658" t="str">
        <f>"37683386039739"</f>
        <v>37683386039739</v>
      </c>
      <c r="F6658" s="8">
        <v>972</v>
      </c>
      <c r="G6658" s="8">
        <v>8206</v>
      </c>
      <c r="H6658" s="8">
        <v>1043</v>
      </c>
      <c r="I6658" s="8">
        <v>4279</v>
      </c>
    </row>
    <row r="6659" spans="1:9" x14ac:dyDescent="0.2">
      <c r="A6659" t="s">
        <v>1281</v>
      </c>
      <c r="B6659" t="s">
        <v>1423</v>
      </c>
      <c r="C6659" t="str">
        <f t="shared" si="322"/>
        <v>37683380000000</v>
      </c>
      <c r="D6659" t="s">
        <v>7781</v>
      </c>
      <c r="E6659" t="str">
        <f>"37683386040000"</f>
        <v>37683386040000</v>
      </c>
      <c r="F6659" s="8">
        <v>938</v>
      </c>
      <c r="G6659" s="8">
        <v>8225</v>
      </c>
      <c r="H6659" s="8">
        <v>1043</v>
      </c>
      <c r="I6659" s="8">
        <v>4279</v>
      </c>
    </row>
    <row r="6660" spans="1:9" x14ac:dyDescent="0.2">
      <c r="A6660" t="s">
        <v>1281</v>
      </c>
      <c r="B6660" t="s">
        <v>1423</v>
      </c>
      <c r="C6660" t="str">
        <f t="shared" si="322"/>
        <v>37683380000000</v>
      </c>
      <c r="D6660" t="s">
        <v>7782</v>
      </c>
      <c r="E6660" t="str">
        <f>"37683386039697"</f>
        <v>37683386039697</v>
      </c>
      <c r="F6660" s="8">
        <v>1016</v>
      </c>
      <c r="G6660" s="8">
        <v>8142</v>
      </c>
      <c r="H6660" s="8">
        <v>1043</v>
      </c>
      <c r="I6660" s="8">
        <v>4279</v>
      </c>
    </row>
    <row r="6661" spans="1:9" x14ac:dyDescent="0.2">
      <c r="A6661" t="s">
        <v>1281</v>
      </c>
      <c r="B6661" t="s">
        <v>1423</v>
      </c>
      <c r="C6661" t="str">
        <f t="shared" si="322"/>
        <v>37683380000000</v>
      </c>
      <c r="D6661" t="s">
        <v>7783</v>
      </c>
      <c r="E6661" t="str">
        <f>"37683386039242"</f>
        <v>37683386039242</v>
      </c>
      <c r="F6661" s="8">
        <v>913</v>
      </c>
      <c r="G6661" s="8">
        <v>8232</v>
      </c>
      <c r="H6661" s="8">
        <v>1043</v>
      </c>
      <c r="I6661" s="8">
        <v>4279</v>
      </c>
    </row>
    <row r="6662" spans="1:9" x14ac:dyDescent="0.2">
      <c r="A6662" t="s">
        <v>1281</v>
      </c>
      <c r="B6662" t="s">
        <v>1423</v>
      </c>
      <c r="C6662" t="str">
        <f t="shared" si="322"/>
        <v>37683380000000</v>
      </c>
      <c r="D6662" t="s">
        <v>7784</v>
      </c>
      <c r="E6662" t="str">
        <f>"37683386059695"</f>
        <v>37683386059695</v>
      </c>
      <c r="F6662" s="8">
        <v>488</v>
      </c>
      <c r="G6662" s="8">
        <v>8656</v>
      </c>
      <c r="H6662" s="8">
        <v>1043</v>
      </c>
      <c r="I6662" s="8">
        <v>4279</v>
      </c>
    </row>
    <row r="6663" spans="1:9" x14ac:dyDescent="0.2">
      <c r="A6663" t="s">
        <v>1281</v>
      </c>
      <c r="B6663" t="s">
        <v>1423</v>
      </c>
      <c r="C6663" t="str">
        <f t="shared" si="322"/>
        <v>37683380000000</v>
      </c>
      <c r="D6663" t="s">
        <v>7785</v>
      </c>
      <c r="E6663" t="str">
        <f>"37683386097844"</f>
        <v>37683386097844</v>
      </c>
      <c r="F6663" s="8">
        <v>748</v>
      </c>
      <c r="G6663" s="8">
        <v>8339</v>
      </c>
      <c r="H6663" s="8">
        <v>1043</v>
      </c>
      <c r="I6663" s="8">
        <v>4279</v>
      </c>
    </row>
    <row r="6664" spans="1:9" x14ac:dyDescent="0.2">
      <c r="A6664" t="s">
        <v>1281</v>
      </c>
      <c r="B6664" t="s">
        <v>1423</v>
      </c>
      <c r="C6664" t="str">
        <f t="shared" ref="C6664:C6695" si="323">"37683380000000"</f>
        <v>37683380000000</v>
      </c>
      <c r="D6664" t="s">
        <v>7786</v>
      </c>
      <c r="E6664" t="str">
        <f>"37683386059687"</f>
        <v>37683386059687</v>
      </c>
      <c r="F6664" s="8">
        <v>743</v>
      </c>
      <c r="G6664" s="8">
        <v>8323</v>
      </c>
      <c r="H6664" s="8">
        <v>1043</v>
      </c>
      <c r="I6664" s="8">
        <v>4279</v>
      </c>
    </row>
    <row r="6665" spans="1:9" x14ac:dyDescent="0.2">
      <c r="A6665" t="s">
        <v>1281</v>
      </c>
      <c r="B6665" t="s">
        <v>1423</v>
      </c>
      <c r="C6665" t="str">
        <f t="shared" si="323"/>
        <v>37683380000000</v>
      </c>
      <c r="D6665" t="s">
        <v>7787</v>
      </c>
      <c r="E6665" t="str">
        <f>"37683386106181"</f>
        <v>37683386106181</v>
      </c>
      <c r="F6665" s="8">
        <v>664</v>
      </c>
      <c r="G6665" s="8">
        <v>8389</v>
      </c>
      <c r="H6665" s="8">
        <v>1043</v>
      </c>
      <c r="I6665" s="8">
        <v>4279</v>
      </c>
    </row>
    <row r="6666" spans="1:9" x14ac:dyDescent="0.2">
      <c r="A6666" t="s">
        <v>1281</v>
      </c>
      <c r="B6666" t="s">
        <v>1423</v>
      </c>
      <c r="C6666" t="str">
        <f t="shared" si="323"/>
        <v>37683380000000</v>
      </c>
      <c r="D6666" t="s">
        <v>4413</v>
      </c>
      <c r="E6666" t="str">
        <f>"37683386039960"</f>
        <v>37683386039960</v>
      </c>
      <c r="F6666" s="8">
        <v>827</v>
      </c>
      <c r="G6666" s="8">
        <v>8212</v>
      </c>
      <c r="H6666" s="8">
        <v>1043</v>
      </c>
      <c r="I6666" s="8">
        <v>4279</v>
      </c>
    </row>
    <row r="6667" spans="1:9" x14ac:dyDescent="0.2">
      <c r="A6667" t="s">
        <v>1281</v>
      </c>
      <c r="B6667" t="s">
        <v>1423</v>
      </c>
      <c r="C6667" t="str">
        <f t="shared" si="323"/>
        <v>37683380000000</v>
      </c>
      <c r="D6667" t="s">
        <v>7788</v>
      </c>
      <c r="E6667" t="str">
        <f>"37683386039754"</f>
        <v>37683386039754</v>
      </c>
      <c r="F6667" s="8">
        <v>1581</v>
      </c>
      <c r="G6667" s="8">
        <v>7416</v>
      </c>
      <c r="H6667" s="8">
        <v>1043</v>
      </c>
      <c r="I6667" s="8">
        <v>4279</v>
      </c>
    </row>
    <row r="6668" spans="1:9" x14ac:dyDescent="0.2">
      <c r="A6668" t="s">
        <v>1281</v>
      </c>
      <c r="B6668" t="s">
        <v>1423</v>
      </c>
      <c r="C6668" t="str">
        <f t="shared" si="323"/>
        <v>37683380000000</v>
      </c>
      <c r="D6668" t="s">
        <v>2349</v>
      </c>
      <c r="E6668" t="str">
        <f>"37683386039978"</f>
        <v>37683386039978</v>
      </c>
      <c r="F6668" s="8">
        <v>774</v>
      </c>
      <c r="G6668" s="8">
        <v>8174</v>
      </c>
      <c r="H6668" s="8">
        <v>1043</v>
      </c>
      <c r="I6668" s="8">
        <v>4279</v>
      </c>
    </row>
    <row r="6669" spans="1:9" x14ac:dyDescent="0.2">
      <c r="A6669" t="s">
        <v>1281</v>
      </c>
      <c r="B6669" t="s">
        <v>1423</v>
      </c>
      <c r="C6669" t="str">
        <f t="shared" si="323"/>
        <v>37683380000000</v>
      </c>
      <c r="D6669" t="s">
        <v>7789</v>
      </c>
      <c r="E6669" t="str">
        <f>"37683386040208"</f>
        <v>37683386040208</v>
      </c>
      <c r="F6669" s="8">
        <v>835</v>
      </c>
      <c r="G6669" s="8">
        <v>8077</v>
      </c>
      <c r="H6669" s="8">
        <v>1043</v>
      </c>
      <c r="I6669" s="8">
        <v>4279</v>
      </c>
    </row>
    <row r="6670" spans="1:9" x14ac:dyDescent="0.2">
      <c r="A6670" t="s">
        <v>1281</v>
      </c>
      <c r="B6670" t="s">
        <v>1423</v>
      </c>
      <c r="C6670" t="str">
        <f t="shared" si="323"/>
        <v>37683380000000</v>
      </c>
      <c r="D6670" t="s">
        <v>7790</v>
      </c>
      <c r="E6670" t="str">
        <f>"37683386059596"</f>
        <v>37683386059596</v>
      </c>
      <c r="F6670" s="8">
        <v>1095</v>
      </c>
      <c r="G6670" s="8">
        <v>7807</v>
      </c>
      <c r="H6670" s="8">
        <v>1043</v>
      </c>
      <c r="I6670" s="8">
        <v>4279</v>
      </c>
    </row>
    <row r="6671" spans="1:9" x14ac:dyDescent="0.2">
      <c r="A6671" t="s">
        <v>1281</v>
      </c>
      <c r="B6671" t="s">
        <v>1423</v>
      </c>
      <c r="C6671" t="str">
        <f t="shared" si="323"/>
        <v>37683380000000</v>
      </c>
      <c r="D6671" t="s">
        <v>7791</v>
      </c>
      <c r="E6671" t="str">
        <f>"37683386039374"</f>
        <v>37683386039374</v>
      </c>
      <c r="F6671" s="8">
        <v>1132</v>
      </c>
      <c r="G6671" s="8">
        <v>7687</v>
      </c>
      <c r="H6671" s="8">
        <v>1043</v>
      </c>
      <c r="I6671" s="8">
        <v>4279</v>
      </c>
    </row>
    <row r="6672" spans="1:9" x14ac:dyDescent="0.2">
      <c r="A6672" t="s">
        <v>1281</v>
      </c>
      <c r="B6672" t="s">
        <v>1423</v>
      </c>
      <c r="C6672" t="str">
        <f t="shared" si="323"/>
        <v>37683380000000</v>
      </c>
      <c r="D6672" t="s">
        <v>7792</v>
      </c>
      <c r="E6672" t="str">
        <f>"37683386089049"</f>
        <v>37683386089049</v>
      </c>
      <c r="F6672" s="8">
        <v>609</v>
      </c>
      <c r="G6672" s="8">
        <v>8204</v>
      </c>
      <c r="H6672" s="8">
        <v>1043</v>
      </c>
      <c r="I6672" s="8">
        <v>4279</v>
      </c>
    </row>
    <row r="6673" spans="1:9" x14ac:dyDescent="0.2">
      <c r="A6673" t="s">
        <v>1281</v>
      </c>
      <c r="B6673" t="s">
        <v>1423</v>
      </c>
      <c r="C6673" t="str">
        <f t="shared" si="323"/>
        <v>37683380000000</v>
      </c>
      <c r="D6673" t="s">
        <v>7793</v>
      </c>
      <c r="E6673" t="str">
        <f>"37683386059604"</f>
        <v>37683386059604</v>
      </c>
      <c r="F6673" s="8">
        <v>681</v>
      </c>
      <c r="G6673" s="8">
        <v>8094</v>
      </c>
      <c r="H6673" s="8">
        <v>1043</v>
      </c>
      <c r="I6673" s="8">
        <v>4279</v>
      </c>
    </row>
    <row r="6674" spans="1:9" x14ac:dyDescent="0.2">
      <c r="A6674" t="s">
        <v>1281</v>
      </c>
      <c r="B6674" t="s">
        <v>1423</v>
      </c>
      <c r="C6674" t="str">
        <f t="shared" si="323"/>
        <v>37683380000000</v>
      </c>
      <c r="D6674" t="s">
        <v>7794</v>
      </c>
      <c r="E6674" t="str">
        <f>"37683386059638"</f>
        <v>37683386059638</v>
      </c>
      <c r="F6674" s="8">
        <v>960</v>
      </c>
      <c r="G6674" s="8">
        <v>7812</v>
      </c>
      <c r="H6674" s="8">
        <v>1043</v>
      </c>
      <c r="I6674" s="8">
        <v>4279</v>
      </c>
    </row>
    <row r="6675" spans="1:9" x14ac:dyDescent="0.2">
      <c r="A6675" t="s">
        <v>1281</v>
      </c>
      <c r="B6675" t="s">
        <v>1423</v>
      </c>
      <c r="C6675" t="str">
        <f t="shared" si="323"/>
        <v>37683380000000</v>
      </c>
      <c r="D6675" t="s">
        <v>7795</v>
      </c>
      <c r="E6675" t="str">
        <f>"37683386096879"</f>
        <v>37683386096879</v>
      </c>
      <c r="F6675" s="8">
        <v>1121</v>
      </c>
      <c r="G6675" s="8">
        <v>7646</v>
      </c>
      <c r="H6675" s="8">
        <v>1043</v>
      </c>
      <c r="I6675" s="8">
        <v>4279</v>
      </c>
    </row>
    <row r="6676" spans="1:9" x14ac:dyDescent="0.2">
      <c r="A6676" t="s">
        <v>1281</v>
      </c>
      <c r="B6676" t="s">
        <v>1423</v>
      </c>
      <c r="C6676" t="str">
        <f t="shared" si="323"/>
        <v>37683380000000</v>
      </c>
      <c r="D6676" t="s">
        <v>7796</v>
      </c>
      <c r="E6676" t="str">
        <f>"37683386112726"</f>
        <v>37683386112726</v>
      </c>
      <c r="F6676" s="8">
        <v>878</v>
      </c>
      <c r="G6676" s="8">
        <v>7869</v>
      </c>
      <c r="H6676" s="8">
        <v>1043</v>
      </c>
      <c r="I6676" s="8">
        <v>4279</v>
      </c>
    </row>
    <row r="6677" spans="1:9" x14ac:dyDescent="0.2">
      <c r="A6677" t="s">
        <v>1281</v>
      </c>
      <c r="B6677" t="s">
        <v>1423</v>
      </c>
      <c r="C6677" t="str">
        <f t="shared" si="323"/>
        <v>37683380000000</v>
      </c>
      <c r="D6677" t="s">
        <v>5216</v>
      </c>
      <c r="E6677" t="str">
        <f>"37683386107056"</f>
        <v>37683386107056</v>
      </c>
      <c r="F6677" s="8">
        <v>931</v>
      </c>
      <c r="G6677" s="8">
        <v>7790</v>
      </c>
      <c r="H6677" s="8">
        <v>1043</v>
      </c>
      <c r="I6677" s="8">
        <v>4279</v>
      </c>
    </row>
    <row r="6678" spans="1:9" x14ac:dyDescent="0.2">
      <c r="A6678" t="s">
        <v>1281</v>
      </c>
      <c r="B6678" t="s">
        <v>1423</v>
      </c>
      <c r="C6678" t="str">
        <f t="shared" si="323"/>
        <v>37683380000000</v>
      </c>
      <c r="D6678" t="s">
        <v>7797</v>
      </c>
      <c r="E6678" t="str">
        <f>"37683383734654"</f>
        <v>37683383734654</v>
      </c>
      <c r="F6678" s="8">
        <v>1150</v>
      </c>
      <c r="G6678" s="8">
        <v>7550</v>
      </c>
      <c r="H6678" s="8">
        <v>1043</v>
      </c>
      <c r="I6678" s="8">
        <v>4279</v>
      </c>
    </row>
    <row r="6679" spans="1:9" x14ac:dyDescent="0.2">
      <c r="A6679" t="s">
        <v>1281</v>
      </c>
      <c r="B6679" t="s">
        <v>1423</v>
      </c>
      <c r="C6679" t="str">
        <f t="shared" si="323"/>
        <v>37683380000000</v>
      </c>
      <c r="D6679" t="s">
        <v>5631</v>
      </c>
      <c r="E6679" t="str">
        <f>"37683386040174"</f>
        <v>37683386040174</v>
      </c>
      <c r="F6679" s="8">
        <v>679</v>
      </c>
      <c r="G6679" s="8">
        <v>8006</v>
      </c>
      <c r="H6679" s="8">
        <v>1043</v>
      </c>
      <c r="I6679" s="8">
        <v>4279</v>
      </c>
    </row>
    <row r="6680" spans="1:9" x14ac:dyDescent="0.2">
      <c r="A6680" t="s">
        <v>1281</v>
      </c>
      <c r="B6680" t="s">
        <v>1423</v>
      </c>
      <c r="C6680" t="str">
        <f t="shared" si="323"/>
        <v>37683380000000</v>
      </c>
      <c r="D6680" t="s">
        <v>7798</v>
      </c>
      <c r="E6680" t="str">
        <f>"37683383732997"</f>
        <v>37683383732997</v>
      </c>
      <c r="F6680" s="8">
        <v>1223</v>
      </c>
      <c r="G6680" s="8">
        <v>7461</v>
      </c>
      <c r="H6680" s="8">
        <v>1043</v>
      </c>
      <c r="I6680" s="8">
        <v>4279</v>
      </c>
    </row>
    <row r="6681" spans="1:9" x14ac:dyDescent="0.2">
      <c r="A6681" t="s">
        <v>1281</v>
      </c>
      <c r="B6681" t="s">
        <v>1423</v>
      </c>
      <c r="C6681" t="str">
        <f t="shared" si="323"/>
        <v>37683380000000</v>
      </c>
      <c r="D6681" t="s">
        <v>7799</v>
      </c>
      <c r="E6681" t="str">
        <f>"37683386039903"</f>
        <v>37683386039903</v>
      </c>
      <c r="F6681" s="8">
        <v>605</v>
      </c>
      <c r="G6681" s="8">
        <v>8040</v>
      </c>
      <c r="H6681" s="8">
        <v>1043</v>
      </c>
      <c r="I6681" s="8">
        <v>4279</v>
      </c>
    </row>
    <row r="6682" spans="1:9" x14ac:dyDescent="0.2">
      <c r="A6682" t="s">
        <v>1281</v>
      </c>
      <c r="B6682" t="s">
        <v>1423</v>
      </c>
      <c r="C6682" t="str">
        <f t="shared" si="323"/>
        <v>37683380000000</v>
      </c>
      <c r="D6682" t="s">
        <v>7800</v>
      </c>
      <c r="E6682" t="str">
        <f>"37683386069116"</f>
        <v>37683386069116</v>
      </c>
      <c r="F6682" s="8">
        <v>770</v>
      </c>
      <c r="G6682" s="8">
        <v>7873</v>
      </c>
      <c r="H6682" s="8">
        <v>1043</v>
      </c>
      <c r="I6682" s="8">
        <v>4279</v>
      </c>
    </row>
    <row r="6683" spans="1:9" x14ac:dyDescent="0.2">
      <c r="A6683" t="s">
        <v>1281</v>
      </c>
      <c r="B6683" t="s">
        <v>1423</v>
      </c>
      <c r="C6683" t="str">
        <f t="shared" si="323"/>
        <v>37683380000000</v>
      </c>
      <c r="D6683" t="s">
        <v>7801</v>
      </c>
      <c r="E6683" t="str">
        <f>"37683386040299"</f>
        <v>37683386040299</v>
      </c>
      <c r="F6683" s="8">
        <v>1059</v>
      </c>
      <c r="G6683" s="8">
        <v>7562</v>
      </c>
      <c r="H6683" s="8">
        <v>1043</v>
      </c>
      <c r="I6683" s="8">
        <v>4279</v>
      </c>
    </row>
    <row r="6684" spans="1:9" x14ac:dyDescent="0.2">
      <c r="A6684" t="s">
        <v>1281</v>
      </c>
      <c r="B6684" t="s">
        <v>1423</v>
      </c>
      <c r="C6684" t="str">
        <f t="shared" si="323"/>
        <v>37683380000000</v>
      </c>
      <c r="D6684" t="s">
        <v>7802</v>
      </c>
      <c r="E6684" t="str">
        <f>"37683386061972"</f>
        <v>37683386061972</v>
      </c>
      <c r="F6684" s="8">
        <v>502</v>
      </c>
      <c r="G6684" s="8">
        <v>8116</v>
      </c>
      <c r="H6684" s="8">
        <v>1043</v>
      </c>
      <c r="I6684" s="8">
        <v>4279</v>
      </c>
    </row>
    <row r="6685" spans="1:9" x14ac:dyDescent="0.2">
      <c r="A6685" t="s">
        <v>1281</v>
      </c>
      <c r="B6685" t="s">
        <v>1423</v>
      </c>
      <c r="C6685" t="str">
        <f t="shared" si="323"/>
        <v>37683380000000</v>
      </c>
      <c r="D6685" t="s">
        <v>4021</v>
      </c>
      <c r="E6685" t="str">
        <f>"37683386039747"</f>
        <v>37683386039747</v>
      </c>
      <c r="F6685" s="8">
        <v>1077</v>
      </c>
      <c r="G6685" s="8">
        <v>7526</v>
      </c>
      <c r="H6685" s="8">
        <v>1043</v>
      </c>
      <c r="I6685" s="8">
        <v>4279</v>
      </c>
    </row>
    <row r="6686" spans="1:9" x14ac:dyDescent="0.2">
      <c r="A6686" t="s">
        <v>1281</v>
      </c>
      <c r="B6686" t="s">
        <v>1423</v>
      </c>
      <c r="C6686" t="str">
        <f t="shared" si="323"/>
        <v>37683380000000</v>
      </c>
      <c r="D6686" t="s">
        <v>7803</v>
      </c>
      <c r="E6686" t="str">
        <f>"37683383730751"</f>
        <v>37683383730751</v>
      </c>
      <c r="F6686" s="8">
        <v>171</v>
      </c>
      <c r="G6686" s="8">
        <v>8363</v>
      </c>
      <c r="H6686" s="8">
        <v>1043</v>
      </c>
      <c r="I6686" s="8">
        <v>4279</v>
      </c>
    </row>
    <row r="6687" spans="1:9" x14ac:dyDescent="0.2">
      <c r="A6687" t="s">
        <v>1281</v>
      </c>
      <c r="B6687" t="s">
        <v>1423</v>
      </c>
      <c r="C6687" t="str">
        <f t="shared" si="323"/>
        <v>37683380000000</v>
      </c>
      <c r="D6687" t="s">
        <v>7804</v>
      </c>
      <c r="E6687" t="str">
        <f>"37683380107094"</f>
        <v>37683380107094</v>
      </c>
      <c r="F6687" s="8">
        <v>1164</v>
      </c>
      <c r="G6687" s="8">
        <v>7352</v>
      </c>
      <c r="H6687" s="8">
        <v>1043</v>
      </c>
      <c r="I6687" s="8">
        <v>4279</v>
      </c>
    </row>
    <row r="6688" spans="1:9" x14ac:dyDescent="0.2">
      <c r="A6688" t="s">
        <v>1281</v>
      </c>
      <c r="B6688" t="s">
        <v>1423</v>
      </c>
      <c r="C6688" t="str">
        <f t="shared" si="323"/>
        <v>37683380000000</v>
      </c>
      <c r="D6688" t="s">
        <v>7805</v>
      </c>
      <c r="E6688" t="str">
        <f>"37683386096598"</f>
        <v>37683386096598</v>
      </c>
      <c r="F6688" s="8">
        <v>683</v>
      </c>
      <c r="G6688" s="8">
        <v>7812</v>
      </c>
      <c r="H6688" s="8">
        <v>1043</v>
      </c>
      <c r="I6688" s="8">
        <v>4279</v>
      </c>
    </row>
    <row r="6689" spans="1:9" x14ac:dyDescent="0.2">
      <c r="A6689" t="s">
        <v>1281</v>
      </c>
      <c r="B6689" t="s">
        <v>1423</v>
      </c>
      <c r="C6689" t="str">
        <f t="shared" si="323"/>
        <v>37683380000000</v>
      </c>
      <c r="D6689" t="s">
        <v>7806</v>
      </c>
      <c r="E6689" t="str">
        <f>"37683386040232"</f>
        <v>37683386040232</v>
      </c>
      <c r="F6689" s="8">
        <v>464</v>
      </c>
      <c r="G6689" s="8">
        <v>8021</v>
      </c>
      <c r="H6689" s="8">
        <v>1043</v>
      </c>
      <c r="I6689" s="8">
        <v>4279</v>
      </c>
    </row>
    <row r="6690" spans="1:9" x14ac:dyDescent="0.2">
      <c r="A6690" t="s">
        <v>1281</v>
      </c>
      <c r="B6690" t="s">
        <v>1423</v>
      </c>
      <c r="C6690" t="str">
        <f t="shared" si="323"/>
        <v>37683380000000</v>
      </c>
      <c r="D6690" t="s">
        <v>7807</v>
      </c>
      <c r="E6690" t="str">
        <f>"37683380107219"</f>
        <v>37683380107219</v>
      </c>
      <c r="F6690" s="8">
        <v>1135</v>
      </c>
      <c r="G6690" s="8">
        <v>7286</v>
      </c>
      <c r="H6690" s="8">
        <v>1043</v>
      </c>
      <c r="I6690" s="8">
        <v>4279</v>
      </c>
    </row>
    <row r="6691" spans="1:9" x14ac:dyDescent="0.2">
      <c r="A6691" t="s">
        <v>1281</v>
      </c>
      <c r="B6691" t="s">
        <v>1423</v>
      </c>
      <c r="C6691" t="str">
        <f t="shared" si="323"/>
        <v>37683380000000</v>
      </c>
      <c r="D6691" t="s">
        <v>2653</v>
      </c>
      <c r="E6691" t="str">
        <f>"37683386099089"</f>
        <v>37683386099089</v>
      </c>
      <c r="F6691" s="8">
        <v>813</v>
      </c>
      <c r="G6691" s="8">
        <v>7553</v>
      </c>
      <c r="H6691" s="8">
        <v>1043</v>
      </c>
      <c r="I6691" s="8">
        <v>4279</v>
      </c>
    </row>
    <row r="6692" spans="1:9" x14ac:dyDescent="0.2">
      <c r="A6692" t="s">
        <v>1281</v>
      </c>
      <c r="B6692" t="s">
        <v>1423</v>
      </c>
      <c r="C6692" t="str">
        <f t="shared" si="323"/>
        <v>37683380000000</v>
      </c>
      <c r="D6692" t="s">
        <v>7808</v>
      </c>
      <c r="E6692" t="str">
        <f>"37683386039200"</f>
        <v>37683386039200</v>
      </c>
      <c r="F6692" s="8">
        <v>1027</v>
      </c>
      <c r="G6692" s="8">
        <v>7305</v>
      </c>
      <c r="H6692" s="8">
        <v>1043</v>
      </c>
      <c r="I6692" s="8">
        <v>4279</v>
      </c>
    </row>
    <row r="6693" spans="1:9" x14ac:dyDescent="0.2">
      <c r="A6693" t="s">
        <v>1281</v>
      </c>
      <c r="B6693" t="s">
        <v>1423</v>
      </c>
      <c r="C6693" t="str">
        <f t="shared" si="323"/>
        <v>37683380000000</v>
      </c>
      <c r="D6693" t="s">
        <v>7809</v>
      </c>
      <c r="E6693" t="str">
        <f>"37683386039648"</f>
        <v>37683386039648</v>
      </c>
      <c r="F6693" s="8">
        <v>657</v>
      </c>
      <c r="G6693" s="8">
        <v>7665</v>
      </c>
      <c r="H6693" s="8">
        <v>1043</v>
      </c>
      <c r="I6693" s="8">
        <v>4279</v>
      </c>
    </row>
    <row r="6694" spans="1:9" x14ac:dyDescent="0.2">
      <c r="A6694" t="s">
        <v>1281</v>
      </c>
      <c r="B6694" t="s">
        <v>1423</v>
      </c>
      <c r="C6694" t="str">
        <f t="shared" si="323"/>
        <v>37683380000000</v>
      </c>
      <c r="D6694" t="s">
        <v>7810</v>
      </c>
      <c r="E6694" t="str">
        <f>"37683386099071"</f>
        <v>37683386099071</v>
      </c>
      <c r="F6694" s="8">
        <v>824</v>
      </c>
      <c r="G6694" s="8">
        <v>7450</v>
      </c>
      <c r="H6694" s="8">
        <v>1043</v>
      </c>
      <c r="I6694" s="8">
        <v>4279</v>
      </c>
    </row>
    <row r="6695" spans="1:9" x14ac:dyDescent="0.2">
      <c r="A6695" t="s">
        <v>1281</v>
      </c>
      <c r="B6695" t="s">
        <v>1423</v>
      </c>
      <c r="C6695" t="str">
        <f t="shared" si="323"/>
        <v>37683380000000</v>
      </c>
      <c r="D6695" t="s">
        <v>7811</v>
      </c>
      <c r="E6695" t="str">
        <f>"37683386039440"</f>
        <v>37683386039440</v>
      </c>
      <c r="F6695" s="8">
        <v>574</v>
      </c>
      <c r="G6695" s="8">
        <v>7682</v>
      </c>
      <c r="H6695" s="8">
        <v>1043</v>
      </c>
      <c r="I6695" s="8">
        <v>4279</v>
      </c>
    </row>
    <row r="6696" spans="1:9" x14ac:dyDescent="0.2">
      <c r="A6696" t="s">
        <v>1281</v>
      </c>
      <c r="B6696" t="s">
        <v>1423</v>
      </c>
      <c r="C6696" t="str">
        <f t="shared" ref="C6696:C6711" si="324">"37683380000000"</f>
        <v>37683380000000</v>
      </c>
      <c r="D6696" t="s">
        <v>7812</v>
      </c>
      <c r="E6696" t="str">
        <f>"37683383733508"</f>
        <v>37683383733508</v>
      </c>
      <c r="F6696" s="8">
        <v>454</v>
      </c>
      <c r="G6696" s="8">
        <v>7709</v>
      </c>
      <c r="H6696" s="8">
        <v>1043</v>
      </c>
      <c r="I6696" s="8">
        <v>4279</v>
      </c>
    </row>
    <row r="6697" spans="1:9" x14ac:dyDescent="0.2">
      <c r="A6697" t="s">
        <v>1281</v>
      </c>
      <c r="B6697" t="s">
        <v>1423</v>
      </c>
      <c r="C6697" t="str">
        <f t="shared" si="324"/>
        <v>37683380000000</v>
      </c>
      <c r="D6697" t="s">
        <v>7813</v>
      </c>
      <c r="E6697" t="str">
        <f>"37683386039911"</f>
        <v>37683386039911</v>
      </c>
      <c r="F6697" s="8">
        <v>573</v>
      </c>
      <c r="G6697" s="8">
        <v>7533</v>
      </c>
      <c r="H6697" s="8">
        <v>1043</v>
      </c>
      <c r="I6697" s="8">
        <v>4279</v>
      </c>
    </row>
    <row r="6698" spans="1:9" x14ac:dyDescent="0.2">
      <c r="A6698" t="s">
        <v>1281</v>
      </c>
      <c r="B6698" t="s">
        <v>1423</v>
      </c>
      <c r="C6698" t="str">
        <f t="shared" si="324"/>
        <v>37683380000000</v>
      </c>
      <c r="D6698" t="s">
        <v>7814</v>
      </c>
      <c r="E6698" t="str">
        <f>"37683386096051"</f>
        <v>37683386096051</v>
      </c>
      <c r="F6698" s="8">
        <v>958</v>
      </c>
      <c r="G6698" s="8">
        <v>7131</v>
      </c>
      <c r="H6698" s="8">
        <v>1043</v>
      </c>
      <c r="I6698" s="8">
        <v>4279</v>
      </c>
    </row>
    <row r="6699" spans="1:9" x14ac:dyDescent="0.2">
      <c r="A6699" t="s">
        <v>1281</v>
      </c>
      <c r="B6699" t="s">
        <v>1423</v>
      </c>
      <c r="C6699" t="str">
        <f t="shared" si="324"/>
        <v>37683380000000</v>
      </c>
      <c r="D6699" t="s">
        <v>7815</v>
      </c>
      <c r="E6699" t="str">
        <f>"37683386119135"</f>
        <v>37683386119135</v>
      </c>
      <c r="F6699" s="8">
        <v>485</v>
      </c>
      <c r="G6699" s="8">
        <v>7578</v>
      </c>
      <c r="H6699" s="8">
        <v>1043</v>
      </c>
      <c r="I6699" s="8">
        <v>4279</v>
      </c>
    </row>
    <row r="6700" spans="1:9" x14ac:dyDescent="0.2">
      <c r="A6700" t="s">
        <v>1281</v>
      </c>
      <c r="B6700" t="s">
        <v>1423</v>
      </c>
      <c r="C6700" t="str">
        <f t="shared" si="324"/>
        <v>37683380000000</v>
      </c>
      <c r="D6700" t="s">
        <v>7816</v>
      </c>
      <c r="E6700" t="str">
        <f>"37683380107086"</f>
        <v>37683380107086</v>
      </c>
      <c r="F6700" s="8">
        <v>1260</v>
      </c>
      <c r="G6700" s="8">
        <v>6788</v>
      </c>
      <c r="H6700" s="8">
        <v>1043</v>
      </c>
      <c r="I6700" s="8">
        <v>4279</v>
      </c>
    </row>
    <row r="6701" spans="1:9" x14ac:dyDescent="0.2">
      <c r="A6701" t="s">
        <v>1281</v>
      </c>
      <c r="B6701" t="s">
        <v>1423</v>
      </c>
      <c r="C6701" t="str">
        <f t="shared" si="324"/>
        <v>37683380000000</v>
      </c>
      <c r="D6701" t="s">
        <v>7817</v>
      </c>
      <c r="E6701" t="str">
        <f>"37683383735750"</f>
        <v>37683383735750</v>
      </c>
      <c r="F6701" s="8">
        <v>570</v>
      </c>
      <c r="G6701" s="8">
        <v>7397</v>
      </c>
      <c r="H6701" s="8">
        <v>1043</v>
      </c>
      <c r="I6701" s="8">
        <v>4279</v>
      </c>
    </row>
    <row r="6702" spans="1:9" x14ac:dyDescent="0.2">
      <c r="A6702" t="s">
        <v>1281</v>
      </c>
      <c r="B6702" t="s">
        <v>1423</v>
      </c>
      <c r="C6702" t="str">
        <f t="shared" si="324"/>
        <v>37683380000000</v>
      </c>
      <c r="D6702" t="s">
        <v>7818</v>
      </c>
      <c r="E6702" t="str">
        <f>"37683380107078"</f>
        <v>37683380107078</v>
      </c>
      <c r="F6702" s="8">
        <v>823</v>
      </c>
      <c r="G6702" s="8">
        <v>7058</v>
      </c>
      <c r="H6702" s="8">
        <v>1043</v>
      </c>
      <c r="I6702" s="8">
        <v>4279</v>
      </c>
    </row>
    <row r="6703" spans="1:9" x14ac:dyDescent="0.2">
      <c r="A6703" t="s">
        <v>1281</v>
      </c>
      <c r="B6703" t="s">
        <v>1423</v>
      </c>
      <c r="C6703" t="str">
        <f t="shared" si="324"/>
        <v>37683380000000</v>
      </c>
      <c r="D6703" t="s">
        <v>7819</v>
      </c>
      <c r="E6703" t="str">
        <f>"37683383730173"</f>
        <v>37683383730173</v>
      </c>
      <c r="F6703" s="8">
        <v>786</v>
      </c>
      <c r="G6703" s="8">
        <v>7007</v>
      </c>
      <c r="H6703" s="8">
        <v>1043</v>
      </c>
      <c r="I6703" s="8">
        <v>4279</v>
      </c>
    </row>
    <row r="6704" spans="1:9" x14ac:dyDescent="0.2">
      <c r="A6704" t="s">
        <v>1281</v>
      </c>
      <c r="B6704" t="s">
        <v>1423</v>
      </c>
      <c r="C6704" t="str">
        <f t="shared" si="324"/>
        <v>37683380000000</v>
      </c>
      <c r="D6704" t="s">
        <v>7820</v>
      </c>
      <c r="E6704" t="str">
        <f>"37683383730181"</f>
        <v>37683383730181</v>
      </c>
      <c r="F6704" s="8">
        <v>656</v>
      </c>
      <c r="G6704" s="8">
        <v>7051</v>
      </c>
      <c r="H6704" s="8">
        <v>1043</v>
      </c>
      <c r="I6704" s="8">
        <v>4279</v>
      </c>
    </row>
    <row r="6705" spans="1:9" x14ac:dyDescent="0.2">
      <c r="A6705" t="s">
        <v>1281</v>
      </c>
      <c r="B6705" t="s">
        <v>1423</v>
      </c>
      <c r="C6705" t="str">
        <f t="shared" si="324"/>
        <v>37683380000000</v>
      </c>
      <c r="D6705" t="s">
        <v>7821</v>
      </c>
      <c r="E6705" t="str">
        <f>"37683383730371"</f>
        <v>37683383730371</v>
      </c>
      <c r="F6705" s="8">
        <v>783</v>
      </c>
      <c r="G6705" s="8">
        <v>6923</v>
      </c>
      <c r="H6705" s="8">
        <v>1043</v>
      </c>
      <c r="I6705" s="8">
        <v>4279</v>
      </c>
    </row>
    <row r="6706" spans="1:9" x14ac:dyDescent="0.2">
      <c r="A6706" t="s">
        <v>1281</v>
      </c>
      <c r="B6706" t="s">
        <v>1423</v>
      </c>
      <c r="C6706" t="str">
        <f t="shared" si="324"/>
        <v>37683380000000</v>
      </c>
      <c r="D6706" t="s">
        <v>5016</v>
      </c>
      <c r="E6706" t="str">
        <f>"37683386115331"</f>
        <v>37683386115331</v>
      </c>
      <c r="F6706" s="8">
        <v>672</v>
      </c>
      <c r="G6706" s="8">
        <v>6930</v>
      </c>
      <c r="H6706" s="8">
        <v>1043</v>
      </c>
      <c r="I6706" s="8">
        <v>4279</v>
      </c>
    </row>
    <row r="6707" spans="1:9" x14ac:dyDescent="0.2">
      <c r="A6707" t="s">
        <v>1281</v>
      </c>
      <c r="B6707" t="s">
        <v>1423</v>
      </c>
      <c r="C6707" t="str">
        <f t="shared" si="324"/>
        <v>37683380000000</v>
      </c>
      <c r="D6707" t="s">
        <v>7822</v>
      </c>
      <c r="E6707" t="str">
        <f>"37683383732781"</f>
        <v>37683383732781</v>
      </c>
      <c r="F6707" s="8">
        <v>589</v>
      </c>
      <c r="G6707" s="8">
        <v>6947</v>
      </c>
      <c r="H6707" s="8">
        <v>1043</v>
      </c>
      <c r="I6707" s="8">
        <v>4279</v>
      </c>
    </row>
    <row r="6708" spans="1:9" x14ac:dyDescent="0.2">
      <c r="A6708" t="s">
        <v>1281</v>
      </c>
      <c r="B6708" t="s">
        <v>1423</v>
      </c>
      <c r="C6708" t="str">
        <f t="shared" si="324"/>
        <v>37683380000000</v>
      </c>
      <c r="D6708" t="s">
        <v>7823</v>
      </c>
      <c r="E6708" t="str">
        <f>"37683383730314"</f>
        <v>37683383730314</v>
      </c>
      <c r="F6708" s="8">
        <v>656</v>
      </c>
      <c r="G6708" s="8">
        <v>6749</v>
      </c>
      <c r="H6708" s="8">
        <v>1043</v>
      </c>
      <c r="I6708" s="8">
        <v>4279</v>
      </c>
    </row>
    <row r="6709" spans="1:9" x14ac:dyDescent="0.2">
      <c r="A6709" t="s">
        <v>1281</v>
      </c>
      <c r="B6709" t="s">
        <v>1423</v>
      </c>
      <c r="C6709" t="str">
        <f t="shared" si="324"/>
        <v>37683380000000</v>
      </c>
      <c r="D6709" t="s">
        <v>7824</v>
      </c>
      <c r="E6709" t="str">
        <f>"37683386039184"</f>
        <v>37683386039184</v>
      </c>
      <c r="F6709" s="8">
        <v>598</v>
      </c>
      <c r="G6709" s="8">
        <v>6601</v>
      </c>
      <c r="H6709" s="8">
        <v>1043</v>
      </c>
      <c r="I6709" s="8">
        <v>4279</v>
      </c>
    </row>
    <row r="6710" spans="1:9" x14ac:dyDescent="0.2">
      <c r="A6710" t="s">
        <v>1281</v>
      </c>
      <c r="B6710" t="s">
        <v>1423</v>
      </c>
      <c r="C6710" t="str">
        <f t="shared" si="324"/>
        <v>37683380000000</v>
      </c>
      <c r="D6710" t="s">
        <v>7825</v>
      </c>
      <c r="E6710" t="str">
        <f>"37683383730884"</f>
        <v>37683383730884</v>
      </c>
      <c r="F6710" s="8">
        <v>614</v>
      </c>
      <c r="G6710" s="8">
        <v>6399</v>
      </c>
      <c r="H6710" s="8">
        <v>1043</v>
      </c>
      <c r="I6710" s="8">
        <v>4279</v>
      </c>
    </row>
    <row r="6711" spans="1:9" x14ac:dyDescent="0.2">
      <c r="A6711" t="s">
        <v>1281</v>
      </c>
      <c r="B6711" t="s">
        <v>1423</v>
      </c>
      <c r="C6711" t="str">
        <f t="shared" si="324"/>
        <v>37683380000000</v>
      </c>
      <c r="D6711" t="s">
        <v>7826</v>
      </c>
      <c r="E6711" t="str">
        <f>"37683380107029"</f>
        <v>37683380107029</v>
      </c>
      <c r="F6711" s="8">
        <v>538</v>
      </c>
      <c r="G6711" s="8">
        <v>5848</v>
      </c>
      <c r="H6711" s="8">
        <v>1043</v>
      </c>
      <c r="I6711" s="8">
        <v>4279</v>
      </c>
    </row>
    <row r="6712" spans="1:9" x14ac:dyDescent="0.2">
      <c r="A6712" t="s">
        <v>1281</v>
      </c>
      <c r="B6712" t="s">
        <v>1426</v>
      </c>
      <c r="C6712" t="str">
        <f t="shared" ref="C6712:C6721" si="325">"37683460000000"</f>
        <v>37683460000000</v>
      </c>
      <c r="D6712" t="s">
        <v>7827</v>
      </c>
      <c r="E6712" t="str">
        <f>"37683463737384"</f>
        <v>37683463737384</v>
      </c>
      <c r="F6712" s="8">
        <v>2700</v>
      </c>
      <c r="G6712" s="8">
        <v>8963</v>
      </c>
      <c r="H6712" s="8">
        <v>738</v>
      </c>
      <c r="I6712" s="8">
        <v>4216</v>
      </c>
    </row>
    <row r="6713" spans="1:9" x14ac:dyDescent="0.2">
      <c r="A6713" t="s">
        <v>1281</v>
      </c>
      <c r="B6713" t="s">
        <v>1426</v>
      </c>
      <c r="C6713" t="str">
        <f t="shared" si="325"/>
        <v>37683460000000</v>
      </c>
      <c r="D6713" t="s">
        <v>7828</v>
      </c>
      <c r="E6713" t="str">
        <f>"37683466061998"</f>
        <v>37683466061998</v>
      </c>
      <c r="F6713" s="8">
        <v>293</v>
      </c>
      <c r="G6713" s="8">
        <v>8131</v>
      </c>
      <c r="H6713" s="8">
        <v>738</v>
      </c>
      <c r="I6713" s="8">
        <v>4216</v>
      </c>
    </row>
    <row r="6714" spans="1:9" x14ac:dyDescent="0.2">
      <c r="A6714" t="s">
        <v>1281</v>
      </c>
      <c r="B6714" t="s">
        <v>1426</v>
      </c>
      <c r="C6714" t="str">
        <f t="shared" si="325"/>
        <v>37683460000000</v>
      </c>
      <c r="D6714" t="s">
        <v>7829</v>
      </c>
      <c r="E6714" t="str">
        <f>"37683466104749"</f>
        <v>37683466104749</v>
      </c>
      <c r="F6714" s="8">
        <v>32</v>
      </c>
      <c r="G6714" s="8">
        <v>7493</v>
      </c>
      <c r="H6714" s="8">
        <v>738</v>
      </c>
      <c r="I6714" s="8">
        <v>4216</v>
      </c>
    </row>
    <row r="6715" spans="1:9" x14ac:dyDescent="0.2">
      <c r="A6715" t="s">
        <v>1281</v>
      </c>
      <c r="B6715" t="s">
        <v>1426</v>
      </c>
      <c r="C6715" t="str">
        <f t="shared" si="325"/>
        <v>37683460000000</v>
      </c>
      <c r="D6715" t="s">
        <v>7830</v>
      </c>
      <c r="E6715" t="str">
        <f>"37683463731007"</f>
        <v>37683463731007</v>
      </c>
      <c r="F6715" s="8">
        <v>16</v>
      </c>
      <c r="G6715" s="8">
        <v>7020</v>
      </c>
      <c r="H6715" s="8">
        <v>738</v>
      </c>
      <c r="I6715" s="8">
        <v>4216</v>
      </c>
    </row>
    <row r="6716" spans="1:9" x14ac:dyDescent="0.2">
      <c r="A6716" t="s">
        <v>1281</v>
      </c>
      <c r="B6716" t="s">
        <v>1426</v>
      </c>
      <c r="C6716" t="str">
        <f t="shared" si="325"/>
        <v>37683460000000</v>
      </c>
      <c r="D6716" t="s">
        <v>7831</v>
      </c>
      <c r="E6716" t="str">
        <f>"37683466117352"</f>
        <v>37683466117352</v>
      </c>
      <c r="F6716" s="8">
        <v>38</v>
      </c>
      <c r="G6716" s="8">
        <v>6946</v>
      </c>
      <c r="H6716" s="8">
        <v>738</v>
      </c>
      <c r="I6716" s="8">
        <v>4216</v>
      </c>
    </row>
    <row r="6717" spans="1:9" x14ac:dyDescent="0.2">
      <c r="A6717" t="s">
        <v>1281</v>
      </c>
      <c r="B6717" t="s">
        <v>1426</v>
      </c>
      <c r="C6717" t="str">
        <f t="shared" si="325"/>
        <v>37683460000000</v>
      </c>
      <c r="D6717" t="s">
        <v>7832</v>
      </c>
      <c r="E6717" t="str">
        <f>"37683466059737"</f>
        <v>37683466059737</v>
      </c>
      <c r="F6717" s="8">
        <v>304</v>
      </c>
      <c r="G6717" s="8">
        <v>6651</v>
      </c>
      <c r="H6717" s="8">
        <v>738</v>
      </c>
      <c r="I6717" s="8">
        <v>4216</v>
      </c>
    </row>
    <row r="6718" spans="1:9" x14ac:dyDescent="0.2">
      <c r="A6718" t="s">
        <v>1281</v>
      </c>
      <c r="B6718" t="s">
        <v>1426</v>
      </c>
      <c r="C6718" t="str">
        <f t="shared" si="325"/>
        <v>37683460000000</v>
      </c>
      <c r="D6718" t="s">
        <v>7833</v>
      </c>
      <c r="E6718" t="str">
        <f>"37683463737418"</f>
        <v>37683463737418</v>
      </c>
      <c r="F6718" s="8">
        <v>6</v>
      </c>
      <c r="G6718" s="8">
        <v>6942</v>
      </c>
      <c r="H6718" s="8">
        <v>738</v>
      </c>
      <c r="I6718" s="8">
        <v>4216</v>
      </c>
    </row>
    <row r="6719" spans="1:9" x14ac:dyDescent="0.2">
      <c r="A6719" t="s">
        <v>1281</v>
      </c>
      <c r="B6719" t="s">
        <v>1426</v>
      </c>
      <c r="C6719" t="str">
        <f t="shared" si="325"/>
        <v>37683460000000</v>
      </c>
      <c r="D6719" t="s">
        <v>7834</v>
      </c>
      <c r="E6719" t="str">
        <f>"37683463730033"</f>
        <v>37683463730033</v>
      </c>
      <c r="F6719" s="8">
        <v>1581</v>
      </c>
      <c r="G6719" s="8">
        <v>5224</v>
      </c>
      <c r="H6719" s="8">
        <v>738</v>
      </c>
      <c r="I6719" s="8">
        <v>4216</v>
      </c>
    </row>
    <row r="6720" spans="1:9" x14ac:dyDescent="0.2">
      <c r="A6720" t="s">
        <v>1281</v>
      </c>
      <c r="B6720" t="s">
        <v>1426</v>
      </c>
      <c r="C6720" t="str">
        <f t="shared" si="325"/>
        <v>37683460000000</v>
      </c>
      <c r="D6720" t="s">
        <v>7835</v>
      </c>
      <c r="E6720" t="str">
        <f>"37683460106328"</f>
        <v>37683460106328</v>
      </c>
      <c r="F6720" s="8">
        <v>13</v>
      </c>
      <c r="G6720" s="8">
        <v>6062</v>
      </c>
      <c r="H6720" s="8">
        <v>738</v>
      </c>
      <c r="I6720" s="8">
        <v>4216</v>
      </c>
    </row>
    <row r="6721" spans="1:9" x14ac:dyDescent="0.2">
      <c r="A6721" t="s">
        <v>1281</v>
      </c>
      <c r="B6721" t="s">
        <v>1426</v>
      </c>
      <c r="C6721" t="str">
        <f t="shared" si="325"/>
        <v>37683460000000</v>
      </c>
      <c r="D6721" t="s">
        <v>7836</v>
      </c>
      <c r="E6721" t="str">
        <f>"37683460131649"</f>
        <v>37683460131649</v>
      </c>
      <c r="F6721" s="8">
        <v>25</v>
      </c>
      <c r="G6721" s="8">
        <v>6008</v>
      </c>
      <c r="H6721" s="8">
        <v>738</v>
      </c>
      <c r="I6721" s="8">
        <v>4216</v>
      </c>
    </row>
    <row r="6722" spans="1:9" x14ac:dyDescent="0.2">
      <c r="A6722" t="s">
        <v>1281</v>
      </c>
      <c r="B6722" t="s">
        <v>1427</v>
      </c>
      <c r="C6722" t="str">
        <f t="shared" ref="C6722:C6740" si="326">"37737910000000"</f>
        <v>37737910000000</v>
      </c>
      <c r="D6722" t="s">
        <v>7837</v>
      </c>
      <c r="E6722" t="str">
        <f>"37737913730215"</f>
        <v>37737913730215</v>
      </c>
      <c r="F6722" s="8">
        <v>1254</v>
      </c>
      <c r="G6722" s="8">
        <v>22313</v>
      </c>
      <c r="H6722" s="8">
        <v>1945</v>
      </c>
      <c r="I6722" s="8">
        <v>7273</v>
      </c>
    </row>
    <row r="6723" spans="1:9" x14ac:dyDescent="0.2">
      <c r="A6723" t="s">
        <v>1281</v>
      </c>
      <c r="B6723" t="s">
        <v>1427</v>
      </c>
      <c r="C6723" t="str">
        <f t="shared" si="326"/>
        <v>37737910000000</v>
      </c>
      <c r="D6723" t="s">
        <v>6249</v>
      </c>
      <c r="E6723" t="str">
        <f>"37737916115349"</f>
        <v>37737916115349</v>
      </c>
      <c r="F6723" s="8">
        <v>615</v>
      </c>
      <c r="G6723" s="8">
        <v>11814</v>
      </c>
      <c r="H6723" s="8">
        <v>953</v>
      </c>
      <c r="I6723" s="8">
        <v>3851</v>
      </c>
    </row>
    <row r="6724" spans="1:9" x14ac:dyDescent="0.2">
      <c r="A6724" t="s">
        <v>1281</v>
      </c>
      <c r="B6724" t="s">
        <v>1427</v>
      </c>
      <c r="C6724" t="str">
        <f t="shared" si="326"/>
        <v>37737910000000</v>
      </c>
      <c r="D6724" t="s">
        <v>3289</v>
      </c>
      <c r="E6724" t="str">
        <f>"37737916114169"</f>
        <v>37737916114169</v>
      </c>
      <c r="F6724" s="8">
        <v>392</v>
      </c>
      <c r="G6724" s="8">
        <v>11212</v>
      </c>
      <c r="H6724" s="8">
        <v>608</v>
      </c>
      <c r="I6724" s="8">
        <v>3655</v>
      </c>
    </row>
    <row r="6725" spans="1:9" x14ac:dyDescent="0.2">
      <c r="A6725" t="s">
        <v>1281</v>
      </c>
      <c r="B6725" t="s">
        <v>1427</v>
      </c>
      <c r="C6725" t="str">
        <f t="shared" si="326"/>
        <v>37737910000000</v>
      </c>
      <c r="D6725" t="s">
        <v>7838</v>
      </c>
      <c r="E6725" t="str">
        <f>"37737916039077"</f>
        <v>37737916039077</v>
      </c>
      <c r="F6725" s="8">
        <v>548</v>
      </c>
      <c r="G6725" s="8">
        <v>10244</v>
      </c>
      <c r="H6725" s="8">
        <v>851</v>
      </c>
      <c r="I6725" s="8">
        <v>3339</v>
      </c>
    </row>
    <row r="6726" spans="1:9" x14ac:dyDescent="0.2">
      <c r="A6726" t="s">
        <v>1281</v>
      </c>
      <c r="B6726" t="s">
        <v>1427</v>
      </c>
      <c r="C6726" t="str">
        <f t="shared" si="326"/>
        <v>37737910000000</v>
      </c>
      <c r="D6726" t="s">
        <v>7839</v>
      </c>
      <c r="E6726" t="str">
        <f>"37737916039093"</f>
        <v>37737916039093</v>
      </c>
      <c r="F6726" s="8">
        <v>872</v>
      </c>
      <c r="G6726" s="8">
        <v>9389</v>
      </c>
      <c r="H6726" s="8">
        <v>1352</v>
      </c>
      <c r="I6726" s="8">
        <v>3060</v>
      </c>
    </row>
    <row r="6727" spans="1:9" x14ac:dyDescent="0.2">
      <c r="A6727" t="s">
        <v>1281</v>
      </c>
      <c r="B6727" t="s">
        <v>1427</v>
      </c>
      <c r="C6727" t="str">
        <f t="shared" si="326"/>
        <v>37737910000000</v>
      </c>
      <c r="D6727" t="s">
        <v>7840</v>
      </c>
      <c r="E6727" t="str">
        <f>"37737916105993"</f>
        <v>37737916105993</v>
      </c>
      <c r="F6727" s="8">
        <v>431</v>
      </c>
      <c r="G6727" s="8">
        <v>10156</v>
      </c>
      <c r="H6727" s="8">
        <v>669</v>
      </c>
      <c r="I6727" s="8">
        <v>3310</v>
      </c>
    </row>
    <row r="6728" spans="1:9" x14ac:dyDescent="0.2">
      <c r="A6728" t="s">
        <v>1281</v>
      </c>
      <c r="B6728" t="s">
        <v>1427</v>
      </c>
      <c r="C6728" t="str">
        <f t="shared" si="326"/>
        <v>37737910000000</v>
      </c>
      <c r="D6728" t="s">
        <v>7841</v>
      </c>
      <c r="E6728" t="str">
        <f>"37737916039069"</f>
        <v>37737916039069</v>
      </c>
      <c r="F6728" s="8">
        <v>835</v>
      </c>
      <c r="G6728" s="8">
        <v>8701</v>
      </c>
      <c r="H6728" s="8">
        <v>1295</v>
      </c>
      <c r="I6728" s="8">
        <v>2836</v>
      </c>
    </row>
    <row r="6729" spans="1:9" x14ac:dyDescent="0.2">
      <c r="A6729" t="s">
        <v>1281</v>
      </c>
      <c r="B6729" t="s">
        <v>1427</v>
      </c>
      <c r="C6729" t="str">
        <f t="shared" si="326"/>
        <v>37737910000000</v>
      </c>
      <c r="D6729" t="s">
        <v>7842</v>
      </c>
      <c r="E6729" t="str">
        <f>"37737916116206"</f>
        <v>37737916116206</v>
      </c>
      <c r="F6729" s="8">
        <v>422</v>
      </c>
      <c r="G6729" s="8">
        <v>9382</v>
      </c>
      <c r="H6729" s="8">
        <v>655</v>
      </c>
      <c r="I6729" s="8">
        <v>3058</v>
      </c>
    </row>
    <row r="6730" spans="1:9" x14ac:dyDescent="0.2">
      <c r="A6730" t="s">
        <v>1281</v>
      </c>
      <c r="B6730" t="s">
        <v>1427</v>
      </c>
      <c r="C6730" t="str">
        <f t="shared" si="326"/>
        <v>37737910000000</v>
      </c>
      <c r="D6730" t="s">
        <v>7843</v>
      </c>
      <c r="E6730" t="str">
        <f>"37737910116467"</f>
        <v>37737910116467</v>
      </c>
      <c r="F6730" s="8">
        <v>697</v>
      </c>
      <c r="G6730" s="8">
        <v>8844</v>
      </c>
      <c r="H6730" s="8">
        <v>1080</v>
      </c>
      <c r="I6730" s="8">
        <v>2883</v>
      </c>
    </row>
    <row r="6731" spans="1:9" x14ac:dyDescent="0.2">
      <c r="A6731" t="s">
        <v>1281</v>
      </c>
      <c r="B6731" t="s">
        <v>1427</v>
      </c>
      <c r="C6731" t="str">
        <f t="shared" si="326"/>
        <v>37737910000000</v>
      </c>
      <c r="D6731" t="s">
        <v>6644</v>
      </c>
      <c r="E6731" t="str">
        <f>"37737916108872"</f>
        <v>37737916108872</v>
      </c>
      <c r="F6731" s="8">
        <v>456</v>
      </c>
      <c r="G6731" s="8">
        <v>9306</v>
      </c>
      <c r="H6731" s="8">
        <v>708</v>
      </c>
      <c r="I6731" s="8">
        <v>3033</v>
      </c>
    </row>
    <row r="6732" spans="1:9" x14ac:dyDescent="0.2">
      <c r="A6732" t="s">
        <v>1281</v>
      </c>
      <c r="B6732" t="s">
        <v>1427</v>
      </c>
      <c r="C6732" t="str">
        <f t="shared" si="326"/>
        <v>37737910000000</v>
      </c>
      <c r="D6732" t="s">
        <v>7844</v>
      </c>
      <c r="E6732" t="str">
        <f>"37737916107148"</f>
        <v>37737916107148</v>
      </c>
      <c r="F6732" s="8">
        <v>581</v>
      </c>
      <c r="G6732" s="8">
        <v>8790</v>
      </c>
      <c r="H6732" s="8">
        <v>901</v>
      </c>
      <c r="I6732" s="8">
        <v>2865</v>
      </c>
    </row>
    <row r="6733" spans="1:9" x14ac:dyDescent="0.2">
      <c r="A6733" t="s">
        <v>1281</v>
      </c>
      <c r="B6733" t="s">
        <v>1427</v>
      </c>
      <c r="C6733" t="str">
        <f t="shared" si="326"/>
        <v>37737910000000</v>
      </c>
      <c r="D6733" t="s">
        <v>7845</v>
      </c>
      <c r="E6733" t="str">
        <f>"37737916039085"</f>
        <v>37737916039085</v>
      </c>
      <c r="F6733" s="8">
        <v>810</v>
      </c>
      <c r="G6733" s="8">
        <v>8264</v>
      </c>
      <c r="H6733" s="8">
        <v>1256</v>
      </c>
      <c r="I6733" s="8">
        <v>2694</v>
      </c>
    </row>
    <row r="6734" spans="1:9" x14ac:dyDescent="0.2">
      <c r="A6734" t="s">
        <v>1281</v>
      </c>
      <c r="B6734" t="s">
        <v>1427</v>
      </c>
      <c r="C6734" t="str">
        <f t="shared" si="326"/>
        <v>37737910000000</v>
      </c>
      <c r="D6734" t="s">
        <v>7846</v>
      </c>
      <c r="E6734" t="str">
        <f>"37737910111468"</f>
        <v>37737910111468</v>
      </c>
      <c r="F6734" s="8">
        <v>392</v>
      </c>
      <c r="G6734" s="8">
        <v>8937</v>
      </c>
      <c r="H6734" s="8">
        <v>608</v>
      </c>
      <c r="I6734" s="8">
        <v>2913</v>
      </c>
    </row>
    <row r="6735" spans="1:9" x14ac:dyDescent="0.2">
      <c r="A6735" t="s">
        <v>1281</v>
      </c>
      <c r="B6735" t="s">
        <v>1427</v>
      </c>
      <c r="C6735" t="str">
        <f t="shared" si="326"/>
        <v>37737910000000</v>
      </c>
      <c r="D6735" t="s">
        <v>7847</v>
      </c>
      <c r="E6735" t="str">
        <f>"37737910131433"</f>
        <v>37737910131433</v>
      </c>
      <c r="F6735" s="8">
        <v>444</v>
      </c>
      <c r="G6735" s="8">
        <v>8789</v>
      </c>
      <c r="H6735" s="8">
        <v>688</v>
      </c>
      <c r="I6735" s="8">
        <v>2865</v>
      </c>
    </row>
    <row r="6736" spans="1:9" x14ac:dyDescent="0.2">
      <c r="A6736" t="s">
        <v>1281</v>
      </c>
      <c r="B6736" t="s">
        <v>1427</v>
      </c>
      <c r="C6736" t="str">
        <f t="shared" si="326"/>
        <v>37737910000000</v>
      </c>
      <c r="D6736" t="s">
        <v>7848</v>
      </c>
      <c r="E6736" t="str">
        <f>"37737916095061"</f>
        <v>37737916095061</v>
      </c>
      <c r="F6736" s="8">
        <v>535</v>
      </c>
      <c r="G6736" s="8">
        <v>8114</v>
      </c>
      <c r="H6736" s="8">
        <v>829</v>
      </c>
      <c r="I6736" s="8">
        <v>2645</v>
      </c>
    </row>
    <row r="6737" spans="1:9" x14ac:dyDescent="0.2">
      <c r="A6737" t="s">
        <v>1281</v>
      </c>
      <c r="B6737" t="s">
        <v>1427</v>
      </c>
      <c r="C6737" t="str">
        <f t="shared" si="326"/>
        <v>37737910000000</v>
      </c>
      <c r="D6737" t="s">
        <v>7849</v>
      </c>
      <c r="E6737" t="str">
        <f>"37737910105684"</f>
        <v>37737910105684</v>
      </c>
      <c r="F6737" s="8">
        <v>433</v>
      </c>
      <c r="G6737" s="8">
        <v>7404</v>
      </c>
      <c r="H6737" s="8">
        <v>671</v>
      </c>
      <c r="I6737" s="8">
        <v>2413</v>
      </c>
    </row>
    <row r="6738" spans="1:9" x14ac:dyDescent="0.2">
      <c r="A6738" t="s">
        <v>1281</v>
      </c>
      <c r="B6738" t="s">
        <v>1427</v>
      </c>
      <c r="C6738" t="str">
        <f t="shared" si="326"/>
        <v>37737910000000</v>
      </c>
      <c r="D6738" t="s">
        <v>7850</v>
      </c>
      <c r="E6738" t="str">
        <f>"37737910105726"</f>
        <v>37737910105726</v>
      </c>
      <c r="F6738" s="8">
        <v>497</v>
      </c>
      <c r="G6738" s="8">
        <v>7068</v>
      </c>
      <c r="H6738" s="8">
        <v>770</v>
      </c>
      <c r="I6738" s="8">
        <v>2304</v>
      </c>
    </row>
    <row r="6739" spans="1:9" x14ac:dyDescent="0.2">
      <c r="A6739" t="s">
        <v>1281</v>
      </c>
      <c r="B6739" t="s">
        <v>1427</v>
      </c>
      <c r="C6739" t="str">
        <f t="shared" si="326"/>
        <v>37737910000000</v>
      </c>
      <c r="D6739" t="s">
        <v>7851</v>
      </c>
      <c r="E6739" t="str">
        <f>"37737913730793"</f>
        <v>37737913730793</v>
      </c>
      <c r="F6739" s="8">
        <v>3009</v>
      </c>
      <c r="G6739" s="8">
        <v>1935</v>
      </c>
      <c r="H6739" s="8">
        <v>4666</v>
      </c>
      <c r="I6739" s="8">
        <v>631</v>
      </c>
    </row>
    <row r="6740" spans="1:9" x14ac:dyDescent="0.2">
      <c r="A6740" t="s">
        <v>1281</v>
      </c>
      <c r="B6740" t="s">
        <v>1427</v>
      </c>
      <c r="C6740" t="str">
        <f t="shared" si="326"/>
        <v>37737910000000</v>
      </c>
      <c r="D6740" t="s">
        <v>7852</v>
      </c>
      <c r="E6740" t="str">
        <f>"37737913737632"</f>
        <v>37737913737632</v>
      </c>
      <c r="F6740" s="8">
        <v>463</v>
      </c>
      <c r="G6740" s="8">
        <v>6540</v>
      </c>
      <c r="H6740" s="8">
        <v>718</v>
      </c>
      <c r="I6740" s="8">
        <v>2132</v>
      </c>
    </row>
    <row r="6741" spans="1:9" x14ac:dyDescent="0.2">
      <c r="A6741" t="s">
        <v>1281</v>
      </c>
      <c r="B6741" t="s">
        <v>1428</v>
      </c>
      <c r="C6741" t="str">
        <f>"37683530000000"</f>
        <v>37683530000000</v>
      </c>
      <c r="D6741" t="s">
        <v>1428</v>
      </c>
      <c r="E6741" t="str">
        <f>"37683536040331"</f>
        <v>37683536040331</v>
      </c>
      <c r="F6741" s="8">
        <v>772</v>
      </c>
      <c r="G6741" s="8">
        <v>11259</v>
      </c>
      <c r="H6741" s="8">
        <v>0</v>
      </c>
      <c r="I6741" s="8">
        <v>0</v>
      </c>
    </row>
    <row r="6742" spans="1:9" x14ac:dyDescent="0.2">
      <c r="A6742" t="s">
        <v>1281</v>
      </c>
      <c r="B6742" t="s">
        <v>1429</v>
      </c>
      <c r="C6742" t="str">
        <f t="shared" ref="C6742:C6748" si="327">"37683790000000"</f>
        <v>37683790000000</v>
      </c>
      <c r="D6742" t="s">
        <v>7853</v>
      </c>
      <c r="E6742" t="str">
        <f>"37683796098453"</f>
        <v>37683796098453</v>
      </c>
      <c r="F6742" s="8">
        <v>561</v>
      </c>
      <c r="G6742" s="8">
        <v>7577</v>
      </c>
      <c r="H6742" s="8">
        <v>2009</v>
      </c>
      <c r="I6742" s="8">
        <v>5887</v>
      </c>
    </row>
    <row r="6743" spans="1:9" x14ac:dyDescent="0.2">
      <c r="A6743" t="s">
        <v>1281</v>
      </c>
      <c r="B6743" t="s">
        <v>1429</v>
      </c>
      <c r="C6743" t="str">
        <f t="shared" si="327"/>
        <v>37683790000000</v>
      </c>
      <c r="D6743" t="s">
        <v>7854</v>
      </c>
      <c r="E6743" t="str">
        <f>"37683796089007"</f>
        <v>37683796089007</v>
      </c>
      <c r="F6743" s="8">
        <v>862</v>
      </c>
      <c r="G6743" s="8">
        <v>6514</v>
      </c>
      <c r="H6743" s="8">
        <v>2009</v>
      </c>
      <c r="I6743" s="8">
        <v>5887</v>
      </c>
    </row>
    <row r="6744" spans="1:9" x14ac:dyDescent="0.2">
      <c r="A6744" t="s">
        <v>1281</v>
      </c>
      <c r="B6744" t="s">
        <v>1429</v>
      </c>
      <c r="C6744" t="str">
        <f t="shared" si="327"/>
        <v>37683790000000</v>
      </c>
      <c r="D6744" t="s">
        <v>2220</v>
      </c>
      <c r="E6744" t="str">
        <f>"37683796093264"</f>
        <v>37683796093264</v>
      </c>
      <c r="F6744" s="8">
        <v>634</v>
      </c>
      <c r="G6744" s="8">
        <v>6557</v>
      </c>
      <c r="H6744" s="8">
        <v>2009</v>
      </c>
      <c r="I6744" s="8">
        <v>5887</v>
      </c>
    </row>
    <row r="6745" spans="1:9" x14ac:dyDescent="0.2">
      <c r="A6745" t="s">
        <v>1281</v>
      </c>
      <c r="B6745" t="s">
        <v>1429</v>
      </c>
      <c r="C6745" t="str">
        <f t="shared" si="327"/>
        <v>37683790000000</v>
      </c>
      <c r="D6745" t="s">
        <v>3560</v>
      </c>
      <c r="E6745" t="str">
        <f>"37683790123000"</f>
        <v>37683790123000</v>
      </c>
      <c r="F6745" s="8">
        <v>601</v>
      </c>
      <c r="G6745" s="8">
        <v>6580</v>
      </c>
      <c r="H6745" s="8">
        <v>2009</v>
      </c>
      <c r="I6745" s="8">
        <v>5887</v>
      </c>
    </row>
    <row r="6746" spans="1:9" x14ac:dyDescent="0.2">
      <c r="A6746" t="s">
        <v>1281</v>
      </c>
      <c r="B6746" t="s">
        <v>1429</v>
      </c>
      <c r="C6746" t="str">
        <f t="shared" si="327"/>
        <v>37683790000000</v>
      </c>
      <c r="D6746" t="s">
        <v>7855</v>
      </c>
      <c r="E6746" t="str">
        <f>"37683790137737"</f>
        <v>37683790137737</v>
      </c>
      <c r="F6746" s="8">
        <v>506</v>
      </c>
      <c r="G6746" s="8">
        <v>6222</v>
      </c>
      <c r="H6746" s="8">
        <v>2009</v>
      </c>
      <c r="I6746" s="8">
        <v>5887</v>
      </c>
    </row>
    <row r="6747" spans="1:9" x14ac:dyDescent="0.2">
      <c r="A6747" t="s">
        <v>1281</v>
      </c>
      <c r="B6747" t="s">
        <v>1429</v>
      </c>
      <c r="C6747" t="str">
        <f t="shared" si="327"/>
        <v>37683790000000</v>
      </c>
      <c r="D6747" t="s">
        <v>7856</v>
      </c>
      <c r="E6747" t="str">
        <f>"37683796085146"</f>
        <v>37683796085146</v>
      </c>
      <c r="F6747" s="8">
        <v>644</v>
      </c>
      <c r="G6747" s="8">
        <v>5866</v>
      </c>
      <c r="H6747" s="8">
        <v>2009</v>
      </c>
      <c r="I6747" s="8">
        <v>5887</v>
      </c>
    </row>
    <row r="6748" spans="1:9" x14ac:dyDescent="0.2">
      <c r="A6748" t="s">
        <v>1281</v>
      </c>
      <c r="B6748" t="s">
        <v>1429</v>
      </c>
      <c r="C6748" t="str">
        <f t="shared" si="327"/>
        <v>37683790000000</v>
      </c>
      <c r="D6748" t="s">
        <v>7857</v>
      </c>
      <c r="E6748" t="str">
        <f>"37683796119341"</f>
        <v>37683796119341</v>
      </c>
      <c r="F6748" s="8">
        <v>537</v>
      </c>
      <c r="G6748" s="8">
        <v>5393</v>
      </c>
      <c r="H6748" s="8">
        <v>2009</v>
      </c>
      <c r="I6748" s="8">
        <v>5887</v>
      </c>
    </row>
    <row r="6749" spans="1:9" x14ac:dyDescent="0.2">
      <c r="A6749" t="s">
        <v>1281</v>
      </c>
      <c r="B6749" t="s">
        <v>1430</v>
      </c>
      <c r="C6749" t="str">
        <f t="shared" ref="C6749:C6759" si="328">"37683610000000"</f>
        <v>37683610000000</v>
      </c>
      <c r="D6749" t="s">
        <v>7858</v>
      </c>
      <c r="E6749" t="str">
        <f>"37683616120190"</f>
        <v>37683616120190</v>
      </c>
      <c r="F6749" s="8">
        <v>366</v>
      </c>
      <c r="G6749" s="8">
        <v>48906</v>
      </c>
      <c r="H6749" s="8">
        <v>932</v>
      </c>
      <c r="I6749" s="8">
        <v>4887</v>
      </c>
    </row>
    <row r="6750" spans="1:9" x14ac:dyDescent="0.2">
      <c r="A6750" t="s">
        <v>1281</v>
      </c>
      <c r="B6750" t="s">
        <v>1430</v>
      </c>
      <c r="C6750" t="str">
        <f t="shared" si="328"/>
        <v>37683610000000</v>
      </c>
      <c r="D6750" t="s">
        <v>7859</v>
      </c>
      <c r="E6750" t="str">
        <f>"37683616111041"</f>
        <v>37683616111041</v>
      </c>
      <c r="F6750" s="8">
        <v>366</v>
      </c>
      <c r="G6750" s="8">
        <v>6597</v>
      </c>
      <c r="H6750" s="8">
        <v>932</v>
      </c>
      <c r="I6750" s="8">
        <v>4887</v>
      </c>
    </row>
    <row r="6751" spans="1:9" x14ac:dyDescent="0.2">
      <c r="A6751" t="s">
        <v>1281</v>
      </c>
      <c r="B6751" t="s">
        <v>1430</v>
      </c>
      <c r="C6751" t="str">
        <f t="shared" si="328"/>
        <v>37683610000000</v>
      </c>
      <c r="D6751" t="s">
        <v>7860</v>
      </c>
      <c r="E6751" t="str">
        <f>"37683616040380"</f>
        <v>37683616040380</v>
      </c>
      <c r="F6751" s="8">
        <v>556</v>
      </c>
      <c r="G6751" s="8">
        <v>5817</v>
      </c>
      <c r="H6751" s="8">
        <v>932</v>
      </c>
      <c r="I6751" s="8">
        <v>4887</v>
      </c>
    </row>
    <row r="6752" spans="1:9" x14ac:dyDescent="0.2">
      <c r="A6752" t="s">
        <v>1281</v>
      </c>
      <c r="B6752" t="s">
        <v>1430</v>
      </c>
      <c r="C6752" t="str">
        <f t="shared" si="328"/>
        <v>37683610000000</v>
      </c>
      <c r="D6752" t="s">
        <v>7861</v>
      </c>
      <c r="E6752" t="str">
        <f>"37683616040406"</f>
        <v>37683616040406</v>
      </c>
      <c r="F6752" s="8">
        <v>400</v>
      </c>
      <c r="G6752" s="8">
        <v>5769</v>
      </c>
      <c r="H6752" s="8">
        <v>932</v>
      </c>
      <c r="I6752" s="8">
        <v>4887</v>
      </c>
    </row>
    <row r="6753" spans="1:9" x14ac:dyDescent="0.2">
      <c r="A6753" t="s">
        <v>1281</v>
      </c>
      <c r="B6753" t="s">
        <v>1430</v>
      </c>
      <c r="C6753" t="str">
        <f t="shared" si="328"/>
        <v>37683610000000</v>
      </c>
      <c r="D6753" t="s">
        <v>7862</v>
      </c>
      <c r="E6753" t="str">
        <f>"37683616040364"</f>
        <v>37683616040364</v>
      </c>
      <c r="F6753" s="8">
        <v>512</v>
      </c>
      <c r="G6753" s="8">
        <v>5570</v>
      </c>
      <c r="H6753" s="8">
        <v>932</v>
      </c>
      <c r="I6753" s="8">
        <v>4887</v>
      </c>
    </row>
    <row r="6754" spans="1:9" x14ac:dyDescent="0.2">
      <c r="A6754" t="s">
        <v>1281</v>
      </c>
      <c r="B6754" t="s">
        <v>1430</v>
      </c>
      <c r="C6754" t="str">
        <f t="shared" si="328"/>
        <v>37683610000000</v>
      </c>
      <c r="D6754" t="s">
        <v>7863</v>
      </c>
      <c r="E6754" t="str">
        <f>"37683616040372"</f>
        <v>37683616040372</v>
      </c>
      <c r="F6754" s="8">
        <v>586</v>
      </c>
      <c r="G6754" s="8">
        <v>5104</v>
      </c>
      <c r="H6754" s="8">
        <v>932</v>
      </c>
      <c r="I6754" s="8">
        <v>4887</v>
      </c>
    </row>
    <row r="6755" spans="1:9" x14ac:dyDescent="0.2">
      <c r="A6755" t="s">
        <v>1281</v>
      </c>
      <c r="B6755" t="s">
        <v>1430</v>
      </c>
      <c r="C6755" t="str">
        <f t="shared" si="328"/>
        <v>37683610000000</v>
      </c>
      <c r="D6755" t="s">
        <v>7864</v>
      </c>
      <c r="E6755" t="str">
        <f>"37683616040349"</f>
        <v>37683616040349</v>
      </c>
      <c r="F6755" s="8">
        <v>475</v>
      </c>
      <c r="G6755" s="8">
        <v>5169</v>
      </c>
      <c r="H6755" s="8">
        <v>932</v>
      </c>
      <c r="I6755" s="8">
        <v>4887</v>
      </c>
    </row>
    <row r="6756" spans="1:9" x14ac:dyDescent="0.2">
      <c r="A6756" t="s">
        <v>1281</v>
      </c>
      <c r="B6756" t="s">
        <v>1430</v>
      </c>
      <c r="C6756" t="str">
        <f t="shared" si="328"/>
        <v>37683610000000</v>
      </c>
      <c r="D6756" t="s">
        <v>7865</v>
      </c>
      <c r="E6756" t="str">
        <f>"37683616068159"</f>
        <v>37683616068159</v>
      </c>
      <c r="F6756" s="8">
        <v>391</v>
      </c>
      <c r="G6756" s="8">
        <v>5179</v>
      </c>
      <c r="H6756" s="8">
        <v>932</v>
      </c>
      <c r="I6756" s="8">
        <v>4887</v>
      </c>
    </row>
    <row r="6757" spans="1:9" x14ac:dyDescent="0.2">
      <c r="A6757" t="s">
        <v>1281</v>
      </c>
      <c r="B6757" t="s">
        <v>1430</v>
      </c>
      <c r="C6757" t="str">
        <f t="shared" si="328"/>
        <v>37683610000000</v>
      </c>
      <c r="D6757" t="s">
        <v>7866</v>
      </c>
      <c r="E6757" t="str">
        <f>"37683616085161"</f>
        <v>37683616085161</v>
      </c>
      <c r="F6757" s="8">
        <v>470</v>
      </c>
      <c r="G6757" s="8">
        <v>4925</v>
      </c>
      <c r="H6757" s="8">
        <v>932</v>
      </c>
      <c r="I6757" s="8">
        <v>4887</v>
      </c>
    </row>
    <row r="6758" spans="1:9" x14ac:dyDescent="0.2">
      <c r="A6758" t="s">
        <v>1281</v>
      </c>
      <c r="B6758" t="s">
        <v>1430</v>
      </c>
      <c r="C6758" t="str">
        <f t="shared" si="328"/>
        <v>37683610000000</v>
      </c>
      <c r="D6758" t="s">
        <v>7867</v>
      </c>
      <c r="E6758" t="str">
        <f>"37683616085153"</f>
        <v>37683616085153</v>
      </c>
      <c r="F6758" s="8">
        <v>392</v>
      </c>
      <c r="G6758" s="8">
        <v>4926</v>
      </c>
      <c r="H6758" s="8">
        <v>932</v>
      </c>
      <c r="I6758" s="8">
        <v>4887</v>
      </c>
    </row>
    <row r="6759" spans="1:9" x14ac:dyDescent="0.2">
      <c r="A6759" t="s">
        <v>1281</v>
      </c>
      <c r="B6759" t="s">
        <v>1430</v>
      </c>
      <c r="C6759" t="str">
        <f t="shared" si="328"/>
        <v>37683610000000</v>
      </c>
      <c r="D6759" t="s">
        <v>7868</v>
      </c>
      <c r="E6759" t="str">
        <f>"37683616040356"</f>
        <v>37683616040356</v>
      </c>
      <c r="F6759" s="8">
        <v>475</v>
      </c>
      <c r="G6759" s="8">
        <v>4622</v>
      </c>
      <c r="H6759" s="8">
        <v>932</v>
      </c>
      <c r="I6759" s="8">
        <v>4887</v>
      </c>
    </row>
    <row r="6760" spans="1:9" x14ac:dyDescent="0.2">
      <c r="A6760" t="s">
        <v>1281</v>
      </c>
      <c r="B6760" t="s">
        <v>1434</v>
      </c>
      <c r="C6760" t="str">
        <f t="shared" ref="C6760:C6766" si="329">"37683870000000"</f>
        <v>37683870000000</v>
      </c>
      <c r="D6760" t="s">
        <v>7869</v>
      </c>
      <c r="E6760" t="str">
        <f>"37683876070882"</f>
        <v>37683876070882</v>
      </c>
      <c r="F6760" s="8">
        <v>519</v>
      </c>
      <c r="G6760" s="8">
        <v>12870</v>
      </c>
      <c r="H6760" s="8">
        <v>1367</v>
      </c>
      <c r="I6760" s="8">
        <v>8331</v>
      </c>
    </row>
    <row r="6761" spans="1:9" x14ac:dyDescent="0.2">
      <c r="A6761" t="s">
        <v>1281</v>
      </c>
      <c r="B6761" t="s">
        <v>1434</v>
      </c>
      <c r="C6761" t="str">
        <f t="shared" si="329"/>
        <v>37683870000000</v>
      </c>
      <c r="D6761" t="s">
        <v>7870</v>
      </c>
      <c r="E6761" t="str">
        <f>"37683876111181"</f>
        <v>37683876111181</v>
      </c>
      <c r="F6761" s="8">
        <v>8</v>
      </c>
      <c r="G6761" s="8">
        <v>11232</v>
      </c>
      <c r="H6761" s="8">
        <v>1367</v>
      </c>
      <c r="I6761" s="8">
        <v>8331</v>
      </c>
    </row>
    <row r="6762" spans="1:9" x14ac:dyDescent="0.2">
      <c r="A6762" t="s">
        <v>1281</v>
      </c>
      <c r="B6762" t="s">
        <v>1434</v>
      </c>
      <c r="C6762" t="str">
        <f t="shared" si="329"/>
        <v>37683870000000</v>
      </c>
      <c r="D6762" t="s">
        <v>7871</v>
      </c>
      <c r="E6762" t="str">
        <f>"37683876112353"</f>
        <v>37683876112353</v>
      </c>
      <c r="F6762" s="8">
        <v>1</v>
      </c>
      <c r="G6762" s="8">
        <v>11193</v>
      </c>
      <c r="H6762" s="8">
        <v>1367</v>
      </c>
      <c r="I6762" s="8">
        <v>8331</v>
      </c>
    </row>
    <row r="6763" spans="1:9" x14ac:dyDescent="0.2">
      <c r="A6763" t="s">
        <v>1281</v>
      </c>
      <c r="B6763" t="s">
        <v>1434</v>
      </c>
      <c r="C6763" t="str">
        <f t="shared" si="329"/>
        <v>37683870000000</v>
      </c>
      <c r="D6763" t="s">
        <v>7872</v>
      </c>
      <c r="E6763" t="str">
        <f>"37683876106140"</f>
        <v>37683876106140</v>
      </c>
      <c r="F6763" s="8">
        <v>0</v>
      </c>
      <c r="G6763" s="8">
        <v>9735</v>
      </c>
      <c r="H6763" s="8">
        <v>1367</v>
      </c>
      <c r="I6763" s="8">
        <v>8331</v>
      </c>
    </row>
    <row r="6764" spans="1:9" x14ac:dyDescent="0.2">
      <c r="A6764" t="s">
        <v>1281</v>
      </c>
      <c r="B6764" t="s">
        <v>1434</v>
      </c>
      <c r="C6764" t="str">
        <f t="shared" si="329"/>
        <v>37683870000000</v>
      </c>
      <c r="D6764" t="s">
        <v>7873</v>
      </c>
      <c r="E6764" t="str">
        <f>"37683876040455"</f>
        <v>37683876040455</v>
      </c>
      <c r="F6764" s="8">
        <v>180</v>
      </c>
      <c r="G6764" s="8">
        <v>9422</v>
      </c>
      <c r="H6764" s="8">
        <v>1367</v>
      </c>
      <c r="I6764" s="8">
        <v>8331</v>
      </c>
    </row>
    <row r="6765" spans="1:9" x14ac:dyDescent="0.2">
      <c r="A6765" t="s">
        <v>1281</v>
      </c>
      <c r="B6765" t="s">
        <v>1434</v>
      </c>
      <c r="C6765" t="str">
        <f t="shared" si="329"/>
        <v>37683870000000</v>
      </c>
      <c r="D6765" t="s">
        <v>7874</v>
      </c>
      <c r="E6765" t="str">
        <f>"37683870129049"</f>
        <v>37683870129049</v>
      </c>
      <c r="F6765" s="8">
        <v>68</v>
      </c>
      <c r="G6765" s="8">
        <v>8399</v>
      </c>
      <c r="H6765" s="8">
        <v>1367</v>
      </c>
      <c r="I6765" s="8">
        <v>8331</v>
      </c>
    </row>
    <row r="6766" spans="1:9" x14ac:dyDescent="0.2">
      <c r="A6766" t="s">
        <v>1281</v>
      </c>
      <c r="B6766" t="s">
        <v>1434</v>
      </c>
      <c r="C6766" t="str">
        <f t="shared" si="329"/>
        <v>37683870000000</v>
      </c>
      <c r="D6766" t="s">
        <v>7875</v>
      </c>
      <c r="E6766" t="str">
        <f>"37683870105825"</f>
        <v>37683870105825</v>
      </c>
      <c r="F6766" s="8">
        <v>7</v>
      </c>
      <c r="G6766" s="8">
        <v>7329</v>
      </c>
      <c r="H6766" s="8">
        <v>1367</v>
      </c>
      <c r="I6766" s="8">
        <v>8331</v>
      </c>
    </row>
    <row r="6767" spans="1:9" x14ac:dyDescent="0.2">
      <c r="A6767" t="s">
        <v>1281</v>
      </c>
      <c r="B6767" t="s">
        <v>1435</v>
      </c>
      <c r="C6767" t="str">
        <f t="shared" ref="C6767:C6778" si="330">"37683950000000"</f>
        <v>37683950000000</v>
      </c>
      <c r="D6767" t="s">
        <v>7876</v>
      </c>
      <c r="E6767" t="str">
        <f>"37683956040505"</f>
        <v>37683956040505</v>
      </c>
      <c r="F6767" s="8">
        <v>814</v>
      </c>
      <c r="G6767" s="8">
        <v>10989</v>
      </c>
      <c r="H6767" s="8">
        <v>1233</v>
      </c>
      <c r="I6767" s="8">
        <v>3943</v>
      </c>
    </row>
    <row r="6768" spans="1:9" x14ac:dyDescent="0.2">
      <c r="A6768" t="s">
        <v>1281</v>
      </c>
      <c r="B6768" t="s">
        <v>1435</v>
      </c>
      <c r="C6768" t="str">
        <f t="shared" si="330"/>
        <v>37683950000000</v>
      </c>
      <c r="D6768" t="s">
        <v>7877</v>
      </c>
      <c r="E6768" t="str">
        <f>"37683956040513"</f>
        <v>37683956040513</v>
      </c>
      <c r="F6768" s="8">
        <v>709</v>
      </c>
      <c r="G6768" s="8">
        <v>9384</v>
      </c>
      <c r="H6768" s="8">
        <v>1233</v>
      </c>
      <c r="I6768" s="8">
        <v>3943</v>
      </c>
    </row>
    <row r="6769" spans="1:9" x14ac:dyDescent="0.2">
      <c r="A6769" t="s">
        <v>1281</v>
      </c>
      <c r="B6769" t="s">
        <v>1435</v>
      </c>
      <c r="C6769" t="str">
        <f t="shared" si="330"/>
        <v>37683950000000</v>
      </c>
      <c r="D6769" t="s">
        <v>7878</v>
      </c>
      <c r="E6769" t="str">
        <f>"37683956067029"</f>
        <v>37683956067029</v>
      </c>
      <c r="F6769" s="8">
        <v>1000</v>
      </c>
      <c r="G6769" s="8">
        <v>8570</v>
      </c>
      <c r="H6769" s="8">
        <v>1233</v>
      </c>
      <c r="I6769" s="8">
        <v>3943</v>
      </c>
    </row>
    <row r="6770" spans="1:9" x14ac:dyDescent="0.2">
      <c r="A6770" t="s">
        <v>1281</v>
      </c>
      <c r="B6770" t="s">
        <v>1435</v>
      </c>
      <c r="C6770" t="str">
        <f t="shared" si="330"/>
        <v>37683950000000</v>
      </c>
      <c r="D6770" t="s">
        <v>7879</v>
      </c>
      <c r="E6770" t="str">
        <f>"37683956040489"</f>
        <v>37683956040489</v>
      </c>
      <c r="F6770" s="8">
        <v>907</v>
      </c>
      <c r="G6770" s="8">
        <v>8573</v>
      </c>
      <c r="H6770" s="8">
        <v>1233</v>
      </c>
      <c r="I6770" s="8">
        <v>3943</v>
      </c>
    </row>
    <row r="6771" spans="1:9" x14ac:dyDescent="0.2">
      <c r="A6771" t="s">
        <v>1281</v>
      </c>
      <c r="B6771" t="s">
        <v>1435</v>
      </c>
      <c r="C6771" t="str">
        <f t="shared" si="330"/>
        <v>37683950000000</v>
      </c>
      <c r="D6771" t="s">
        <v>6457</v>
      </c>
      <c r="E6771" t="str">
        <f>"37683956040539"</f>
        <v>37683956040539</v>
      </c>
      <c r="F6771" s="8">
        <v>875</v>
      </c>
      <c r="G6771" s="8">
        <v>8134</v>
      </c>
      <c r="H6771" s="8">
        <v>1233</v>
      </c>
      <c r="I6771" s="8">
        <v>3943</v>
      </c>
    </row>
    <row r="6772" spans="1:9" x14ac:dyDescent="0.2">
      <c r="A6772" t="s">
        <v>1281</v>
      </c>
      <c r="B6772" t="s">
        <v>1435</v>
      </c>
      <c r="C6772" t="str">
        <f t="shared" si="330"/>
        <v>37683950000000</v>
      </c>
      <c r="D6772" t="s">
        <v>7880</v>
      </c>
      <c r="E6772" t="str">
        <f>"37683956040521"</f>
        <v>37683956040521</v>
      </c>
      <c r="F6772" s="8">
        <v>867</v>
      </c>
      <c r="G6772" s="8">
        <v>7853</v>
      </c>
      <c r="H6772" s="8">
        <v>1233</v>
      </c>
      <c r="I6772" s="8">
        <v>3943</v>
      </c>
    </row>
    <row r="6773" spans="1:9" x14ac:dyDescent="0.2">
      <c r="A6773" t="s">
        <v>1281</v>
      </c>
      <c r="B6773" t="s">
        <v>1435</v>
      </c>
      <c r="C6773" t="str">
        <f t="shared" si="330"/>
        <v>37683950000000</v>
      </c>
      <c r="D6773" t="s">
        <v>7881</v>
      </c>
      <c r="E6773" t="str">
        <f>"37683956040463"</f>
        <v>37683956040463</v>
      </c>
      <c r="F6773" s="8">
        <v>778</v>
      </c>
      <c r="G6773" s="8">
        <v>7821</v>
      </c>
      <c r="H6773" s="8">
        <v>1233</v>
      </c>
      <c r="I6773" s="8">
        <v>3943</v>
      </c>
    </row>
    <row r="6774" spans="1:9" x14ac:dyDescent="0.2">
      <c r="A6774" t="s">
        <v>1281</v>
      </c>
      <c r="B6774" t="s">
        <v>1435</v>
      </c>
      <c r="C6774" t="str">
        <f t="shared" si="330"/>
        <v>37683950000000</v>
      </c>
      <c r="D6774" t="s">
        <v>7882</v>
      </c>
      <c r="E6774" t="str">
        <f>"37683956094973"</f>
        <v>37683956094973</v>
      </c>
      <c r="F6774" s="8">
        <v>776</v>
      </c>
      <c r="G6774" s="8">
        <v>7711</v>
      </c>
      <c r="H6774" s="8">
        <v>1233</v>
      </c>
      <c r="I6774" s="8">
        <v>3943</v>
      </c>
    </row>
    <row r="6775" spans="1:9" x14ac:dyDescent="0.2">
      <c r="A6775" t="s">
        <v>1281</v>
      </c>
      <c r="B6775" t="s">
        <v>1435</v>
      </c>
      <c r="C6775" t="str">
        <f t="shared" si="330"/>
        <v>37683950000000</v>
      </c>
      <c r="D6775" t="s">
        <v>7883</v>
      </c>
      <c r="E6775" t="str">
        <f>"37683956116008"</f>
        <v>37683956116008</v>
      </c>
      <c r="F6775" s="8">
        <v>751</v>
      </c>
      <c r="G6775" s="8">
        <v>7573</v>
      </c>
      <c r="H6775" s="8">
        <v>1233</v>
      </c>
      <c r="I6775" s="8">
        <v>3943</v>
      </c>
    </row>
    <row r="6776" spans="1:9" x14ac:dyDescent="0.2">
      <c r="A6776" t="s">
        <v>1281</v>
      </c>
      <c r="B6776" t="s">
        <v>1435</v>
      </c>
      <c r="C6776" t="str">
        <f t="shared" si="330"/>
        <v>37683950000000</v>
      </c>
      <c r="D6776" t="s">
        <v>7884</v>
      </c>
      <c r="E6776" t="str">
        <f>"37683950140327"</f>
        <v>37683950140327</v>
      </c>
      <c r="F6776" s="8">
        <v>7124</v>
      </c>
      <c r="G6776" s="8">
        <v>716</v>
      </c>
      <c r="H6776" s="8">
        <v>1233</v>
      </c>
      <c r="I6776" s="8">
        <v>3943</v>
      </c>
    </row>
    <row r="6777" spans="1:9" x14ac:dyDescent="0.2">
      <c r="A6777" t="s">
        <v>1281</v>
      </c>
      <c r="B6777" t="s">
        <v>1435</v>
      </c>
      <c r="C6777" t="str">
        <f t="shared" si="330"/>
        <v>37683950000000</v>
      </c>
      <c r="D6777" t="s">
        <v>7885</v>
      </c>
      <c r="E6777" t="str">
        <f>"37683956098487"</f>
        <v>37683956098487</v>
      </c>
      <c r="F6777" s="8">
        <v>767</v>
      </c>
      <c r="G6777" s="8">
        <v>7071</v>
      </c>
      <c r="H6777" s="8">
        <v>1233</v>
      </c>
      <c r="I6777" s="8">
        <v>3943</v>
      </c>
    </row>
    <row r="6778" spans="1:9" x14ac:dyDescent="0.2">
      <c r="A6778" t="s">
        <v>1281</v>
      </c>
      <c r="B6778" t="s">
        <v>1435</v>
      </c>
      <c r="C6778" t="str">
        <f t="shared" si="330"/>
        <v>37683950000000</v>
      </c>
      <c r="D6778" t="s">
        <v>1214</v>
      </c>
      <c r="E6778" t="str">
        <f>"37683956040471"</f>
        <v>37683956040471</v>
      </c>
      <c r="F6778" s="8">
        <v>861</v>
      </c>
      <c r="G6778" s="8">
        <v>6870</v>
      </c>
      <c r="H6778" s="8">
        <v>1233</v>
      </c>
      <c r="I6778" s="8">
        <v>3943</v>
      </c>
    </row>
    <row r="6779" spans="1:9" x14ac:dyDescent="0.2">
      <c r="A6779" t="s">
        <v>1281</v>
      </c>
      <c r="B6779" t="s">
        <v>1437</v>
      </c>
      <c r="C6779" t="str">
        <f>"37684030000000"</f>
        <v>37684030000000</v>
      </c>
      <c r="D6779" t="s">
        <v>1437</v>
      </c>
      <c r="E6779" t="str">
        <f>"37684036040554"</f>
        <v>37684036040554</v>
      </c>
      <c r="F6779" s="8">
        <v>6253</v>
      </c>
      <c r="G6779" s="8">
        <v>24191</v>
      </c>
      <c r="H6779" s="8">
        <v>0</v>
      </c>
      <c r="I6779" s="8">
        <v>0</v>
      </c>
    </row>
    <row r="6780" spans="1:9" x14ac:dyDescent="0.2">
      <c r="A6780" t="s">
        <v>1281</v>
      </c>
      <c r="B6780" t="s">
        <v>1441</v>
      </c>
      <c r="C6780" t="str">
        <f t="shared" ref="C6780:C6807" si="331">"37684110000000"</f>
        <v>37684110000000</v>
      </c>
      <c r="D6780" t="s">
        <v>7886</v>
      </c>
      <c r="E6780" t="str">
        <f>"37684113731460"</f>
        <v>37684113731460</v>
      </c>
      <c r="F6780" s="8">
        <v>2468</v>
      </c>
      <c r="G6780" s="8">
        <v>46680</v>
      </c>
      <c r="H6780" s="8">
        <v>555</v>
      </c>
      <c r="I6780" s="8">
        <v>6353</v>
      </c>
    </row>
    <row r="6781" spans="1:9" x14ac:dyDescent="0.2">
      <c r="A6781" t="s">
        <v>1281</v>
      </c>
      <c r="B6781" t="s">
        <v>1441</v>
      </c>
      <c r="C6781" t="str">
        <f t="shared" si="331"/>
        <v>37684110000000</v>
      </c>
      <c r="D6781" t="s">
        <v>7887</v>
      </c>
      <c r="E6781" t="str">
        <f>"37684110115873"</f>
        <v>37684110115873</v>
      </c>
      <c r="F6781" s="8">
        <v>1200</v>
      </c>
      <c r="G6781" s="8">
        <v>32086</v>
      </c>
      <c r="H6781" s="8">
        <v>555</v>
      </c>
      <c r="I6781" s="8">
        <v>6353</v>
      </c>
    </row>
    <row r="6782" spans="1:9" x14ac:dyDescent="0.2">
      <c r="A6782" t="s">
        <v>1281</v>
      </c>
      <c r="B6782" t="s">
        <v>1441</v>
      </c>
      <c r="C6782" t="str">
        <f t="shared" si="331"/>
        <v>37684110000000</v>
      </c>
      <c r="D6782" t="s">
        <v>7888</v>
      </c>
      <c r="E6782" t="str">
        <f>"37684116117154"</f>
        <v>37684116117154</v>
      </c>
      <c r="F6782" s="8">
        <v>938</v>
      </c>
      <c r="G6782" s="8">
        <v>13830</v>
      </c>
      <c r="H6782" s="8">
        <v>555</v>
      </c>
      <c r="I6782" s="8">
        <v>6353</v>
      </c>
    </row>
    <row r="6783" spans="1:9" x14ac:dyDescent="0.2">
      <c r="A6783" t="s">
        <v>1281</v>
      </c>
      <c r="B6783" t="s">
        <v>1441</v>
      </c>
      <c r="C6783" t="str">
        <f t="shared" si="331"/>
        <v>37684110000000</v>
      </c>
      <c r="D6783" t="s">
        <v>7889</v>
      </c>
      <c r="E6783" t="str">
        <f>"37684113731155"</f>
        <v>37684113731155</v>
      </c>
      <c r="F6783" s="8">
        <v>1033</v>
      </c>
      <c r="G6783" s="8">
        <v>12499</v>
      </c>
      <c r="H6783" s="8">
        <v>555</v>
      </c>
      <c r="I6783" s="8">
        <v>6353</v>
      </c>
    </row>
    <row r="6784" spans="1:9" x14ac:dyDescent="0.2">
      <c r="A6784" t="s">
        <v>1281</v>
      </c>
      <c r="B6784" t="s">
        <v>1441</v>
      </c>
      <c r="C6784" t="str">
        <f t="shared" si="331"/>
        <v>37684110000000</v>
      </c>
      <c r="D6784" t="s">
        <v>7890</v>
      </c>
      <c r="E6784" t="str">
        <f>"37684113732047"</f>
        <v>37684113732047</v>
      </c>
      <c r="F6784" s="8">
        <v>2049</v>
      </c>
      <c r="G6784" s="8">
        <v>9383</v>
      </c>
      <c r="H6784" s="8">
        <v>555</v>
      </c>
      <c r="I6784" s="8">
        <v>6353</v>
      </c>
    </row>
    <row r="6785" spans="1:9" x14ac:dyDescent="0.2">
      <c r="A6785" t="s">
        <v>1281</v>
      </c>
      <c r="B6785" t="s">
        <v>1441</v>
      </c>
      <c r="C6785" t="str">
        <f t="shared" si="331"/>
        <v>37684110000000</v>
      </c>
      <c r="D6785" t="s">
        <v>7891</v>
      </c>
      <c r="E6785" t="str">
        <f>"37684116059752"</f>
        <v>37684116059752</v>
      </c>
      <c r="F6785" s="8">
        <v>1048</v>
      </c>
      <c r="G6785" s="8">
        <v>7138</v>
      </c>
      <c r="H6785" s="8">
        <v>555</v>
      </c>
      <c r="I6785" s="8">
        <v>6353</v>
      </c>
    </row>
    <row r="6786" spans="1:9" x14ac:dyDescent="0.2">
      <c r="A6786" t="s">
        <v>1281</v>
      </c>
      <c r="B6786" t="s">
        <v>1441</v>
      </c>
      <c r="C6786" t="str">
        <f t="shared" si="331"/>
        <v>37684110000000</v>
      </c>
      <c r="D6786" t="s">
        <v>7892</v>
      </c>
      <c r="E6786" t="str">
        <f>"37684116062012"</f>
        <v>37684116062012</v>
      </c>
      <c r="F6786" s="8">
        <v>1139</v>
      </c>
      <c r="G6786" s="8">
        <v>6922</v>
      </c>
      <c r="H6786" s="8">
        <v>555</v>
      </c>
      <c r="I6786" s="8">
        <v>6353</v>
      </c>
    </row>
    <row r="6787" spans="1:9" x14ac:dyDescent="0.2">
      <c r="A6787" t="s">
        <v>1281</v>
      </c>
      <c r="B6787" t="s">
        <v>1441</v>
      </c>
      <c r="C6787" t="str">
        <f t="shared" si="331"/>
        <v>37684110000000</v>
      </c>
      <c r="D6787" t="s">
        <v>7893</v>
      </c>
      <c r="E6787" t="str">
        <f>"37684116059786"</f>
        <v>37684116059786</v>
      </c>
      <c r="F6787" s="8">
        <v>1243</v>
      </c>
      <c r="G6787" s="8">
        <v>6603</v>
      </c>
      <c r="H6787" s="8">
        <v>555</v>
      </c>
      <c r="I6787" s="8">
        <v>6353</v>
      </c>
    </row>
    <row r="6788" spans="1:9" x14ac:dyDescent="0.2">
      <c r="A6788" t="s">
        <v>1281</v>
      </c>
      <c r="B6788" t="s">
        <v>1441</v>
      </c>
      <c r="C6788" t="str">
        <f t="shared" si="331"/>
        <v>37684110000000</v>
      </c>
      <c r="D6788" t="s">
        <v>7894</v>
      </c>
      <c r="E6788" t="str">
        <f>"37684116059760"</f>
        <v>37684116059760</v>
      </c>
      <c r="F6788" s="8">
        <v>1042</v>
      </c>
      <c r="G6788" s="8">
        <v>6700</v>
      </c>
      <c r="H6788" s="8">
        <v>555</v>
      </c>
      <c r="I6788" s="8">
        <v>6353</v>
      </c>
    </row>
    <row r="6789" spans="1:9" x14ac:dyDescent="0.2">
      <c r="A6789" t="s">
        <v>1281</v>
      </c>
      <c r="B6789" t="s">
        <v>1441</v>
      </c>
      <c r="C6789" t="str">
        <f t="shared" si="331"/>
        <v>37684110000000</v>
      </c>
      <c r="D6789" t="s">
        <v>7895</v>
      </c>
      <c r="E6789" t="str">
        <f>"37684116059794"</f>
        <v>37684116059794</v>
      </c>
      <c r="F6789" s="8">
        <v>1365</v>
      </c>
      <c r="G6789" s="8">
        <v>6342</v>
      </c>
      <c r="H6789" s="8">
        <v>555</v>
      </c>
      <c r="I6789" s="8">
        <v>6353</v>
      </c>
    </row>
    <row r="6790" spans="1:9" x14ac:dyDescent="0.2">
      <c r="A6790" t="s">
        <v>1281</v>
      </c>
      <c r="B6790" t="s">
        <v>1441</v>
      </c>
      <c r="C6790" t="str">
        <f t="shared" si="331"/>
        <v>37684110000000</v>
      </c>
      <c r="D6790" t="s">
        <v>7896</v>
      </c>
      <c r="E6790" t="str">
        <f>"37684113730124"</f>
        <v>37684113730124</v>
      </c>
      <c r="F6790" s="8">
        <v>897</v>
      </c>
      <c r="G6790" s="8">
        <v>6136</v>
      </c>
      <c r="H6790" s="8">
        <v>555</v>
      </c>
      <c r="I6790" s="8">
        <v>6353</v>
      </c>
    </row>
    <row r="6791" spans="1:9" x14ac:dyDescent="0.2">
      <c r="A6791" t="s">
        <v>1281</v>
      </c>
      <c r="B6791" t="s">
        <v>1441</v>
      </c>
      <c r="C6791" t="str">
        <f t="shared" si="331"/>
        <v>37684110000000</v>
      </c>
      <c r="D6791" t="s">
        <v>7464</v>
      </c>
      <c r="E6791" t="str">
        <f>"37684116070890"</f>
        <v>37684116070890</v>
      </c>
      <c r="F6791" s="8">
        <v>900</v>
      </c>
      <c r="G6791" s="8">
        <v>6050</v>
      </c>
      <c r="H6791" s="8">
        <v>555</v>
      </c>
      <c r="I6791" s="8">
        <v>6353</v>
      </c>
    </row>
    <row r="6792" spans="1:9" x14ac:dyDescent="0.2">
      <c r="A6792" t="s">
        <v>1281</v>
      </c>
      <c r="B6792" t="s">
        <v>1441</v>
      </c>
      <c r="C6792" t="str">
        <f t="shared" si="331"/>
        <v>37684110000000</v>
      </c>
      <c r="D6792" t="s">
        <v>7897</v>
      </c>
      <c r="E6792" t="str">
        <f>"37684113730801"</f>
        <v>37684113730801</v>
      </c>
      <c r="F6792" s="8">
        <v>946</v>
      </c>
      <c r="G6792" s="8">
        <v>5838</v>
      </c>
      <c r="H6792" s="8">
        <v>555</v>
      </c>
      <c r="I6792" s="8">
        <v>6353</v>
      </c>
    </row>
    <row r="6793" spans="1:9" x14ac:dyDescent="0.2">
      <c r="A6793" t="s">
        <v>1281</v>
      </c>
      <c r="B6793" t="s">
        <v>1441</v>
      </c>
      <c r="C6793" t="str">
        <f t="shared" si="331"/>
        <v>37684110000000</v>
      </c>
      <c r="D6793" t="s">
        <v>7898</v>
      </c>
      <c r="E6793" t="str">
        <f>"37684116059778"</f>
        <v>37684116059778</v>
      </c>
      <c r="F6793" s="8">
        <v>967</v>
      </c>
      <c r="G6793" s="8">
        <v>5690</v>
      </c>
      <c r="H6793" s="8">
        <v>555</v>
      </c>
      <c r="I6793" s="8">
        <v>6353</v>
      </c>
    </row>
    <row r="6794" spans="1:9" x14ac:dyDescent="0.2">
      <c r="A6794" t="s">
        <v>1281</v>
      </c>
      <c r="B6794" t="s">
        <v>1441</v>
      </c>
      <c r="C6794" t="str">
        <f t="shared" si="331"/>
        <v>37684110000000</v>
      </c>
      <c r="D6794" t="s">
        <v>7899</v>
      </c>
      <c r="E6794" t="str">
        <f>"37684113733953"</f>
        <v>37684113733953</v>
      </c>
      <c r="F6794" s="8">
        <v>1003</v>
      </c>
      <c r="G6794" s="8">
        <v>5473</v>
      </c>
      <c r="H6794" s="8">
        <v>555</v>
      </c>
      <c r="I6794" s="8">
        <v>6353</v>
      </c>
    </row>
    <row r="6795" spans="1:9" x14ac:dyDescent="0.2">
      <c r="A6795" t="s">
        <v>1281</v>
      </c>
      <c r="B6795" t="s">
        <v>1441</v>
      </c>
      <c r="C6795" t="str">
        <f t="shared" si="331"/>
        <v>37684110000000</v>
      </c>
      <c r="D6795" t="s">
        <v>7900</v>
      </c>
      <c r="E6795" t="str">
        <f>"37684113731064"</f>
        <v>37684113731064</v>
      </c>
      <c r="F6795" s="8">
        <v>969</v>
      </c>
      <c r="G6795" s="8">
        <v>5341</v>
      </c>
      <c r="H6795" s="8">
        <v>555</v>
      </c>
      <c r="I6795" s="8">
        <v>6353</v>
      </c>
    </row>
    <row r="6796" spans="1:9" x14ac:dyDescent="0.2">
      <c r="A6796" t="s">
        <v>1281</v>
      </c>
      <c r="B6796" t="s">
        <v>1441</v>
      </c>
      <c r="C6796" t="str">
        <f t="shared" si="331"/>
        <v>37684110000000</v>
      </c>
      <c r="D6796" t="s">
        <v>7901</v>
      </c>
      <c r="E6796" t="str">
        <f>"37684113738234"</f>
        <v>37684113738234</v>
      </c>
      <c r="F6796" s="8">
        <v>970</v>
      </c>
      <c r="G6796" s="8">
        <v>4876</v>
      </c>
      <c r="H6796" s="8">
        <v>555</v>
      </c>
      <c r="I6796" s="8">
        <v>6353</v>
      </c>
    </row>
    <row r="6797" spans="1:9" x14ac:dyDescent="0.2">
      <c r="A6797" t="s">
        <v>1281</v>
      </c>
      <c r="B6797" t="s">
        <v>1441</v>
      </c>
      <c r="C6797" t="str">
        <f t="shared" si="331"/>
        <v>37684110000000</v>
      </c>
      <c r="D6797" t="s">
        <v>7902</v>
      </c>
      <c r="E6797" t="str">
        <f>"37684116062004"</f>
        <v>37684116062004</v>
      </c>
      <c r="F6797" s="8">
        <v>855</v>
      </c>
      <c r="G6797" s="8">
        <v>4892</v>
      </c>
      <c r="H6797" s="8">
        <v>555</v>
      </c>
      <c r="I6797" s="8">
        <v>6353</v>
      </c>
    </row>
    <row r="6798" spans="1:9" x14ac:dyDescent="0.2">
      <c r="A6798" t="s">
        <v>1281</v>
      </c>
      <c r="B6798" t="s">
        <v>1441</v>
      </c>
      <c r="C6798" t="str">
        <f t="shared" si="331"/>
        <v>37684110000000</v>
      </c>
      <c r="D6798" t="s">
        <v>7903</v>
      </c>
      <c r="E6798" t="str">
        <f>"37684113732849"</f>
        <v>37684113732849</v>
      </c>
      <c r="F6798" s="8">
        <v>868</v>
      </c>
      <c r="G6798" s="8">
        <v>4827</v>
      </c>
      <c r="H6798" s="8">
        <v>555</v>
      </c>
      <c r="I6798" s="8">
        <v>6353</v>
      </c>
    </row>
    <row r="6799" spans="1:9" x14ac:dyDescent="0.2">
      <c r="A6799" t="s">
        <v>1281</v>
      </c>
      <c r="B6799" t="s">
        <v>1441</v>
      </c>
      <c r="C6799" t="str">
        <f t="shared" si="331"/>
        <v>37684110000000</v>
      </c>
      <c r="D6799" t="s">
        <v>7904</v>
      </c>
      <c r="E6799" t="str">
        <f>"37684113738226"</f>
        <v>37684113738226</v>
      </c>
      <c r="F6799" s="8">
        <v>879</v>
      </c>
      <c r="G6799" s="8">
        <v>4809</v>
      </c>
      <c r="H6799" s="8">
        <v>555</v>
      </c>
      <c r="I6799" s="8">
        <v>6353</v>
      </c>
    </row>
    <row r="6800" spans="1:9" x14ac:dyDescent="0.2">
      <c r="A6800" t="s">
        <v>1281</v>
      </c>
      <c r="B6800" t="s">
        <v>1441</v>
      </c>
      <c r="C6800" t="str">
        <f t="shared" si="331"/>
        <v>37684110000000</v>
      </c>
      <c r="D6800" t="s">
        <v>7905</v>
      </c>
      <c r="E6800" t="str">
        <f>"37684113731502"</f>
        <v>37684113731502</v>
      </c>
      <c r="F6800" s="8">
        <v>878</v>
      </c>
      <c r="G6800" s="8">
        <v>4625</v>
      </c>
      <c r="H6800" s="8">
        <v>555</v>
      </c>
      <c r="I6800" s="8">
        <v>6353</v>
      </c>
    </row>
    <row r="6801" spans="1:9" x14ac:dyDescent="0.2">
      <c r="A6801" t="s">
        <v>1281</v>
      </c>
      <c r="B6801" t="s">
        <v>1441</v>
      </c>
      <c r="C6801" t="str">
        <f t="shared" si="331"/>
        <v>37684110000000</v>
      </c>
      <c r="D6801" t="s">
        <v>7906</v>
      </c>
      <c r="E6801" t="str">
        <f>"37684116059745"</f>
        <v>37684116059745</v>
      </c>
      <c r="F6801" s="8">
        <v>714</v>
      </c>
      <c r="G6801" s="8">
        <v>4047</v>
      </c>
      <c r="H6801" s="8">
        <v>555</v>
      </c>
      <c r="I6801" s="8">
        <v>6353</v>
      </c>
    </row>
    <row r="6802" spans="1:9" x14ac:dyDescent="0.2">
      <c r="A6802" t="s">
        <v>1281</v>
      </c>
      <c r="B6802" t="s">
        <v>1441</v>
      </c>
      <c r="C6802" t="str">
        <f t="shared" si="331"/>
        <v>37684110000000</v>
      </c>
      <c r="D6802" t="s">
        <v>7907</v>
      </c>
      <c r="E6802" t="str">
        <f>"37684113730405"</f>
        <v>37684113730405</v>
      </c>
      <c r="F6802" s="8">
        <v>685</v>
      </c>
      <c r="G6802" s="8">
        <v>3834</v>
      </c>
      <c r="H6802" s="8">
        <v>555</v>
      </c>
      <c r="I6802" s="8">
        <v>6353</v>
      </c>
    </row>
    <row r="6803" spans="1:9" x14ac:dyDescent="0.2">
      <c r="A6803" t="s">
        <v>1281</v>
      </c>
      <c r="B6803" t="s">
        <v>1441</v>
      </c>
      <c r="C6803" t="str">
        <f t="shared" si="331"/>
        <v>37684110000000</v>
      </c>
      <c r="D6803" t="s">
        <v>7908</v>
      </c>
      <c r="E6803" t="str">
        <f>"37684113731627"</f>
        <v>37684113731627</v>
      </c>
      <c r="F6803" s="8">
        <v>601</v>
      </c>
      <c r="G6803" s="8">
        <v>3332</v>
      </c>
      <c r="H6803" s="8">
        <v>555</v>
      </c>
      <c r="I6803" s="8">
        <v>6353</v>
      </c>
    </row>
    <row r="6804" spans="1:9" x14ac:dyDescent="0.2">
      <c r="A6804" t="s">
        <v>1281</v>
      </c>
      <c r="B6804" t="s">
        <v>1441</v>
      </c>
      <c r="C6804" t="str">
        <f t="shared" si="331"/>
        <v>37684110000000</v>
      </c>
      <c r="D6804" t="s">
        <v>7909</v>
      </c>
      <c r="E6804" t="str">
        <f>"37684116120968"</f>
        <v>37684116120968</v>
      </c>
      <c r="F6804" s="8">
        <v>536</v>
      </c>
      <c r="G6804" s="8">
        <v>3176</v>
      </c>
      <c r="H6804" s="8">
        <v>555</v>
      </c>
      <c r="I6804" s="8">
        <v>6353</v>
      </c>
    </row>
    <row r="6805" spans="1:9" x14ac:dyDescent="0.2">
      <c r="A6805" t="s">
        <v>1281</v>
      </c>
      <c r="B6805" t="s">
        <v>1441</v>
      </c>
      <c r="C6805" t="str">
        <f t="shared" si="331"/>
        <v>37684110000000</v>
      </c>
      <c r="D6805" t="s">
        <v>7910</v>
      </c>
      <c r="E6805" t="str">
        <f>"37684110111831"</f>
        <v>37684110111831</v>
      </c>
      <c r="F6805" s="8">
        <v>495</v>
      </c>
      <c r="G6805" s="8">
        <v>3004</v>
      </c>
      <c r="H6805" s="8">
        <v>555</v>
      </c>
      <c r="I6805" s="8">
        <v>6353</v>
      </c>
    </row>
    <row r="6806" spans="1:9" x14ac:dyDescent="0.2">
      <c r="A6806" t="s">
        <v>1281</v>
      </c>
      <c r="B6806" t="s">
        <v>1441</v>
      </c>
      <c r="C6806" t="str">
        <f t="shared" si="331"/>
        <v>37684110000000</v>
      </c>
      <c r="D6806" t="s">
        <v>7911</v>
      </c>
      <c r="E6806" t="str">
        <f>"37684113730843"</f>
        <v>37684113730843</v>
      </c>
      <c r="F6806" s="8">
        <v>440</v>
      </c>
      <c r="G6806" s="8">
        <v>2965</v>
      </c>
      <c r="H6806" s="8">
        <v>555</v>
      </c>
      <c r="I6806" s="8">
        <v>6353</v>
      </c>
    </row>
    <row r="6807" spans="1:9" x14ac:dyDescent="0.2">
      <c r="A6807" t="s">
        <v>1281</v>
      </c>
      <c r="B6807" t="s">
        <v>1441</v>
      </c>
      <c r="C6807" t="str">
        <f t="shared" si="331"/>
        <v>37684110000000</v>
      </c>
      <c r="D6807" t="s">
        <v>7912</v>
      </c>
      <c r="E6807" t="str">
        <f>"37684116114276"</f>
        <v>37684116114276</v>
      </c>
      <c r="F6807" s="8">
        <v>484</v>
      </c>
      <c r="G6807" s="8">
        <v>2585</v>
      </c>
      <c r="H6807" s="8">
        <v>555</v>
      </c>
      <c r="I6807" s="8">
        <v>6353</v>
      </c>
    </row>
    <row r="6808" spans="1:9" x14ac:dyDescent="0.2">
      <c r="A6808" t="s">
        <v>1281</v>
      </c>
      <c r="B6808" t="s">
        <v>1446</v>
      </c>
      <c r="C6808" t="str">
        <f>"37684370000000"</f>
        <v>37684370000000</v>
      </c>
      <c r="D6808" t="s">
        <v>1446</v>
      </c>
      <c r="E6808" t="str">
        <f>"37684376040562"</f>
        <v>37684376040562</v>
      </c>
      <c r="F6808" s="8">
        <v>2282</v>
      </c>
      <c r="G6808" s="8">
        <v>15798</v>
      </c>
      <c r="H6808" s="8">
        <v>0</v>
      </c>
      <c r="I6808" s="8">
        <v>0</v>
      </c>
    </row>
    <row r="6809" spans="1:9" x14ac:dyDescent="0.2">
      <c r="A6809" t="s">
        <v>1281</v>
      </c>
      <c r="B6809" t="s">
        <v>1447</v>
      </c>
      <c r="C6809" t="str">
        <f t="shared" ref="C6809:C6816" si="332">"37756140000000"</f>
        <v>37756140000000</v>
      </c>
      <c r="D6809" t="s">
        <v>7913</v>
      </c>
      <c r="E6809" t="str">
        <f>"37756143731312"</f>
        <v>37756143731312</v>
      </c>
      <c r="F6809" s="8">
        <v>3580</v>
      </c>
      <c r="G6809" s="8">
        <v>11406</v>
      </c>
      <c r="H6809" s="8">
        <v>0</v>
      </c>
      <c r="I6809" s="8">
        <v>0</v>
      </c>
    </row>
    <row r="6810" spans="1:9" x14ac:dyDescent="0.2">
      <c r="A6810" t="s">
        <v>1281</v>
      </c>
      <c r="B6810" t="s">
        <v>1447</v>
      </c>
      <c r="C6810" t="str">
        <f t="shared" si="332"/>
        <v>37756140000000</v>
      </c>
      <c r="D6810" t="s">
        <v>7914</v>
      </c>
      <c r="E6810" t="str">
        <f>"37756146038962"</f>
        <v>37756146038962</v>
      </c>
      <c r="F6810" s="8">
        <v>2485</v>
      </c>
      <c r="G6810" s="8">
        <v>11565</v>
      </c>
      <c r="H6810" s="8">
        <v>0</v>
      </c>
      <c r="I6810" s="8">
        <v>0</v>
      </c>
    </row>
    <row r="6811" spans="1:9" x14ac:dyDescent="0.2">
      <c r="A6811" t="s">
        <v>1281</v>
      </c>
      <c r="B6811" t="s">
        <v>1447</v>
      </c>
      <c r="C6811" t="str">
        <f t="shared" si="332"/>
        <v>37756140000000</v>
      </c>
      <c r="D6811" t="s">
        <v>7915</v>
      </c>
      <c r="E6811" t="str">
        <f>"37756146106124"</f>
        <v>37756146106124</v>
      </c>
      <c r="F6811" s="8">
        <v>2214</v>
      </c>
      <c r="G6811" s="8">
        <v>10938</v>
      </c>
      <c r="H6811" s="8">
        <v>0</v>
      </c>
      <c r="I6811" s="8">
        <v>0</v>
      </c>
    </row>
    <row r="6812" spans="1:9" x14ac:dyDescent="0.2">
      <c r="A6812" t="s">
        <v>1281</v>
      </c>
      <c r="B6812" t="s">
        <v>1447</v>
      </c>
      <c r="C6812" t="str">
        <f t="shared" si="332"/>
        <v>37756140000000</v>
      </c>
      <c r="D6812" t="s">
        <v>7916</v>
      </c>
      <c r="E6812" t="str">
        <f>"37756143731114"</f>
        <v>37756143731114</v>
      </c>
      <c r="F6812" s="8">
        <v>1601</v>
      </c>
      <c r="G6812" s="8">
        <v>10807</v>
      </c>
      <c r="H6812" s="8">
        <v>0</v>
      </c>
      <c r="I6812" s="8">
        <v>0</v>
      </c>
    </row>
    <row r="6813" spans="1:9" x14ac:dyDescent="0.2">
      <c r="A6813" t="s">
        <v>1281</v>
      </c>
      <c r="B6813" t="s">
        <v>1447</v>
      </c>
      <c r="C6813" t="str">
        <f t="shared" si="332"/>
        <v>37756140000000</v>
      </c>
      <c r="D6813" t="s">
        <v>7917</v>
      </c>
      <c r="E6813" t="str">
        <f>"37756146093272"</f>
        <v>37756146093272</v>
      </c>
      <c r="F6813" s="8">
        <v>1638</v>
      </c>
      <c r="G6813" s="8">
        <v>10485</v>
      </c>
      <c r="H6813" s="8">
        <v>0</v>
      </c>
      <c r="I6813" s="8">
        <v>0</v>
      </c>
    </row>
    <row r="6814" spans="1:9" x14ac:dyDescent="0.2">
      <c r="A6814" t="s">
        <v>1281</v>
      </c>
      <c r="B6814" t="s">
        <v>1447</v>
      </c>
      <c r="C6814" t="str">
        <f t="shared" si="332"/>
        <v>37756140000000</v>
      </c>
      <c r="D6814" t="s">
        <v>7918</v>
      </c>
      <c r="E6814" t="str">
        <f>"37756140100511"</f>
        <v>37756140100511</v>
      </c>
      <c r="F6814" s="8">
        <v>2077</v>
      </c>
      <c r="G6814" s="8">
        <v>9448</v>
      </c>
      <c r="H6814" s="8">
        <v>0</v>
      </c>
      <c r="I6814" s="8">
        <v>0</v>
      </c>
    </row>
    <row r="6815" spans="1:9" x14ac:dyDescent="0.2">
      <c r="A6815" t="s">
        <v>1281</v>
      </c>
      <c r="B6815" t="s">
        <v>1447</v>
      </c>
      <c r="C6815" t="str">
        <f t="shared" si="332"/>
        <v>37756140000000</v>
      </c>
      <c r="D6815" t="s">
        <v>7919</v>
      </c>
      <c r="E6815" t="str">
        <f>"37756146112494"</f>
        <v>37756146112494</v>
      </c>
      <c r="F6815" s="8">
        <v>2017</v>
      </c>
      <c r="G6815" s="8">
        <v>9507</v>
      </c>
      <c r="H6815" s="8">
        <v>0</v>
      </c>
      <c r="I6815" s="8">
        <v>0</v>
      </c>
    </row>
    <row r="6816" spans="1:9" x14ac:dyDescent="0.2">
      <c r="A6816" t="s">
        <v>1281</v>
      </c>
      <c r="B6816" t="s">
        <v>1447</v>
      </c>
      <c r="C6816" t="str">
        <f t="shared" si="332"/>
        <v>37756140000000</v>
      </c>
      <c r="D6816" t="s">
        <v>7920</v>
      </c>
      <c r="E6816" t="str">
        <f>"37756143731601"</f>
        <v>37756143731601</v>
      </c>
      <c r="F6816" s="8">
        <v>1434</v>
      </c>
      <c r="G6816" s="8">
        <v>6760</v>
      </c>
      <c r="H6816" s="8">
        <v>0</v>
      </c>
      <c r="I6816" s="8">
        <v>0</v>
      </c>
    </row>
    <row r="6817" spans="1:9" x14ac:dyDescent="0.2">
      <c r="A6817" t="s">
        <v>1281</v>
      </c>
      <c r="B6817" t="s">
        <v>1449</v>
      </c>
      <c r="C6817" t="str">
        <f t="shared" ref="C6817:C6844" si="333">"37684520000000"</f>
        <v>37684520000000</v>
      </c>
      <c r="D6817" t="s">
        <v>7921</v>
      </c>
      <c r="E6817" t="str">
        <f>"37684526040604"</f>
        <v>37684526040604</v>
      </c>
      <c r="F6817" s="8">
        <v>48848</v>
      </c>
      <c r="G6817" s="8">
        <v>263164</v>
      </c>
      <c r="H6817" s="8">
        <v>1005</v>
      </c>
      <c r="I6817" s="8">
        <v>2595</v>
      </c>
    </row>
    <row r="6818" spans="1:9" x14ac:dyDescent="0.2">
      <c r="A6818" t="s">
        <v>1281</v>
      </c>
      <c r="B6818" t="s">
        <v>1449</v>
      </c>
      <c r="C6818" t="str">
        <f t="shared" si="333"/>
        <v>37684520000000</v>
      </c>
      <c r="D6818" t="s">
        <v>7922</v>
      </c>
      <c r="E6818" t="str">
        <f>"37684523730207"</f>
        <v>37684523730207</v>
      </c>
      <c r="F6818" s="8">
        <v>4535</v>
      </c>
      <c r="G6818" s="8">
        <v>26798</v>
      </c>
      <c r="H6818" s="8">
        <v>1005</v>
      </c>
      <c r="I6818" s="8">
        <v>2595</v>
      </c>
    </row>
    <row r="6819" spans="1:9" x14ac:dyDescent="0.2">
      <c r="A6819" t="s">
        <v>1281</v>
      </c>
      <c r="B6819" t="s">
        <v>1449</v>
      </c>
      <c r="C6819" t="str">
        <f t="shared" si="333"/>
        <v>37684520000000</v>
      </c>
      <c r="D6819" t="s">
        <v>7923</v>
      </c>
      <c r="E6819" t="str">
        <f>"37684523732039"</f>
        <v>37684523732039</v>
      </c>
      <c r="F6819" s="8">
        <v>740</v>
      </c>
      <c r="G6819" s="8">
        <v>19403</v>
      </c>
      <c r="H6819" s="8">
        <v>1005</v>
      </c>
      <c r="I6819" s="8">
        <v>2595</v>
      </c>
    </row>
    <row r="6820" spans="1:9" x14ac:dyDescent="0.2">
      <c r="A6820" t="s">
        <v>1281</v>
      </c>
      <c r="B6820" t="s">
        <v>1449</v>
      </c>
      <c r="C6820" t="str">
        <f t="shared" si="333"/>
        <v>37684520000000</v>
      </c>
      <c r="D6820" t="s">
        <v>7924</v>
      </c>
      <c r="E6820" t="str">
        <f>"37684520115451"</f>
        <v>37684520115451</v>
      </c>
      <c r="F6820" s="8">
        <v>676</v>
      </c>
      <c r="G6820" s="8">
        <v>12367</v>
      </c>
      <c r="H6820" s="8">
        <v>1005</v>
      </c>
      <c r="I6820" s="8">
        <v>2595</v>
      </c>
    </row>
    <row r="6821" spans="1:9" x14ac:dyDescent="0.2">
      <c r="A6821" t="s">
        <v>1281</v>
      </c>
      <c r="B6821" t="s">
        <v>1449</v>
      </c>
      <c r="C6821" t="str">
        <f t="shared" si="333"/>
        <v>37684520000000</v>
      </c>
      <c r="D6821" t="s">
        <v>7925</v>
      </c>
      <c r="E6821" t="str">
        <f>"37684520100933"</f>
        <v>37684520100933</v>
      </c>
      <c r="F6821" s="8">
        <v>1216</v>
      </c>
      <c r="G6821" s="8">
        <v>9571</v>
      </c>
      <c r="H6821" s="8">
        <v>1005</v>
      </c>
      <c r="I6821" s="8">
        <v>2595</v>
      </c>
    </row>
    <row r="6822" spans="1:9" x14ac:dyDescent="0.2">
      <c r="A6822" t="s">
        <v>1281</v>
      </c>
      <c r="B6822" t="s">
        <v>1449</v>
      </c>
      <c r="C6822" t="str">
        <f t="shared" si="333"/>
        <v>37684520000000</v>
      </c>
      <c r="D6822" t="s">
        <v>7926</v>
      </c>
      <c r="E6822" t="str">
        <f>"37684526110407"</f>
        <v>37684526110407</v>
      </c>
      <c r="F6822" s="8">
        <v>626</v>
      </c>
      <c r="G6822" s="8">
        <v>10148</v>
      </c>
      <c r="H6822" s="8">
        <v>1005</v>
      </c>
      <c r="I6822" s="8">
        <v>2595</v>
      </c>
    </row>
    <row r="6823" spans="1:9" x14ac:dyDescent="0.2">
      <c r="A6823" t="s">
        <v>1281</v>
      </c>
      <c r="B6823" t="s">
        <v>1449</v>
      </c>
      <c r="C6823" t="str">
        <f t="shared" si="333"/>
        <v>37684520000000</v>
      </c>
      <c r="D6823" t="s">
        <v>7927</v>
      </c>
      <c r="E6823" t="str">
        <f>"37684526040653"</f>
        <v>37684526040653</v>
      </c>
      <c r="F6823" s="8">
        <v>739</v>
      </c>
      <c r="G6823" s="8">
        <v>9814</v>
      </c>
      <c r="H6823" s="8">
        <v>1005</v>
      </c>
      <c r="I6823" s="8">
        <v>2595</v>
      </c>
    </row>
    <row r="6824" spans="1:9" x14ac:dyDescent="0.2">
      <c r="A6824" t="s">
        <v>1281</v>
      </c>
      <c r="B6824" t="s">
        <v>1449</v>
      </c>
      <c r="C6824" t="str">
        <f t="shared" si="333"/>
        <v>37684520000000</v>
      </c>
      <c r="D6824" t="s">
        <v>7928</v>
      </c>
      <c r="E6824" t="str">
        <f>"37684520126300"</f>
        <v>37684520126300</v>
      </c>
      <c r="F6824" s="8">
        <v>366</v>
      </c>
      <c r="G6824" s="8">
        <v>9269</v>
      </c>
      <c r="H6824" s="8">
        <v>1005</v>
      </c>
      <c r="I6824" s="8">
        <v>2595</v>
      </c>
    </row>
    <row r="6825" spans="1:9" x14ac:dyDescent="0.2">
      <c r="A6825" t="s">
        <v>1281</v>
      </c>
      <c r="B6825" t="s">
        <v>1449</v>
      </c>
      <c r="C6825" t="str">
        <f t="shared" si="333"/>
        <v>37684520000000</v>
      </c>
      <c r="D6825" t="s">
        <v>7929</v>
      </c>
      <c r="E6825" t="str">
        <f>"37684526040588"</f>
        <v>37684526040588</v>
      </c>
      <c r="F6825" s="8">
        <v>766</v>
      </c>
      <c r="G6825" s="8">
        <v>8858</v>
      </c>
      <c r="H6825" s="8">
        <v>1005</v>
      </c>
      <c r="I6825" s="8">
        <v>2595</v>
      </c>
    </row>
    <row r="6826" spans="1:9" x14ac:dyDescent="0.2">
      <c r="A6826" t="s">
        <v>1281</v>
      </c>
      <c r="B6826" t="s">
        <v>1449</v>
      </c>
      <c r="C6826" t="str">
        <f t="shared" si="333"/>
        <v>37684520000000</v>
      </c>
      <c r="D6826" t="s">
        <v>7930</v>
      </c>
      <c r="E6826" t="str">
        <f>"37684523730728"</f>
        <v>37684523730728</v>
      </c>
      <c r="F6826" s="8">
        <v>616</v>
      </c>
      <c r="G6826" s="8">
        <v>8982</v>
      </c>
      <c r="H6826" s="8">
        <v>1005</v>
      </c>
      <c r="I6826" s="8">
        <v>2595</v>
      </c>
    </row>
    <row r="6827" spans="1:9" x14ac:dyDescent="0.2">
      <c r="A6827" t="s">
        <v>1281</v>
      </c>
      <c r="B6827" t="s">
        <v>1449</v>
      </c>
      <c r="C6827" t="str">
        <f t="shared" si="333"/>
        <v>37684520000000</v>
      </c>
      <c r="D6827" t="s">
        <v>7931</v>
      </c>
      <c r="E6827" t="str">
        <f>"37684520100925"</f>
        <v>37684520100925</v>
      </c>
      <c r="F6827" s="8">
        <v>758</v>
      </c>
      <c r="G6827" s="8">
        <v>8739</v>
      </c>
      <c r="H6827" s="8">
        <v>1005</v>
      </c>
      <c r="I6827" s="8">
        <v>2595</v>
      </c>
    </row>
    <row r="6828" spans="1:9" x14ac:dyDescent="0.2">
      <c r="A6828" t="s">
        <v>1281</v>
      </c>
      <c r="B6828" t="s">
        <v>1449</v>
      </c>
      <c r="C6828" t="str">
        <f t="shared" si="333"/>
        <v>37684520000000</v>
      </c>
      <c r="D6828" t="s">
        <v>4835</v>
      </c>
      <c r="E6828" t="str">
        <f>"37684523738705"</f>
        <v>37684523738705</v>
      </c>
      <c r="F6828" s="8">
        <v>535</v>
      </c>
      <c r="G6828" s="8">
        <v>8643</v>
      </c>
      <c r="H6828" s="8">
        <v>1005</v>
      </c>
      <c r="I6828" s="8">
        <v>2595</v>
      </c>
    </row>
    <row r="6829" spans="1:9" x14ac:dyDescent="0.2">
      <c r="A6829" t="s">
        <v>1281</v>
      </c>
      <c r="B6829" t="s">
        <v>1449</v>
      </c>
      <c r="C6829" t="str">
        <f t="shared" si="333"/>
        <v>37684520000000</v>
      </c>
      <c r="D6829" t="s">
        <v>2290</v>
      </c>
      <c r="E6829" t="str">
        <f>"37684526107577"</f>
        <v>37684526107577</v>
      </c>
      <c r="F6829" s="8">
        <v>937</v>
      </c>
      <c r="G6829" s="8">
        <v>8236</v>
      </c>
      <c r="H6829" s="8">
        <v>1005</v>
      </c>
      <c r="I6829" s="8">
        <v>2595</v>
      </c>
    </row>
    <row r="6830" spans="1:9" x14ac:dyDescent="0.2">
      <c r="A6830" t="s">
        <v>1281</v>
      </c>
      <c r="B6830" t="s">
        <v>1449</v>
      </c>
      <c r="C6830" t="str">
        <f t="shared" si="333"/>
        <v>37684520000000</v>
      </c>
      <c r="D6830" t="s">
        <v>7932</v>
      </c>
      <c r="E6830" t="str">
        <f>"37684526069124"</f>
        <v>37684526069124</v>
      </c>
      <c r="F6830" s="8">
        <v>495</v>
      </c>
      <c r="G6830" s="8">
        <v>8666</v>
      </c>
      <c r="H6830" s="8">
        <v>1005</v>
      </c>
      <c r="I6830" s="8">
        <v>2595</v>
      </c>
    </row>
    <row r="6831" spans="1:9" x14ac:dyDescent="0.2">
      <c r="A6831" t="s">
        <v>1281</v>
      </c>
      <c r="B6831" t="s">
        <v>1449</v>
      </c>
      <c r="C6831" t="str">
        <f t="shared" si="333"/>
        <v>37684520000000</v>
      </c>
      <c r="D6831" t="s">
        <v>7933</v>
      </c>
      <c r="E6831" t="str">
        <f>"37684526112221"</f>
        <v>37684526112221</v>
      </c>
      <c r="F6831" s="8">
        <v>640</v>
      </c>
      <c r="G6831" s="8">
        <v>8487</v>
      </c>
      <c r="H6831" s="8">
        <v>1005</v>
      </c>
      <c r="I6831" s="8">
        <v>2595</v>
      </c>
    </row>
    <row r="6832" spans="1:9" x14ac:dyDescent="0.2">
      <c r="A6832" t="s">
        <v>1281</v>
      </c>
      <c r="B6832" t="s">
        <v>1449</v>
      </c>
      <c r="C6832" t="str">
        <f t="shared" si="333"/>
        <v>37684520000000</v>
      </c>
      <c r="D6832" t="s">
        <v>7934</v>
      </c>
      <c r="E6832" t="str">
        <f>"37684526107031"</f>
        <v>37684526107031</v>
      </c>
      <c r="F6832" s="8">
        <v>533</v>
      </c>
      <c r="G6832" s="8">
        <v>8515</v>
      </c>
      <c r="H6832" s="8">
        <v>1005</v>
      </c>
      <c r="I6832" s="8">
        <v>2595</v>
      </c>
    </row>
    <row r="6833" spans="1:9" x14ac:dyDescent="0.2">
      <c r="A6833" t="s">
        <v>1281</v>
      </c>
      <c r="B6833" t="s">
        <v>1449</v>
      </c>
      <c r="C6833" t="str">
        <f t="shared" si="333"/>
        <v>37684520000000</v>
      </c>
      <c r="D6833" t="s">
        <v>7935</v>
      </c>
      <c r="E6833" t="str">
        <f>"37684526040596"</f>
        <v>37684526040596</v>
      </c>
      <c r="F6833" s="8">
        <v>753</v>
      </c>
      <c r="G6833" s="8">
        <v>8273</v>
      </c>
      <c r="H6833" s="8">
        <v>1005</v>
      </c>
      <c r="I6833" s="8">
        <v>2595</v>
      </c>
    </row>
    <row r="6834" spans="1:9" x14ac:dyDescent="0.2">
      <c r="A6834" t="s">
        <v>1281</v>
      </c>
      <c r="B6834" t="s">
        <v>1449</v>
      </c>
      <c r="C6834" t="str">
        <f t="shared" si="333"/>
        <v>37684520000000</v>
      </c>
      <c r="D6834" t="s">
        <v>7936</v>
      </c>
      <c r="E6834" t="str">
        <f>"37684526059802"</f>
        <v>37684526059802</v>
      </c>
      <c r="F6834" s="8">
        <v>762</v>
      </c>
      <c r="G6834" s="8">
        <v>8111</v>
      </c>
      <c r="H6834" s="8">
        <v>1005</v>
      </c>
      <c r="I6834" s="8">
        <v>2595</v>
      </c>
    </row>
    <row r="6835" spans="1:9" x14ac:dyDescent="0.2">
      <c r="A6835" t="s">
        <v>1281</v>
      </c>
      <c r="B6835" t="s">
        <v>1449</v>
      </c>
      <c r="C6835" t="str">
        <f t="shared" si="333"/>
        <v>37684520000000</v>
      </c>
      <c r="D6835" t="s">
        <v>7937</v>
      </c>
      <c r="E6835" t="str">
        <f>"37684520114637"</f>
        <v>37684520114637</v>
      </c>
      <c r="F6835" s="8">
        <v>677</v>
      </c>
      <c r="G6835" s="8">
        <v>8149</v>
      </c>
      <c r="H6835" s="8">
        <v>1005</v>
      </c>
      <c r="I6835" s="8">
        <v>2595</v>
      </c>
    </row>
    <row r="6836" spans="1:9" x14ac:dyDescent="0.2">
      <c r="A6836" t="s">
        <v>1281</v>
      </c>
      <c r="B6836" t="s">
        <v>1449</v>
      </c>
      <c r="C6836" t="str">
        <f t="shared" si="333"/>
        <v>37684520000000</v>
      </c>
      <c r="D6836" t="s">
        <v>3877</v>
      </c>
      <c r="E6836" t="str">
        <f>"37684526040638"</f>
        <v>37684526040638</v>
      </c>
      <c r="F6836" s="8">
        <v>668</v>
      </c>
      <c r="G6836" s="8">
        <v>8077</v>
      </c>
      <c r="H6836" s="8">
        <v>1005</v>
      </c>
      <c r="I6836" s="8">
        <v>2595</v>
      </c>
    </row>
    <row r="6837" spans="1:9" x14ac:dyDescent="0.2">
      <c r="A6837" t="s">
        <v>1281</v>
      </c>
      <c r="B6837" t="s">
        <v>1449</v>
      </c>
      <c r="C6837" t="str">
        <f t="shared" si="333"/>
        <v>37684520000000</v>
      </c>
      <c r="D6837" t="s">
        <v>7938</v>
      </c>
      <c r="E6837" t="str">
        <f>"37684526059810"</f>
        <v>37684526059810</v>
      </c>
      <c r="F6837" s="8">
        <v>470</v>
      </c>
      <c r="G6837" s="8">
        <v>8212</v>
      </c>
      <c r="H6837" s="8">
        <v>1005</v>
      </c>
      <c r="I6837" s="8">
        <v>2595</v>
      </c>
    </row>
    <row r="6838" spans="1:9" x14ac:dyDescent="0.2">
      <c r="A6838" t="s">
        <v>1281</v>
      </c>
      <c r="B6838" t="s">
        <v>1449</v>
      </c>
      <c r="C6838" t="str">
        <f t="shared" si="333"/>
        <v>37684520000000</v>
      </c>
      <c r="D6838" t="s">
        <v>7939</v>
      </c>
      <c r="E6838" t="str">
        <f>"37684526108708"</f>
        <v>37684526108708</v>
      </c>
      <c r="F6838" s="8">
        <v>453</v>
      </c>
      <c r="G6838" s="8">
        <v>7929</v>
      </c>
      <c r="H6838" s="8">
        <v>1005</v>
      </c>
      <c r="I6838" s="8">
        <v>2595</v>
      </c>
    </row>
    <row r="6839" spans="1:9" x14ac:dyDescent="0.2">
      <c r="A6839" t="s">
        <v>1281</v>
      </c>
      <c r="B6839" t="s">
        <v>1449</v>
      </c>
      <c r="C6839" t="str">
        <f t="shared" si="333"/>
        <v>37684520000000</v>
      </c>
      <c r="D6839" t="s">
        <v>7940</v>
      </c>
      <c r="E6839" t="str">
        <f>"37684526040620"</f>
        <v>37684526040620</v>
      </c>
      <c r="F6839" s="8">
        <v>637</v>
      </c>
      <c r="G6839" s="8">
        <v>7742</v>
      </c>
      <c r="H6839" s="8">
        <v>1005</v>
      </c>
      <c r="I6839" s="8">
        <v>2595</v>
      </c>
    </row>
    <row r="6840" spans="1:9" x14ac:dyDescent="0.2">
      <c r="A6840" t="s">
        <v>1281</v>
      </c>
      <c r="B6840" t="s">
        <v>1449</v>
      </c>
      <c r="C6840" t="str">
        <f t="shared" si="333"/>
        <v>37684520000000</v>
      </c>
      <c r="D6840" t="s">
        <v>7941</v>
      </c>
      <c r="E6840" t="str">
        <f>"37684520111237"</f>
        <v>37684520111237</v>
      </c>
      <c r="F6840" s="8">
        <v>580</v>
      </c>
      <c r="G6840" s="8">
        <v>7607</v>
      </c>
      <c r="H6840" s="8">
        <v>1005</v>
      </c>
      <c r="I6840" s="8">
        <v>2595</v>
      </c>
    </row>
    <row r="6841" spans="1:9" x14ac:dyDescent="0.2">
      <c r="A6841" t="s">
        <v>1281</v>
      </c>
      <c r="B6841" t="s">
        <v>1449</v>
      </c>
      <c r="C6841" t="str">
        <f t="shared" si="333"/>
        <v>37684520000000</v>
      </c>
      <c r="D6841" t="s">
        <v>7942</v>
      </c>
      <c r="E6841" t="str">
        <f>"37684520105882"</f>
        <v>37684520105882</v>
      </c>
      <c r="F6841" s="8">
        <v>648</v>
      </c>
      <c r="G6841" s="8">
        <v>7519</v>
      </c>
      <c r="H6841" s="8">
        <v>1005</v>
      </c>
      <c r="I6841" s="8">
        <v>2595</v>
      </c>
    </row>
    <row r="6842" spans="1:9" x14ac:dyDescent="0.2">
      <c r="A6842" t="s">
        <v>1281</v>
      </c>
      <c r="B6842" t="s">
        <v>1449</v>
      </c>
      <c r="C6842" t="str">
        <f t="shared" si="333"/>
        <v>37684520000000</v>
      </c>
      <c r="D6842" t="s">
        <v>255</v>
      </c>
      <c r="E6842" t="str">
        <f>"37684526107585"</f>
        <v>37684526107585</v>
      </c>
      <c r="F6842" s="8">
        <v>462</v>
      </c>
      <c r="G6842" s="8">
        <v>7586</v>
      </c>
      <c r="H6842" s="8">
        <v>1005</v>
      </c>
      <c r="I6842" s="8">
        <v>2595</v>
      </c>
    </row>
    <row r="6843" spans="1:9" x14ac:dyDescent="0.2">
      <c r="A6843" t="s">
        <v>1281</v>
      </c>
      <c r="B6843" t="s">
        <v>1449</v>
      </c>
      <c r="C6843" t="str">
        <f t="shared" si="333"/>
        <v>37684520000000</v>
      </c>
      <c r="D6843" t="s">
        <v>7943</v>
      </c>
      <c r="E6843" t="str">
        <f>"37684520118430"</f>
        <v>37684520118430</v>
      </c>
      <c r="F6843" s="8">
        <v>405</v>
      </c>
      <c r="G6843" s="8">
        <v>7571</v>
      </c>
      <c r="H6843" s="8">
        <v>1005</v>
      </c>
      <c r="I6843" s="8">
        <v>2595</v>
      </c>
    </row>
    <row r="6844" spans="1:9" x14ac:dyDescent="0.2">
      <c r="A6844" t="s">
        <v>1281</v>
      </c>
      <c r="B6844" t="s">
        <v>1449</v>
      </c>
      <c r="C6844" t="str">
        <f t="shared" si="333"/>
        <v>37684520000000</v>
      </c>
      <c r="D6844" t="s">
        <v>7944</v>
      </c>
      <c r="E6844" t="str">
        <f>"37684526110399"</f>
        <v>37684526110399</v>
      </c>
      <c r="F6844" s="8">
        <v>480</v>
      </c>
      <c r="G6844" s="8">
        <v>7360</v>
      </c>
      <c r="H6844" s="8">
        <v>1005</v>
      </c>
      <c r="I6844" s="8">
        <v>2595</v>
      </c>
    </row>
    <row r="6845" spans="1:9" x14ac:dyDescent="0.2">
      <c r="A6845" t="s">
        <v>1281</v>
      </c>
      <c r="B6845" t="s">
        <v>1450</v>
      </c>
      <c r="C6845" t="str">
        <f>"37754160000000"</f>
        <v>37754160000000</v>
      </c>
      <c r="D6845" t="s">
        <v>7945</v>
      </c>
      <c r="E6845" t="str">
        <f>"37754163731015"</f>
        <v>37754163731015</v>
      </c>
      <c r="F6845" s="8" t="s">
        <v>30</v>
      </c>
      <c r="G6845" s="8" t="s">
        <v>30</v>
      </c>
      <c r="H6845" s="8" t="s">
        <v>30</v>
      </c>
      <c r="I6845" s="8" t="s">
        <v>30</v>
      </c>
    </row>
    <row r="6846" spans="1:9" x14ac:dyDescent="0.2">
      <c r="A6846" t="s">
        <v>1281</v>
      </c>
      <c r="B6846" t="s">
        <v>1450</v>
      </c>
      <c r="C6846" t="str">
        <f>"37754160000000"</f>
        <v>37754160000000</v>
      </c>
      <c r="D6846" t="s">
        <v>7946</v>
      </c>
      <c r="E6846" t="str">
        <f>"37754166040661"</f>
        <v>37754166040661</v>
      </c>
      <c r="F6846" s="8" t="s">
        <v>30</v>
      </c>
      <c r="G6846" s="8" t="s">
        <v>30</v>
      </c>
      <c r="H6846" s="8" t="s">
        <v>30</v>
      </c>
      <c r="I6846" s="8" t="s">
        <v>30</v>
      </c>
    </row>
    <row r="6847" spans="1:9" x14ac:dyDescent="0.2">
      <c r="A6847" t="s">
        <v>1281</v>
      </c>
      <c r="B6847" t="s">
        <v>1450</v>
      </c>
      <c r="C6847" t="str">
        <f>"37754160000000"</f>
        <v>37754160000000</v>
      </c>
      <c r="D6847" t="s">
        <v>7947</v>
      </c>
      <c r="E6847" t="str">
        <f>"37754163730975"</f>
        <v>37754163730975</v>
      </c>
      <c r="F6847" s="8" t="s">
        <v>30</v>
      </c>
      <c r="G6847" s="8" t="s">
        <v>30</v>
      </c>
      <c r="H6847" s="8" t="s">
        <v>30</v>
      </c>
      <c r="I6847" s="8" t="s">
        <v>30</v>
      </c>
    </row>
    <row r="6848" spans="1:9" x14ac:dyDescent="0.2">
      <c r="A6848" t="s">
        <v>1451</v>
      </c>
      <c r="B6848" t="s">
        <v>1466</v>
      </c>
      <c r="C6848" t="str">
        <f>"38103890000000"</f>
        <v>38103890000000</v>
      </c>
      <c r="D6848" t="s">
        <v>7948</v>
      </c>
      <c r="E6848" t="str">
        <f>"38103893830361"</f>
        <v>38103893830361</v>
      </c>
      <c r="F6848" s="8">
        <v>40725</v>
      </c>
      <c r="G6848" s="8">
        <v>228847</v>
      </c>
      <c r="H6848" s="8">
        <v>31072</v>
      </c>
      <c r="I6848" s="8">
        <v>77775</v>
      </c>
    </row>
    <row r="6849" spans="1:9" x14ac:dyDescent="0.2">
      <c r="A6849" t="s">
        <v>1451</v>
      </c>
      <c r="B6849" t="s">
        <v>1466</v>
      </c>
      <c r="C6849" t="str">
        <f>"38103890000000"</f>
        <v>38103890000000</v>
      </c>
      <c r="D6849" t="s">
        <v>7949</v>
      </c>
      <c r="E6849" t="str">
        <f>"38103893830445"</f>
        <v>38103893830445</v>
      </c>
      <c r="F6849" s="8">
        <v>2736</v>
      </c>
      <c r="G6849" s="8">
        <v>18908</v>
      </c>
      <c r="H6849" s="8">
        <v>1486</v>
      </c>
      <c r="I6849" s="8">
        <v>16319</v>
      </c>
    </row>
    <row r="6850" spans="1:9" x14ac:dyDescent="0.2">
      <c r="A6850" t="s">
        <v>1451</v>
      </c>
      <c r="B6850" t="s">
        <v>1466</v>
      </c>
      <c r="C6850" t="str">
        <f>"38103890000000"</f>
        <v>38103890000000</v>
      </c>
      <c r="D6850" t="s">
        <v>7950</v>
      </c>
      <c r="E6850" t="str">
        <f>"38103893830395"</f>
        <v>38103893830395</v>
      </c>
      <c r="F6850" s="8">
        <v>600</v>
      </c>
      <c r="G6850" s="8">
        <v>19896</v>
      </c>
      <c r="H6850" s="8">
        <v>3838</v>
      </c>
      <c r="I6850" s="8">
        <v>11666</v>
      </c>
    </row>
    <row r="6851" spans="1:9" x14ac:dyDescent="0.2">
      <c r="A6851" t="s">
        <v>1451</v>
      </c>
      <c r="B6851" t="s">
        <v>1466</v>
      </c>
      <c r="C6851" t="str">
        <f>"38103890000000"</f>
        <v>38103890000000</v>
      </c>
      <c r="D6851" t="s">
        <v>7951</v>
      </c>
      <c r="E6851" t="str">
        <f>"38103896069561"</f>
        <v>38103896069561</v>
      </c>
      <c r="F6851" s="8" t="s">
        <v>30</v>
      </c>
      <c r="G6851" s="8" t="s">
        <v>30</v>
      </c>
      <c r="H6851" s="8" t="s">
        <v>30</v>
      </c>
      <c r="I6851" s="8" t="s">
        <v>30</v>
      </c>
    </row>
    <row r="6852" spans="1:9" x14ac:dyDescent="0.2">
      <c r="A6852" t="s">
        <v>1451</v>
      </c>
      <c r="B6852" t="s">
        <v>1467</v>
      </c>
      <c r="C6852" t="str">
        <f t="shared" ref="C6852:C6883" si="334">"38684780000000"</f>
        <v>38684780000000</v>
      </c>
      <c r="D6852" t="s">
        <v>7952</v>
      </c>
      <c r="E6852" t="str">
        <f>"38684786089569"</f>
        <v>38684786089569</v>
      </c>
      <c r="F6852" s="8">
        <v>935</v>
      </c>
      <c r="G6852" s="8">
        <v>44233</v>
      </c>
      <c r="H6852" s="8">
        <v>1536</v>
      </c>
      <c r="I6852" s="8">
        <v>4076</v>
      </c>
    </row>
    <row r="6853" spans="1:9" x14ac:dyDescent="0.2">
      <c r="A6853" t="s">
        <v>1451</v>
      </c>
      <c r="B6853" t="s">
        <v>1467</v>
      </c>
      <c r="C6853" t="str">
        <f t="shared" si="334"/>
        <v>38684780000000</v>
      </c>
      <c r="D6853" t="s">
        <v>7953</v>
      </c>
      <c r="E6853" t="str">
        <f>"38684780132241"</f>
        <v>38684780132241</v>
      </c>
      <c r="F6853" s="8">
        <v>539</v>
      </c>
      <c r="G6853" s="8">
        <v>11968</v>
      </c>
      <c r="H6853" s="8">
        <v>1167</v>
      </c>
      <c r="I6853" s="8">
        <v>7186</v>
      </c>
    </row>
    <row r="6854" spans="1:9" x14ac:dyDescent="0.2">
      <c r="A6854" t="s">
        <v>1451</v>
      </c>
      <c r="B6854" t="s">
        <v>1467</v>
      </c>
      <c r="C6854" t="str">
        <f t="shared" si="334"/>
        <v>38684780000000</v>
      </c>
      <c r="D6854" t="s">
        <v>7954</v>
      </c>
      <c r="E6854" t="str">
        <f>"38684786041586"</f>
        <v>38684786041586</v>
      </c>
      <c r="F6854" s="8">
        <v>185</v>
      </c>
      <c r="G6854" s="8">
        <v>9347</v>
      </c>
      <c r="H6854" s="8">
        <v>2719</v>
      </c>
      <c r="I6854" s="8">
        <v>7022</v>
      </c>
    </row>
    <row r="6855" spans="1:9" x14ac:dyDescent="0.2">
      <c r="A6855" t="s">
        <v>1451</v>
      </c>
      <c r="B6855" t="s">
        <v>1467</v>
      </c>
      <c r="C6855" t="str">
        <f t="shared" si="334"/>
        <v>38684780000000</v>
      </c>
      <c r="D6855" t="s">
        <v>7955</v>
      </c>
      <c r="E6855" t="str">
        <f>"38684786089585"</f>
        <v>38684786089585</v>
      </c>
      <c r="F6855" s="8">
        <v>2144</v>
      </c>
      <c r="G6855" s="8">
        <v>15083</v>
      </c>
      <c r="H6855" s="8">
        <v>688</v>
      </c>
      <c r="I6855" s="8">
        <v>972</v>
      </c>
    </row>
    <row r="6856" spans="1:9" x14ac:dyDescent="0.2">
      <c r="A6856" t="s">
        <v>1451</v>
      </c>
      <c r="B6856" t="s">
        <v>1467</v>
      </c>
      <c r="C6856" t="str">
        <f t="shared" si="334"/>
        <v>38684780000000</v>
      </c>
      <c r="D6856" t="s">
        <v>7956</v>
      </c>
      <c r="E6856" t="str">
        <f>"38684783830064"</f>
        <v>38684783830064</v>
      </c>
      <c r="F6856" s="8">
        <v>696</v>
      </c>
      <c r="G6856" s="8">
        <v>11813</v>
      </c>
      <c r="H6856" s="8">
        <v>830</v>
      </c>
      <c r="I6856" s="8">
        <v>5526</v>
      </c>
    </row>
    <row r="6857" spans="1:9" x14ac:dyDescent="0.2">
      <c r="A6857" t="s">
        <v>1451</v>
      </c>
      <c r="B6857" t="s">
        <v>1467</v>
      </c>
      <c r="C6857" t="str">
        <f t="shared" si="334"/>
        <v>38684780000000</v>
      </c>
      <c r="D6857" t="s">
        <v>2545</v>
      </c>
      <c r="E6857" t="str">
        <f>"38684783830197"</f>
        <v>38684783830197</v>
      </c>
      <c r="F6857" s="8">
        <v>348</v>
      </c>
      <c r="G6857" s="8">
        <v>12641</v>
      </c>
      <c r="H6857" s="8">
        <v>92</v>
      </c>
      <c r="I6857" s="8">
        <v>5618</v>
      </c>
    </row>
    <row r="6858" spans="1:9" x14ac:dyDescent="0.2">
      <c r="A6858" t="s">
        <v>1451</v>
      </c>
      <c r="B6858" t="s">
        <v>1467</v>
      </c>
      <c r="C6858" t="str">
        <f t="shared" si="334"/>
        <v>38684780000000</v>
      </c>
      <c r="D6858" t="s">
        <v>7957</v>
      </c>
      <c r="E6858" t="str">
        <f>"38684786093496"</f>
        <v>38684786093496</v>
      </c>
      <c r="F6858" s="8">
        <v>334</v>
      </c>
      <c r="G6858" s="8">
        <v>12310</v>
      </c>
      <c r="H6858" s="8">
        <v>780</v>
      </c>
      <c r="I6858" s="8">
        <v>4342</v>
      </c>
    </row>
    <row r="6859" spans="1:9" x14ac:dyDescent="0.2">
      <c r="A6859" t="s">
        <v>1451</v>
      </c>
      <c r="B6859" t="s">
        <v>1467</v>
      </c>
      <c r="C6859" t="str">
        <f t="shared" si="334"/>
        <v>38684780000000</v>
      </c>
      <c r="D6859" t="s">
        <v>7958</v>
      </c>
      <c r="E6859" t="str">
        <f>"38684786104673"</f>
        <v>38684786104673</v>
      </c>
      <c r="F6859" s="8">
        <v>358</v>
      </c>
      <c r="G6859" s="8">
        <v>11144</v>
      </c>
      <c r="H6859" s="8">
        <v>1164</v>
      </c>
      <c r="I6859" s="8">
        <v>4538</v>
      </c>
    </row>
    <row r="6860" spans="1:9" x14ac:dyDescent="0.2">
      <c r="A6860" t="s">
        <v>1451</v>
      </c>
      <c r="B6860" t="s">
        <v>1467</v>
      </c>
      <c r="C6860" t="str">
        <f t="shared" si="334"/>
        <v>38684780000000</v>
      </c>
      <c r="D6860" t="s">
        <v>3961</v>
      </c>
      <c r="E6860" t="str">
        <f>"38684786040950"</f>
        <v>38684786040950</v>
      </c>
      <c r="F6860" s="8">
        <v>826</v>
      </c>
      <c r="G6860" s="8">
        <v>9143</v>
      </c>
      <c r="H6860" s="8">
        <v>1402</v>
      </c>
      <c r="I6860" s="8">
        <v>5554</v>
      </c>
    </row>
    <row r="6861" spans="1:9" x14ac:dyDescent="0.2">
      <c r="A6861" t="s">
        <v>1451</v>
      </c>
      <c r="B6861" t="s">
        <v>1467</v>
      </c>
      <c r="C6861" t="str">
        <f t="shared" si="334"/>
        <v>38684780000000</v>
      </c>
      <c r="D6861" t="s">
        <v>7959</v>
      </c>
      <c r="E6861" t="str">
        <f>"38684783830031"</f>
        <v>38684783830031</v>
      </c>
      <c r="F6861" s="8">
        <v>769</v>
      </c>
      <c r="G6861" s="8">
        <v>9638</v>
      </c>
      <c r="H6861" s="8">
        <v>104</v>
      </c>
      <c r="I6861" s="8">
        <v>6059</v>
      </c>
    </row>
    <row r="6862" spans="1:9" x14ac:dyDescent="0.2">
      <c r="A6862" t="s">
        <v>1451</v>
      </c>
      <c r="B6862" t="s">
        <v>1467</v>
      </c>
      <c r="C6862" t="str">
        <f t="shared" si="334"/>
        <v>38684780000000</v>
      </c>
      <c r="D6862" t="s">
        <v>7960</v>
      </c>
      <c r="E6862" t="str">
        <f>"38684780102103"</f>
        <v>38684780102103</v>
      </c>
      <c r="F6862" s="8">
        <v>0</v>
      </c>
      <c r="G6862" s="8">
        <v>7607</v>
      </c>
      <c r="H6862" s="8">
        <v>942</v>
      </c>
      <c r="I6862" s="8">
        <v>6426</v>
      </c>
    </row>
    <row r="6863" spans="1:9" x14ac:dyDescent="0.2">
      <c r="A6863" t="s">
        <v>1451</v>
      </c>
      <c r="B6863" t="s">
        <v>1467</v>
      </c>
      <c r="C6863" t="str">
        <f t="shared" si="334"/>
        <v>38684780000000</v>
      </c>
      <c r="D6863" t="s">
        <v>7961</v>
      </c>
      <c r="E6863" t="str">
        <f>"38684786059919"</f>
        <v>38684786059919</v>
      </c>
      <c r="F6863" s="8">
        <v>405</v>
      </c>
      <c r="G6863" s="8">
        <v>8649</v>
      </c>
      <c r="H6863" s="8">
        <v>1079</v>
      </c>
      <c r="I6863" s="8">
        <v>4635</v>
      </c>
    </row>
    <row r="6864" spans="1:9" x14ac:dyDescent="0.2">
      <c r="A6864" t="s">
        <v>1451</v>
      </c>
      <c r="B6864" t="s">
        <v>1467</v>
      </c>
      <c r="C6864" t="str">
        <f t="shared" si="334"/>
        <v>38684780000000</v>
      </c>
      <c r="D6864" t="s">
        <v>7962</v>
      </c>
      <c r="E6864" t="str">
        <f>"38684780119875"</f>
        <v>38684780119875</v>
      </c>
      <c r="F6864" s="8">
        <v>25</v>
      </c>
      <c r="G6864" s="8">
        <v>10424</v>
      </c>
      <c r="H6864" s="8">
        <v>516</v>
      </c>
      <c r="I6864" s="8">
        <v>3432</v>
      </c>
    </row>
    <row r="6865" spans="1:9" x14ac:dyDescent="0.2">
      <c r="A6865" t="s">
        <v>1451</v>
      </c>
      <c r="B6865" t="s">
        <v>1467</v>
      </c>
      <c r="C6865" t="str">
        <f t="shared" si="334"/>
        <v>38684780000000</v>
      </c>
      <c r="D6865" t="s">
        <v>7963</v>
      </c>
      <c r="E6865" t="str">
        <f>"38684786040968"</f>
        <v>38684786040968</v>
      </c>
      <c r="F6865" s="8">
        <v>570</v>
      </c>
      <c r="G6865" s="8">
        <v>8260</v>
      </c>
      <c r="H6865" s="8">
        <v>1925</v>
      </c>
      <c r="I6865" s="8">
        <v>3623</v>
      </c>
    </row>
    <row r="6866" spans="1:9" x14ac:dyDescent="0.2">
      <c r="A6866" t="s">
        <v>1451</v>
      </c>
      <c r="B6866" t="s">
        <v>1467</v>
      </c>
      <c r="C6866" t="str">
        <f t="shared" si="334"/>
        <v>38684780000000</v>
      </c>
      <c r="D6866" t="s">
        <v>7964</v>
      </c>
      <c r="E6866" t="str">
        <f>"38684783830403"</f>
        <v>38684783830403</v>
      </c>
      <c r="F6866" s="8">
        <v>614</v>
      </c>
      <c r="G6866" s="8">
        <v>7548</v>
      </c>
      <c r="H6866" s="8">
        <v>654</v>
      </c>
      <c r="I6866" s="8">
        <v>4814</v>
      </c>
    </row>
    <row r="6867" spans="1:9" x14ac:dyDescent="0.2">
      <c r="A6867" t="s">
        <v>1451</v>
      </c>
      <c r="B6867" t="s">
        <v>1467</v>
      </c>
      <c r="C6867" t="str">
        <f t="shared" si="334"/>
        <v>38684780000000</v>
      </c>
      <c r="D6867" t="s">
        <v>7965</v>
      </c>
      <c r="E6867" t="str">
        <f>"38684786062053"</f>
        <v>38684786062053</v>
      </c>
      <c r="F6867" s="8">
        <v>396</v>
      </c>
      <c r="G6867" s="8">
        <v>7689</v>
      </c>
      <c r="H6867" s="8">
        <v>773</v>
      </c>
      <c r="I6867" s="8">
        <v>4604</v>
      </c>
    </row>
    <row r="6868" spans="1:9" x14ac:dyDescent="0.2">
      <c r="A6868" t="s">
        <v>1451</v>
      </c>
      <c r="B6868" t="s">
        <v>1467</v>
      </c>
      <c r="C6868" t="str">
        <f t="shared" si="334"/>
        <v>38684780000000</v>
      </c>
      <c r="D6868" t="s">
        <v>7966</v>
      </c>
      <c r="E6868" t="str">
        <f>"38684786041545"</f>
        <v>38684786041545</v>
      </c>
      <c r="F6868" s="8">
        <v>395</v>
      </c>
      <c r="G6868" s="8">
        <v>8008</v>
      </c>
      <c r="H6868" s="8">
        <v>582</v>
      </c>
      <c r="I6868" s="8">
        <v>4294</v>
      </c>
    </row>
    <row r="6869" spans="1:9" x14ac:dyDescent="0.2">
      <c r="A6869" t="s">
        <v>1451</v>
      </c>
      <c r="B6869" t="s">
        <v>1467</v>
      </c>
      <c r="C6869" t="str">
        <f t="shared" si="334"/>
        <v>38684780000000</v>
      </c>
      <c r="D6869" t="s">
        <v>2503</v>
      </c>
      <c r="E6869" t="str">
        <f>"38684786041255"</f>
        <v>38684786041255</v>
      </c>
      <c r="F6869" s="8">
        <v>585</v>
      </c>
      <c r="G6869" s="8">
        <v>7824</v>
      </c>
      <c r="H6869" s="8">
        <v>1101</v>
      </c>
      <c r="I6869" s="8">
        <v>3566</v>
      </c>
    </row>
    <row r="6870" spans="1:9" x14ac:dyDescent="0.2">
      <c r="A6870" t="s">
        <v>1451</v>
      </c>
      <c r="B6870" t="s">
        <v>1467</v>
      </c>
      <c r="C6870" t="str">
        <f t="shared" si="334"/>
        <v>38684780000000</v>
      </c>
      <c r="D6870" t="s">
        <v>7967</v>
      </c>
      <c r="E6870" t="str">
        <f>"38684786040760"</f>
        <v>38684786040760</v>
      </c>
      <c r="F6870" s="8">
        <v>331</v>
      </c>
      <c r="G6870" s="8">
        <v>6277</v>
      </c>
      <c r="H6870" s="8">
        <v>2185</v>
      </c>
      <c r="I6870" s="8">
        <v>4192</v>
      </c>
    </row>
    <row r="6871" spans="1:9" x14ac:dyDescent="0.2">
      <c r="A6871" t="s">
        <v>1451</v>
      </c>
      <c r="B6871" t="s">
        <v>1467</v>
      </c>
      <c r="C6871" t="str">
        <f t="shared" si="334"/>
        <v>38684780000000</v>
      </c>
      <c r="D6871" t="s">
        <v>7968</v>
      </c>
      <c r="E6871" t="str">
        <f>"38684783834082"</f>
        <v>38684783834082</v>
      </c>
      <c r="F6871" s="8">
        <v>112</v>
      </c>
      <c r="G6871" s="8">
        <v>7280</v>
      </c>
      <c r="H6871" s="8">
        <v>809</v>
      </c>
      <c r="I6871" s="8">
        <v>4525</v>
      </c>
    </row>
    <row r="6872" spans="1:9" x14ac:dyDescent="0.2">
      <c r="A6872" t="s">
        <v>1451</v>
      </c>
      <c r="B6872" t="s">
        <v>1467</v>
      </c>
      <c r="C6872" t="str">
        <f t="shared" si="334"/>
        <v>38684780000000</v>
      </c>
      <c r="D6872" t="s">
        <v>7969</v>
      </c>
      <c r="E6872" t="str">
        <f>"38684783834769"</f>
        <v>38684783834769</v>
      </c>
      <c r="F6872" s="8">
        <v>419</v>
      </c>
      <c r="G6872" s="8">
        <v>6721</v>
      </c>
      <c r="H6872" s="8">
        <v>374</v>
      </c>
      <c r="I6872" s="8">
        <v>4963</v>
      </c>
    </row>
    <row r="6873" spans="1:9" x14ac:dyDescent="0.2">
      <c r="A6873" t="s">
        <v>1451</v>
      </c>
      <c r="B6873" t="s">
        <v>1467</v>
      </c>
      <c r="C6873" t="str">
        <f t="shared" si="334"/>
        <v>38684780000000</v>
      </c>
      <c r="D6873" t="s">
        <v>7970</v>
      </c>
      <c r="E6873" t="str">
        <f>"38684786115901"</f>
        <v>38684786115901</v>
      </c>
      <c r="F6873" s="8">
        <v>606</v>
      </c>
      <c r="G6873" s="8">
        <v>7122</v>
      </c>
      <c r="H6873" s="8">
        <v>495</v>
      </c>
      <c r="I6873" s="8">
        <v>3855</v>
      </c>
    </row>
    <row r="6874" spans="1:9" x14ac:dyDescent="0.2">
      <c r="A6874" t="s">
        <v>1451</v>
      </c>
      <c r="B6874" t="s">
        <v>1467</v>
      </c>
      <c r="C6874" t="str">
        <f t="shared" si="334"/>
        <v>38684780000000</v>
      </c>
      <c r="D6874" t="s">
        <v>280</v>
      </c>
      <c r="E6874" t="str">
        <f>"38684786041040"</f>
        <v>38684786041040</v>
      </c>
      <c r="F6874" s="8">
        <v>410</v>
      </c>
      <c r="G6874" s="8">
        <v>7544</v>
      </c>
      <c r="H6874" s="8">
        <v>265</v>
      </c>
      <c r="I6874" s="8">
        <v>3673</v>
      </c>
    </row>
    <row r="6875" spans="1:9" x14ac:dyDescent="0.2">
      <c r="A6875" t="s">
        <v>1451</v>
      </c>
      <c r="B6875" t="s">
        <v>1467</v>
      </c>
      <c r="C6875" t="str">
        <f t="shared" si="334"/>
        <v>38684780000000</v>
      </c>
      <c r="D6875" t="s">
        <v>7971</v>
      </c>
      <c r="E6875" t="str">
        <f>"38684786041149"</f>
        <v>38684786041149</v>
      </c>
      <c r="F6875" s="8">
        <v>383</v>
      </c>
      <c r="G6875" s="8">
        <v>7334</v>
      </c>
      <c r="H6875" s="8">
        <v>641</v>
      </c>
      <c r="I6875" s="8">
        <v>3381</v>
      </c>
    </row>
    <row r="6876" spans="1:9" x14ac:dyDescent="0.2">
      <c r="A6876" t="s">
        <v>1451</v>
      </c>
      <c r="B6876" t="s">
        <v>1467</v>
      </c>
      <c r="C6876" t="str">
        <f t="shared" si="334"/>
        <v>38684780000000</v>
      </c>
      <c r="D6876" t="s">
        <v>7972</v>
      </c>
      <c r="E6876" t="str">
        <f>"38684786062038"</f>
        <v>38684786062038</v>
      </c>
      <c r="F6876" s="8">
        <v>559</v>
      </c>
      <c r="G6876" s="8">
        <v>6410</v>
      </c>
      <c r="H6876" s="8">
        <v>932</v>
      </c>
      <c r="I6876" s="8">
        <v>3677</v>
      </c>
    </row>
    <row r="6877" spans="1:9" x14ac:dyDescent="0.2">
      <c r="A6877" t="s">
        <v>1451</v>
      </c>
      <c r="B6877" t="s">
        <v>1467</v>
      </c>
      <c r="C6877" t="str">
        <f t="shared" si="334"/>
        <v>38684780000000</v>
      </c>
      <c r="D6877" t="s">
        <v>4016</v>
      </c>
      <c r="E6877" t="str">
        <f>"38684786040778"</f>
        <v>38684786040778</v>
      </c>
      <c r="F6877" s="8">
        <v>654</v>
      </c>
      <c r="G6877" s="8">
        <v>7450</v>
      </c>
      <c r="H6877" s="8">
        <v>419</v>
      </c>
      <c r="I6877" s="8">
        <v>2859</v>
      </c>
    </row>
    <row r="6878" spans="1:9" x14ac:dyDescent="0.2">
      <c r="A6878" t="s">
        <v>1451</v>
      </c>
      <c r="B6878" t="s">
        <v>1467</v>
      </c>
      <c r="C6878" t="str">
        <f t="shared" si="334"/>
        <v>38684780000000</v>
      </c>
      <c r="D6878" t="s">
        <v>7973</v>
      </c>
      <c r="E6878" t="str">
        <f>"38684786062046"</f>
        <v>38684786062046</v>
      </c>
      <c r="F6878" s="8">
        <v>324</v>
      </c>
      <c r="G6878" s="8">
        <v>6938</v>
      </c>
      <c r="H6878" s="8">
        <v>602</v>
      </c>
      <c r="I6878" s="8">
        <v>3183</v>
      </c>
    </row>
    <row r="6879" spans="1:9" x14ac:dyDescent="0.2">
      <c r="A6879" t="s">
        <v>1451</v>
      </c>
      <c r="B6879" t="s">
        <v>1467</v>
      </c>
      <c r="C6879" t="str">
        <f t="shared" si="334"/>
        <v>38684780000000</v>
      </c>
      <c r="D6879" t="s">
        <v>7974</v>
      </c>
      <c r="E6879" t="str">
        <f>"38684786041503"</f>
        <v>38684786041503</v>
      </c>
      <c r="F6879" s="8">
        <v>311</v>
      </c>
      <c r="G6879" s="8">
        <v>7324</v>
      </c>
      <c r="H6879" s="8">
        <v>675</v>
      </c>
      <c r="I6879" s="8">
        <v>2707</v>
      </c>
    </row>
    <row r="6880" spans="1:9" x14ac:dyDescent="0.2">
      <c r="A6880" t="s">
        <v>1451</v>
      </c>
      <c r="B6880" t="s">
        <v>1467</v>
      </c>
      <c r="C6880" t="str">
        <f t="shared" si="334"/>
        <v>38684780000000</v>
      </c>
      <c r="D6880" t="s">
        <v>7975</v>
      </c>
      <c r="E6880" t="str">
        <f>"38684786059885"</f>
        <v>38684786059885</v>
      </c>
      <c r="F6880" s="8">
        <v>667</v>
      </c>
      <c r="G6880" s="8">
        <v>6324</v>
      </c>
      <c r="H6880" s="8">
        <v>628</v>
      </c>
      <c r="I6880" s="8">
        <v>3372</v>
      </c>
    </row>
    <row r="6881" spans="1:9" x14ac:dyDescent="0.2">
      <c r="A6881" t="s">
        <v>1451</v>
      </c>
      <c r="B6881" t="s">
        <v>1467</v>
      </c>
      <c r="C6881" t="str">
        <f t="shared" si="334"/>
        <v>38684780000000</v>
      </c>
      <c r="D6881" t="s">
        <v>5228</v>
      </c>
      <c r="E6881" t="str">
        <f>"38684786041594"</f>
        <v>38684786041594</v>
      </c>
      <c r="F6881" s="8">
        <v>436</v>
      </c>
      <c r="G6881" s="8">
        <v>7647</v>
      </c>
      <c r="H6881" s="8">
        <v>545</v>
      </c>
      <c r="I6881" s="8">
        <v>2330</v>
      </c>
    </row>
    <row r="6882" spans="1:9" x14ac:dyDescent="0.2">
      <c r="A6882" t="s">
        <v>1451</v>
      </c>
      <c r="B6882" t="s">
        <v>1467</v>
      </c>
      <c r="C6882" t="str">
        <f t="shared" si="334"/>
        <v>38684780000000</v>
      </c>
      <c r="D6882" t="s">
        <v>5699</v>
      </c>
      <c r="E6882" t="str">
        <f>"38684786041487"</f>
        <v>38684786041487</v>
      </c>
      <c r="F6882" s="8">
        <v>806</v>
      </c>
      <c r="G6882" s="8">
        <v>6770</v>
      </c>
      <c r="H6882" s="8">
        <v>528</v>
      </c>
      <c r="I6882" s="8">
        <v>2642</v>
      </c>
    </row>
    <row r="6883" spans="1:9" x14ac:dyDescent="0.2">
      <c r="A6883" t="s">
        <v>1451</v>
      </c>
      <c r="B6883" t="s">
        <v>1467</v>
      </c>
      <c r="C6883" t="str">
        <f t="shared" si="334"/>
        <v>38684780000000</v>
      </c>
      <c r="D6883" t="s">
        <v>7976</v>
      </c>
      <c r="E6883" t="str">
        <f>"38684786093488"</f>
        <v>38684786093488</v>
      </c>
      <c r="F6883" s="8">
        <v>517</v>
      </c>
      <c r="G6883" s="8">
        <v>6245</v>
      </c>
      <c r="H6883" s="8">
        <v>357</v>
      </c>
      <c r="I6883" s="8">
        <v>3559</v>
      </c>
    </row>
    <row r="6884" spans="1:9" x14ac:dyDescent="0.2">
      <c r="A6884" t="s">
        <v>1451</v>
      </c>
      <c r="B6884" t="s">
        <v>1467</v>
      </c>
      <c r="C6884" t="str">
        <f t="shared" ref="C6884:C6915" si="335">"38684780000000"</f>
        <v>38684780000000</v>
      </c>
      <c r="D6884" t="s">
        <v>3850</v>
      </c>
      <c r="E6884" t="str">
        <f>"38684786041156"</f>
        <v>38684786041156</v>
      </c>
      <c r="F6884" s="8">
        <v>475</v>
      </c>
      <c r="G6884" s="8">
        <v>6337</v>
      </c>
      <c r="H6884" s="8">
        <v>872</v>
      </c>
      <c r="I6884" s="8">
        <v>2918</v>
      </c>
    </row>
    <row r="6885" spans="1:9" x14ac:dyDescent="0.2">
      <c r="A6885" t="s">
        <v>1451</v>
      </c>
      <c r="B6885" t="s">
        <v>1467</v>
      </c>
      <c r="C6885" t="str">
        <f t="shared" si="335"/>
        <v>38684780000000</v>
      </c>
      <c r="D6885" t="s">
        <v>7977</v>
      </c>
      <c r="E6885" t="str">
        <f>"38684780119958"</f>
        <v>38684780119958</v>
      </c>
      <c r="F6885" s="8">
        <v>315</v>
      </c>
      <c r="G6885" s="8">
        <v>6277</v>
      </c>
      <c r="H6885" s="8">
        <v>178</v>
      </c>
      <c r="I6885" s="8">
        <v>3747</v>
      </c>
    </row>
    <row r="6886" spans="1:9" x14ac:dyDescent="0.2">
      <c r="A6886" t="s">
        <v>1451</v>
      </c>
      <c r="B6886" t="s">
        <v>1467</v>
      </c>
      <c r="C6886" t="str">
        <f t="shared" si="335"/>
        <v>38684780000000</v>
      </c>
      <c r="D6886" t="s">
        <v>7730</v>
      </c>
      <c r="E6886" t="str">
        <f>"38684786041578"</f>
        <v>38684786041578</v>
      </c>
      <c r="F6886" s="8">
        <v>14</v>
      </c>
      <c r="G6886" s="8">
        <v>6708</v>
      </c>
      <c r="H6886" s="8">
        <v>612</v>
      </c>
      <c r="I6886" s="8">
        <v>3023</v>
      </c>
    </row>
    <row r="6887" spans="1:9" x14ac:dyDescent="0.2">
      <c r="A6887" t="s">
        <v>1451</v>
      </c>
      <c r="B6887" t="s">
        <v>1467</v>
      </c>
      <c r="C6887" t="str">
        <f t="shared" si="335"/>
        <v>38684780000000</v>
      </c>
      <c r="D6887" t="s">
        <v>7978</v>
      </c>
      <c r="E6887" t="str">
        <f>"38684786041073"</f>
        <v>38684786041073</v>
      </c>
      <c r="F6887" s="8">
        <v>334</v>
      </c>
      <c r="G6887" s="8">
        <v>6878</v>
      </c>
      <c r="H6887" s="8">
        <v>262</v>
      </c>
      <c r="I6887" s="8">
        <v>2876</v>
      </c>
    </row>
    <row r="6888" spans="1:9" x14ac:dyDescent="0.2">
      <c r="A6888" t="s">
        <v>1451</v>
      </c>
      <c r="B6888" t="s">
        <v>1467</v>
      </c>
      <c r="C6888" t="str">
        <f t="shared" si="335"/>
        <v>38684780000000</v>
      </c>
      <c r="D6888" t="s">
        <v>7979</v>
      </c>
      <c r="E6888" t="str">
        <f>"38684786041701"</f>
        <v>38684786041701</v>
      </c>
      <c r="F6888" s="8">
        <v>359</v>
      </c>
      <c r="G6888" s="8">
        <v>7231</v>
      </c>
      <c r="H6888" s="8">
        <v>386</v>
      </c>
      <c r="I6888" s="8">
        <v>2289</v>
      </c>
    </row>
    <row r="6889" spans="1:9" x14ac:dyDescent="0.2">
      <c r="A6889" t="s">
        <v>1451</v>
      </c>
      <c r="B6889" t="s">
        <v>1467</v>
      </c>
      <c r="C6889" t="str">
        <f t="shared" si="335"/>
        <v>38684780000000</v>
      </c>
      <c r="D6889" t="s">
        <v>7980</v>
      </c>
      <c r="E6889" t="str">
        <f>"38684786059844"</f>
        <v>38684786059844</v>
      </c>
      <c r="F6889" s="8">
        <v>541</v>
      </c>
      <c r="G6889" s="8">
        <v>6913</v>
      </c>
      <c r="H6889" s="8">
        <v>370</v>
      </c>
      <c r="I6889" s="8">
        <v>2433</v>
      </c>
    </row>
    <row r="6890" spans="1:9" x14ac:dyDescent="0.2">
      <c r="A6890" t="s">
        <v>1451</v>
      </c>
      <c r="B6890" t="s">
        <v>1467</v>
      </c>
      <c r="C6890" t="str">
        <f t="shared" si="335"/>
        <v>38684780000000</v>
      </c>
      <c r="D6890" t="s">
        <v>7981</v>
      </c>
      <c r="E6890" t="str">
        <f>"38684786041206"</f>
        <v>38684786041206</v>
      </c>
      <c r="F6890" s="8">
        <v>405</v>
      </c>
      <c r="G6890" s="8">
        <v>8118</v>
      </c>
      <c r="H6890" s="8">
        <v>524</v>
      </c>
      <c r="I6890" s="8">
        <v>1100</v>
      </c>
    </row>
    <row r="6891" spans="1:9" x14ac:dyDescent="0.2">
      <c r="A6891" t="s">
        <v>1451</v>
      </c>
      <c r="B6891" t="s">
        <v>1467</v>
      </c>
      <c r="C6891" t="str">
        <f t="shared" si="335"/>
        <v>38684780000000</v>
      </c>
      <c r="D6891" t="s">
        <v>2110</v>
      </c>
      <c r="E6891" t="str">
        <f>"38684786041412"</f>
        <v>38684786041412</v>
      </c>
      <c r="F6891" s="8">
        <v>390</v>
      </c>
      <c r="G6891" s="8">
        <v>7736</v>
      </c>
      <c r="H6891" s="8">
        <v>202</v>
      </c>
      <c r="I6891" s="8">
        <v>1811</v>
      </c>
    </row>
    <row r="6892" spans="1:9" x14ac:dyDescent="0.2">
      <c r="A6892" t="s">
        <v>1451</v>
      </c>
      <c r="B6892" t="s">
        <v>1467</v>
      </c>
      <c r="C6892" t="str">
        <f t="shared" si="335"/>
        <v>38684780000000</v>
      </c>
      <c r="D6892" t="s">
        <v>7982</v>
      </c>
      <c r="E6892" t="str">
        <f>"38684786041602"</f>
        <v>38684786041602</v>
      </c>
      <c r="F6892" s="8">
        <v>123</v>
      </c>
      <c r="G6892" s="8">
        <v>6171</v>
      </c>
      <c r="H6892" s="8">
        <v>447</v>
      </c>
      <c r="I6892" s="8">
        <v>3331</v>
      </c>
    </row>
    <row r="6893" spans="1:9" x14ac:dyDescent="0.2">
      <c r="A6893" t="s">
        <v>1451</v>
      </c>
      <c r="B6893" t="s">
        <v>1467</v>
      </c>
      <c r="C6893" t="str">
        <f t="shared" si="335"/>
        <v>38684780000000</v>
      </c>
      <c r="D6893" t="s">
        <v>7983</v>
      </c>
      <c r="E6893" t="str">
        <f>"38684786041131"</f>
        <v>38684786041131</v>
      </c>
      <c r="F6893" s="8">
        <v>0</v>
      </c>
      <c r="G6893" s="8">
        <v>6431</v>
      </c>
      <c r="H6893" s="8">
        <v>418</v>
      </c>
      <c r="I6893" s="8">
        <v>3216</v>
      </c>
    </row>
    <row r="6894" spans="1:9" x14ac:dyDescent="0.2">
      <c r="A6894" t="s">
        <v>1451</v>
      </c>
      <c r="B6894" t="s">
        <v>1467</v>
      </c>
      <c r="C6894" t="str">
        <f t="shared" si="335"/>
        <v>38684780000000</v>
      </c>
      <c r="D6894" t="s">
        <v>2992</v>
      </c>
      <c r="E6894" t="str">
        <f>"38684786041560"</f>
        <v>38684786041560</v>
      </c>
      <c r="F6894" s="8">
        <v>417</v>
      </c>
      <c r="G6894" s="8">
        <v>6964</v>
      </c>
      <c r="H6894" s="8">
        <v>334</v>
      </c>
      <c r="I6894" s="8">
        <v>2326</v>
      </c>
    </row>
    <row r="6895" spans="1:9" x14ac:dyDescent="0.2">
      <c r="A6895" t="s">
        <v>1451</v>
      </c>
      <c r="B6895" t="s">
        <v>1467</v>
      </c>
      <c r="C6895" t="str">
        <f t="shared" si="335"/>
        <v>38684780000000</v>
      </c>
      <c r="D6895" t="s">
        <v>7984</v>
      </c>
      <c r="E6895" t="str">
        <f>"38684786041289"</f>
        <v>38684786041289</v>
      </c>
      <c r="F6895" s="8">
        <v>370</v>
      </c>
      <c r="G6895" s="8">
        <v>7340</v>
      </c>
      <c r="H6895" s="8">
        <v>333</v>
      </c>
      <c r="I6895" s="8">
        <v>1851</v>
      </c>
    </row>
    <row r="6896" spans="1:9" x14ac:dyDescent="0.2">
      <c r="A6896" t="s">
        <v>1451</v>
      </c>
      <c r="B6896" t="s">
        <v>1467</v>
      </c>
      <c r="C6896" t="str">
        <f t="shared" si="335"/>
        <v>38684780000000</v>
      </c>
      <c r="D6896" t="s">
        <v>7985</v>
      </c>
      <c r="E6896" t="str">
        <f>"38684783830254"</f>
        <v>38684783830254</v>
      </c>
      <c r="F6896" s="8">
        <v>101</v>
      </c>
      <c r="G6896" s="8">
        <v>6213</v>
      </c>
      <c r="H6896" s="8">
        <v>336</v>
      </c>
      <c r="I6896" s="8">
        <v>3117</v>
      </c>
    </row>
    <row r="6897" spans="1:9" x14ac:dyDescent="0.2">
      <c r="A6897" t="s">
        <v>1451</v>
      </c>
      <c r="B6897" t="s">
        <v>1467</v>
      </c>
      <c r="C6897" t="str">
        <f t="shared" si="335"/>
        <v>38684780000000</v>
      </c>
      <c r="D6897" t="s">
        <v>7986</v>
      </c>
      <c r="E6897" t="str">
        <f>"38684786041347"</f>
        <v>38684786041347</v>
      </c>
      <c r="F6897" s="8">
        <v>381</v>
      </c>
      <c r="G6897" s="8">
        <v>6519</v>
      </c>
      <c r="H6897" s="8">
        <v>561</v>
      </c>
      <c r="I6897" s="8">
        <v>2175</v>
      </c>
    </row>
    <row r="6898" spans="1:9" x14ac:dyDescent="0.2">
      <c r="A6898" t="s">
        <v>1451</v>
      </c>
      <c r="B6898" t="s">
        <v>1467</v>
      </c>
      <c r="C6898" t="str">
        <f t="shared" si="335"/>
        <v>38684780000000</v>
      </c>
      <c r="D6898" t="s">
        <v>7987</v>
      </c>
      <c r="E6898" t="str">
        <f>"38684786059869"</f>
        <v>38684786059869</v>
      </c>
      <c r="F6898" s="8">
        <v>372</v>
      </c>
      <c r="G6898" s="8">
        <v>5321</v>
      </c>
      <c r="H6898" s="8">
        <v>611</v>
      </c>
      <c r="I6898" s="8">
        <v>3138</v>
      </c>
    </row>
    <row r="6899" spans="1:9" x14ac:dyDescent="0.2">
      <c r="A6899" t="s">
        <v>1451</v>
      </c>
      <c r="B6899" t="s">
        <v>1467</v>
      </c>
      <c r="C6899" t="str">
        <f t="shared" si="335"/>
        <v>38684780000000</v>
      </c>
      <c r="D6899" t="s">
        <v>7988</v>
      </c>
      <c r="E6899" t="str">
        <f>"38684783830288"</f>
        <v>38684783830288</v>
      </c>
      <c r="F6899" s="8">
        <v>63</v>
      </c>
      <c r="G6899" s="8">
        <v>6165</v>
      </c>
      <c r="H6899" s="8">
        <v>727</v>
      </c>
      <c r="I6899" s="8">
        <v>2481</v>
      </c>
    </row>
    <row r="6900" spans="1:9" x14ac:dyDescent="0.2">
      <c r="A6900" t="s">
        <v>1451</v>
      </c>
      <c r="B6900" t="s">
        <v>1467</v>
      </c>
      <c r="C6900" t="str">
        <f t="shared" si="335"/>
        <v>38684780000000</v>
      </c>
      <c r="D6900" t="s">
        <v>2306</v>
      </c>
      <c r="E6900" t="str">
        <f>"38684786040836"</f>
        <v>38684786040836</v>
      </c>
      <c r="F6900" s="8">
        <v>290</v>
      </c>
      <c r="G6900" s="8">
        <v>6419</v>
      </c>
      <c r="H6900" s="8">
        <v>721</v>
      </c>
      <c r="I6900" s="8">
        <v>1932</v>
      </c>
    </row>
    <row r="6901" spans="1:9" x14ac:dyDescent="0.2">
      <c r="A6901" t="s">
        <v>1451</v>
      </c>
      <c r="B6901" t="s">
        <v>1467</v>
      </c>
      <c r="C6901" t="str">
        <f t="shared" si="335"/>
        <v>38684780000000</v>
      </c>
      <c r="D6901" t="s">
        <v>7989</v>
      </c>
      <c r="E6901" t="str">
        <f>"38684786041321"</f>
        <v>38684786041321</v>
      </c>
      <c r="F6901" s="8">
        <v>224</v>
      </c>
      <c r="G6901" s="8">
        <v>5856</v>
      </c>
      <c r="H6901" s="8">
        <v>298</v>
      </c>
      <c r="I6901" s="8">
        <v>2955</v>
      </c>
    </row>
    <row r="6902" spans="1:9" x14ac:dyDescent="0.2">
      <c r="A6902" t="s">
        <v>1451</v>
      </c>
      <c r="B6902" t="s">
        <v>1467</v>
      </c>
      <c r="C6902" t="str">
        <f t="shared" si="335"/>
        <v>38684780000000</v>
      </c>
      <c r="D6902" t="s">
        <v>7990</v>
      </c>
      <c r="E6902" t="str">
        <f>"38684786041339"</f>
        <v>38684786041339</v>
      </c>
      <c r="F6902" s="8">
        <v>0</v>
      </c>
      <c r="G6902" s="8">
        <v>6327</v>
      </c>
      <c r="H6902" s="8">
        <v>501</v>
      </c>
      <c r="I6902" s="8">
        <v>2432</v>
      </c>
    </row>
    <row r="6903" spans="1:9" x14ac:dyDescent="0.2">
      <c r="A6903" t="s">
        <v>1451</v>
      </c>
      <c r="B6903" t="s">
        <v>1467</v>
      </c>
      <c r="C6903" t="str">
        <f t="shared" si="335"/>
        <v>38684780000000</v>
      </c>
      <c r="D6903" t="s">
        <v>7991</v>
      </c>
      <c r="E6903" t="str">
        <f>"38684786041115"</f>
        <v>38684786041115</v>
      </c>
      <c r="F6903" s="8">
        <v>77</v>
      </c>
      <c r="G6903" s="8">
        <v>6505</v>
      </c>
      <c r="H6903" s="8">
        <v>518</v>
      </c>
      <c r="I6903" s="8">
        <v>2140</v>
      </c>
    </row>
    <row r="6904" spans="1:9" x14ac:dyDescent="0.2">
      <c r="A6904" t="s">
        <v>1451</v>
      </c>
      <c r="B6904" t="s">
        <v>1467</v>
      </c>
      <c r="C6904" t="str">
        <f t="shared" si="335"/>
        <v>38684780000000</v>
      </c>
      <c r="D6904" t="s">
        <v>7992</v>
      </c>
      <c r="E6904" t="str">
        <f>"38684786041065"</f>
        <v>38684786041065</v>
      </c>
      <c r="F6904" s="8">
        <v>97</v>
      </c>
      <c r="G6904" s="8">
        <v>6339</v>
      </c>
      <c r="H6904" s="8">
        <v>630</v>
      </c>
      <c r="I6904" s="8">
        <v>2165</v>
      </c>
    </row>
    <row r="6905" spans="1:9" x14ac:dyDescent="0.2">
      <c r="A6905" t="s">
        <v>1451</v>
      </c>
      <c r="B6905" t="s">
        <v>1467</v>
      </c>
      <c r="C6905" t="str">
        <f t="shared" si="335"/>
        <v>38684780000000</v>
      </c>
      <c r="D6905" t="s">
        <v>7993</v>
      </c>
      <c r="E6905" t="str">
        <f>"38684783830387"</f>
        <v>38684783830387</v>
      </c>
      <c r="F6905" s="8">
        <v>148</v>
      </c>
      <c r="G6905" s="8">
        <v>7335</v>
      </c>
      <c r="H6905" s="8">
        <v>256</v>
      </c>
      <c r="I6905" s="8">
        <v>1483</v>
      </c>
    </row>
    <row r="6906" spans="1:9" x14ac:dyDescent="0.2">
      <c r="A6906" t="s">
        <v>1451</v>
      </c>
      <c r="B6906" t="s">
        <v>1467</v>
      </c>
      <c r="C6906" t="str">
        <f t="shared" si="335"/>
        <v>38684780000000</v>
      </c>
      <c r="D6906" t="s">
        <v>7994</v>
      </c>
      <c r="E6906" t="str">
        <f>"38684786041438"</f>
        <v>38684786041438</v>
      </c>
      <c r="F6906" s="8">
        <v>133</v>
      </c>
      <c r="G6906" s="8">
        <v>6086</v>
      </c>
      <c r="H6906" s="8">
        <v>755</v>
      </c>
      <c r="I6906" s="8">
        <v>2246</v>
      </c>
    </row>
    <row r="6907" spans="1:9" x14ac:dyDescent="0.2">
      <c r="A6907" t="s">
        <v>1451</v>
      </c>
      <c r="B6907" t="s">
        <v>1467</v>
      </c>
      <c r="C6907" t="str">
        <f t="shared" si="335"/>
        <v>38684780000000</v>
      </c>
      <c r="D6907" t="s">
        <v>7995</v>
      </c>
      <c r="E6907" t="str">
        <f>"38684786040984"</f>
        <v>38684786040984</v>
      </c>
      <c r="F6907" s="8">
        <v>238</v>
      </c>
      <c r="G6907" s="8">
        <v>5858</v>
      </c>
      <c r="H6907" s="8">
        <v>370</v>
      </c>
      <c r="I6907" s="8">
        <v>2664</v>
      </c>
    </row>
    <row r="6908" spans="1:9" x14ac:dyDescent="0.2">
      <c r="A6908" t="s">
        <v>1451</v>
      </c>
      <c r="B6908" t="s">
        <v>1467</v>
      </c>
      <c r="C6908" t="str">
        <f t="shared" si="335"/>
        <v>38684780000000</v>
      </c>
      <c r="D6908" t="s">
        <v>7996</v>
      </c>
      <c r="E6908" t="str">
        <f>"38684786041123"</f>
        <v>38684786041123</v>
      </c>
      <c r="F6908" s="8">
        <v>292</v>
      </c>
      <c r="G6908" s="8">
        <v>7587</v>
      </c>
      <c r="H6908" s="8">
        <v>239</v>
      </c>
      <c r="I6908" s="8">
        <v>999</v>
      </c>
    </row>
    <row r="6909" spans="1:9" x14ac:dyDescent="0.2">
      <c r="A6909" t="s">
        <v>1451</v>
      </c>
      <c r="B6909" t="s">
        <v>1467</v>
      </c>
      <c r="C6909" t="str">
        <f t="shared" si="335"/>
        <v>38684780000000</v>
      </c>
      <c r="D6909" t="s">
        <v>7997</v>
      </c>
      <c r="E6909" t="str">
        <f>"38684786062061"</f>
        <v>38684786062061</v>
      </c>
      <c r="F6909" s="8">
        <v>484</v>
      </c>
      <c r="G6909" s="8">
        <v>5768</v>
      </c>
      <c r="H6909" s="8">
        <v>624</v>
      </c>
      <c r="I6909" s="8">
        <v>2223</v>
      </c>
    </row>
    <row r="6910" spans="1:9" x14ac:dyDescent="0.2">
      <c r="A6910" t="s">
        <v>1451</v>
      </c>
      <c r="B6910" t="s">
        <v>1467</v>
      </c>
      <c r="C6910" t="str">
        <f t="shared" si="335"/>
        <v>38684780000000</v>
      </c>
      <c r="D6910" t="s">
        <v>7998</v>
      </c>
      <c r="E6910" t="str">
        <f>"38684783830205"</f>
        <v>38684783830205</v>
      </c>
      <c r="F6910" s="8">
        <v>0</v>
      </c>
      <c r="G6910" s="8">
        <v>5363</v>
      </c>
      <c r="H6910" s="8">
        <v>334</v>
      </c>
      <c r="I6910" s="8">
        <v>3332</v>
      </c>
    </row>
    <row r="6911" spans="1:9" x14ac:dyDescent="0.2">
      <c r="A6911" t="s">
        <v>1451</v>
      </c>
      <c r="B6911" t="s">
        <v>1467</v>
      </c>
      <c r="C6911" t="str">
        <f t="shared" si="335"/>
        <v>38684780000000</v>
      </c>
      <c r="D6911" t="s">
        <v>7999</v>
      </c>
      <c r="E6911" t="str">
        <f>"38684786040919"</f>
        <v>38684786040919</v>
      </c>
      <c r="F6911" s="8">
        <v>136</v>
      </c>
      <c r="G6911" s="8">
        <v>6507</v>
      </c>
      <c r="H6911" s="8">
        <v>625</v>
      </c>
      <c r="I6911" s="8">
        <v>1674</v>
      </c>
    </row>
    <row r="6912" spans="1:9" x14ac:dyDescent="0.2">
      <c r="A6912" t="s">
        <v>1451</v>
      </c>
      <c r="B6912" t="s">
        <v>1467</v>
      </c>
      <c r="C6912" t="str">
        <f t="shared" si="335"/>
        <v>38684780000000</v>
      </c>
      <c r="D6912" t="s">
        <v>3246</v>
      </c>
      <c r="E6912" t="str">
        <f>"38684786041362"</f>
        <v>38684786041362</v>
      </c>
      <c r="F6912" s="8">
        <v>217</v>
      </c>
      <c r="G6912" s="8">
        <v>6638</v>
      </c>
      <c r="H6912" s="8">
        <v>236</v>
      </c>
      <c r="I6912" s="8">
        <v>1781</v>
      </c>
    </row>
    <row r="6913" spans="1:9" x14ac:dyDescent="0.2">
      <c r="A6913" t="s">
        <v>1451</v>
      </c>
      <c r="B6913" t="s">
        <v>1467</v>
      </c>
      <c r="C6913" t="str">
        <f t="shared" si="335"/>
        <v>38684780000000</v>
      </c>
      <c r="D6913" t="s">
        <v>8000</v>
      </c>
      <c r="E6913" t="str">
        <f>"38684786040943"</f>
        <v>38684786040943</v>
      </c>
      <c r="F6913" s="8">
        <v>548</v>
      </c>
      <c r="G6913" s="8">
        <v>6097</v>
      </c>
      <c r="H6913" s="8">
        <v>384</v>
      </c>
      <c r="I6913" s="8">
        <v>1808</v>
      </c>
    </row>
    <row r="6914" spans="1:9" x14ac:dyDescent="0.2">
      <c r="A6914" t="s">
        <v>1451</v>
      </c>
      <c r="B6914" t="s">
        <v>1467</v>
      </c>
      <c r="C6914" t="str">
        <f t="shared" si="335"/>
        <v>38684780000000</v>
      </c>
      <c r="D6914" t="s">
        <v>8001</v>
      </c>
      <c r="E6914" t="str">
        <f>"38684786099154"</f>
        <v>38684786099154</v>
      </c>
      <c r="F6914" s="8">
        <v>379</v>
      </c>
      <c r="G6914" s="8">
        <v>6775</v>
      </c>
      <c r="H6914" s="8">
        <v>110</v>
      </c>
      <c r="I6914" s="8">
        <v>1524</v>
      </c>
    </row>
    <row r="6915" spans="1:9" x14ac:dyDescent="0.2">
      <c r="A6915" t="s">
        <v>1451</v>
      </c>
      <c r="B6915" t="s">
        <v>1467</v>
      </c>
      <c r="C6915" t="str">
        <f t="shared" si="335"/>
        <v>38684780000000</v>
      </c>
      <c r="D6915" t="s">
        <v>8002</v>
      </c>
      <c r="E6915" t="str">
        <f>"38684786041529"</f>
        <v>38684786041529</v>
      </c>
      <c r="F6915" s="8">
        <v>70</v>
      </c>
      <c r="G6915" s="8">
        <v>6160</v>
      </c>
      <c r="H6915" s="8">
        <v>449</v>
      </c>
      <c r="I6915" s="8">
        <v>2067</v>
      </c>
    </row>
    <row r="6916" spans="1:9" x14ac:dyDescent="0.2">
      <c r="A6916" t="s">
        <v>1451</v>
      </c>
      <c r="B6916" t="s">
        <v>1467</v>
      </c>
      <c r="C6916" t="str">
        <f t="shared" ref="C6916:C6947" si="336">"38684780000000"</f>
        <v>38684780000000</v>
      </c>
      <c r="D6916" t="s">
        <v>8003</v>
      </c>
      <c r="E6916" t="str">
        <f>"38684786041644"</f>
        <v>38684786041644</v>
      </c>
      <c r="F6916" s="8">
        <v>430</v>
      </c>
      <c r="G6916" s="8">
        <v>6302</v>
      </c>
      <c r="H6916" s="8">
        <v>452</v>
      </c>
      <c r="I6916" s="8">
        <v>1538</v>
      </c>
    </row>
    <row r="6917" spans="1:9" x14ac:dyDescent="0.2">
      <c r="A6917" t="s">
        <v>1451</v>
      </c>
      <c r="B6917" t="s">
        <v>1467</v>
      </c>
      <c r="C6917" t="str">
        <f t="shared" si="336"/>
        <v>38684780000000</v>
      </c>
      <c r="D6917" t="s">
        <v>8004</v>
      </c>
      <c r="E6917" t="str">
        <f>"38684783831765"</f>
        <v>38684783831765</v>
      </c>
      <c r="F6917" s="8">
        <v>62</v>
      </c>
      <c r="G6917" s="8">
        <v>6257</v>
      </c>
      <c r="H6917" s="8">
        <v>416</v>
      </c>
      <c r="I6917" s="8">
        <v>1956</v>
      </c>
    </row>
    <row r="6918" spans="1:9" x14ac:dyDescent="0.2">
      <c r="A6918" t="s">
        <v>1451</v>
      </c>
      <c r="B6918" t="s">
        <v>1467</v>
      </c>
      <c r="C6918" t="str">
        <f t="shared" si="336"/>
        <v>38684780000000</v>
      </c>
      <c r="D6918" t="s">
        <v>8005</v>
      </c>
      <c r="E6918" t="str">
        <f>"38684783833241"</f>
        <v>38684783833241</v>
      </c>
      <c r="F6918" s="8">
        <v>116</v>
      </c>
      <c r="G6918" s="8">
        <v>5901</v>
      </c>
      <c r="H6918" s="8">
        <v>494</v>
      </c>
      <c r="I6918" s="8">
        <v>2165</v>
      </c>
    </row>
    <row r="6919" spans="1:9" x14ac:dyDescent="0.2">
      <c r="A6919" t="s">
        <v>1451</v>
      </c>
      <c r="B6919" t="s">
        <v>1467</v>
      </c>
      <c r="C6919" t="str">
        <f t="shared" si="336"/>
        <v>38684780000000</v>
      </c>
      <c r="D6919" t="s">
        <v>8006</v>
      </c>
      <c r="E6919" t="str">
        <f>"38684786040752"</f>
        <v>38684786040752</v>
      </c>
      <c r="F6919" s="8">
        <v>337</v>
      </c>
      <c r="G6919" s="8">
        <v>6242</v>
      </c>
      <c r="H6919" s="8">
        <v>485</v>
      </c>
      <c r="I6919" s="8">
        <v>1546</v>
      </c>
    </row>
    <row r="6920" spans="1:9" x14ac:dyDescent="0.2">
      <c r="A6920" t="s">
        <v>1451</v>
      </c>
      <c r="B6920" t="s">
        <v>1467</v>
      </c>
      <c r="C6920" t="str">
        <f t="shared" si="336"/>
        <v>38684780000000</v>
      </c>
      <c r="D6920" t="s">
        <v>8007</v>
      </c>
      <c r="E6920" t="str">
        <f>"38684786040828"</f>
        <v>38684786040828</v>
      </c>
      <c r="F6920" s="8">
        <v>65</v>
      </c>
      <c r="G6920" s="8">
        <v>5701</v>
      </c>
      <c r="H6920" s="8">
        <v>372</v>
      </c>
      <c r="I6920" s="8">
        <v>2314</v>
      </c>
    </row>
    <row r="6921" spans="1:9" x14ac:dyDescent="0.2">
      <c r="A6921" t="s">
        <v>1451</v>
      </c>
      <c r="B6921" t="s">
        <v>1467</v>
      </c>
      <c r="C6921" t="str">
        <f t="shared" si="336"/>
        <v>38684780000000</v>
      </c>
      <c r="D6921" t="s">
        <v>8008</v>
      </c>
      <c r="E6921" t="str">
        <f>"38684780123117"</f>
        <v>38684780123117</v>
      </c>
      <c r="F6921" s="8">
        <v>0</v>
      </c>
      <c r="G6921" s="8">
        <v>5826</v>
      </c>
      <c r="H6921" s="8">
        <v>396</v>
      </c>
      <c r="I6921" s="8">
        <v>2201</v>
      </c>
    </row>
    <row r="6922" spans="1:9" x14ac:dyDescent="0.2">
      <c r="A6922" t="s">
        <v>1451</v>
      </c>
      <c r="B6922" t="s">
        <v>1467</v>
      </c>
      <c r="C6922" t="str">
        <f t="shared" si="336"/>
        <v>38684780000000</v>
      </c>
      <c r="D6922" t="s">
        <v>2228</v>
      </c>
      <c r="E6922" t="str">
        <f>"38684786040703"</f>
        <v>38684786040703</v>
      </c>
      <c r="F6922" s="8">
        <v>84</v>
      </c>
      <c r="G6922" s="8">
        <v>5802</v>
      </c>
      <c r="H6922" s="8">
        <v>545</v>
      </c>
      <c r="I6922" s="8">
        <v>1941</v>
      </c>
    </row>
    <row r="6923" spans="1:9" x14ac:dyDescent="0.2">
      <c r="A6923" t="s">
        <v>1451</v>
      </c>
      <c r="B6923" t="s">
        <v>1467</v>
      </c>
      <c r="C6923" t="str">
        <f t="shared" si="336"/>
        <v>38684780000000</v>
      </c>
      <c r="D6923" t="s">
        <v>8009</v>
      </c>
      <c r="E6923" t="str">
        <f>"38684786040737"</f>
        <v>38684786040737</v>
      </c>
      <c r="F6923" s="8">
        <v>100</v>
      </c>
      <c r="G6923" s="8">
        <v>6001</v>
      </c>
      <c r="H6923" s="8">
        <v>295</v>
      </c>
      <c r="I6923" s="8">
        <v>1964</v>
      </c>
    </row>
    <row r="6924" spans="1:9" x14ac:dyDescent="0.2">
      <c r="A6924" t="s">
        <v>1451</v>
      </c>
      <c r="B6924" t="s">
        <v>1467</v>
      </c>
      <c r="C6924" t="str">
        <f t="shared" si="336"/>
        <v>38684780000000</v>
      </c>
      <c r="D6924" t="s">
        <v>8010</v>
      </c>
      <c r="E6924" t="str">
        <f>"38684786040893"</f>
        <v>38684786040893</v>
      </c>
      <c r="F6924" s="8">
        <v>0</v>
      </c>
      <c r="G6924" s="8">
        <v>5936</v>
      </c>
      <c r="H6924" s="8">
        <v>367</v>
      </c>
      <c r="I6924" s="8">
        <v>1989</v>
      </c>
    </row>
    <row r="6925" spans="1:9" x14ac:dyDescent="0.2">
      <c r="A6925" t="s">
        <v>1451</v>
      </c>
      <c r="B6925" t="s">
        <v>1467</v>
      </c>
      <c r="C6925" t="str">
        <f t="shared" si="336"/>
        <v>38684780000000</v>
      </c>
      <c r="D6925" t="s">
        <v>2290</v>
      </c>
      <c r="E6925" t="str">
        <f>"38684786059901"</f>
        <v>38684786059901</v>
      </c>
      <c r="F6925" s="8">
        <v>0</v>
      </c>
      <c r="G6925" s="8">
        <v>5141</v>
      </c>
      <c r="H6925" s="8">
        <v>669</v>
      </c>
      <c r="I6925" s="8">
        <v>2465</v>
      </c>
    </row>
    <row r="6926" spans="1:9" x14ac:dyDescent="0.2">
      <c r="A6926" t="s">
        <v>1451</v>
      </c>
      <c r="B6926" t="s">
        <v>1467</v>
      </c>
      <c r="C6926" t="str">
        <f t="shared" si="336"/>
        <v>38684780000000</v>
      </c>
      <c r="D6926" t="s">
        <v>8011</v>
      </c>
      <c r="E6926" t="str">
        <f>"38684786040877"</f>
        <v>38684786040877</v>
      </c>
      <c r="F6926" s="8">
        <v>448</v>
      </c>
      <c r="G6926" s="8">
        <v>6472</v>
      </c>
      <c r="H6926" s="8">
        <v>209</v>
      </c>
      <c r="I6926" s="8">
        <v>1092</v>
      </c>
    </row>
    <row r="6927" spans="1:9" x14ac:dyDescent="0.2">
      <c r="A6927" t="s">
        <v>1451</v>
      </c>
      <c r="B6927" t="s">
        <v>1467</v>
      </c>
      <c r="C6927" t="str">
        <f t="shared" si="336"/>
        <v>38684780000000</v>
      </c>
      <c r="D6927" t="s">
        <v>5898</v>
      </c>
      <c r="E6927" t="str">
        <f>"38684786041610"</f>
        <v>38684786041610</v>
      </c>
      <c r="F6927" s="8">
        <v>87</v>
      </c>
      <c r="G6927" s="8">
        <v>6151</v>
      </c>
      <c r="H6927" s="8">
        <v>471</v>
      </c>
      <c r="I6927" s="8">
        <v>1486</v>
      </c>
    </row>
    <row r="6928" spans="1:9" x14ac:dyDescent="0.2">
      <c r="A6928" t="s">
        <v>1451</v>
      </c>
      <c r="B6928" t="s">
        <v>1467</v>
      </c>
      <c r="C6928" t="str">
        <f t="shared" si="336"/>
        <v>38684780000000</v>
      </c>
      <c r="D6928" t="s">
        <v>8012</v>
      </c>
      <c r="E6928" t="str">
        <f>"38684783839081"</f>
        <v>38684783839081</v>
      </c>
      <c r="F6928" s="8">
        <v>0</v>
      </c>
      <c r="G6928" s="8">
        <v>6058</v>
      </c>
      <c r="H6928" s="8">
        <v>271</v>
      </c>
      <c r="I6928" s="8">
        <v>1801</v>
      </c>
    </row>
    <row r="6929" spans="1:9" x14ac:dyDescent="0.2">
      <c r="A6929" t="s">
        <v>1451</v>
      </c>
      <c r="B6929" t="s">
        <v>1467</v>
      </c>
      <c r="C6929" t="str">
        <f t="shared" si="336"/>
        <v>38684780000000</v>
      </c>
      <c r="D6929" t="s">
        <v>1194</v>
      </c>
      <c r="E6929" t="str">
        <f>"38684786041230"</f>
        <v>38684786041230</v>
      </c>
      <c r="F6929" s="8">
        <v>69</v>
      </c>
      <c r="G6929" s="8">
        <v>5620</v>
      </c>
      <c r="H6929" s="8">
        <v>349</v>
      </c>
      <c r="I6929" s="8">
        <v>2081</v>
      </c>
    </row>
    <row r="6930" spans="1:9" x14ac:dyDescent="0.2">
      <c r="A6930" t="s">
        <v>1451</v>
      </c>
      <c r="B6930" t="s">
        <v>1467</v>
      </c>
      <c r="C6930" t="str">
        <f t="shared" si="336"/>
        <v>38684780000000</v>
      </c>
      <c r="D6930" t="s">
        <v>8013</v>
      </c>
      <c r="E6930" t="str">
        <f>"38684786041008"</f>
        <v>38684786041008</v>
      </c>
      <c r="F6930" s="8">
        <v>0</v>
      </c>
      <c r="G6930" s="8">
        <v>5418</v>
      </c>
      <c r="H6930" s="8">
        <v>583</v>
      </c>
      <c r="I6930" s="8">
        <v>2084</v>
      </c>
    </row>
    <row r="6931" spans="1:9" x14ac:dyDescent="0.2">
      <c r="A6931" t="s">
        <v>1451</v>
      </c>
      <c r="B6931" t="s">
        <v>1467</v>
      </c>
      <c r="C6931" t="str">
        <f t="shared" si="336"/>
        <v>38684780000000</v>
      </c>
      <c r="D6931" t="s">
        <v>2220</v>
      </c>
      <c r="E6931" t="str">
        <f>"38684786113997"</f>
        <v>38684786113997</v>
      </c>
      <c r="F6931" s="8">
        <v>86</v>
      </c>
      <c r="G6931" s="8">
        <v>6016</v>
      </c>
      <c r="H6931" s="8">
        <v>315</v>
      </c>
      <c r="I6931" s="8">
        <v>1660</v>
      </c>
    </row>
    <row r="6932" spans="1:9" x14ac:dyDescent="0.2">
      <c r="A6932" t="s">
        <v>1451</v>
      </c>
      <c r="B6932" t="s">
        <v>1467</v>
      </c>
      <c r="C6932" t="str">
        <f t="shared" si="336"/>
        <v>38684780000000</v>
      </c>
      <c r="D6932" t="s">
        <v>232</v>
      </c>
      <c r="E6932" t="str">
        <f>"38684786041446"</f>
        <v>38684786041446</v>
      </c>
      <c r="F6932" s="8">
        <v>345</v>
      </c>
      <c r="G6932" s="8">
        <v>6071</v>
      </c>
      <c r="H6932" s="8">
        <v>241</v>
      </c>
      <c r="I6932" s="8">
        <v>1317</v>
      </c>
    </row>
    <row r="6933" spans="1:9" x14ac:dyDescent="0.2">
      <c r="A6933" t="s">
        <v>1451</v>
      </c>
      <c r="B6933" t="s">
        <v>1467</v>
      </c>
      <c r="C6933" t="str">
        <f t="shared" si="336"/>
        <v>38684780000000</v>
      </c>
      <c r="D6933" t="s">
        <v>2648</v>
      </c>
      <c r="E6933" t="str">
        <f>"38684786040695"</f>
        <v>38684786040695</v>
      </c>
      <c r="F6933" s="8">
        <v>82</v>
      </c>
      <c r="G6933" s="8">
        <v>6166</v>
      </c>
      <c r="H6933" s="8">
        <v>299</v>
      </c>
      <c r="I6933" s="8">
        <v>1421</v>
      </c>
    </row>
    <row r="6934" spans="1:9" x14ac:dyDescent="0.2">
      <c r="A6934" t="s">
        <v>1451</v>
      </c>
      <c r="B6934" t="s">
        <v>1467</v>
      </c>
      <c r="C6934" t="str">
        <f t="shared" si="336"/>
        <v>38684780000000</v>
      </c>
      <c r="D6934" t="s">
        <v>1729</v>
      </c>
      <c r="E6934" t="str">
        <f>"38684786041511"</f>
        <v>38684786041511</v>
      </c>
      <c r="F6934" s="8">
        <v>252</v>
      </c>
      <c r="G6934" s="8">
        <v>6255</v>
      </c>
      <c r="H6934" s="8">
        <v>351</v>
      </c>
      <c r="I6934" s="8">
        <v>1092</v>
      </c>
    </row>
    <row r="6935" spans="1:9" x14ac:dyDescent="0.2">
      <c r="A6935" t="s">
        <v>1451</v>
      </c>
      <c r="B6935" t="s">
        <v>1467</v>
      </c>
      <c r="C6935" t="str">
        <f t="shared" si="336"/>
        <v>38684780000000</v>
      </c>
      <c r="D6935" t="s">
        <v>8014</v>
      </c>
      <c r="E6935" t="str">
        <f>"38684786062020"</f>
        <v>38684786062020</v>
      </c>
      <c r="F6935" s="8">
        <v>117</v>
      </c>
      <c r="G6935" s="8">
        <v>5182</v>
      </c>
      <c r="H6935" s="8">
        <v>549</v>
      </c>
      <c r="I6935" s="8">
        <v>2096</v>
      </c>
    </row>
    <row r="6936" spans="1:9" x14ac:dyDescent="0.2">
      <c r="A6936" t="s">
        <v>1451</v>
      </c>
      <c r="B6936" t="s">
        <v>1467</v>
      </c>
      <c r="C6936" t="str">
        <f t="shared" si="336"/>
        <v>38684780000000</v>
      </c>
      <c r="D6936" t="s">
        <v>8015</v>
      </c>
      <c r="E6936" t="str">
        <f>"38684786059851"</f>
        <v>38684786059851</v>
      </c>
      <c r="F6936" s="8">
        <v>361</v>
      </c>
      <c r="G6936" s="8">
        <v>5346</v>
      </c>
      <c r="H6936" s="8">
        <v>364</v>
      </c>
      <c r="I6936" s="8">
        <v>1861</v>
      </c>
    </row>
    <row r="6937" spans="1:9" x14ac:dyDescent="0.2">
      <c r="A6937" t="s">
        <v>1451</v>
      </c>
      <c r="B6937" t="s">
        <v>1467</v>
      </c>
      <c r="C6937" t="str">
        <f t="shared" si="336"/>
        <v>38684780000000</v>
      </c>
      <c r="D6937" t="s">
        <v>8016</v>
      </c>
      <c r="E6937" t="str">
        <f>"38684786041727"</f>
        <v>38684786041727</v>
      </c>
      <c r="F6937" s="8">
        <v>79</v>
      </c>
      <c r="G6937" s="8">
        <v>5909</v>
      </c>
      <c r="H6937" s="8">
        <v>190</v>
      </c>
      <c r="I6937" s="8">
        <v>1743</v>
      </c>
    </row>
    <row r="6938" spans="1:9" x14ac:dyDescent="0.2">
      <c r="A6938" t="s">
        <v>1451</v>
      </c>
      <c r="B6938" t="s">
        <v>1467</v>
      </c>
      <c r="C6938" t="str">
        <f t="shared" si="336"/>
        <v>38684780000000</v>
      </c>
      <c r="D6938" t="s">
        <v>8017</v>
      </c>
      <c r="E6938" t="str">
        <f>"38684786041271"</f>
        <v>38684786041271</v>
      </c>
      <c r="F6938" s="8">
        <v>46</v>
      </c>
      <c r="G6938" s="8">
        <v>6572</v>
      </c>
      <c r="H6938" s="8">
        <v>271</v>
      </c>
      <c r="I6938" s="8">
        <v>977</v>
      </c>
    </row>
    <row r="6939" spans="1:9" x14ac:dyDescent="0.2">
      <c r="A6939" t="s">
        <v>1451</v>
      </c>
      <c r="B6939" t="s">
        <v>1467</v>
      </c>
      <c r="C6939" t="str">
        <f t="shared" si="336"/>
        <v>38684780000000</v>
      </c>
      <c r="D6939" t="s">
        <v>8018</v>
      </c>
      <c r="E6939" t="str">
        <f>"38684786040851"</f>
        <v>38684786040851</v>
      </c>
      <c r="F6939" s="8">
        <v>78</v>
      </c>
      <c r="G6939" s="8">
        <v>6280</v>
      </c>
      <c r="H6939" s="8">
        <v>405</v>
      </c>
      <c r="I6939" s="8">
        <v>1094</v>
      </c>
    </row>
    <row r="6940" spans="1:9" x14ac:dyDescent="0.2">
      <c r="A6940" t="s">
        <v>1451</v>
      </c>
      <c r="B6940" t="s">
        <v>1467</v>
      </c>
      <c r="C6940" t="str">
        <f t="shared" si="336"/>
        <v>38684780000000</v>
      </c>
      <c r="D6940" t="s">
        <v>8019</v>
      </c>
      <c r="E6940" t="str">
        <f>"38684786113252"</f>
        <v>38684786113252</v>
      </c>
      <c r="F6940" s="8">
        <v>200</v>
      </c>
      <c r="G6940" s="8">
        <v>6588</v>
      </c>
      <c r="H6940" s="8">
        <v>275</v>
      </c>
      <c r="I6940" s="8">
        <v>785</v>
      </c>
    </row>
    <row r="6941" spans="1:9" x14ac:dyDescent="0.2">
      <c r="A6941" t="s">
        <v>1451</v>
      </c>
      <c r="B6941" t="s">
        <v>1467</v>
      </c>
      <c r="C6941" t="str">
        <f t="shared" si="336"/>
        <v>38684780000000</v>
      </c>
      <c r="D6941" t="s">
        <v>8020</v>
      </c>
      <c r="E6941" t="str">
        <f>"38684786062079"</f>
        <v>38684786062079</v>
      </c>
      <c r="F6941" s="8">
        <v>102</v>
      </c>
      <c r="G6941" s="8">
        <v>5282</v>
      </c>
      <c r="H6941" s="8">
        <v>302</v>
      </c>
      <c r="I6941" s="8">
        <v>2140</v>
      </c>
    </row>
    <row r="6942" spans="1:9" x14ac:dyDescent="0.2">
      <c r="A6942" t="s">
        <v>1451</v>
      </c>
      <c r="B6942" t="s">
        <v>1467</v>
      </c>
      <c r="C6942" t="str">
        <f t="shared" si="336"/>
        <v>38684780000000</v>
      </c>
      <c r="D6942" t="s">
        <v>8021</v>
      </c>
      <c r="E6942" t="str">
        <f>"38684780111427"</f>
        <v>38684780111427</v>
      </c>
      <c r="F6942" s="8">
        <v>149</v>
      </c>
      <c r="G6942" s="8">
        <v>5283</v>
      </c>
      <c r="H6942" s="8">
        <v>159</v>
      </c>
      <c r="I6942" s="8">
        <v>2204</v>
      </c>
    </row>
    <row r="6943" spans="1:9" x14ac:dyDescent="0.2">
      <c r="A6943" t="s">
        <v>1451</v>
      </c>
      <c r="B6943" t="s">
        <v>1467</v>
      </c>
      <c r="C6943" t="str">
        <f t="shared" si="336"/>
        <v>38684780000000</v>
      </c>
      <c r="D6943" t="s">
        <v>8022</v>
      </c>
      <c r="E6943" t="str">
        <f>"38684783833407"</f>
        <v>38684783833407</v>
      </c>
      <c r="F6943" s="8">
        <v>31</v>
      </c>
      <c r="G6943" s="8">
        <v>6280</v>
      </c>
      <c r="H6943" s="8">
        <v>224</v>
      </c>
      <c r="I6943" s="8">
        <v>1170</v>
      </c>
    </row>
    <row r="6944" spans="1:9" x14ac:dyDescent="0.2">
      <c r="A6944" t="s">
        <v>1451</v>
      </c>
      <c r="B6944" t="s">
        <v>1467</v>
      </c>
      <c r="C6944" t="str">
        <f t="shared" si="336"/>
        <v>38684780000000</v>
      </c>
      <c r="D6944" t="s">
        <v>8023</v>
      </c>
      <c r="E6944" t="str">
        <f>"38684786059828"</f>
        <v>38684786059828</v>
      </c>
      <c r="F6944" s="8">
        <v>0</v>
      </c>
      <c r="G6944" s="8">
        <v>5041</v>
      </c>
      <c r="H6944" s="8">
        <v>365</v>
      </c>
      <c r="I6944" s="8">
        <v>2260</v>
      </c>
    </row>
    <row r="6945" spans="1:9" x14ac:dyDescent="0.2">
      <c r="A6945" t="s">
        <v>1451</v>
      </c>
      <c r="B6945" t="s">
        <v>1467</v>
      </c>
      <c r="C6945" t="str">
        <f t="shared" si="336"/>
        <v>38684780000000</v>
      </c>
      <c r="D6945" t="s">
        <v>149</v>
      </c>
      <c r="E6945" t="str">
        <f>"38684786041305"</f>
        <v>38684786041305</v>
      </c>
      <c r="F6945" s="8">
        <v>0</v>
      </c>
      <c r="G6945" s="8">
        <v>5855</v>
      </c>
      <c r="H6945" s="8">
        <v>180</v>
      </c>
      <c r="I6945" s="8">
        <v>1559</v>
      </c>
    </row>
    <row r="6946" spans="1:9" x14ac:dyDescent="0.2">
      <c r="A6946" t="s">
        <v>1451</v>
      </c>
      <c r="B6946" t="s">
        <v>1467</v>
      </c>
      <c r="C6946" t="str">
        <f t="shared" si="336"/>
        <v>38684780000000</v>
      </c>
      <c r="D6946" t="s">
        <v>2349</v>
      </c>
      <c r="E6946" t="str">
        <f>"38684786041420"</f>
        <v>38684786041420</v>
      </c>
      <c r="F6946" s="8">
        <v>123</v>
      </c>
      <c r="G6946" s="8">
        <v>6652</v>
      </c>
      <c r="H6946" s="8">
        <v>187</v>
      </c>
      <c r="I6946" s="8">
        <v>581</v>
      </c>
    </row>
    <row r="6947" spans="1:9" x14ac:dyDescent="0.2">
      <c r="A6947" t="s">
        <v>1451</v>
      </c>
      <c r="B6947" t="s">
        <v>1467</v>
      </c>
      <c r="C6947" t="str">
        <f t="shared" si="336"/>
        <v>38684780000000</v>
      </c>
      <c r="D6947" t="s">
        <v>8024</v>
      </c>
      <c r="E6947" t="str">
        <f>"38684786041016"</f>
        <v>38684786041016</v>
      </c>
      <c r="F6947" s="8">
        <v>0</v>
      </c>
      <c r="G6947" s="8">
        <v>6356</v>
      </c>
      <c r="H6947" s="8">
        <v>264</v>
      </c>
      <c r="I6947" s="8">
        <v>909</v>
      </c>
    </row>
    <row r="6948" spans="1:9" x14ac:dyDescent="0.2">
      <c r="A6948" t="s">
        <v>1451</v>
      </c>
      <c r="B6948" t="s">
        <v>1467</v>
      </c>
      <c r="C6948" t="str">
        <f t="shared" ref="C6948:C6953" si="337">"38684780000000"</f>
        <v>38684780000000</v>
      </c>
      <c r="D6948" t="s">
        <v>8025</v>
      </c>
      <c r="E6948" t="str">
        <f>"38684786089775"</f>
        <v>38684786089775</v>
      </c>
      <c r="F6948" s="8">
        <v>214</v>
      </c>
      <c r="G6948" s="8">
        <v>5369</v>
      </c>
      <c r="H6948" s="8">
        <v>390</v>
      </c>
      <c r="I6948" s="8">
        <v>1493</v>
      </c>
    </row>
    <row r="6949" spans="1:9" x14ac:dyDescent="0.2">
      <c r="A6949" t="s">
        <v>1451</v>
      </c>
      <c r="B6949" t="s">
        <v>1467</v>
      </c>
      <c r="C6949" t="str">
        <f t="shared" si="337"/>
        <v>38684780000000</v>
      </c>
      <c r="D6949" t="s">
        <v>8026</v>
      </c>
      <c r="E6949" t="str">
        <f>"38684786113245"</f>
        <v>38684786113245</v>
      </c>
      <c r="F6949" s="8">
        <v>1</v>
      </c>
      <c r="G6949" s="8">
        <v>6027</v>
      </c>
      <c r="H6949" s="8">
        <v>139</v>
      </c>
      <c r="I6949" s="8">
        <v>1115</v>
      </c>
    </row>
    <row r="6950" spans="1:9" x14ac:dyDescent="0.2">
      <c r="A6950" t="s">
        <v>1451</v>
      </c>
      <c r="B6950" t="s">
        <v>1467</v>
      </c>
      <c r="C6950" t="str">
        <f t="shared" si="337"/>
        <v>38684780000000</v>
      </c>
      <c r="D6950" t="s">
        <v>8027</v>
      </c>
      <c r="E6950" t="str">
        <f>"38684786041685"</f>
        <v>38684786041685</v>
      </c>
      <c r="F6950" s="8">
        <v>361</v>
      </c>
      <c r="G6950" s="8">
        <v>5740</v>
      </c>
      <c r="H6950" s="8">
        <v>288</v>
      </c>
      <c r="I6950" s="8">
        <v>825</v>
      </c>
    </row>
    <row r="6951" spans="1:9" x14ac:dyDescent="0.2">
      <c r="A6951" t="s">
        <v>1451</v>
      </c>
      <c r="B6951" t="s">
        <v>1467</v>
      </c>
      <c r="C6951" t="str">
        <f t="shared" si="337"/>
        <v>38684780000000</v>
      </c>
      <c r="D6951" t="s">
        <v>8028</v>
      </c>
      <c r="E6951" t="str">
        <f>"38684786097919"</f>
        <v>38684786097919</v>
      </c>
      <c r="F6951" s="8">
        <v>4</v>
      </c>
      <c r="G6951" s="8">
        <v>6430</v>
      </c>
      <c r="H6951" s="8">
        <v>250</v>
      </c>
      <c r="I6951" s="8">
        <v>487</v>
      </c>
    </row>
    <row r="6952" spans="1:9" x14ac:dyDescent="0.2">
      <c r="A6952" t="s">
        <v>1451</v>
      </c>
      <c r="B6952" t="s">
        <v>1467</v>
      </c>
      <c r="C6952" t="str">
        <f t="shared" si="337"/>
        <v>38684780000000</v>
      </c>
      <c r="D6952" t="s">
        <v>8029</v>
      </c>
      <c r="E6952" t="str">
        <f>"38684780120386"</f>
        <v>38684780120386</v>
      </c>
      <c r="F6952" s="8">
        <v>125</v>
      </c>
      <c r="G6952" s="8">
        <v>5941</v>
      </c>
      <c r="H6952" s="8">
        <v>246</v>
      </c>
      <c r="I6952" s="8">
        <v>714</v>
      </c>
    </row>
    <row r="6953" spans="1:9" x14ac:dyDescent="0.2">
      <c r="A6953" t="s">
        <v>1451</v>
      </c>
      <c r="B6953" t="s">
        <v>1467</v>
      </c>
      <c r="C6953" t="str">
        <f t="shared" si="337"/>
        <v>38684780000000</v>
      </c>
      <c r="D6953" t="s">
        <v>8030</v>
      </c>
      <c r="E6953" t="str">
        <f>"38684786102479"</f>
        <v>38684786102479</v>
      </c>
      <c r="F6953" s="8">
        <v>0</v>
      </c>
      <c r="G6953" s="8">
        <v>5511</v>
      </c>
      <c r="H6953" s="8">
        <v>424</v>
      </c>
      <c r="I6953" s="8">
        <v>1026</v>
      </c>
    </row>
    <row r="6954" spans="1:9" x14ac:dyDescent="0.2">
      <c r="A6954" t="s">
        <v>1470</v>
      </c>
      <c r="B6954" t="s">
        <v>1482</v>
      </c>
      <c r="C6954" t="str">
        <f>"39773880000000"</f>
        <v>39773880000000</v>
      </c>
      <c r="D6954" t="s">
        <v>8031</v>
      </c>
      <c r="E6954" t="str">
        <f>"39773886041750"</f>
        <v>39773886041750</v>
      </c>
      <c r="F6954" s="8">
        <v>1692</v>
      </c>
      <c r="G6954" s="8">
        <v>10880</v>
      </c>
      <c r="H6954" s="8">
        <v>22</v>
      </c>
      <c r="I6954" s="8">
        <v>3914</v>
      </c>
    </row>
    <row r="6955" spans="1:9" x14ac:dyDescent="0.2">
      <c r="A6955" t="s">
        <v>1470</v>
      </c>
      <c r="B6955" t="s">
        <v>1487</v>
      </c>
      <c r="C6955" t="str">
        <f t="shared" ref="C6955:C6961" si="338">"39685020000000"</f>
        <v>39685020000000</v>
      </c>
      <c r="D6955" t="s">
        <v>8032</v>
      </c>
      <c r="E6955" t="str">
        <f>"39685023930054"</f>
        <v>39685023930054</v>
      </c>
      <c r="F6955" s="8">
        <v>0</v>
      </c>
      <c r="G6955" s="8">
        <v>30503</v>
      </c>
      <c r="H6955" s="8">
        <v>720</v>
      </c>
      <c r="I6955" s="8">
        <v>3403</v>
      </c>
    </row>
    <row r="6956" spans="1:9" x14ac:dyDescent="0.2">
      <c r="A6956" t="s">
        <v>1470</v>
      </c>
      <c r="B6956" t="s">
        <v>1487</v>
      </c>
      <c r="C6956" t="str">
        <f t="shared" si="338"/>
        <v>39685020000000</v>
      </c>
      <c r="D6956" t="s">
        <v>8033</v>
      </c>
      <c r="E6956" t="str">
        <f>"39685026041800"</f>
        <v>39685026041800</v>
      </c>
      <c r="F6956" s="8">
        <v>614</v>
      </c>
      <c r="G6956" s="8">
        <v>8654</v>
      </c>
      <c r="H6956" s="8">
        <v>879</v>
      </c>
      <c r="I6956" s="8">
        <v>3403</v>
      </c>
    </row>
    <row r="6957" spans="1:9" x14ac:dyDescent="0.2">
      <c r="A6957" t="s">
        <v>1470</v>
      </c>
      <c r="B6957" t="s">
        <v>1487</v>
      </c>
      <c r="C6957" t="str">
        <f t="shared" si="338"/>
        <v>39685020000000</v>
      </c>
      <c r="D6957" t="s">
        <v>8034</v>
      </c>
      <c r="E6957" t="str">
        <f>"39685026041784"</f>
        <v>39685026041784</v>
      </c>
      <c r="F6957" s="8">
        <v>393</v>
      </c>
      <c r="G6957" s="8">
        <v>6944</v>
      </c>
      <c r="H6957" s="8">
        <v>879</v>
      </c>
      <c r="I6957" s="8">
        <v>3403</v>
      </c>
    </row>
    <row r="6958" spans="1:9" x14ac:dyDescent="0.2">
      <c r="A6958" t="s">
        <v>1470</v>
      </c>
      <c r="B6958" t="s">
        <v>1487</v>
      </c>
      <c r="C6958" t="str">
        <f t="shared" si="338"/>
        <v>39685020000000</v>
      </c>
      <c r="D6958" t="s">
        <v>8035</v>
      </c>
      <c r="E6958" t="str">
        <f>"39685026041834"</f>
        <v>39685026041834</v>
      </c>
      <c r="F6958" s="8">
        <v>243</v>
      </c>
      <c r="G6958" s="8">
        <v>6677</v>
      </c>
      <c r="H6958" s="8">
        <v>879</v>
      </c>
      <c r="I6958" s="8">
        <v>3403</v>
      </c>
    </row>
    <row r="6959" spans="1:9" x14ac:dyDescent="0.2">
      <c r="A6959" t="s">
        <v>1470</v>
      </c>
      <c r="B6959" t="s">
        <v>1487</v>
      </c>
      <c r="C6959" t="str">
        <f t="shared" si="338"/>
        <v>39685020000000</v>
      </c>
      <c r="D6959" t="s">
        <v>8036</v>
      </c>
      <c r="E6959" t="str">
        <f>"39685026041792"</f>
        <v>39685026041792</v>
      </c>
      <c r="F6959" s="8">
        <v>375</v>
      </c>
      <c r="G6959" s="8">
        <v>5744</v>
      </c>
      <c r="H6959" s="8">
        <v>879</v>
      </c>
      <c r="I6959" s="8">
        <v>3403</v>
      </c>
    </row>
    <row r="6960" spans="1:9" x14ac:dyDescent="0.2">
      <c r="A6960" t="s">
        <v>1470</v>
      </c>
      <c r="B6960" t="s">
        <v>1487</v>
      </c>
      <c r="C6960" t="str">
        <f t="shared" si="338"/>
        <v>39685020000000</v>
      </c>
      <c r="D6960" t="s">
        <v>8037</v>
      </c>
      <c r="E6960" t="str">
        <f>"39685026070957"</f>
        <v>39685026070957</v>
      </c>
      <c r="F6960" s="8">
        <v>96</v>
      </c>
      <c r="G6960" s="8">
        <v>6098</v>
      </c>
      <c r="H6960" s="8">
        <v>720</v>
      </c>
      <c r="I6960" s="8">
        <v>3403</v>
      </c>
    </row>
    <row r="6961" spans="1:9" x14ac:dyDescent="0.2">
      <c r="A6961" t="s">
        <v>1470</v>
      </c>
      <c r="B6961" t="s">
        <v>1487</v>
      </c>
      <c r="C6961" t="str">
        <f t="shared" si="338"/>
        <v>39685020000000</v>
      </c>
      <c r="D6961" t="s">
        <v>8038</v>
      </c>
      <c r="E6961" t="str">
        <f>"39685023932308"</f>
        <v>39685023932308</v>
      </c>
      <c r="F6961" s="8">
        <v>93</v>
      </c>
      <c r="G6961" s="8">
        <v>5837</v>
      </c>
      <c r="H6961" s="8">
        <v>720</v>
      </c>
      <c r="I6961" s="8">
        <v>3403</v>
      </c>
    </row>
    <row r="6962" spans="1:9" x14ac:dyDescent="0.2">
      <c r="A6962" t="s">
        <v>1470</v>
      </c>
      <c r="B6962" t="s">
        <v>1194</v>
      </c>
      <c r="C6962" t="str">
        <f>"39685440000000"</f>
        <v>39685440000000</v>
      </c>
      <c r="D6962" t="s">
        <v>3923</v>
      </c>
      <c r="E6962" t="str">
        <f>"39685446041875"</f>
        <v>39685446041875</v>
      </c>
      <c r="F6962" s="8">
        <v>214</v>
      </c>
      <c r="G6962" s="8">
        <v>7601</v>
      </c>
      <c r="H6962" s="8">
        <v>638</v>
      </c>
      <c r="I6962" s="8">
        <v>2185</v>
      </c>
    </row>
    <row r="6963" spans="1:9" x14ac:dyDescent="0.2">
      <c r="A6963" t="s">
        <v>1470</v>
      </c>
      <c r="B6963" t="s">
        <v>1194</v>
      </c>
      <c r="C6963" t="str">
        <f>"39685440000000"</f>
        <v>39685440000000</v>
      </c>
      <c r="D6963" t="s">
        <v>8039</v>
      </c>
      <c r="E6963" t="str">
        <f>"39685440105718"</f>
        <v>39685440105718</v>
      </c>
      <c r="F6963" s="8">
        <v>327</v>
      </c>
      <c r="G6963" s="8">
        <v>6921</v>
      </c>
      <c r="H6963" s="8">
        <v>638</v>
      </c>
      <c r="I6963" s="8">
        <v>2185</v>
      </c>
    </row>
    <row r="6964" spans="1:9" x14ac:dyDescent="0.2">
      <c r="A6964" t="s">
        <v>1470</v>
      </c>
      <c r="B6964" t="s">
        <v>1194</v>
      </c>
      <c r="C6964" t="str">
        <f>"39685440000000"</f>
        <v>39685440000000</v>
      </c>
      <c r="D6964" t="s">
        <v>8040</v>
      </c>
      <c r="E6964" t="str">
        <f>"39685446117618"</f>
        <v>39685446117618</v>
      </c>
      <c r="F6964" s="8">
        <v>152</v>
      </c>
      <c r="G6964" s="8">
        <v>6980</v>
      </c>
      <c r="H6964" s="8">
        <v>638</v>
      </c>
      <c r="I6964" s="8">
        <v>2185</v>
      </c>
    </row>
    <row r="6965" spans="1:9" x14ac:dyDescent="0.2">
      <c r="A6965" t="s">
        <v>1470</v>
      </c>
      <c r="B6965" t="s">
        <v>1194</v>
      </c>
      <c r="C6965" t="str">
        <f>"39685440000000"</f>
        <v>39685440000000</v>
      </c>
      <c r="D6965" t="s">
        <v>8041</v>
      </c>
      <c r="E6965" t="str">
        <f>"39685446110373"</f>
        <v>39685446110373</v>
      </c>
      <c r="F6965" s="8">
        <v>132</v>
      </c>
      <c r="G6965" s="8">
        <v>6962</v>
      </c>
      <c r="H6965" s="8">
        <v>638</v>
      </c>
      <c r="I6965" s="8">
        <v>2185</v>
      </c>
    </row>
    <row r="6966" spans="1:9" x14ac:dyDescent="0.2">
      <c r="A6966" t="s">
        <v>1470</v>
      </c>
      <c r="B6966" t="s">
        <v>1490</v>
      </c>
      <c r="C6966" t="str">
        <f t="shared" ref="C6966:C6973" si="339">"39767600000000"</f>
        <v>39767600000000</v>
      </c>
      <c r="D6966" t="s">
        <v>8042</v>
      </c>
      <c r="E6966" t="str">
        <f>"39767606041883"</f>
        <v>39767606041883</v>
      </c>
      <c r="F6966" s="8">
        <v>759</v>
      </c>
      <c r="G6966" s="8">
        <v>12038</v>
      </c>
      <c r="H6966" s="8">
        <v>347</v>
      </c>
      <c r="I6966" s="8">
        <v>2042</v>
      </c>
    </row>
    <row r="6967" spans="1:9" x14ac:dyDescent="0.2">
      <c r="A6967" t="s">
        <v>1470</v>
      </c>
      <c r="B6967" t="s">
        <v>1490</v>
      </c>
      <c r="C6967" t="str">
        <f t="shared" si="339"/>
        <v>39767600000000</v>
      </c>
      <c r="D6967" t="s">
        <v>8043</v>
      </c>
      <c r="E6967" t="str">
        <f>"39767600128967"</f>
        <v>39767600128967</v>
      </c>
      <c r="F6967" s="8">
        <v>122</v>
      </c>
      <c r="G6967" s="8">
        <v>7492</v>
      </c>
      <c r="H6967" s="8">
        <v>347</v>
      </c>
      <c r="I6967" s="8">
        <v>2042</v>
      </c>
    </row>
    <row r="6968" spans="1:9" x14ac:dyDescent="0.2">
      <c r="A6968" t="s">
        <v>1470</v>
      </c>
      <c r="B6968" t="s">
        <v>1490</v>
      </c>
      <c r="C6968" t="str">
        <f t="shared" si="339"/>
        <v>39767600000000</v>
      </c>
      <c r="D6968" t="s">
        <v>8044</v>
      </c>
      <c r="E6968" t="str">
        <f>"39767600106484"</f>
        <v>39767600106484</v>
      </c>
      <c r="F6968" s="8">
        <v>32</v>
      </c>
      <c r="G6968" s="8">
        <v>6365</v>
      </c>
      <c r="H6968" s="8">
        <v>347</v>
      </c>
      <c r="I6968" s="8">
        <v>2042</v>
      </c>
    </row>
    <row r="6969" spans="1:9" x14ac:dyDescent="0.2">
      <c r="A6969" t="s">
        <v>1470</v>
      </c>
      <c r="B6969" t="s">
        <v>1490</v>
      </c>
      <c r="C6969" t="str">
        <f t="shared" si="339"/>
        <v>39767600000000</v>
      </c>
      <c r="D6969" t="s">
        <v>8045</v>
      </c>
      <c r="E6969" t="str">
        <f>"39767600129312"</f>
        <v>39767600129312</v>
      </c>
      <c r="F6969" s="8">
        <v>0</v>
      </c>
      <c r="G6969" s="8">
        <v>5912</v>
      </c>
      <c r="H6969" s="8">
        <v>347</v>
      </c>
      <c r="I6969" s="8">
        <v>2042</v>
      </c>
    </row>
    <row r="6970" spans="1:9" x14ac:dyDescent="0.2">
      <c r="A6970" t="s">
        <v>1470</v>
      </c>
      <c r="B6970" t="s">
        <v>1490</v>
      </c>
      <c r="C6970" t="str">
        <f t="shared" si="339"/>
        <v>39767600000000</v>
      </c>
      <c r="D6970" t="s">
        <v>8046</v>
      </c>
      <c r="E6970" t="str">
        <f>"39767600139956"</f>
        <v>39767600139956</v>
      </c>
      <c r="F6970" s="8">
        <v>11</v>
      </c>
      <c r="G6970" s="8">
        <v>5722</v>
      </c>
      <c r="H6970" s="8">
        <v>347</v>
      </c>
      <c r="I6970" s="8">
        <v>2041</v>
      </c>
    </row>
    <row r="6971" spans="1:9" x14ac:dyDescent="0.2">
      <c r="A6971" t="s">
        <v>1470</v>
      </c>
      <c r="B6971" t="s">
        <v>1490</v>
      </c>
      <c r="C6971" t="str">
        <f t="shared" si="339"/>
        <v>39767600000000</v>
      </c>
      <c r="D6971" t="s">
        <v>8047</v>
      </c>
      <c r="E6971" t="str">
        <f>"39767600114645"</f>
        <v>39767600114645</v>
      </c>
      <c r="F6971" s="8">
        <v>0</v>
      </c>
      <c r="G6971" s="8">
        <v>5688</v>
      </c>
      <c r="H6971" s="8">
        <v>347</v>
      </c>
      <c r="I6971" s="8">
        <v>2042</v>
      </c>
    </row>
    <row r="6972" spans="1:9" x14ac:dyDescent="0.2">
      <c r="A6972" t="s">
        <v>1470</v>
      </c>
      <c r="B6972" t="s">
        <v>1490</v>
      </c>
      <c r="C6972" t="str">
        <f t="shared" si="339"/>
        <v>39767600000000</v>
      </c>
      <c r="D6972" t="s">
        <v>8048</v>
      </c>
      <c r="E6972" t="str">
        <f>"39767600121046"</f>
        <v>39767600121046</v>
      </c>
      <c r="F6972" s="8">
        <v>0</v>
      </c>
      <c r="G6972" s="8">
        <v>5549</v>
      </c>
      <c r="H6972" s="8">
        <v>347</v>
      </c>
      <c r="I6972" s="8">
        <v>2042</v>
      </c>
    </row>
    <row r="6973" spans="1:9" x14ac:dyDescent="0.2">
      <c r="A6973" t="s">
        <v>1470</v>
      </c>
      <c r="B6973" t="s">
        <v>1490</v>
      </c>
      <c r="C6973" t="str">
        <f t="shared" si="339"/>
        <v>39767600000000</v>
      </c>
      <c r="D6973" t="s">
        <v>6155</v>
      </c>
      <c r="E6973" t="str">
        <f>"39767600137075"</f>
        <v>39767600137075</v>
      </c>
      <c r="F6973" s="8">
        <v>32</v>
      </c>
      <c r="G6973" s="8">
        <v>4870</v>
      </c>
      <c r="H6973" s="8">
        <v>347</v>
      </c>
      <c r="I6973" s="8">
        <v>2042</v>
      </c>
    </row>
    <row r="6974" spans="1:9" x14ac:dyDescent="0.2">
      <c r="A6974" t="s">
        <v>1470</v>
      </c>
      <c r="B6974" t="s">
        <v>1491</v>
      </c>
      <c r="C6974" t="str">
        <f t="shared" ref="C6974:C6985" si="340">"39685690000000"</f>
        <v>39685690000000</v>
      </c>
      <c r="D6974" t="s">
        <v>8049</v>
      </c>
      <c r="E6974" t="str">
        <f>"39685693933793"</f>
        <v>39685693933793</v>
      </c>
      <c r="F6974" s="8">
        <v>258</v>
      </c>
      <c r="G6974" s="8">
        <v>9538</v>
      </c>
      <c r="H6974" s="8">
        <v>211</v>
      </c>
      <c r="I6974" s="8">
        <v>3928</v>
      </c>
    </row>
    <row r="6975" spans="1:9" x14ac:dyDescent="0.2">
      <c r="A6975" t="s">
        <v>1470</v>
      </c>
      <c r="B6975" t="s">
        <v>1491</v>
      </c>
      <c r="C6975" t="str">
        <f t="shared" si="340"/>
        <v>39685690000000</v>
      </c>
      <c r="D6975" t="s">
        <v>8050</v>
      </c>
      <c r="E6975" t="str">
        <f>"39685696041891"</f>
        <v>39685696041891</v>
      </c>
      <c r="F6975" s="8">
        <v>461</v>
      </c>
      <c r="G6975" s="8">
        <v>6559</v>
      </c>
      <c r="H6975" s="8">
        <v>211</v>
      </c>
      <c r="I6975" s="8">
        <v>3928</v>
      </c>
    </row>
    <row r="6976" spans="1:9" x14ac:dyDescent="0.2">
      <c r="A6976" t="s">
        <v>1470</v>
      </c>
      <c r="B6976" t="s">
        <v>1491</v>
      </c>
      <c r="C6976" t="str">
        <f t="shared" si="340"/>
        <v>39685690000000</v>
      </c>
      <c r="D6976" t="s">
        <v>8051</v>
      </c>
      <c r="E6976" t="str">
        <f>"39685696104020"</f>
        <v>39685696104020</v>
      </c>
      <c r="F6976" s="8">
        <v>417</v>
      </c>
      <c r="G6976" s="8">
        <v>6514</v>
      </c>
      <c r="H6976" s="8">
        <v>211</v>
      </c>
      <c r="I6976" s="8">
        <v>3928</v>
      </c>
    </row>
    <row r="6977" spans="1:9" x14ac:dyDescent="0.2">
      <c r="A6977" t="s">
        <v>1470</v>
      </c>
      <c r="B6977" t="s">
        <v>1491</v>
      </c>
      <c r="C6977" t="str">
        <f t="shared" si="340"/>
        <v>39685690000000</v>
      </c>
      <c r="D6977" t="s">
        <v>8052</v>
      </c>
      <c r="E6977" t="str">
        <f>"39685690132415"</f>
        <v>39685690132415</v>
      </c>
      <c r="F6977" s="8">
        <v>166</v>
      </c>
      <c r="G6977" s="8">
        <v>6628</v>
      </c>
      <c r="H6977" s="8">
        <v>211</v>
      </c>
      <c r="I6977" s="8">
        <v>3928</v>
      </c>
    </row>
    <row r="6978" spans="1:9" x14ac:dyDescent="0.2">
      <c r="A6978" t="s">
        <v>1470</v>
      </c>
      <c r="B6978" t="s">
        <v>1491</v>
      </c>
      <c r="C6978" t="str">
        <f t="shared" si="340"/>
        <v>39685690000000</v>
      </c>
      <c r="D6978" t="s">
        <v>8053</v>
      </c>
      <c r="E6978" t="str">
        <f>"39685696041933"</f>
        <v>39685696041933</v>
      </c>
      <c r="F6978" s="8">
        <v>416</v>
      </c>
      <c r="G6978" s="8">
        <v>6336</v>
      </c>
      <c r="H6978" s="8">
        <v>211</v>
      </c>
      <c r="I6978" s="8">
        <v>3928</v>
      </c>
    </row>
    <row r="6979" spans="1:9" x14ac:dyDescent="0.2">
      <c r="A6979" t="s">
        <v>1470</v>
      </c>
      <c r="B6979" t="s">
        <v>1491</v>
      </c>
      <c r="C6979" t="str">
        <f t="shared" si="340"/>
        <v>39685690000000</v>
      </c>
      <c r="D6979" t="s">
        <v>6294</v>
      </c>
      <c r="E6979" t="str">
        <f>"39685693933801"</f>
        <v>39685693933801</v>
      </c>
      <c r="F6979" s="8">
        <v>45</v>
      </c>
      <c r="G6979" s="8">
        <v>6495</v>
      </c>
      <c r="H6979" s="8">
        <v>211</v>
      </c>
      <c r="I6979" s="8">
        <v>3928</v>
      </c>
    </row>
    <row r="6980" spans="1:9" x14ac:dyDescent="0.2">
      <c r="A6980" t="s">
        <v>1470</v>
      </c>
      <c r="B6980" t="s">
        <v>1491</v>
      </c>
      <c r="C6980" t="str">
        <f t="shared" si="340"/>
        <v>39685690000000</v>
      </c>
      <c r="D6980" t="s">
        <v>8054</v>
      </c>
      <c r="E6980" t="str">
        <f>"39685696095210"</f>
        <v>39685696095210</v>
      </c>
      <c r="F6980" s="8">
        <v>281</v>
      </c>
      <c r="G6980" s="8">
        <v>6127</v>
      </c>
      <c r="H6980" s="8">
        <v>211</v>
      </c>
      <c r="I6980" s="8">
        <v>3928</v>
      </c>
    </row>
    <row r="6981" spans="1:9" x14ac:dyDescent="0.2">
      <c r="A6981" t="s">
        <v>1470</v>
      </c>
      <c r="B6981" t="s">
        <v>1491</v>
      </c>
      <c r="C6981" t="str">
        <f t="shared" si="340"/>
        <v>39685690000000</v>
      </c>
      <c r="D6981" t="s">
        <v>8055</v>
      </c>
      <c r="E6981" t="str">
        <f>"39685696041909"</f>
        <v>39685696041909</v>
      </c>
      <c r="F6981" s="8">
        <v>369</v>
      </c>
      <c r="G6981" s="8">
        <v>5959</v>
      </c>
      <c r="H6981" s="8">
        <v>211</v>
      </c>
      <c r="I6981" s="8">
        <v>3928</v>
      </c>
    </row>
    <row r="6982" spans="1:9" x14ac:dyDescent="0.2">
      <c r="A6982" t="s">
        <v>1470</v>
      </c>
      <c r="B6982" t="s">
        <v>1491</v>
      </c>
      <c r="C6982" t="str">
        <f t="shared" si="340"/>
        <v>39685690000000</v>
      </c>
      <c r="D6982" t="s">
        <v>8056</v>
      </c>
      <c r="E6982" t="str">
        <f>"39685696105738"</f>
        <v>39685696105738</v>
      </c>
      <c r="F6982" s="8">
        <v>366</v>
      </c>
      <c r="G6982" s="8">
        <v>5954</v>
      </c>
      <c r="H6982" s="8">
        <v>211</v>
      </c>
      <c r="I6982" s="8">
        <v>3928</v>
      </c>
    </row>
    <row r="6983" spans="1:9" x14ac:dyDescent="0.2">
      <c r="A6983" t="s">
        <v>1470</v>
      </c>
      <c r="B6983" t="s">
        <v>1491</v>
      </c>
      <c r="C6983" t="str">
        <f t="shared" si="340"/>
        <v>39685690000000</v>
      </c>
      <c r="D6983" t="s">
        <v>2243</v>
      </c>
      <c r="E6983" t="str">
        <f>"39685696041917"</f>
        <v>39685696041917</v>
      </c>
      <c r="F6983" s="8">
        <v>395</v>
      </c>
      <c r="G6983" s="8">
        <v>5842</v>
      </c>
      <c r="H6983" s="8">
        <v>211</v>
      </c>
      <c r="I6983" s="8">
        <v>3928</v>
      </c>
    </row>
    <row r="6984" spans="1:9" x14ac:dyDescent="0.2">
      <c r="A6984" t="s">
        <v>1470</v>
      </c>
      <c r="B6984" t="s">
        <v>1491</v>
      </c>
      <c r="C6984" t="str">
        <f t="shared" si="340"/>
        <v>39685690000000</v>
      </c>
      <c r="D6984" t="s">
        <v>8057</v>
      </c>
      <c r="E6984" t="str">
        <f>"39685696111462"</f>
        <v>39685696111462</v>
      </c>
      <c r="F6984" s="8">
        <v>26</v>
      </c>
      <c r="G6984" s="8">
        <v>6111</v>
      </c>
      <c r="H6984" s="8">
        <v>211</v>
      </c>
      <c r="I6984" s="8">
        <v>3928</v>
      </c>
    </row>
    <row r="6985" spans="1:9" x14ac:dyDescent="0.2">
      <c r="A6985" t="s">
        <v>1470</v>
      </c>
      <c r="B6985" t="s">
        <v>1491</v>
      </c>
      <c r="C6985" t="str">
        <f t="shared" si="340"/>
        <v>39685690000000</v>
      </c>
      <c r="D6985" t="s">
        <v>3249</v>
      </c>
      <c r="E6985" t="str">
        <f>"39685696041925"</f>
        <v>39685696041925</v>
      </c>
      <c r="F6985" s="8">
        <v>297</v>
      </c>
      <c r="G6985" s="8">
        <v>5417</v>
      </c>
      <c r="H6985" s="8">
        <v>211</v>
      </c>
      <c r="I6985" s="8">
        <v>3928</v>
      </c>
    </row>
    <row r="6986" spans="1:9" x14ac:dyDescent="0.2">
      <c r="A6986" t="s">
        <v>1470</v>
      </c>
      <c r="B6986" t="s">
        <v>1492</v>
      </c>
      <c r="C6986" t="str">
        <f t="shared" ref="C6986:C6991" si="341">"39685770000000"</f>
        <v>39685770000000</v>
      </c>
      <c r="D6986" t="s">
        <v>8058</v>
      </c>
      <c r="E6986" t="str">
        <f>"39685770118307"</f>
        <v>39685770118307</v>
      </c>
      <c r="F6986" s="8">
        <v>661</v>
      </c>
      <c r="G6986" s="8">
        <v>8646</v>
      </c>
      <c r="H6986" s="8">
        <v>332</v>
      </c>
      <c r="I6986" s="8">
        <v>4676</v>
      </c>
    </row>
    <row r="6987" spans="1:9" x14ac:dyDescent="0.2">
      <c r="A6987" t="s">
        <v>1470</v>
      </c>
      <c r="B6987" t="s">
        <v>1492</v>
      </c>
      <c r="C6987" t="str">
        <f t="shared" si="341"/>
        <v>39685770000000</v>
      </c>
      <c r="D6987" t="s">
        <v>8059</v>
      </c>
      <c r="E6987" t="str">
        <f>"39685773933959"</f>
        <v>39685773933959</v>
      </c>
      <c r="F6987" s="8">
        <v>757</v>
      </c>
      <c r="G6987" s="8">
        <v>6746</v>
      </c>
      <c r="H6987" s="8">
        <v>332</v>
      </c>
      <c r="I6987" s="8">
        <v>4676</v>
      </c>
    </row>
    <row r="6988" spans="1:9" x14ac:dyDescent="0.2">
      <c r="A6988" t="s">
        <v>1470</v>
      </c>
      <c r="B6988" t="s">
        <v>1492</v>
      </c>
      <c r="C6988" t="str">
        <f t="shared" si="341"/>
        <v>39685770000000</v>
      </c>
      <c r="D6988" t="s">
        <v>8060</v>
      </c>
      <c r="E6988" t="str">
        <f>"39685776042006"</f>
        <v>39685776042006</v>
      </c>
      <c r="F6988" s="8">
        <v>881</v>
      </c>
      <c r="G6988" s="8">
        <v>6614</v>
      </c>
      <c r="H6988" s="8">
        <v>332</v>
      </c>
      <c r="I6988" s="8">
        <v>4676</v>
      </c>
    </row>
    <row r="6989" spans="1:9" x14ac:dyDescent="0.2">
      <c r="A6989" t="s">
        <v>1470</v>
      </c>
      <c r="B6989" t="s">
        <v>1492</v>
      </c>
      <c r="C6989" t="str">
        <f t="shared" si="341"/>
        <v>39685770000000</v>
      </c>
      <c r="D6989" t="s">
        <v>8061</v>
      </c>
      <c r="E6989" t="str">
        <f>"39685776041974"</f>
        <v>39685776041974</v>
      </c>
      <c r="F6989" s="8">
        <v>542</v>
      </c>
      <c r="G6989" s="8">
        <v>6390</v>
      </c>
      <c r="H6989" s="8">
        <v>332</v>
      </c>
      <c r="I6989" s="8">
        <v>4676</v>
      </c>
    </row>
    <row r="6990" spans="1:9" x14ac:dyDescent="0.2">
      <c r="A6990" t="s">
        <v>1470</v>
      </c>
      <c r="B6990" t="s">
        <v>1492</v>
      </c>
      <c r="C6990" t="str">
        <f t="shared" si="341"/>
        <v>39685770000000</v>
      </c>
      <c r="D6990" t="s">
        <v>8062</v>
      </c>
      <c r="E6990" t="str">
        <f>"39685776041990"</f>
        <v>39685776041990</v>
      </c>
      <c r="F6990" s="8">
        <v>455</v>
      </c>
      <c r="G6990" s="8">
        <v>5830</v>
      </c>
      <c r="H6990" s="8">
        <v>332</v>
      </c>
      <c r="I6990" s="8">
        <v>4676</v>
      </c>
    </row>
    <row r="6991" spans="1:9" x14ac:dyDescent="0.2">
      <c r="A6991" t="s">
        <v>1470</v>
      </c>
      <c r="B6991" t="s">
        <v>1492</v>
      </c>
      <c r="C6991" t="str">
        <f t="shared" si="341"/>
        <v>39685770000000</v>
      </c>
      <c r="D6991" t="s">
        <v>4144</v>
      </c>
      <c r="E6991" t="str">
        <f>"39685776041966"</f>
        <v>39685776041966</v>
      </c>
      <c r="F6991" s="8">
        <v>606</v>
      </c>
      <c r="G6991" s="8">
        <v>5364</v>
      </c>
      <c r="H6991" s="8">
        <v>332</v>
      </c>
      <c r="I6991" s="8">
        <v>4676</v>
      </c>
    </row>
    <row r="6992" spans="1:9" x14ac:dyDescent="0.2">
      <c r="A6992" t="s">
        <v>1470</v>
      </c>
      <c r="B6992" t="s">
        <v>1493</v>
      </c>
      <c r="C6992" t="str">
        <f t="shared" ref="C6992:C7023" si="342">"39685850000000"</f>
        <v>39685850000000</v>
      </c>
      <c r="D6992" t="s">
        <v>8063</v>
      </c>
      <c r="E6992" t="str">
        <f>"39685850125369"</f>
        <v>39685850125369</v>
      </c>
      <c r="F6992" s="8">
        <v>5555</v>
      </c>
      <c r="G6992" s="8">
        <v>20759</v>
      </c>
      <c r="H6992" s="8">
        <v>1898</v>
      </c>
      <c r="I6992" s="8">
        <v>4168</v>
      </c>
    </row>
    <row r="6993" spans="1:9" x14ac:dyDescent="0.2">
      <c r="A6993" t="s">
        <v>1470</v>
      </c>
      <c r="B6993" t="s">
        <v>1493</v>
      </c>
      <c r="C6993" t="str">
        <f t="shared" si="342"/>
        <v>39685850000000</v>
      </c>
      <c r="D6993" t="s">
        <v>8064</v>
      </c>
      <c r="E6993" t="str">
        <f>"39685850132837"</f>
        <v>39685850132837</v>
      </c>
      <c r="F6993" s="8">
        <v>969</v>
      </c>
      <c r="G6993" s="8">
        <v>25119</v>
      </c>
      <c r="H6993" s="8">
        <v>1898</v>
      </c>
      <c r="I6993" s="8">
        <v>4168</v>
      </c>
    </row>
    <row r="6994" spans="1:9" x14ac:dyDescent="0.2">
      <c r="A6994" t="s">
        <v>1470</v>
      </c>
      <c r="B6994" t="s">
        <v>1493</v>
      </c>
      <c r="C6994" t="str">
        <f t="shared" si="342"/>
        <v>39685850000000</v>
      </c>
      <c r="D6994" t="s">
        <v>2546</v>
      </c>
      <c r="E6994" t="str">
        <f>"39685853934767"</f>
        <v>39685853934767</v>
      </c>
      <c r="F6994" s="8">
        <v>583</v>
      </c>
      <c r="G6994" s="8">
        <v>14199</v>
      </c>
      <c r="H6994" s="8">
        <v>1898</v>
      </c>
      <c r="I6994" s="8">
        <v>4168</v>
      </c>
    </row>
    <row r="6995" spans="1:9" x14ac:dyDescent="0.2">
      <c r="A6995" t="s">
        <v>1470</v>
      </c>
      <c r="B6995" t="s">
        <v>1493</v>
      </c>
      <c r="C6995" t="str">
        <f t="shared" si="342"/>
        <v>39685850000000</v>
      </c>
      <c r="D6995" t="s">
        <v>8065</v>
      </c>
      <c r="E6995" t="str">
        <f>"39685856117675"</f>
        <v>39685856117675</v>
      </c>
      <c r="F6995" s="8">
        <v>765</v>
      </c>
      <c r="G6995" s="8">
        <v>9593</v>
      </c>
      <c r="H6995" s="8">
        <v>1898</v>
      </c>
      <c r="I6995" s="8">
        <v>4168</v>
      </c>
    </row>
    <row r="6996" spans="1:9" x14ac:dyDescent="0.2">
      <c r="A6996" t="s">
        <v>1470</v>
      </c>
      <c r="B6996" t="s">
        <v>1493</v>
      </c>
      <c r="C6996" t="str">
        <f t="shared" si="342"/>
        <v>39685850000000</v>
      </c>
      <c r="D6996" t="s">
        <v>8066</v>
      </c>
      <c r="E6996" t="str">
        <f>"39685856104426"</f>
        <v>39685856104426</v>
      </c>
      <c r="F6996" s="8">
        <v>1310</v>
      </c>
      <c r="G6996" s="8">
        <v>7478</v>
      </c>
      <c r="H6996" s="8">
        <v>1898</v>
      </c>
      <c r="I6996" s="8">
        <v>4168</v>
      </c>
    </row>
    <row r="6997" spans="1:9" x14ac:dyDescent="0.2">
      <c r="A6997" t="s">
        <v>1470</v>
      </c>
      <c r="B6997" t="s">
        <v>1493</v>
      </c>
      <c r="C6997" t="str">
        <f t="shared" si="342"/>
        <v>39685850000000</v>
      </c>
      <c r="D6997" t="s">
        <v>8067</v>
      </c>
      <c r="E6997" t="str">
        <f>"39685853930278"</f>
        <v>39685853930278</v>
      </c>
      <c r="F6997" s="8">
        <v>215</v>
      </c>
      <c r="G6997" s="8">
        <v>8373</v>
      </c>
      <c r="H6997" s="8">
        <v>1898</v>
      </c>
      <c r="I6997" s="8">
        <v>4168</v>
      </c>
    </row>
    <row r="6998" spans="1:9" x14ac:dyDescent="0.2">
      <c r="A6998" t="s">
        <v>1470</v>
      </c>
      <c r="B6998" t="s">
        <v>1493</v>
      </c>
      <c r="C6998" t="str">
        <f t="shared" si="342"/>
        <v>39685850000000</v>
      </c>
      <c r="D6998" t="s">
        <v>8068</v>
      </c>
      <c r="E6998" t="str">
        <f>"39685856042154"</f>
        <v>39685856042154</v>
      </c>
      <c r="F6998" s="8">
        <v>1311</v>
      </c>
      <c r="G6998" s="8">
        <v>7063</v>
      </c>
      <c r="H6998" s="8">
        <v>1898</v>
      </c>
      <c r="I6998" s="8">
        <v>4168</v>
      </c>
    </row>
    <row r="6999" spans="1:9" x14ac:dyDescent="0.2">
      <c r="A6999" t="s">
        <v>1470</v>
      </c>
      <c r="B6999" t="s">
        <v>1493</v>
      </c>
      <c r="C6999" t="str">
        <f t="shared" si="342"/>
        <v>39685850000000</v>
      </c>
      <c r="D6999" t="s">
        <v>8069</v>
      </c>
      <c r="E6999" t="str">
        <f>"39685850139261"</f>
        <v>39685850139261</v>
      </c>
      <c r="F6999" s="8">
        <v>91</v>
      </c>
      <c r="G6999" s="8">
        <v>7894</v>
      </c>
      <c r="H6999" s="8">
        <v>1898</v>
      </c>
      <c r="I6999" s="8">
        <v>4168</v>
      </c>
    </row>
    <row r="7000" spans="1:9" x14ac:dyDescent="0.2">
      <c r="A7000" t="s">
        <v>1470</v>
      </c>
      <c r="B7000" t="s">
        <v>1493</v>
      </c>
      <c r="C7000" t="str">
        <f t="shared" si="342"/>
        <v>39685850000000</v>
      </c>
      <c r="D7000" t="s">
        <v>3041</v>
      </c>
      <c r="E7000" t="str">
        <f>"39685856042097"</f>
        <v>39685856042097</v>
      </c>
      <c r="F7000" s="8">
        <v>1267</v>
      </c>
      <c r="G7000" s="8">
        <v>6695</v>
      </c>
      <c r="H7000" s="8">
        <v>1898</v>
      </c>
      <c r="I7000" s="8">
        <v>4168</v>
      </c>
    </row>
    <row r="7001" spans="1:9" x14ac:dyDescent="0.2">
      <c r="A7001" t="s">
        <v>1470</v>
      </c>
      <c r="B7001" t="s">
        <v>1493</v>
      </c>
      <c r="C7001" t="str">
        <f t="shared" si="342"/>
        <v>39685850000000</v>
      </c>
      <c r="D7001" t="s">
        <v>2215</v>
      </c>
      <c r="E7001" t="str">
        <f>"39685856042147"</f>
        <v>39685856042147</v>
      </c>
      <c r="F7001" s="8">
        <v>1309</v>
      </c>
      <c r="G7001" s="8">
        <v>6555</v>
      </c>
      <c r="H7001" s="8">
        <v>1898</v>
      </c>
      <c r="I7001" s="8">
        <v>4168</v>
      </c>
    </row>
    <row r="7002" spans="1:9" x14ac:dyDescent="0.2">
      <c r="A7002" t="s">
        <v>1470</v>
      </c>
      <c r="B7002" t="s">
        <v>1493</v>
      </c>
      <c r="C7002" t="str">
        <f t="shared" si="342"/>
        <v>39685850000000</v>
      </c>
      <c r="D7002" t="s">
        <v>1688</v>
      </c>
      <c r="E7002" t="str">
        <f>"39685856042170"</f>
        <v>39685856042170</v>
      </c>
      <c r="F7002" s="8">
        <v>1387</v>
      </c>
      <c r="G7002" s="8">
        <v>6433</v>
      </c>
      <c r="H7002" s="8">
        <v>1898</v>
      </c>
      <c r="I7002" s="8">
        <v>4168</v>
      </c>
    </row>
    <row r="7003" spans="1:9" x14ac:dyDescent="0.2">
      <c r="A7003" t="s">
        <v>1470</v>
      </c>
      <c r="B7003" t="s">
        <v>1493</v>
      </c>
      <c r="C7003" t="str">
        <f t="shared" si="342"/>
        <v>39685850000000</v>
      </c>
      <c r="D7003" t="s">
        <v>5877</v>
      </c>
      <c r="E7003" t="str">
        <f>"39685856097760"</f>
        <v>39685856097760</v>
      </c>
      <c r="F7003" s="8">
        <v>1524</v>
      </c>
      <c r="G7003" s="8">
        <v>6268</v>
      </c>
      <c r="H7003" s="8">
        <v>1898</v>
      </c>
      <c r="I7003" s="8">
        <v>4168</v>
      </c>
    </row>
    <row r="7004" spans="1:9" x14ac:dyDescent="0.2">
      <c r="A7004" t="s">
        <v>1470</v>
      </c>
      <c r="B7004" t="s">
        <v>1493</v>
      </c>
      <c r="C7004" t="str">
        <f t="shared" si="342"/>
        <v>39685850000000</v>
      </c>
      <c r="D7004" t="s">
        <v>8070</v>
      </c>
      <c r="E7004" t="str">
        <f>"39685856108807"</f>
        <v>39685856108807</v>
      </c>
      <c r="F7004" s="8">
        <v>1168</v>
      </c>
      <c r="G7004" s="8">
        <v>6606</v>
      </c>
      <c r="H7004" s="8">
        <v>1898</v>
      </c>
      <c r="I7004" s="8">
        <v>4168</v>
      </c>
    </row>
    <row r="7005" spans="1:9" x14ac:dyDescent="0.2">
      <c r="A7005" t="s">
        <v>1470</v>
      </c>
      <c r="B7005" t="s">
        <v>1493</v>
      </c>
      <c r="C7005" t="str">
        <f t="shared" si="342"/>
        <v>39685850000000</v>
      </c>
      <c r="D7005" t="s">
        <v>8071</v>
      </c>
      <c r="E7005" t="str">
        <f>"39685856100366"</f>
        <v>39685856100366</v>
      </c>
      <c r="F7005" s="8">
        <v>1140</v>
      </c>
      <c r="G7005" s="8">
        <v>6598</v>
      </c>
      <c r="H7005" s="8">
        <v>1898</v>
      </c>
      <c r="I7005" s="8">
        <v>4168</v>
      </c>
    </row>
    <row r="7006" spans="1:9" x14ac:dyDescent="0.2">
      <c r="A7006" t="s">
        <v>1470</v>
      </c>
      <c r="B7006" t="s">
        <v>1493</v>
      </c>
      <c r="C7006" t="str">
        <f t="shared" si="342"/>
        <v>39685850000000</v>
      </c>
      <c r="D7006" t="s">
        <v>2565</v>
      </c>
      <c r="E7006" t="str">
        <f>"39685856109839"</f>
        <v>39685856109839</v>
      </c>
      <c r="F7006" s="8">
        <v>1274</v>
      </c>
      <c r="G7006" s="8">
        <v>6337</v>
      </c>
      <c r="H7006" s="8">
        <v>1898</v>
      </c>
      <c r="I7006" s="8">
        <v>4168</v>
      </c>
    </row>
    <row r="7007" spans="1:9" x14ac:dyDescent="0.2">
      <c r="A7007" t="s">
        <v>1470</v>
      </c>
      <c r="B7007" t="s">
        <v>1493</v>
      </c>
      <c r="C7007" t="str">
        <f t="shared" si="342"/>
        <v>39685850000000</v>
      </c>
      <c r="D7007" t="s">
        <v>8072</v>
      </c>
      <c r="E7007" t="str">
        <f>"39685853934783"</f>
        <v>39685853934783</v>
      </c>
      <c r="F7007" s="8">
        <v>352</v>
      </c>
      <c r="G7007" s="8">
        <v>7105</v>
      </c>
      <c r="H7007" s="8">
        <v>1898</v>
      </c>
      <c r="I7007" s="8">
        <v>4168</v>
      </c>
    </row>
    <row r="7008" spans="1:9" x14ac:dyDescent="0.2">
      <c r="A7008" t="s">
        <v>1470</v>
      </c>
      <c r="B7008" t="s">
        <v>1493</v>
      </c>
      <c r="C7008" t="str">
        <f t="shared" si="342"/>
        <v>39685850000000</v>
      </c>
      <c r="D7008" t="s">
        <v>1275</v>
      </c>
      <c r="E7008" t="str">
        <f>"39685856098057"</f>
        <v>39685856098057</v>
      </c>
      <c r="F7008" s="8">
        <v>603</v>
      </c>
      <c r="G7008" s="8">
        <v>6809</v>
      </c>
      <c r="H7008" s="8">
        <v>1898</v>
      </c>
      <c r="I7008" s="8">
        <v>4168</v>
      </c>
    </row>
    <row r="7009" spans="1:9" x14ac:dyDescent="0.2">
      <c r="A7009" t="s">
        <v>1470</v>
      </c>
      <c r="B7009" t="s">
        <v>1493</v>
      </c>
      <c r="C7009" t="str">
        <f t="shared" si="342"/>
        <v>39685850000000</v>
      </c>
      <c r="D7009" t="s">
        <v>8073</v>
      </c>
      <c r="E7009" t="str">
        <f>"39685856042121"</f>
        <v>39685856042121</v>
      </c>
      <c r="F7009" s="8">
        <v>489</v>
      </c>
      <c r="G7009" s="8">
        <v>6890</v>
      </c>
      <c r="H7009" s="8">
        <v>1898</v>
      </c>
      <c r="I7009" s="8">
        <v>4168</v>
      </c>
    </row>
    <row r="7010" spans="1:9" x14ac:dyDescent="0.2">
      <c r="A7010" t="s">
        <v>1470</v>
      </c>
      <c r="B7010" t="s">
        <v>1493</v>
      </c>
      <c r="C7010" t="str">
        <f t="shared" si="342"/>
        <v>39685850000000</v>
      </c>
      <c r="D7010" t="s">
        <v>8074</v>
      </c>
      <c r="E7010" t="str">
        <f>"39685856107114"</f>
        <v>39685856107114</v>
      </c>
      <c r="F7010" s="8">
        <v>794</v>
      </c>
      <c r="G7010" s="8">
        <v>6559</v>
      </c>
      <c r="H7010" s="8">
        <v>1898</v>
      </c>
      <c r="I7010" s="8">
        <v>4168</v>
      </c>
    </row>
    <row r="7011" spans="1:9" x14ac:dyDescent="0.2">
      <c r="A7011" t="s">
        <v>1470</v>
      </c>
      <c r="B7011" t="s">
        <v>1493</v>
      </c>
      <c r="C7011" t="str">
        <f t="shared" si="342"/>
        <v>39685850000000</v>
      </c>
      <c r="D7011" t="s">
        <v>3881</v>
      </c>
      <c r="E7011" t="str">
        <f>"39685856110944"</f>
        <v>39685856110944</v>
      </c>
      <c r="F7011" s="8">
        <v>1187</v>
      </c>
      <c r="G7011" s="8">
        <v>6143</v>
      </c>
      <c r="H7011" s="8">
        <v>1898</v>
      </c>
      <c r="I7011" s="8">
        <v>4168</v>
      </c>
    </row>
    <row r="7012" spans="1:9" x14ac:dyDescent="0.2">
      <c r="A7012" t="s">
        <v>1470</v>
      </c>
      <c r="B7012" t="s">
        <v>1493</v>
      </c>
      <c r="C7012" t="str">
        <f t="shared" si="342"/>
        <v>39685850000000</v>
      </c>
      <c r="D7012" t="s">
        <v>8075</v>
      </c>
      <c r="E7012" t="str">
        <f>"39685853934759"</f>
        <v>39685853934759</v>
      </c>
      <c r="F7012" s="8">
        <v>356</v>
      </c>
      <c r="G7012" s="8">
        <v>6972</v>
      </c>
      <c r="H7012" s="8">
        <v>1898</v>
      </c>
      <c r="I7012" s="8">
        <v>4168</v>
      </c>
    </row>
    <row r="7013" spans="1:9" x14ac:dyDescent="0.2">
      <c r="A7013" t="s">
        <v>1470</v>
      </c>
      <c r="B7013" t="s">
        <v>1493</v>
      </c>
      <c r="C7013" t="str">
        <f t="shared" si="342"/>
        <v>39685850000000</v>
      </c>
      <c r="D7013" t="s">
        <v>8076</v>
      </c>
      <c r="E7013" t="str">
        <f>"39685856100341"</f>
        <v>39685856100341</v>
      </c>
      <c r="F7013" s="8">
        <v>1133</v>
      </c>
      <c r="G7013" s="8">
        <v>6187</v>
      </c>
      <c r="H7013" s="8">
        <v>1898</v>
      </c>
      <c r="I7013" s="8">
        <v>4168</v>
      </c>
    </row>
    <row r="7014" spans="1:9" x14ac:dyDescent="0.2">
      <c r="A7014" t="s">
        <v>1470</v>
      </c>
      <c r="B7014" t="s">
        <v>1493</v>
      </c>
      <c r="C7014" t="str">
        <f t="shared" si="342"/>
        <v>39685850000000</v>
      </c>
      <c r="D7014" t="s">
        <v>8077</v>
      </c>
      <c r="E7014" t="str">
        <f>"39685850108225"</f>
        <v>39685850108225</v>
      </c>
      <c r="F7014" s="8">
        <v>479</v>
      </c>
      <c r="G7014" s="8">
        <v>6771</v>
      </c>
      <c r="H7014" s="8">
        <v>1898</v>
      </c>
      <c r="I7014" s="8">
        <v>4168</v>
      </c>
    </row>
    <row r="7015" spans="1:9" x14ac:dyDescent="0.2">
      <c r="A7015" t="s">
        <v>1470</v>
      </c>
      <c r="B7015" t="s">
        <v>1493</v>
      </c>
      <c r="C7015" t="str">
        <f t="shared" si="342"/>
        <v>39685850000000</v>
      </c>
      <c r="D7015" t="s">
        <v>8078</v>
      </c>
      <c r="E7015" t="str">
        <f>"39685856042139"</f>
        <v>39685856042139</v>
      </c>
      <c r="F7015" s="8">
        <v>649</v>
      </c>
      <c r="G7015" s="8">
        <v>6582</v>
      </c>
      <c r="H7015" s="8">
        <v>1898</v>
      </c>
      <c r="I7015" s="8">
        <v>4168</v>
      </c>
    </row>
    <row r="7016" spans="1:9" x14ac:dyDescent="0.2">
      <c r="A7016" t="s">
        <v>1470</v>
      </c>
      <c r="B7016" t="s">
        <v>1493</v>
      </c>
      <c r="C7016" t="str">
        <f t="shared" si="342"/>
        <v>39685850000000</v>
      </c>
      <c r="D7016" t="s">
        <v>8079</v>
      </c>
      <c r="E7016" t="str">
        <f>"39685853930237"</f>
        <v>39685853930237</v>
      </c>
      <c r="F7016" s="8">
        <v>397</v>
      </c>
      <c r="G7016" s="8">
        <v>6785</v>
      </c>
      <c r="H7016" s="8">
        <v>1898</v>
      </c>
      <c r="I7016" s="8">
        <v>4168</v>
      </c>
    </row>
    <row r="7017" spans="1:9" x14ac:dyDescent="0.2">
      <c r="A7017" t="s">
        <v>1470</v>
      </c>
      <c r="B7017" t="s">
        <v>1493</v>
      </c>
      <c r="C7017" t="str">
        <f t="shared" si="342"/>
        <v>39685850000000</v>
      </c>
      <c r="D7017" t="s">
        <v>8080</v>
      </c>
      <c r="E7017" t="str">
        <f>"39685850111419"</f>
        <v>39685850111419</v>
      </c>
      <c r="F7017" s="8">
        <v>462</v>
      </c>
      <c r="G7017" s="8">
        <v>6720</v>
      </c>
      <c r="H7017" s="8">
        <v>1898</v>
      </c>
      <c r="I7017" s="8">
        <v>4168</v>
      </c>
    </row>
    <row r="7018" spans="1:9" x14ac:dyDescent="0.2">
      <c r="A7018" t="s">
        <v>1470</v>
      </c>
      <c r="B7018" t="s">
        <v>1493</v>
      </c>
      <c r="C7018" t="str">
        <f t="shared" si="342"/>
        <v>39685850000000</v>
      </c>
      <c r="D7018" t="s">
        <v>8081</v>
      </c>
      <c r="E7018" t="str">
        <f>"39685850116608"</f>
        <v>39685850116608</v>
      </c>
      <c r="F7018" s="8">
        <v>565</v>
      </c>
      <c r="G7018" s="8">
        <v>6551</v>
      </c>
      <c r="H7018" s="8">
        <v>1898</v>
      </c>
      <c r="I7018" s="8">
        <v>4168</v>
      </c>
    </row>
    <row r="7019" spans="1:9" x14ac:dyDescent="0.2">
      <c r="A7019" t="s">
        <v>1470</v>
      </c>
      <c r="B7019" t="s">
        <v>1493</v>
      </c>
      <c r="C7019" t="str">
        <f t="shared" si="342"/>
        <v>39685850000000</v>
      </c>
      <c r="D7019" t="s">
        <v>8082</v>
      </c>
      <c r="E7019" t="str">
        <f>"39685850108209"</f>
        <v>39685850108209</v>
      </c>
      <c r="F7019" s="8">
        <v>542</v>
      </c>
      <c r="G7019" s="8">
        <v>6539</v>
      </c>
      <c r="H7019" s="8">
        <v>1898</v>
      </c>
      <c r="I7019" s="8">
        <v>4168</v>
      </c>
    </row>
    <row r="7020" spans="1:9" x14ac:dyDescent="0.2">
      <c r="A7020" t="s">
        <v>1470</v>
      </c>
      <c r="B7020" t="s">
        <v>1493</v>
      </c>
      <c r="C7020" t="str">
        <f t="shared" si="342"/>
        <v>39685850000000</v>
      </c>
      <c r="D7020" t="s">
        <v>8083</v>
      </c>
      <c r="E7020" t="str">
        <f>"39685856042196"</f>
        <v>39685856042196</v>
      </c>
      <c r="F7020" s="8">
        <v>636</v>
      </c>
      <c r="G7020" s="8">
        <v>6421</v>
      </c>
      <c r="H7020" s="8">
        <v>1898</v>
      </c>
      <c r="I7020" s="8">
        <v>4168</v>
      </c>
    </row>
    <row r="7021" spans="1:9" x14ac:dyDescent="0.2">
      <c r="A7021" t="s">
        <v>1470</v>
      </c>
      <c r="B7021" t="s">
        <v>1493</v>
      </c>
      <c r="C7021" t="str">
        <f t="shared" si="342"/>
        <v>39685850000000</v>
      </c>
      <c r="D7021" t="s">
        <v>8084</v>
      </c>
      <c r="E7021" t="str">
        <f>"39685850102640"</f>
        <v>39685850102640</v>
      </c>
      <c r="F7021" s="8">
        <v>466</v>
      </c>
      <c r="G7021" s="8">
        <v>6583</v>
      </c>
      <c r="H7021" s="8">
        <v>1898</v>
      </c>
      <c r="I7021" s="8">
        <v>4168</v>
      </c>
    </row>
    <row r="7022" spans="1:9" x14ac:dyDescent="0.2">
      <c r="A7022" t="s">
        <v>1470</v>
      </c>
      <c r="B7022" t="s">
        <v>1493</v>
      </c>
      <c r="C7022" t="str">
        <f t="shared" si="342"/>
        <v>39685850000000</v>
      </c>
      <c r="D7022" t="s">
        <v>8085</v>
      </c>
      <c r="E7022" t="str">
        <f>"39685850100560"</f>
        <v>39685850100560</v>
      </c>
      <c r="F7022" s="8">
        <v>889</v>
      </c>
      <c r="G7022" s="8">
        <v>6155</v>
      </c>
      <c r="H7022" s="8">
        <v>1898</v>
      </c>
      <c r="I7022" s="8">
        <v>4168</v>
      </c>
    </row>
    <row r="7023" spans="1:9" x14ac:dyDescent="0.2">
      <c r="A7023" t="s">
        <v>1470</v>
      </c>
      <c r="B7023" t="s">
        <v>1493</v>
      </c>
      <c r="C7023" t="str">
        <f t="shared" si="342"/>
        <v>39685850000000</v>
      </c>
      <c r="D7023" t="s">
        <v>8086</v>
      </c>
      <c r="E7023" t="str">
        <f>"39685850102657"</f>
        <v>39685850102657</v>
      </c>
      <c r="F7023" s="8">
        <v>472</v>
      </c>
      <c r="G7023" s="8">
        <v>6558</v>
      </c>
      <c r="H7023" s="8">
        <v>1898</v>
      </c>
      <c r="I7023" s="8">
        <v>4168</v>
      </c>
    </row>
    <row r="7024" spans="1:9" x14ac:dyDescent="0.2">
      <c r="A7024" t="s">
        <v>1470</v>
      </c>
      <c r="B7024" t="s">
        <v>1493</v>
      </c>
      <c r="C7024" t="str">
        <f t="shared" ref="C7024:C7040" si="343">"39685850000000"</f>
        <v>39685850000000</v>
      </c>
      <c r="D7024" t="s">
        <v>8087</v>
      </c>
      <c r="E7024" t="str">
        <f>"39685856042188"</f>
        <v>39685856042188</v>
      </c>
      <c r="F7024" s="8">
        <v>564</v>
      </c>
      <c r="G7024" s="8">
        <v>6427</v>
      </c>
      <c r="H7024" s="8">
        <v>1898</v>
      </c>
      <c r="I7024" s="8">
        <v>4168</v>
      </c>
    </row>
    <row r="7025" spans="1:9" x14ac:dyDescent="0.2">
      <c r="A7025" t="s">
        <v>1470</v>
      </c>
      <c r="B7025" t="s">
        <v>1493</v>
      </c>
      <c r="C7025" t="str">
        <f t="shared" si="343"/>
        <v>39685850000000</v>
      </c>
      <c r="D7025" t="s">
        <v>8088</v>
      </c>
      <c r="E7025" t="str">
        <f>"39685856042220"</f>
        <v>39685856042220</v>
      </c>
      <c r="F7025" s="8">
        <v>596</v>
      </c>
      <c r="G7025" s="8">
        <v>6355</v>
      </c>
      <c r="H7025" s="8">
        <v>1898</v>
      </c>
      <c r="I7025" s="8">
        <v>4168</v>
      </c>
    </row>
    <row r="7026" spans="1:9" x14ac:dyDescent="0.2">
      <c r="A7026" t="s">
        <v>1470</v>
      </c>
      <c r="B7026" t="s">
        <v>1493</v>
      </c>
      <c r="C7026" t="str">
        <f t="shared" si="343"/>
        <v>39685850000000</v>
      </c>
      <c r="D7026" t="s">
        <v>8089</v>
      </c>
      <c r="E7026" t="str">
        <f>"39685856042071"</f>
        <v>39685856042071</v>
      </c>
      <c r="F7026" s="8">
        <v>428</v>
      </c>
      <c r="G7026" s="8">
        <v>6394</v>
      </c>
      <c r="H7026" s="8">
        <v>1898</v>
      </c>
      <c r="I7026" s="8">
        <v>4168</v>
      </c>
    </row>
    <row r="7027" spans="1:9" x14ac:dyDescent="0.2">
      <c r="A7027" t="s">
        <v>1470</v>
      </c>
      <c r="B7027" t="s">
        <v>1493</v>
      </c>
      <c r="C7027" t="str">
        <f t="shared" si="343"/>
        <v>39685850000000</v>
      </c>
      <c r="D7027" t="s">
        <v>8090</v>
      </c>
      <c r="E7027" t="str">
        <f>"39685856042295"</f>
        <v>39685856042295</v>
      </c>
      <c r="F7027" s="8">
        <v>422</v>
      </c>
      <c r="G7027" s="8">
        <v>6362</v>
      </c>
      <c r="H7027" s="8">
        <v>1898</v>
      </c>
      <c r="I7027" s="8">
        <v>4168</v>
      </c>
    </row>
    <row r="7028" spans="1:9" x14ac:dyDescent="0.2">
      <c r="A7028" t="s">
        <v>1470</v>
      </c>
      <c r="B7028" t="s">
        <v>1493</v>
      </c>
      <c r="C7028" t="str">
        <f t="shared" si="343"/>
        <v>39685850000000</v>
      </c>
      <c r="D7028" t="s">
        <v>2637</v>
      </c>
      <c r="E7028" t="str">
        <f>"39685856104038"</f>
        <v>39685856104038</v>
      </c>
      <c r="F7028" s="8">
        <v>919</v>
      </c>
      <c r="G7028" s="8">
        <v>5835</v>
      </c>
      <c r="H7028" s="8">
        <v>1898</v>
      </c>
      <c r="I7028" s="8">
        <v>4168</v>
      </c>
    </row>
    <row r="7029" spans="1:9" x14ac:dyDescent="0.2">
      <c r="A7029" t="s">
        <v>1470</v>
      </c>
      <c r="B7029" t="s">
        <v>1493</v>
      </c>
      <c r="C7029" t="str">
        <f t="shared" si="343"/>
        <v>39685850000000</v>
      </c>
      <c r="D7029" t="s">
        <v>8091</v>
      </c>
      <c r="E7029" t="str">
        <f>"39685850102632"</f>
        <v>39685850102632</v>
      </c>
      <c r="F7029" s="8">
        <v>956</v>
      </c>
      <c r="G7029" s="8">
        <v>5693</v>
      </c>
      <c r="H7029" s="8">
        <v>1898</v>
      </c>
      <c r="I7029" s="8">
        <v>4168</v>
      </c>
    </row>
    <row r="7030" spans="1:9" x14ac:dyDescent="0.2">
      <c r="A7030" t="s">
        <v>1470</v>
      </c>
      <c r="B7030" t="s">
        <v>1493</v>
      </c>
      <c r="C7030" t="str">
        <f t="shared" si="343"/>
        <v>39685850000000</v>
      </c>
      <c r="D7030" t="s">
        <v>8092</v>
      </c>
      <c r="E7030" t="str">
        <f>"39685856042204"</f>
        <v>39685856042204</v>
      </c>
      <c r="F7030" s="8">
        <v>518</v>
      </c>
      <c r="G7030" s="8">
        <v>6131</v>
      </c>
      <c r="H7030" s="8">
        <v>1898</v>
      </c>
      <c r="I7030" s="8">
        <v>4168</v>
      </c>
    </row>
    <row r="7031" spans="1:9" x14ac:dyDescent="0.2">
      <c r="A7031" t="s">
        <v>1470</v>
      </c>
      <c r="B7031" t="s">
        <v>1493</v>
      </c>
      <c r="C7031" t="str">
        <f t="shared" si="343"/>
        <v>39685850000000</v>
      </c>
      <c r="D7031" t="s">
        <v>8093</v>
      </c>
      <c r="E7031" t="str">
        <f>"39685856108856"</f>
        <v>39685856108856</v>
      </c>
      <c r="F7031" s="8">
        <v>868</v>
      </c>
      <c r="G7031" s="8">
        <v>5773</v>
      </c>
      <c r="H7031" s="8">
        <v>1898</v>
      </c>
      <c r="I7031" s="8">
        <v>4168</v>
      </c>
    </row>
    <row r="7032" spans="1:9" x14ac:dyDescent="0.2">
      <c r="A7032" t="s">
        <v>1470</v>
      </c>
      <c r="B7032" t="s">
        <v>1493</v>
      </c>
      <c r="C7032" t="str">
        <f t="shared" si="343"/>
        <v>39685850000000</v>
      </c>
      <c r="D7032" t="s">
        <v>8094</v>
      </c>
      <c r="E7032" t="str">
        <f>"39685856120059"</f>
        <v>39685856120059</v>
      </c>
      <c r="F7032" s="8">
        <v>462</v>
      </c>
      <c r="G7032" s="8">
        <v>6134</v>
      </c>
      <c r="H7032" s="8">
        <v>1898</v>
      </c>
      <c r="I7032" s="8">
        <v>4168</v>
      </c>
    </row>
    <row r="7033" spans="1:9" x14ac:dyDescent="0.2">
      <c r="A7033" t="s">
        <v>1470</v>
      </c>
      <c r="B7033" t="s">
        <v>1493</v>
      </c>
      <c r="C7033" t="str">
        <f t="shared" si="343"/>
        <v>39685850000000</v>
      </c>
      <c r="D7033" t="s">
        <v>8095</v>
      </c>
      <c r="E7033" t="str">
        <f>"39685850108217"</f>
        <v>39685850108217</v>
      </c>
      <c r="F7033" s="8">
        <v>535</v>
      </c>
      <c r="G7033" s="8">
        <v>5989</v>
      </c>
      <c r="H7033" s="8">
        <v>1898</v>
      </c>
      <c r="I7033" s="8">
        <v>4168</v>
      </c>
    </row>
    <row r="7034" spans="1:9" x14ac:dyDescent="0.2">
      <c r="A7034" t="s">
        <v>1470</v>
      </c>
      <c r="B7034" t="s">
        <v>1493</v>
      </c>
      <c r="C7034" t="str">
        <f t="shared" si="343"/>
        <v>39685850000000</v>
      </c>
      <c r="D7034" t="s">
        <v>8096</v>
      </c>
      <c r="E7034" t="str">
        <f>"39685850111286"</f>
        <v>39685850111286</v>
      </c>
      <c r="F7034" s="8">
        <v>591</v>
      </c>
      <c r="G7034" s="8">
        <v>5838</v>
      </c>
      <c r="H7034" s="8">
        <v>1898</v>
      </c>
      <c r="I7034" s="8">
        <v>4168</v>
      </c>
    </row>
    <row r="7035" spans="1:9" x14ac:dyDescent="0.2">
      <c r="A7035" t="s">
        <v>1470</v>
      </c>
      <c r="B7035" t="s">
        <v>1493</v>
      </c>
      <c r="C7035" t="str">
        <f t="shared" si="343"/>
        <v>39685850000000</v>
      </c>
      <c r="D7035" t="s">
        <v>2093</v>
      </c>
      <c r="E7035" t="str">
        <f>"39685856111983"</f>
        <v>39685856111983</v>
      </c>
      <c r="F7035" s="8">
        <v>567</v>
      </c>
      <c r="G7035" s="8">
        <v>5694</v>
      </c>
      <c r="H7035" s="8">
        <v>1898</v>
      </c>
      <c r="I7035" s="8">
        <v>4168</v>
      </c>
    </row>
    <row r="7036" spans="1:9" x14ac:dyDescent="0.2">
      <c r="A7036" t="s">
        <v>1470</v>
      </c>
      <c r="B7036" t="s">
        <v>1493</v>
      </c>
      <c r="C7036" t="str">
        <f t="shared" si="343"/>
        <v>39685850000000</v>
      </c>
      <c r="D7036" t="s">
        <v>8097</v>
      </c>
      <c r="E7036" t="str">
        <f>"39685856042055"</f>
        <v>39685856042055</v>
      </c>
      <c r="F7036" s="8">
        <v>1136</v>
      </c>
      <c r="G7036" s="8">
        <v>4976</v>
      </c>
      <c r="H7036" s="8">
        <v>1898</v>
      </c>
      <c r="I7036" s="8">
        <v>4168</v>
      </c>
    </row>
    <row r="7037" spans="1:9" x14ac:dyDescent="0.2">
      <c r="A7037" t="s">
        <v>1470</v>
      </c>
      <c r="B7037" t="s">
        <v>1493</v>
      </c>
      <c r="C7037" t="str">
        <f t="shared" si="343"/>
        <v>39685850000000</v>
      </c>
      <c r="D7037" t="s">
        <v>8098</v>
      </c>
      <c r="E7037" t="str">
        <f>"39685856042063"</f>
        <v>39685856042063</v>
      </c>
      <c r="F7037" s="8">
        <v>118</v>
      </c>
      <c r="G7037" s="8">
        <v>5941</v>
      </c>
      <c r="H7037" s="8">
        <v>1898</v>
      </c>
      <c r="I7037" s="8">
        <v>4168</v>
      </c>
    </row>
    <row r="7038" spans="1:9" x14ac:dyDescent="0.2">
      <c r="A7038" t="s">
        <v>1470</v>
      </c>
      <c r="B7038" t="s">
        <v>1493</v>
      </c>
      <c r="C7038" t="str">
        <f t="shared" si="343"/>
        <v>39685850000000</v>
      </c>
      <c r="D7038" t="s">
        <v>2716</v>
      </c>
      <c r="E7038" t="str">
        <f>"39685853930443"</f>
        <v>39685853930443</v>
      </c>
      <c r="F7038" s="8">
        <v>78</v>
      </c>
      <c r="G7038" s="8">
        <v>4959</v>
      </c>
      <c r="H7038" s="8">
        <v>1898</v>
      </c>
      <c r="I7038" s="8">
        <v>4168</v>
      </c>
    </row>
    <row r="7039" spans="1:9" x14ac:dyDescent="0.2">
      <c r="A7039" t="s">
        <v>1470</v>
      </c>
      <c r="B7039" t="s">
        <v>1493</v>
      </c>
      <c r="C7039" t="str">
        <f t="shared" si="343"/>
        <v>39685850000000</v>
      </c>
      <c r="D7039" t="s">
        <v>8099</v>
      </c>
      <c r="E7039" t="str">
        <f>"39685853930344"</f>
        <v>39685853930344</v>
      </c>
      <c r="F7039" s="8">
        <v>340</v>
      </c>
      <c r="G7039" s="8">
        <v>4257</v>
      </c>
      <c r="H7039" s="8">
        <v>1898</v>
      </c>
      <c r="I7039" s="8">
        <v>4168</v>
      </c>
    </row>
    <row r="7040" spans="1:9" x14ac:dyDescent="0.2">
      <c r="A7040" t="s">
        <v>1470</v>
      </c>
      <c r="B7040" t="s">
        <v>1493</v>
      </c>
      <c r="C7040" t="str">
        <f t="shared" si="343"/>
        <v>39685850000000</v>
      </c>
      <c r="D7040" t="s">
        <v>8100</v>
      </c>
      <c r="E7040" t="str">
        <f>"39685850122879"</f>
        <v>39685850122879</v>
      </c>
      <c r="F7040" s="8" t="s">
        <v>30</v>
      </c>
      <c r="G7040" s="8" t="s">
        <v>30</v>
      </c>
      <c r="H7040" s="8" t="s">
        <v>30</v>
      </c>
      <c r="I7040" s="8" t="s">
        <v>30</v>
      </c>
    </row>
    <row r="7041" spans="1:9" x14ac:dyDescent="0.2">
      <c r="A7041" t="s">
        <v>1470</v>
      </c>
      <c r="B7041" t="s">
        <v>1494</v>
      </c>
      <c r="C7041" t="str">
        <f t="shared" ref="C7041:C7069" si="344">"39685930000000"</f>
        <v>39685930000000</v>
      </c>
      <c r="D7041" t="s">
        <v>8101</v>
      </c>
      <c r="E7041" t="str">
        <f>"39685933930328"</f>
        <v>39685933930328</v>
      </c>
      <c r="F7041" s="8">
        <v>1602</v>
      </c>
      <c r="G7041" s="8">
        <v>21140</v>
      </c>
      <c r="H7041" s="8">
        <v>1262</v>
      </c>
      <c r="I7041" s="8">
        <v>3370</v>
      </c>
    </row>
    <row r="7042" spans="1:9" x14ac:dyDescent="0.2">
      <c r="A7042" t="s">
        <v>1470</v>
      </c>
      <c r="B7042" t="s">
        <v>1494</v>
      </c>
      <c r="C7042" t="str">
        <f t="shared" si="344"/>
        <v>39685930000000</v>
      </c>
      <c r="D7042" t="s">
        <v>8102</v>
      </c>
      <c r="E7042" t="str">
        <f>"39685936114847"</f>
        <v>39685936114847</v>
      </c>
      <c r="F7042" s="8">
        <v>1597</v>
      </c>
      <c r="G7042" s="8">
        <v>21080</v>
      </c>
      <c r="H7042" s="8">
        <v>1262</v>
      </c>
      <c r="I7042" s="8">
        <v>3370</v>
      </c>
    </row>
    <row r="7043" spans="1:9" x14ac:dyDescent="0.2">
      <c r="A7043" t="s">
        <v>1470</v>
      </c>
      <c r="B7043" t="s">
        <v>1494</v>
      </c>
      <c r="C7043" t="str">
        <f t="shared" si="344"/>
        <v>39685930000000</v>
      </c>
      <c r="D7043" t="s">
        <v>8103</v>
      </c>
      <c r="E7043" t="str">
        <f>"39685930112565"</f>
        <v>39685930112565</v>
      </c>
      <c r="F7043" s="8">
        <v>479</v>
      </c>
      <c r="G7043" s="8">
        <v>17305</v>
      </c>
      <c r="H7043" s="8">
        <v>1262</v>
      </c>
      <c r="I7043" s="8">
        <v>3370</v>
      </c>
    </row>
    <row r="7044" spans="1:9" x14ac:dyDescent="0.2">
      <c r="A7044" t="s">
        <v>1470</v>
      </c>
      <c r="B7044" t="s">
        <v>1494</v>
      </c>
      <c r="C7044" t="str">
        <f t="shared" si="344"/>
        <v>39685930000000</v>
      </c>
      <c r="D7044" t="s">
        <v>8104</v>
      </c>
      <c r="E7044" t="str">
        <f>"39685933935111"</f>
        <v>39685933935111</v>
      </c>
      <c r="F7044" s="8">
        <v>339</v>
      </c>
      <c r="G7044" s="8">
        <v>15392</v>
      </c>
      <c r="H7044" s="8">
        <v>1262</v>
      </c>
      <c r="I7044" s="8">
        <v>3370</v>
      </c>
    </row>
    <row r="7045" spans="1:9" x14ac:dyDescent="0.2">
      <c r="A7045" t="s">
        <v>1470</v>
      </c>
      <c r="B7045" t="s">
        <v>1494</v>
      </c>
      <c r="C7045" t="str">
        <f t="shared" si="344"/>
        <v>39685930000000</v>
      </c>
      <c r="D7045" t="s">
        <v>8105</v>
      </c>
      <c r="E7045" t="str">
        <f>"39685930105973"</f>
        <v>39685930105973</v>
      </c>
      <c r="F7045" s="8">
        <v>2123</v>
      </c>
      <c r="G7045" s="8">
        <v>10886</v>
      </c>
      <c r="H7045" s="8">
        <v>1262</v>
      </c>
      <c r="I7045" s="8">
        <v>3370</v>
      </c>
    </row>
    <row r="7046" spans="1:9" x14ac:dyDescent="0.2">
      <c r="A7046" t="s">
        <v>1470</v>
      </c>
      <c r="B7046" t="s">
        <v>1494</v>
      </c>
      <c r="C7046" t="str">
        <f t="shared" si="344"/>
        <v>39685930000000</v>
      </c>
      <c r="D7046" t="s">
        <v>3053</v>
      </c>
      <c r="E7046" t="str">
        <f>"39685933930310"</f>
        <v>39685933930310</v>
      </c>
      <c r="F7046" s="8">
        <v>1218</v>
      </c>
      <c r="G7046" s="8">
        <v>7686</v>
      </c>
      <c r="H7046" s="8">
        <v>1262</v>
      </c>
      <c r="I7046" s="8">
        <v>3370</v>
      </c>
    </row>
    <row r="7047" spans="1:9" x14ac:dyDescent="0.2">
      <c r="A7047" t="s">
        <v>1470</v>
      </c>
      <c r="B7047" t="s">
        <v>1494</v>
      </c>
      <c r="C7047" t="str">
        <f t="shared" si="344"/>
        <v>39685930000000</v>
      </c>
      <c r="D7047" t="s">
        <v>8106</v>
      </c>
      <c r="E7047" t="str">
        <f>"39685933932001"</f>
        <v>39685933932001</v>
      </c>
      <c r="F7047" s="8">
        <v>1113</v>
      </c>
      <c r="G7047" s="8">
        <v>7551</v>
      </c>
      <c r="H7047" s="8">
        <v>1262</v>
      </c>
      <c r="I7047" s="8">
        <v>3370</v>
      </c>
    </row>
    <row r="7048" spans="1:9" x14ac:dyDescent="0.2">
      <c r="A7048" t="s">
        <v>1470</v>
      </c>
      <c r="B7048" t="s">
        <v>1494</v>
      </c>
      <c r="C7048" t="str">
        <f t="shared" si="344"/>
        <v>39685930000000</v>
      </c>
      <c r="D7048" t="s">
        <v>8107</v>
      </c>
      <c r="E7048" t="str">
        <f>"39685930116376"</f>
        <v>39685930116376</v>
      </c>
      <c r="F7048" s="8">
        <v>1152</v>
      </c>
      <c r="G7048" s="8">
        <v>7004</v>
      </c>
      <c r="H7048" s="8">
        <v>1262</v>
      </c>
      <c r="I7048" s="8">
        <v>3370</v>
      </c>
    </row>
    <row r="7049" spans="1:9" x14ac:dyDescent="0.2">
      <c r="A7049" t="s">
        <v>1470</v>
      </c>
      <c r="B7049" t="s">
        <v>1494</v>
      </c>
      <c r="C7049" t="str">
        <f t="shared" si="344"/>
        <v>39685930000000</v>
      </c>
      <c r="D7049" t="s">
        <v>8108</v>
      </c>
      <c r="E7049" t="str">
        <f>"39685933935103"</f>
        <v>39685933935103</v>
      </c>
      <c r="F7049" s="8">
        <v>1000</v>
      </c>
      <c r="G7049" s="8">
        <v>6932</v>
      </c>
      <c r="H7049" s="8">
        <v>1262</v>
      </c>
      <c r="I7049" s="8">
        <v>3370</v>
      </c>
    </row>
    <row r="7050" spans="1:9" x14ac:dyDescent="0.2">
      <c r="A7050" t="s">
        <v>1470</v>
      </c>
      <c r="B7050" t="s">
        <v>1494</v>
      </c>
      <c r="C7050" t="str">
        <f t="shared" si="344"/>
        <v>39685930000000</v>
      </c>
      <c r="D7050" t="s">
        <v>8109</v>
      </c>
      <c r="E7050" t="str">
        <f>"39685936109532"</f>
        <v>39685936109532</v>
      </c>
      <c r="F7050" s="8">
        <v>983</v>
      </c>
      <c r="G7050" s="8">
        <v>6929</v>
      </c>
      <c r="H7050" s="8">
        <v>1262</v>
      </c>
      <c r="I7050" s="8">
        <v>3370</v>
      </c>
    </row>
    <row r="7051" spans="1:9" x14ac:dyDescent="0.2">
      <c r="A7051" t="s">
        <v>1470</v>
      </c>
      <c r="B7051" t="s">
        <v>1494</v>
      </c>
      <c r="C7051" t="str">
        <f t="shared" si="344"/>
        <v>39685930000000</v>
      </c>
      <c r="D7051" t="s">
        <v>8110</v>
      </c>
      <c r="E7051" t="str">
        <f>"39685936042311"</f>
        <v>39685936042311</v>
      </c>
      <c r="F7051" s="8">
        <v>361</v>
      </c>
      <c r="G7051" s="8">
        <v>7164</v>
      </c>
      <c r="H7051" s="8">
        <v>1262</v>
      </c>
      <c r="I7051" s="8">
        <v>3370</v>
      </c>
    </row>
    <row r="7052" spans="1:9" x14ac:dyDescent="0.2">
      <c r="A7052" t="s">
        <v>1470</v>
      </c>
      <c r="B7052" t="s">
        <v>1494</v>
      </c>
      <c r="C7052" t="str">
        <f t="shared" si="344"/>
        <v>39685930000000</v>
      </c>
      <c r="D7052" t="s">
        <v>8111</v>
      </c>
      <c r="E7052" t="str">
        <f>"39685936112197"</f>
        <v>39685936112197</v>
      </c>
      <c r="F7052" s="8">
        <v>892</v>
      </c>
      <c r="G7052" s="8">
        <v>6494</v>
      </c>
      <c r="H7052" s="8">
        <v>1262</v>
      </c>
      <c r="I7052" s="8">
        <v>3370</v>
      </c>
    </row>
    <row r="7053" spans="1:9" x14ac:dyDescent="0.2">
      <c r="A7053" t="s">
        <v>1470</v>
      </c>
      <c r="B7053" t="s">
        <v>1494</v>
      </c>
      <c r="C7053" t="str">
        <f t="shared" si="344"/>
        <v>39685930000000</v>
      </c>
      <c r="D7053" t="s">
        <v>2243</v>
      </c>
      <c r="E7053" t="str">
        <f>"39685936042345"</f>
        <v>39685936042345</v>
      </c>
      <c r="F7053" s="8">
        <v>473</v>
      </c>
      <c r="G7053" s="8">
        <v>6824</v>
      </c>
      <c r="H7053" s="8">
        <v>1262</v>
      </c>
      <c r="I7053" s="8">
        <v>3370</v>
      </c>
    </row>
    <row r="7054" spans="1:9" x14ac:dyDescent="0.2">
      <c r="A7054" t="s">
        <v>1470</v>
      </c>
      <c r="B7054" t="s">
        <v>1494</v>
      </c>
      <c r="C7054" t="str">
        <f t="shared" si="344"/>
        <v>39685930000000</v>
      </c>
      <c r="D7054" t="s">
        <v>8112</v>
      </c>
      <c r="E7054" t="str">
        <f>"39685936115414"</f>
        <v>39685936115414</v>
      </c>
      <c r="F7054" s="8">
        <v>498</v>
      </c>
      <c r="G7054" s="8">
        <v>6692</v>
      </c>
      <c r="H7054" s="8">
        <v>1262</v>
      </c>
      <c r="I7054" s="8">
        <v>3370</v>
      </c>
    </row>
    <row r="7055" spans="1:9" x14ac:dyDescent="0.2">
      <c r="A7055" t="s">
        <v>1470</v>
      </c>
      <c r="B7055" t="s">
        <v>1494</v>
      </c>
      <c r="C7055" t="str">
        <f t="shared" si="344"/>
        <v>39685930000000</v>
      </c>
      <c r="D7055" t="s">
        <v>8113</v>
      </c>
      <c r="E7055" t="str">
        <f>"39685936042360"</f>
        <v>39685936042360</v>
      </c>
      <c r="F7055" s="8">
        <v>327</v>
      </c>
      <c r="G7055" s="8">
        <v>6739</v>
      </c>
      <c r="H7055" s="8">
        <v>1262</v>
      </c>
      <c r="I7055" s="8">
        <v>3370</v>
      </c>
    </row>
    <row r="7056" spans="1:9" x14ac:dyDescent="0.2">
      <c r="A7056" t="s">
        <v>1470</v>
      </c>
      <c r="B7056" t="s">
        <v>1494</v>
      </c>
      <c r="C7056" t="str">
        <f t="shared" si="344"/>
        <v>39685930000000</v>
      </c>
      <c r="D7056" t="s">
        <v>8114</v>
      </c>
      <c r="E7056" t="str">
        <f>"39685936110555"</f>
        <v>39685936110555</v>
      </c>
      <c r="F7056" s="8">
        <v>437</v>
      </c>
      <c r="G7056" s="8">
        <v>6604</v>
      </c>
      <c r="H7056" s="8">
        <v>1262</v>
      </c>
      <c r="I7056" s="8">
        <v>3370</v>
      </c>
    </row>
    <row r="7057" spans="1:9" x14ac:dyDescent="0.2">
      <c r="A7057" t="s">
        <v>1470</v>
      </c>
      <c r="B7057" t="s">
        <v>1494</v>
      </c>
      <c r="C7057" t="str">
        <f t="shared" si="344"/>
        <v>39685930000000</v>
      </c>
      <c r="D7057" t="s">
        <v>8115</v>
      </c>
      <c r="E7057" t="str">
        <f>"39685936118509"</f>
        <v>39685936118509</v>
      </c>
      <c r="F7057" s="8">
        <v>749</v>
      </c>
      <c r="G7057" s="8">
        <v>6241</v>
      </c>
      <c r="H7057" s="8">
        <v>1262</v>
      </c>
      <c r="I7057" s="8">
        <v>3370</v>
      </c>
    </row>
    <row r="7058" spans="1:9" x14ac:dyDescent="0.2">
      <c r="A7058" t="s">
        <v>1470</v>
      </c>
      <c r="B7058" t="s">
        <v>1494</v>
      </c>
      <c r="C7058" t="str">
        <f t="shared" si="344"/>
        <v>39685930000000</v>
      </c>
      <c r="D7058" t="s">
        <v>8116</v>
      </c>
      <c r="E7058" t="str">
        <f>"39685936042337"</f>
        <v>39685936042337</v>
      </c>
      <c r="F7058" s="8">
        <v>369</v>
      </c>
      <c r="G7058" s="8">
        <v>6239</v>
      </c>
      <c r="H7058" s="8">
        <v>1262</v>
      </c>
      <c r="I7058" s="8">
        <v>3370</v>
      </c>
    </row>
    <row r="7059" spans="1:9" x14ac:dyDescent="0.2">
      <c r="A7059" t="s">
        <v>1470</v>
      </c>
      <c r="B7059" t="s">
        <v>1494</v>
      </c>
      <c r="C7059" t="str">
        <f t="shared" si="344"/>
        <v>39685930000000</v>
      </c>
      <c r="D7059" t="s">
        <v>2409</v>
      </c>
      <c r="E7059" t="str">
        <f>"39685936042394"</f>
        <v>39685936042394</v>
      </c>
      <c r="F7059" s="8">
        <v>292</v>
      </c>
      <c r="G7059" s="8">
        <v>6298</v>
      </c>
      <c r="H7059" s="8">
        <v>1262</v>
      </c>
      <c r="I7059" s="8">
        <v>3370</v>
      </c>
    </row>
    <row r="7060" spans="1:9" x14ac:dyDescent="0.2">
      <c r="A7060" t="s">
        <v>1470</v>
      </c>
      <c r="B7060" t="s">
        <v>1494</v>
      </c>
      <c r="C7060" t="str">
        <f t="shared" si="344"/>
        <v>39685930000000</v>
      </c>
      <c r="D7060" t="s">
        <v>8117</v>
      </c>
      <c r="E7060" t="str">
        <f>"39685936104533"</f>
        <v>39685936104533</v>
      </c>
      <c r="F7060" s="8">
        <v>365</v>
      </c>
      <c r="G7060" s="8">
        <v>6056</v>
      </c>
      <c r="H7060" s="8">
        <v>1262</v>
      </c>
      <c r="I7060" s="8">
        <v>3370</v>
      </c>
    </row>
    <row r="7061" spans="1:9" x14ac:dyDescent="0.2">
      <c r="A7061" t="s">
        <v>1470</v>
      </c>
      <c r="B7061" t="s">
        <v>1494</v>
      </c>
      <c r="C7061" t="str">
        <f t="shared" si="344"/>
        <v>39685930000000</v>
      </c>
      <c r="D7061" t="s">
        <v>8118</v>
      </c>
      <c r="E7061" t="str">
        <f>"39685936108237"</f>
        <v>39685936108237</v>
      </c>
      <c r="F7061" s="8">
        <v>326</v>
      </c>
      <c r="G7061" s="8">
        <v>6092</v>
      </c>
      <c r="H7061" s="8">
        <v>1262</v>
      </c>
      <c r="I7061" s="8">
        <v>3370</v>
      </c>
    </row>
    <row r="7062" spans="1:9" x14ac:dyDescent="0.2">
      <c r="A7062" t="s">
        <v>1470</v>
      </c>
      <c r="B7062" t="s">
        <v>1494</v>
      </c>
      <c r="C7062" t="str">
        <f t="shared" si="344"/>
        <v>39685930000000</v>
      </c>
      <c r="D7062" t="s">
        <v>8119</v>
      </c>
      <c r="E7062" t="str">
        <f>"39685936107429"</f>
        <v>39685936107429</v>
      </c>
      <c r="F7062" s="8">
        <v>227</v>
      </c>
      <c r="G7062" s="8">
        <v>6093</v>
      </c>
      <c r="H7062" s="8">
        <v>1262</v>
      </c>
      <c r="I7062" s="8">
        <v>3370</v>
      </c>
    </row>
    <row r="7063" spans="1:9" x14ac:dyDescent="0.2">
      <c r="A7063" t="s">
        <v>1470</v>
      </c>
      <c r="B7063" t="s">
        <v>1494</v>
      </c>
      <c r="C7063" t="str">
        <f t="shared" si="344"/>
        <v>39685930000000</v>
      </c>
      <c r="D7063" t="s">
        <v>2300</v>
      </c>
      <c r="E7063" t="str">
        <f>"39685936042386"</f>
        <v>39685936042386</v>
      </c>
      <c r="F7063" s="8">
        <v>222</v>
      </c>
      <c r="G7063" s="8">
        <v>6045</v>
      </c>
      <c r="H7063" s="8">
        <v>1262</v>
      </c>
      <c r="I7063" s="8">
        <v>3370</v>
      </c>
    </row>
    <row r="7064" spans="1:9" x14ac:dyDescent="0.2">
      <c r="A7064" t="s">
        <v>1470</v>
      </c>
      <c r="B7064" t="s">
        <v>1494</v>
      </c>
      <c r="C7064" t="str">
        <f t="shared" si="344"/>
        <v>39685930000000</v>
      </c>
      <c r="D7064" t="s">
        <v>8120</v>
      </c>
      <c r="E7064" t="str">
        <f>"39685936120505"</f>
        <v>39685936120505</v>
      </c>
      <c r="F7064" s="8">
        <v>297</v>
      </c>
      <c r="G7064" s="8">
        <v>5837</v>
      </c>
      <c r="H7064" s="8">
        <v>1262</v>
      </c>
      <c r="I7064" s="8">
        <v>3370</v>
      </c>
    </row>
    <row r="7065" spans="1:9" x14ac:dyDescent="0.2">
      <c r="A7065" t="s">
        <v>1470</v>
      </c>
      <c r="B7065" t="s">
        <v>1494</v>
      </c>
      <c r="C7065" t="str">
        <f t="shared" si="344"/>
        <v>39685930000000</v>
      </c>
      <c r="D7065" t="s">
        <v>8121</v>
      </c>
      <c r="E7065" t="str">
        <f>"39685936042378"</f>
        <v>39685936042378</v>
      </c>
      <c r="F7065" s="8">
        <v>298</v>
      </c>
      <c r="G7065" s="8">
        <v>5803</v>
      </c>
      <c r="H7065" s="8">
        <v>1262</v>
      </c>
      <c r="I7065" s="8">
        <v>3370</v>
      </c>
    </row>
    <row r="7066" spans="1:9" x14ac:dyDescent="0.2">
      <c r="A7066" t="s">
        <v>1470</v>
      </c>
      <c r="B7066" t="s">
        <v>1494</v>
      </c>
      <c r="C7066" t="str">
        <f t="shared" si="344"/>
        <v>39685930000000</v>
      </c>
      <c r="D7066" t="s">
        <v>8122</v>
      </c>
      <c r="E7066" t="str">
        <f>"39685930108613"</f>
        <v>39685930108613</v>
      </c>
      <c r="F7066" s="8">
        <v>282</v>
      </c>
      <c r="G7066" s="8">
        <v>5767</v>
      </c>
      <c r="H7066" s="8">
        <v>1262</v>
      </c>
      <c r="I7066" s="8">
        <v>3370</v>
      </c>
    </row>
    <row r="7067" spans="1:9" x14ac:dyDescent="0.2">
      <c r="A7067" t="s">
        <v>1470</v>
      </c>
      <c r="B7067" t="s">
        <v>1494</v>
      </c>
      <c r="C7067" t="str">
        <f t="shared" si="344"/>
        <v>39685930000000</v>
      </c>
      <c r="D7067" t="s">
        <v>8123</v>
      </c>
      <c r="E7067" t="str">
        <f>"39685930113357"</f>
        <v>39685930113357</v>
      </c>
      <c r="F7067" s="8">
        <v>200</v>
      </c>
      <c r="G7067" s="8">
        <v>5553</v>
      </c>
      <c r="H7067" s="8">
        <v>1262</v>
      </c>
      <c r="I7067" s="8">
        <v>3370</v>
      </c>
    </row>
    <row r="7068" spans="1:9" x14ac:dyDescent="0.2">
      <c r="A7068" t="s">
        <v>1470</v>
      </c>
      <c r="B7068" t="s">
        <v>1494</v>
      </c>
      <c r="C7068" t="str">
        <f t="shared" si="344"/>
        <v>39685930000000</v>
      </c>
      <c r="D7068" t="s">
        <v>8124</v>
      </c>
      <c r="E7068" t="str">
        <f>"39685936042329"</f>
        <v>39685936042329</v>
      </c>
      <c r="F7068" s="8">
        <v>946</v>
      </c>
      <c r="G7068" s="8">
        <v>4422</v>
      </c>
      <c r="H7068" s="8">
        <v>1262</v>
      </c>
      <c r="I7068" s="8">
        <v>3370</v>
      </c>
    </row>
    <row r="7069" spans="1:9" x14ac:dyDescent="0.2">
      <c r="A7069" t="s">
        <v>1470</v>
      </c>
      <c r="B7069" t="s">
        <v>1494</v>
      </c>
      <c r="C7069" t="str">
        <f t="shared" si="344"/>
        <v>39685930000000</v>
      </c>
      <c r="D7069" t="s">
        <v>8125</v>
      </c>
      <c r="E7069" t="str">
        <f>"39685930101576"</f>
        <v>39685930101576</v>
      </c>
      <c r="F7069" s="8">
        <v>1235</v>
      </c>
      <c r="G7069" s="8">
        <v>3876</v>
      </c>
      <c r="H7069" s="8">
        <v>1262</v>
      </c>
      <c r="I7069" s="8">
        <v>3370</v>
      </c>
    </row>
    <row r="7070" spans="1:9" x14ac:dyDescent="0.2">
      <c r="A7070" t="s">
        <v>1470</v>
      </c>
      <c r="B7070" t="s">
        <v>1496</v>
      </c>
      <c r="C7070" t="str">
        <f>"39686190000000"</f>
        <v>39686190000000</v>
      </c>
      <c r="D7070" t="s">
        <v>1496</v>
      </c>
      <c r="E7070" t="str">
        <f>"39686196042428"</f>
        <v>39686196042428</v>
      </c>
      <c r="F7070" s="8">
        <v>2587</v>
      </c>
      <c r="G7070" s="8">
        <v>13005</v>
      </c>
      <c r="H7070" s="8">
        <v>0</v>
      </c>
      <c r="I7070" s="8">
        <v>0</v>
      </c>
    </row>
    <row r="7071" spans="1:9" x14ac:dyDescent="0.2">
      <c r="A7071" t="s">
        <v>1470</v>
      </c>
      <c r="B7071" t="s">
        <v>1497</v>
      </c>
      <c r="C7071" t="str">
        <f t="shared" ref="C7071:C7077" si="345">"39686270000000"</f>
        <v>39686270000000</v>
      </c>
      <c r="D7071" t="s">
        <v>8126</v>
      </c>
      <c r="E7071" t="str">
        <f>"39686270136028"</f>
        <v>39686270136028</v>
      </c>
      <c r="F7071" s="8">
        <v>247</v>
      </c>
      <c r="G7071" s="8">
        <v>13639</v>
      </c>
      <c r="H7071" s="8">
        <v>0</v>
      </c>
      <c r="I7071" s="8">
        <v>0</v>
      </c>
    </row>
    <row r="7072" spans="1:9" x14ac:dyDescent="0.2">
      <c r="A7072" t="s">
        <v>1470</v>
      </c>
      <c r="B7072" t="s">
        <v>1497</v>
      </c>
      <c r="C7072" t="str">
        <f t="shared" si="345"/>
        <v>39686270000000</v>
      </c>
      <c r="D7072" t="s">
        <v>1497</v>
      </c>
      <c r="E7072" t="str">
        <f>"39686276042436"</f>
        <v>39686276042436</v>
      </c>
      <c r="F7072" s="8">
        <v>526</v>
      </c>
      <c r="G7072" s="8">
        <v>12428</v>
      </c>
      <c r="H7072" s="8">
        <v>0</v>
      </c>
      <c r="I7072" s="8">
        <v>0</v>
      </c>
    </row>
    <row r="7073" spans="1:9" x14ac:dyDescent="0.2">
      <c r="A7073" t="s">
        <v>1470</v>
      </c>
      <c r="B7073" t="s">
        <v>1497</v>
      </c>
      <c r="C7073" t="str">
        <f t="shared" si="345"/>
        <v>39686270000000</v>
      </c>
      <c r="D7073" t="s">
        <v>8127</v>
      </c>
      <c r="E7073" t="str">
        <f>"39686270132050"</f>
        <v>39686270132050</v>
      </c>
      <c r="F7073" s="8">
        <v>1288</v>
      </c>
      <c r="G7073" s="8">
        <v>9407</v>
      </c>
      <c r="H7073" s="8">
        <v>0</v>
      </c>
      <c r="I7073" s="8">
        <v>0</v>
      </c>
    </row>
    <row r="7074" spans="1:9" x14ac:dyDescent="0.2">
      <c r="A7074" t="s">
        <v>1470</v>
      </c>
      <c r="B7074" t="s">
        <v>1497</v>
      </c>
      <c r="C7074" t="str">
        <f t="shared" si="345"/>
        <v>39686270000000</v>
      </c>
      <c r="D7074" t="s">
        <v>8128</v>
      </c>
      <c r="E7074" t="str">
        <f>"39686276119309"</f>
        <v>39686276119309</v>
      </c>
      <c r="F7074" s="8">
        <v>693</v>
      </c>
      <c r="G7074" s="8">
        <v>9595</v>
      </c>
      <c r="H7074" s="8">
        <v>0</v>
      </c>
      <c r="I7074" s="8">
        <v>0</v>
      </c>
    </row>
    <row r="7075" spans="1:9" x14ac:dyDescent="0.2">
      <c r="A7075" t="s">
        <v>1470</v>
      </c>
      <c r="B7075" t="s">
        <v>1497</v>
      </c>
      <c r="C7075" t="str">
        <f t="shared" si="345"/>
        <v>39686270000000</v>
      </c>
      <c r="D7075" t="s">
        <v>8129</v>
      </c>
      <c r="E7075" t="str">
        <f>"39686270129890"</f>
        <v>39686270129890</v>
      </c>
      <c r="F7075" s="8">
        <v>171</v>
      </c>
      <c r="G7075" s="8">
        <v>9276</v>
      </c>
      <c r="H7075" s="8">
        <v>0</v>
      </c>
      <c r="I7075" s="8">
        <v>0</v>
      </c>
    </row>
    <row r="7076" spans="1:9" x14ac:dyDescent="0.2">
      <c r="A7076" t="s">
        <v>1470</v>
      </c>
      <c r="B7076" t="s">
        <v>1497</v>
      </c>
      <c r="C7076" t="str">
        <f t="shared" si="345"/>
        <v>39686270000000</v>
      </c>
      <c r="D7076" t="s">
        <v>8130</v>
      </c>
      <c r="E7076" t="str">
        <f>"39686270136135"</f>
        <v>39686270136135</v>
      </c>
      <c r="F7076" s="8">
        <v>145</v>
      </c>
      <c r="G7076" s="8">
        <v>8863</v>
      </c>
      <c r="H7076" s="8">
        <v>0</v>
      </c>
      <c r="I7076" s="8">
        <v>0</v>
      </c>
    </row>
    <row r="7077" spans="1:9" x14ac:dyDescent="0.2">
      <c r="A7077" t="s">
        <v>1470</v>
      </c>
      <c r="B7077" t="s">
        <v>1497</v>
      </c>
      <c r="C7077" t="str">
        <f t="shared" si="345"/>
        <v>39686270000000</v>
      </c>
      <c r="D7077" t="s">
        <v>8131</v>
      </c>
      <c r="E7077" t="str">
        <f>"39686270117796"</f>
        <v>39686270117796</v>
      </c>
      <c r="F7077" s="8">
        <v>920</v>
      </c>
      <c r="G7077" s="8">
        <v>7777</v>
      </c>
      <c r="H7077" s="8">
        <v>0</v>
      </c>
      <c r="I7077" s="8">
        <v>0</v>
      </c>
    </row>
    <row r="7078" spans="1:9" x14ac:dyDescent="0.2">
      <c r="A7078" t="s">
        <v>1470</v>
      </c>
      <c r="B7078" t="s">
        <v>1499</v>
      </c>
      <c r="C7078" t="str">
        <f>"39686350000000"</f>
        <v>39686350000000</v>
      </c>
      <c r="D7078" t="s">
        <v>6016</v>
      </c>
      <c r="E7078" t="str">
        <f>"39686356042444"</f>
        <v>39686356042444</v>
      </c>
      <c r="F7078" s="8">
        <v>1248</v>
      </c>
      <c r="G7078" s="8">
        <v>9675</v>
      </c>
      <c r="H7078" s="8">
        <v>0</v>
      </c>
      <c r="I7078" s="8">
        <v>0</v>
      </c>
    </row>
    <row r="7079" spans="1:9" x14ac:dyDescent="0.2">
      <c r="A7079" t="s">
        <v>1470</v>
      </c>
      <c r="B7079" t="s">
        <v>1503</v>
      </c>
      <c r="C7079" t="str">
        <f t="shared" ref="C7079:C7085" si="346">"39686500000000"</f>
        <v>39686500000000</v>
      </c>
      <c r="D7079" t="s">
        <v>8132</v>
      </c>
      <c r="E7079" t="str">
        <f>"39686500128215"</f>
        <v>39686500128215</v>
      </c>
      <c r="F7079" s="8">
        <v>3753</v>
      </c>
      <c r="G7079" s="8">
        <v>17892</v>
      </c>
      <c r="H7079" s="8">
        <v>648</v>
      </c>
      <c r="I7079" s="8">
        <v>2508</v>
      </c>
    </row>
    <row r="7080" spans="1:9" x14ac:dyDescent="0.2">
      <c r="A7080" t="s">
        <v>1470</v>
      </c>
      <c r="B7080" t="s">
        <v>1503</v>
      </c>
      <c r="C7080" t="str">
        <f t="shared" si="346"/>
        <v>39686500000000</v>
      </c>
      <c r="D7080" t="s">
        <v>8133</v>
      </c>
      <c r="E7080" t="str">
        <f>"39686506042477"</f>
        <v>39686506042477</v>
      </c>
      <c r="F7080" s="8">
        <v>784</v>
      </c>
      <c r="G7080" s="8">
        <v>8011</v>
      </c>
      <c r="H7080" s="8">
        <v>648</v>
      </c>
      <c r="I7080" s="8">
        <v>2508</v>
      </c>
    </row>
    <row r="7081" spans="1:9" x14ac:dyDescent="0.2">
      <c r="A7081" t="s">
        <v>1470</v>
      </c>
      <c r="B7081" t="s">
        <v>1503</v>
      </c>
      <c r="C7081" t="str">
        <f t="shared" si="346"/>
        <v>39686500000000</v>
      </c>
      <c r="D7081" t="s">
        <v>8134</v>
      </c>
      <c r="E7081" t="str">
        <f>"39686506042485"</f>
        <v>39686506042485</v>
      </c>
      <c r="F7081" s="8">
        <v>781</v>
      </c>
      <c r="G7081" s="8">
        <v>7664</v>
      </c>
      <c r="H7081" s="8">
        <v>648</v>
      </c>
      <c r="I7081" s="8">
        <v>2508</v>
      </c>
    </row>
    <row r="7082" spans="1:9" x14ac:dyDescent="0.2">
      <c r="A7082" t="s">
        <v>1470</v>
      </c>
      <c r="B7082" t="s">
        <v>1503</v>
      </c>
      <c r="C7082" t="str">
        <f t="shared" si="346"/>
        <v>39686500000000</v>
      </c>
      <c r="D7082" t="s">
        <v>8135</v>
      </c>
      <c r="E7082" t="str">
        <f>"39686506109284"</f>
        <v>39686506109284</v>
      </c>
      <c r="F7082" s="8">
        <v>203</v>
      </c>
      <c r="G7082" s="8">
        <v>7462</v>
      </c>
      <c r="H7082" s="8">
        <v>648</v>
      </c>
      <c r="I7082" s="8">
        <v>2508</v>
      </c>
    </row>
    <row r="7083" spans="1:9" x14ac:dyDescent="0.2">
      <c r="A7083" t="s">
        <v>1470</v>
      </c>
      <c r="B7083" t="s">
        <v>1503</v>
      </c>
      <c r="C7083" t="str">
        <f t="shared" si="346"/>
        <v>39686500000000</v>
      </c>
      <c r="D7083" t="s">
        <v>8136</v>
      </c>
      <c r="E7083" t="str">
        <f>"39686503935756"</f>
        <v>39686503935756</v>
      </c>
      <c r="F7083" s="8">
        <v>159</v>
      </c>
      <c r="G7083" s="8">
        <v>7184</v>
      </c>
      <c r="H7083" s="8">
        <v>648</v>
      </c>
      <c r="I7083" s="8">
        <v>2508</v>
      </c>
    </row>
    <row r="7084" spans="1:9" x14ac:dyDescent="0.2">
      <c r="A7084" t="s">
        <v>1470</v>
      </c>
      <c r="B7084" t="s">
        <v>1503</v>
      </c>
      <c r="C7084" t="str">
        <f t="shared" si="346"/>
        <v>39686500000000</v>
      </c>
      <c r="D7084" t="s">
        <v>8137</v>
      </c>
      <c r="E7084" t="str">
        <f>"39686506106322"</f>
        <v>39686506106322</v>
      </c>
      <c r="F7084" s="8">
        <v>15</v>
      </c>
      <c r="G7084" s="8">
        <v>6903</v>
      </c>
      <c r="H7084" s="8">
        <v>648</v>
      </c>
      <c r="I7084" s="8">
        <v>2508</v>
      </c>
    </row>
    <row r="7085" spans="1:9" x14ac:dyDescent="0.2">
      <c r="A7085" t="s">
        <v>1470</v>
      </c>
      <c r="B7085" t="s">
        <v>1503</v>
      </c>
      <c r="C7085" t="str">
        <f t="shared" si="346"/>
        <v>39686500000000</v>
      </c>
      <c r="D7085" t="s">
        <v>7415</v>
      </c>
      <c r="E7085" t="str">
        <f>"39686500108035"</f>
        <v>39686500108035</v>
      </c>
      <c r="F7085" s="8">
        <v>90</v>
      </c>
      <c r="G7085" s="8">
        <v>6740</v>
      </c>
      <c r="H7085" s="8">
        <v>648</v>
      </c>
      <c r="I7085" s="8">
        <v>2508</v>
      </c>
    </row>
    <row r="7086" spans="1:9" x14ac:dyDescent="0.2">
      <c r="A7086" t="s">
        <v>1470</v>
      </c>
      <c r="B7086" t="s">
        <v>1505</v>
      </c>
      <c r="C7086" t="str">
        <f>"39103970000000"</f>
        <v>39103970000000</v>
      </c>
      <c r="D7086" t="s">
        <v>8138</v>
      </c>
      <c r="E7086" t="str">
        <f>"39103976069215"</f>
        <v>39103976069215</v>
      </c>
      <c r="F7086" s="8">
        <v>5764</v>
      </c>
      <c r="G7086" s="8">
        <v>58491</v>
      </c>
      <c r="H7086" s="8">
        <v>0</v>
      </c>
      <c r="I7086" s="8">
        <v>0</v>
      </c>
    </row>
    <row r="7087" spans="1:9" x14ac:dyDescent="0.2">
      <c r="A7087" t="s">
        <v>1470</v>
      </c>
      <c r="B7087" t="s">
        <v>1505</v>
      </c>
      <c r="C7087" t="str">
        <f>"39103970000000"</f>
        <v>39103970000000</v>
      </c>
      <c r="D7087" t="s">
        <v>8139</v>
      </c>
      <c r="E7087" t="str">
        <f>"39103973930195"</f>
        <v>39103973930195</v>
      </c>
      <c r="F7087" s="8">
        <v>7906</v>
      </c>
      <c r="G7087" s="8">
        <v>44667</v>
      </c>
      <c r="H7087" s="8">
        <v>0</v>
      </c>
      <c r="I7087" s="8">
        <v>0</v>
      </c>
    </row>
    <row r="7088" spans="1:9" x14ac:dyDescent="0.2">
      <c r="A7088" t="s">
        <v>1470</v>
      </c>
      <c r="B7088" t="s">
        <v>1505</v>
      </c>
      <c r="C7088" t="str">
        <f>"39103970000000"</f>
        <v>39103970000000</v>
      </c>
      <c r="D7088" t="s">
        <v>8140</v>
      </c>
      <c r="E7088" t="str">
        <f>"39103973930468"</f>
        <v>39103973930468</v>
      </c>
      <c r="F7088" s="8">
        <v>2984</v>
      </c>
      <c r="G7088" s="8">
        <v>19131</v>
      </c>
      <c r="H7088" s="8">
        <v>0</v>
      </c>
      <c r="I7088" s="8">
        <v>0</v>
      </c>
    </row>
    <row r="7089" spans="1:9" x14ac:dyDescent="0.2">
      <c r="A7089" t="s">
        <v>1470</v>
      </c>
      <c r="B7089" t="s">
        <v>1506</v>
      </c>
      <c r="C7089" t="str">
        <f>"39745420000000"</f>
        <v>39745420000000</v>
      </c>
      <c r="D7089" t="s">
        <v>8141</v>
      </c>
      <c r="E7089" t="str">
        <f>"39745423990033"</f>
        <v>39745423990033</v>
      </c>
      <c r="F7089" s="8" t="s">
        <v>30</v>
      </c>
      <c r="G7089" s="8" t="s">
        <v>30</v>
      </c>
      <c r="H7089" s="8" t="s">
        <v>30</v>
      </c>
      <c r="I7089" s="8" t="s">
        <v>30</v>
      </c>
    </row>
    <row r="7090" spans="1:9" x14ac:dyDescent="0.2">
      <c r="A7090" t="s">
        <v>1470</v>
      </c>
      <c r="B7090" t="s">
        <v>1509</v>
      </c>
      <c r="C7090" t="str">
        <f t="shared" ref="C7090:C7121" si="347">"39686760000000"</f>
        <v>39686760000000</v>
      </c>
      <c r="D7090" t="s">
        <v>8142</v>
      </c>
      <c r="E7090" t="str">
        <f>"39686766095236"</f>
        <v>39686766095236</v>
      </c>
      <c r="F7090" s="8">
        <v>17286</v>
      </c>
      <c r="G7090" s="8">
        <v>72410</v>
      </c>
      <c r="H7090" s="8">
        <v>1184</v>
      </c>
      <c r="I7090" s="8">
        <v>4536</v>
      </c>
    </row>
    <row r="7091" spans="1:9" x14ac:dyDescent="0.2">
      <c r="A7091" t="s">
        <v>1470</v>
      </c>
      <c r="B7091" t="s">
        <v>1509</v>
      </c>
      <c r="C7091" t="str">
        <f t="shared" si="347"/>
        <v>39686760000000</v>
      </c>
      <c r="D7091" t="s">
        <v>8143</v>
      </c>
      <c r="E7091" t="str">
        <f>"39686760138784"</f>
        <v>39686760138784</v>
      </c>
      <c r="F7091" s="8">
        <v>0</v>
      </c>
      <c r="G7091" s="8">
        <v>61882</v>
      </c>
      <c r="H7091" s="8">
        <v>1184</v>
      </c>
      <c r="I7091" s="8">
        <v>4536</v>
      </c>
    </row>
    <row r="7092" spans="1:9" x14ac:dyDescent="0.2">
      <c r="A7092" t="s">
        <v>1470</v>
      </c>
      <c r="B7092" t="s">
        <v>1509</v>
      </c>
      <c r="C7092" t="str">
        <f t="shared" si="347"/>
        <v>39686760000000</v>
      </c>
      <c r="D7092" t="s">
        <v>8144</v>
      </c>
      <c r="E7092" t="str">
        <f>"39686763930211"</f>
        <v>39686763930211</v>
      </c>
      <c r="F7092" s="8">
        <v>1227</v>
      </c>
      <c r="G7092" s="8">
        <v>23173</v>
      </c>
      <c r="H7092" s="8">
        <v>1184</v>
      </c>
      <c r="I7092" s="8">
        <v>4536</v>
      </c>
    </row>
    <row r="7093" spans="1:9" x14ac:dyDescent="0.2">
      <c r="A7093" t="s">
        <v>1470</v>
      </c>
      <c r="B7093" t="s">
        <v>1509</v>
      </c>
      <c r="C7093" t="str">
        <f t="shared" si="347"/>
        <v>39686760000000</v>
      </c>
      <c r="D7093" t="s">
        <v>8145</v>
      </c>
      <c r="E7093" t="str">
        <f>"39686760115402"</f>
        <v>39686760115402</v>
      </c>
      <c r="F7093" s="8">
        <v>687</v>
      </c>
      <c r="G7093" s="8">
        <v>13999</v>
      </c>
      <c r="H7093" s="8">
        <v>1184</v>
      </c>
      <c r="I7093" s="8">
        <v>4536</v>
      </c>
    </row>
    <row r="7094" spans="1:9" x14ac:dyDescent="0.2">
      <c r="A7094" t="s">
        <v>1470</v>
      </c>
      <c r="B7094" t="s">
        <v>1509</v>
      </c>
      <c r="C7094" t="str">
        <f t="shared" si="347"/>
        <v>39686760000000</v>
      </c>
      <c r="D7094" t="s">
        <v>3858</v>
      </c>
      <c r="E7094" t="str">
        <f>"39686760111310"</f>
        <v>39686760111310</v>
      </c>
      <c r="F7094" s="8">
        <v>1446</v>
      </c>
      <c r="G7094" s="8">
        <v>12942</v>
      </c>
      <c r="H7094" s="8">
        <v>1184</v>
      </c>
      <c r="I7094" s="8">
        <v>4536</v>
      </c>
    </row>
    <row r="7095" spans="1:9" x14ac:dyDescent="0.2">
      <c r="A7095" t="s">
        <v>1470</v>
      </c>
      <c r="B7095" t="s">
        <v>1509</v>
      </c>
      <c r="C7095" t="str">
        <f t="shared" si="347"/>
        <v>39686760000000</v>
      </c>
      <c r="D7095" t="s">
        <v>5998</v>
      </c>
      <c r="E7095" t="str">
        <f>"39686766042501"</f>
        <v>39686766042501</v>
      </c>
      <c r="F7095" s="8">
        <v>1280</v>
      </c>
      <c r="G7095" s="8">
        <v>12749</v>
      </c>
      <c r="H7095" s="8">
        <v>1184</v>
      </c>
      <c r="I7095" s="8">
        <v>4536</v>
      </c>
    </row>
    <row r="7096" spans="1:9" x14ac:dyDescent="0.2">
      <c r="A7096" t="s">
        <v>1470</v>
      </c>
      <c r="B7096" t="s">
        <v>1509</v>
      </c>
      <c r="C7096" t="str">
        <f t="shared" si="347"/>
        <v>39686760000000</v>
      </c>
      <c r="D7096" t="s">
        <v>2286</v>
      </c>
      <c r="E7096" t="str">
        <f>"39686766042634"</f>
        <v>39686766042634</v>
      </c>
      <c r="F7096" s="8">
        <v>1114</v>
      </c>
      <c r="G7096" s="8">
        <v>11783</v>
      </c>
      <c r="H7096" s="8">
        <v>1184</v>
      </c>
      <c r="I7096" s="8">
        <v>4536</v>
      </c>
    </row>
    <row r="7097" spans="1:9" x14ac:dyDescent="0.2">
      <c r="A7097" t="s">
        <v>1470</v>
      </c>
      <c r="B7097" t="s">
        <v>1509</v>
      </c>
      <c r="C7097" t="str">
        <f t="shared" si="347"/>
        <v>39686760000000</v>
      </c>
      <c r="D7097" t="s">
        <v>6755</v>
      </c>
      <c r="E7097" t="str">
        <f>"39686763932654"</f>
        <v>39686763932654</v>
      </c>
      <c r="F7097" s="8">
        <v>781</v>
      </c>
      <c r="G7097" s="8">
        <v>11952</v>
      </c>
      <c r="H7097" s="8">
        <v>1184</v>
      </c>
      <c r="I7097" s="8">
        <v>4536</v>
      </c>
    </row>
    <row r="7098" spans="1:9" x14ac:dyDescent="0.2">
      <c r="A7098" t="s">
        <v>1470</v>
      </c>
      <c r="B7098" t="s">
        <v>1509</v>
      </c>
      <c r="C7098" t="str">
        <f t="shared" si="347"/>
        <v>39686760000000</v>
      </c>
      <c r="D7098" t="s">
        <v>8146</v>
      </c>
      <c r="E7098" t="str">
        <f>"39686760119784"</f>
        <v>39686760119784</v>
      </c>
      <c r="F7098" s="8">
        <v>370</v>
      </c>
      <c r="G7098" s="8">
        <v>12318</v>
      </c>
      <c r="H7098" s="8">
        <v>1184</v>
      </c>
      <c r="I7098" s="8">
        <v>4536</v>
      </c>
    </row>
    <row r="7099" spans="1:9" x14ac:dyDescent="0.2">
      <c r="A7099" t="s">
        <v>1470</v>
      </c>
      <c r="B7099" t="s">
        <v>1509</v>
      </c>
      <c r="C7099" t="str">
        <f t="shared" si="347"/>
        <v>39686760000000</v>
      </c>
      <c r="D7099" t="s">
        <v>3041</v>
      </c>
      <c r="E7099" t="str">
        <f>"39686766104665"</f>
        <v>39686766104665</v>
      </c>
      <c r="F7099" s="8">
        <v>1253</v>
      </c>
      <c r="G7099" s="8">
        <v>11105</v>
      </c>
      <c r="H7099" s="8">
        <v>1184</v>
      </c>
      <c r="I7099" s="8">
        <v>4536</v>
      </c>
    </row>
    <row r="7100" spans="1:9" x14ac:dyDescent="0.2">
      <c r="A7100" t="s">
        <v>1470</v>
      </c>
      <c r="B7100" t="s">
        <v>1509</v>
      </c>
      <c r="C7100" t="str">
        <f t="shared" si="347"/>
        <v>39686760000000</v>
      </c>
      <c r="D7100" t="s">
        <v>6054</v>
      </c>
      <c r="E7100" t="str">
        <f>"39686766042766"</f>
        <v>39686766042766</v>
      </c>
      <c r="F7100" s="8">
        <v>1598</v>
      </c>
      <c r="G7100" s="8">
        <v>10760</v>
      </c>
      <c r="H7100" s="8">
        <v>1184</v>
      </c>
      <c r="I7100" s="8">
        <v>4536</v>
      </c>
    </row>
    <row r="7101" spans="1:9" x14ac:dyDescent="0.2">
      <c r="A7101" t="s">
        <v>1470</v>
      </c>
      <c r="B7101" t="s">
        <v>1509</v>
      </c>
      <c r="C7101" t="str">
        <f t="shared" si="347"/>
        <v>39686760000000</v>
      </c>
      <c r="D7101" t="s">
        <v>2306</v>
      </c>
      <c r="E7101" t="str">
        <f>"39686766042535"</f>
        <v>39686766042535</v>
      </c>
      <c r="F7101" s="8">
        <v>1345</v>
      </c>
      <c r="G7101" s="8">
        <v>10830</v>
      </c>
      <c r="H7101" s="8">
        <v>1184</v>
      </c>
      <c r="I7101" s="8">
        <v>4536</v>
      </c>
    </row>
    <row r="7102" spans="1:9" x14ac:dyDescent="0.2">
      <c r="A7102" t="s">
        <v>1470</v>
      </c>
      <c r="B7102" t="s">
        <v>1509</v>
      </c>
      <c r="C7102" t="str">
        <f t="shared" si="347"/>
        <v>39686760000000</v>
      </c>
      <c r="D7102" t="s">
        <v>8147</v>
      </c>
      <c r="E7102" t="str">
        <f>"39686763930427"</f>
        <v>39686763930427</v>
      </c>
      <c r="F7102" s="8">
        <v>436</v>
      </c>
      <c r="G7102" s="8">
        <v>11718</v>
      </c>
      <c r="H7102" s="8">
        <v>1184</v>
      </c>
      <c r="I7102" s="8">
        <v>4536</v>
      </c>
    </row>
    <row r="7103" spans="1:9" x14ac:dyDescent="0.2">
      <c r="A7103" t="s">
        <v>1470</v>
      </c>
      <c r="B7103" t="s">
        <v>1509</v>
      </c>
      <c r="C7103" t="str">
        <f t="shared" si="347"/>
        <v>39686760000000</v>
      </c>
      <c r="D7103" t="s">
        <v>2344</v>
      </c>
      <c r="E7103" t="str">
        <f>"39686766042683"</f>
        <v>39686766042683</v>
      </c>
      <c r="F7103" s="8">
        <v>818</v>
      </c>
      <c r="G7103" s="8">
        <v>11073</v>
      </c>
      <c r="H7103" s="8">
        <v>1184</v>
      </c>
      <c r="I7103" s="8">
        <v>4536</v>
      </c>
    </row>
    <row r="7104" spans="1:9" x14ac:dyDescent="0.2">
      <c r="A7104" t="s">
        <v>1470</v>
      </c>
      <c r="B7104" t="s">
        <v>1509</v>
      </c>
      <c r="C7104" t="str">
        <f t="shared" si="347"/>
        <v>39686760000000</v>
      </c>
      <c r="D7104" t="s">
        <v>8148</v>
      </c>
      <c r="E7104" t="str">
        <f>"39686766042667"</f>
        <v>39686766042667</v>
      </c>
      <c r="F7104" s="8">
        <v>1499</v>
      </c>
      <c r="G7104" s="8">
        <v>9892</v>
      </c>
      <c r="H7104" s="8">
        <v>1184</v>
      </c>
      <c r="I7104" s="8">
        <v>4536</v>
      </c>
    </row>
    <row r="7105" spans="1:9" x14ac:dyDescent="0.2">
      <c r="A7105" t="s">
        <v>1470</v>
      </c>
      <c r="B7105" t="s">
        <v>1509</v>
      </c>
      <c r="C7105" t="str">
        <f t="shared" si="347"/>
        <v>39686760000000</v>
      </c>
      <c r="D7105" t="s">
        <v>8149</v>
      </c>
      <c r="E7105" t="str">
        <f>"39686760121798"</f>
        <v>39686760121798</v>
      </c>
      <c r="F7105" s="8">
        <v>668</v>
      </c>
      <c r="G7105" s="8">
        <v>10688</v>
      </c>
      <c r="H7105" s="8">
        <v>1184</v>
      </c>
      <c r="I7105" s="8">
        <v>4536</v>
      </c>
    </row>
    <row r="7106" spans="1:9" x14ac:dyDescent="0.2">
      <c r="A7106" t="s">
        <v>1470</v>
      </c>
      <c r="B7106" t="s">
        <v>1509</v>
      </c>
      <c r="C7106" t="str">
        <f t="shared" si="347"/>
        <v>39686760000000</v>
      </c>
      <c r="D7106" t="s">
        <v>8150</v>
      </c>
      <c r="E7106" t="str">
        <f>"39686766042717"</f>
        <v>39686766042717</v>
      </c>
      <c r="F7106" s="8">
        <v>1338</v>
      </c>
      <c r="G7106" s="8">
        <v>9965</v>
      </c>
      <c r="H7106" s="8">
        <v>1184</v>
      </c>
      <c r="I7106" s="8">
        <v>4536</v>
      </c>
    </row>
    <row r="7107" spans="1:9" x14ac:dyDescent="0.2">
      <c r="A7107" t="s">
        <v>1470</v>
      </c>
      <c r="B7107" t="s">
        <v>1509</v>
      </c>
      <c r="C7107" t="str">
        <f t="shared" si="347"/>
        <v>39686760000000</v>
      </c>
      <c r="D7107" t="s">
        <v>2347</v>
      </c>
      <c r="E7107" t="str">
        <f>"39686766042758"</f>
        <v>39686766042758</v>
      </c>
      <c r="F7107" s="8">
        <v>1493</v>
      </c>
      <c r="G7107" s="8">
        <v>9718</v>
      </c>
      <c r="H7107" s="8">
        <v>1184</v>
      </c>
      <c r="I7107" s="8">
        <v>4536</v>
      </c>
    </row>
    <row r="7108" spans="1:9" x14ac:dyDescent="0.2">
      <c r="A7108" t="s">
        <v>1470</v>
      </c>
      <c r="B7108" t="s">
        <v>1509</v>
      </c>
      <c r="C7108" t="str">
        <f t="shared" si="347"/>
        <v>39686760000000</v>
      </c>
      <c r="D7108" t="s">
        <v>8151</v>
      </c>
      <c r="E7108" t="str">
        <f>"39686766042600"</f>
        <v>39686766042600</v>
      </c>
      <c r="F7108" s="8">
        <v>1443</v>
      </c>
      <c r="G7108" s="8">
        <v>9614</v>
      </c>
      <c r="H7108" s="8">
        <v>1184</v>
      </c>
      <c r="I7108" s="8">
        <v>4536</v>
      </c>
    </row>
    <row r="7109" spans="1:9" x14ac:dyDescent="0.2">
      <c r="A7109" t="s">
        <v>1470</v>
      </c>
      <c r="B7109" t="s">
        <v>1509</v>
      </c>
      <c r="C7109" t="str">
        <f t="shared" si="347"/>
        <v>39686760000000</v>
      </c>
      <c r="D7109" t="s">
        <v>8152</v>
      </c>
      <c r="E7109" t="str">
        <f>"39686760123802"</f>
        <v>39686760123802</v>
      </c>
      <c r="F7109" s="8">
        <v>373</v>
      </c>
      <c r="G7109" s="8">
        <v>10447</v>
      </c>
      <c r="H7109" s="8">
        <v>1184</v>
      </c>
      <c r="I7109" s="8">
        <v>4536</v>
      </c>
    </row>
    <row r="7110" spans="1:9" x14ac:dyDescent="0.2">
      <c r="A7110" t="s">
        <v>1470</v>
      </c>
      <c r="B7110" t="s">
        <v>1509</v>
      </c>
      <c r="C7110" t="str">
        <f t="shared" si="347"/>
        <v>39686760000000</v>
      </c>
      <c r="D7110" t="s">
        <v>3961</v>
      </c>
      <c r="E7110" t="str">
        <f>"39686766042543"</f>
        <v>39686766042543</v>
      </c>
      <c r="F7110" s="8">
        <v>1406</v>
      </c>
      <c r="G7110" s="8">
        <v>9397</v>
      </c>
      <c r="H7110" s="8">
        <v>1184</v>
      </c>
      <c r="I7110" s="8">
        <v>4536</v>
      </c>
    </row>
    <row r="7111" spans="1:9" x14ac:dyDescent="0.2">
      <c r="A7111" t="s">
        <v>1470</v>
      </c>
      <c r="B7111" t="s">
        <v>1509</v>
      </c>
      <c r="C7111" t="str">
        <f t="shared" si="347"/>
        <v>39686760000000</v>
      </c>
      <c r="D7111" t="s">
        <v>8153</v>
      </c>
      <c r="E7111" t="str">
        <f>"39686766042519"</f>
        <v>39686766042519</v>
      </c>
      <c r="F7111" s="8">
        <v>1399</v>
      </c>
      <c r="G7111" s="8">
        <v>9385</v>
      </c>
      <c r="H7111" s="8">
        <v>1184</v>
      </c>
      <c r="I7111" s="8">
        <v>4536</v>
      </c>
    </row>
    <row r="7112" spans="1:9" x14ac:dyDescent="0.2">
      <c r="A7112" t="s">
        <v>1470</v>
      </c>
      <c r="B7112" t="s">
        <v>1509</v>
      </c>
      <c r="C7112" t="str">
        <f t="shared" si="347"/>
        <v>39686760000000</v>
      </c>
      <c r="D7112" t="s">
        <v>8154</v>
      </c>
      <c r="E7112" t="str">
        <f>"39686766042774"</f>
        <v>39686766042774</v>
      </c>
      <c r="F7112" s="8">
        <v>913</v>
      </c>
      <c r="G7112" s="8">
        <v>9856</v>
      </c>
      <c r="H7112" s="8">
        <v>1184</v>
      </c>
      <c r="I7112" s="8">
        <v>4536</v>
      </c>
    </row>
    <row r="7113" spans="1:9" x14ac:dyDescent="0.2">
      <c r="A7113" t="s">
        <v>1470</v>
      </c>
      <c r="B7113" t="s">
        <v>1509</v>
      </c>
      <c r="C7113" t="str">
        <f t="shared" si="347"/>
        <v>39686760000000</v>
      </c>
      <c r="D7113" t="s">
        <v>8155</v>
      </c>
      <c r="E7113" t="str">
        <f>"39686763937406"</f>
        <v>39686763937406</v>
      </c>
      <c r="F7113" s="8">
        <v>904</v>
      </c>
      <c r="G7113" s="8">
        <v>9806</v>
      </c>
      <c r="H7113" s="8">
        <v>1184</v>
      </c>
      <c r="I7113" s="8">
        <v>4536</v>
      </c>
    </row>
    <row r="7114" spans="1:9" x14ac:dyDescent="0.2">
      <c r="A7114" t="s">
        <v>1470</v>
      </c>
      <c r="B7114" t="s">
        <v>1509</v>
      </c>
      <c r="C7114" t="str">
        <f t="shared" si="347"/>
        <v>39686760000000</v>
      </c>
      <c r="D7114" t="s">
        <v>8156</v>
      </c>
      <c r="E7114" t="str">
        <f>"39686766042725"</f>
        <v>39686766042725</v>
      </c>
      <c r="F7114" s="8">
        <v>748</v>
      </c>
      <c r="G7114" s="8">
        <v>9869</v>
      </c>
      <c r="H7114" s="8">
        <v>1184</v>
      </c>
      <c r="I7114" s="8">
        <v>4536</v>
      </c>
    </row>
    <row r="7115" spans="1:9" x14ac:dyDescent="0.2">
      <c r="A7115" t="s">
        <v>1470</v>
      </c>
      <c r="B7115" t="s">
        <v>1509</v>
      </c>
      <c r="C7115" t="str">
        <f t="shared" si="347"/>
        <v>39686760000000</v>
      </c>
      <c r="D7115" t="s">
        <v>8157</v>
      </c>
      <c r="E7115" t="str">
        <f>"39686766042808"</f>
        <v>39686766042808</v>
      </c>
      <c r="F7115" s="8">
        <v>1358</v>
      </c>
      <c r="G7115" s="8">
        <v>9166</v>
      </c>
      <c r="H7115" s="8">
        <v>1184</v>
      </c>
      <c r="I7115" s="8">
        <v>4536</v>
      </c>
    </row>
    <row r="7116" spans="1:9" x14ac:dyDescent="0.2">
      <c r="A7116" t="s">
        <v>1470</v>
      </c>
      <c r="B7116" t="s">
        <v>1509</v>
      </c>
      <c r="C7116" t="str">
        <f t="shared" si="347"/>
        <v>39686760000000</v>
      </c>
      <c r="D7116" t="s">
        <v>8158</v>
      </c>
      <c r="E7116" t="str">
        <f>"39686766098677"</f>
        <v>39686766098677</v>
      </c>
      <c r="F7116" s="8">
        <v>478</v>
      </c>
      <c r="G7116" s="8">
        <v>9695</v>
      </c>
      <c r="H7116" s="8">
        <v>1184</v>
      </c>
      <c r="I7116" s="8">
        <v>4536</v>
      </c>
    </row>
    <row r="7117" spans="1:9" x14ac:dyDescent="0.2">
      <c r="A7117" t="s">
        <v>1470</v>
      </c>
      <c r="B7117" t="s">
        <v>1509</v>
      </c>
      <c r="C7117" t="str">
        <f t="shared" si="347"/>
        <v>39686760000000</v>
      </c>
      <c r="D7117" t="s">
        <v>5014</v>
      </c>
      <c r="E7117" t="str">
        <f>"39686766042618"</f>
        <v>39686766042618</v>
      </c>
      <c r="F7117" s="8">
        <v>1411</v>
      </c>
      <c r="G7117" s="8">
        <v>8721</v>
      </c>
      <c r="H7117" s="8">
        <v>1184</v>
      </c>
      <c r="I7117" s="8">
        <v>4536</v>
      </c>
    </row>
    <row r="7118" spans="1:9" x14ac:dyDescent="0.2">
      <c r="A7118" t="s">
        <v>1470</v>
      </c>
      <c r="B7118" t="s">
        <v>1509</v>
      </c>
      <c r="C7118" t="str">
        <f t="shared" si="347"/>
        <v>39686760000000</v>
      </c>
      <c r="D7118" t="s">
        <v>8159</v>
      </c>
      <c r="E7118" t="str">
        <f>"39686760118752"</f>
        <v>39686760118752</v>
      </c>
      <c r="F7118" s="8">
        <v>1551</v>
      </c>
      <c r="G7118" s="8">
        <v>8281</v>
      </c>
      <c r="H7118" s="8">
        <v>1184</v>
      </c>
      <c r="I7118" s="8">
        <v>4536</v>
      </c>
    </row>
    <row r="7119" spans="1:9" x14ac:dyDescent="0.2">
      <c r="A7119" t="s">
        <v>1470</v>
      </c>
      <c r="B7119" t="s">
        <v>1509</v>
      </c>
      <c r="C7119" t="str">
        <f t="shared" si="347"/>
        <v>39686760000000</v>
      </c>
      <c r="D7119" t="s">
        <v>8160</v>
      </c>
      <c r="E7119" t="str">
        <f>"39686760140020"</f>
        <v>39686760140020</v>
      </c>
      <c r="F7119" s="8">
        <v>860</v>
      </c>
      <c r="G7119" s="8">
        <v>8853</v>
      </c>
      <c r="H7119" s="8">
        <v>1184</v>
      </c>
      <c r="I7119" s="8">
        <v>4536</v>
      </c>
    </row>
    <row r="7120" spans="1:9" x14ac:dyDescent="0.2">
      <c r="A7120" t="s">
        <v>1470</v>
      </c>
      <c r="B7120" t="s">
        <v>1509</v>
      </c>
      <c r="C7120" t="str">
        <f t="shared" si="347"/>
        <v>39686760000000</v>
      </c>
      <c r="D7120" t="s">
        <v>2348</v>
      </c>
      <c r="E7120" t="str">
        <f>"39686766042824"</f>
        <v>39686766042824</v>
      </c>
      <c r="F7120" s="8">
        <v>852</v>
      </c>
      <c r="G7120" s="8">
        <v>8806</v>
      </c>
      <c r="H7120" s="8">
        <v>1184</v>
      </c>
      <c r="I7120" s="8">
        <v>4536</v>
      </c>
    </row>
    <row r="7121" spans="1:9" x14ac:dyDescent="0.2">
      <c r="A7121" t="s">
        <v>1470</v>
      </c>
      <c r="B7121" t="s">
        <v>1509</v>
      </c>
      <c r="C7121" t="str">
        <f t="shared" si="347"/>
        <v>39686760000000</v>
      </c>
      <c r="D7121" t="s">
        <v>8161</v>
      </c>
      <c r="E7121" t="str">
        <f>"39686766042741"</f>
        <v>39686766042741</v>
      </c>
      <c r="F7121" s="8">
        <v>1037</v>
      </c>
      <c r="G7121" s="8">
        <v>8610</v>
      </c>
      <c r="H7121" s="8">
        <v>1184</v>
      </c>
      <c r="I7121" s="8">
        <v>4536</v>
      </c>
    </row>
    <row r="7122" spans="1:9" x14ac:dyDescent="0.2">
      <c r="A7122" t="s">
        <v>1470</v>
      </c>
      <c r="B7122" t="s">
        <v>1509</v>
      </c>
      <c r="C7122" t="str">
        <f t="shared" ref="C7122:C7144" si="348">"39686760000000"</f>
        <v>39686760000000</v>
      </c>
      <c r="D7122" t="s">
        <v>8162</v>
      </c>
      <c r="E7122" t="str">
        <f>"39686760124248"</f>
        <v>39686760124248</v>
      </c>
      <c r="F7122" s="8">
        <v>354</v>
      </c>
      <c r="G7122" s="8">
        <v>9290</v>
      </c>
      <c r="H7122" s="8">
        <v>1184</v>
      </c>
      <c r="I7122" s="8">
        <v>4536</v>
      </c>
    </row>
    <row r="7123" spans="1:9" x14ac:dyDescent="0.2">
      <c r="A7123" t="s">
        <v>1470</v>
      </c>
      <c r="B7123" t="s">
        <v>1509</v>
      </c>
      <c r="C7123" t="str">
        <f t="shared" si="348"/>
        <v>39686760000000</v>
      </c>
      <c r="D7123" t="s">
        <v>8163</v>
      </c>
      <c r="E7123" t="str">
        <f>"39686760108159"</f>
        <v>39686760108159</v>
      </c>
      <c r="F7123" s="8">
        <v>1078</v>
      </c>
      <c r="G7123" s="8">
        <v>8383</v>
      </c>
      <c r="H7123" s="8">
        <v>1184</v>
      </c>
      <c r="I7123" s="8">
        <v>4536</v>
      </c>
    </row>
    <row r="7124" spans="1:9" x14ac:dyDescent="0.2">
      <c r="A7124" t="s">
        <v>1470</v>
      </c>
      <c r="B7124" t="s">
        <v>1509</v>
      </c>
      <c r="C7124" t="str">
        <f t="shared" si="348"/>
        <v>39686760000000</v>
      </c>
      <c r="D7124" t="s">
        <v>8164</v>
      </c>
      <c r="E7124" t="str">
        <f>"39686760115303"</f>
        <v>39686760115303</v>
      </c>
      <c r="F7124" s="8">
        <v>668</v>
      </c>
      <c r="G7124" s="8">
        <v>8747</v>
      </c>
      <c r="H7124" s="8">
        <v>1184</v>
      </c>
      <c r="I7124" s="8">
        <v>4536</v>
      </c>
    </row>
    <row r="7125" spans="1:9" x14ac:dyDescent="0.2">
      <c r="A7125" t="s">
        <v>1470</v>
      </c>
      <c r="B7125" t="s">
        <v>1509</v>
      </c>
      <c r="C7125" t="str">
        <f t="shared" si="348"/>
        <v>39686760000000</v>
      </c>
      <c r="D7125" t="s">
        <v>6085</v>
      </c>
      <c r="E7125" t="str">
        <f>"39686766042790"</f>
        <v>39686766042790</v>
      </c>
      <c r="F7125" s="8">
        <v>1325</v>
      </c>
      <c r="G7125" s="8">
        <v>7994</v>
      </c>
      <c r="H7125" s="8">
        <v>1184</v>
      </c>
      <c r="I7125" s="8">
        <v>4536</v>
      </c>
    </row>
    <row r="7126" spans="1:9" x14ac:dyDescent="0.2">
      <c r="A7126" t="s">
        <v>1470</v>
      </c>
      <c r="B7126" t="s">
        <v>1509</v>
      </c>
      <c r="C7126" t="str">
        <f t="shared" si="348"/>
        <v>39686760000000</v>
      </c>
      <c r="D7126" t="s">
        <v>8165</v>
      </c>
      <c r="E7126" t="str">
        <f>"39686760111328"</f>
        <v>39686760111328</v>
      </c>
      <c r="F7126" s="8">
        <v>1009</v>
      </c>
      <c r="G7126" s="8">
        <v>8120</v>
      </c>
      <c r="H7126" s="8">
        <v>1184</v>
      </c>
      <c r="I7126" s="8">
        <v>4536</v>
      </c>
    </row>
    <row r="7127" spans="1:9" x14ac:dyDescent="0.2">
      <c r="A7127" t="s">
        <v>1470</v>
      </c>
      <c r="B7127" t="s">
        <v>1509</v>
      </c>
      <c r="C7127" t="str">
        <f t="shared" si="348"/>
        <v>39686760000000</v>
      </c>
      <c r="D7127" t="s">
        <v>2958</v>
      </c>
      <c r="E7127" t="str">
        <f>"39686763932100"</f>
        <v>39686763932100</v>
      </c>
      <c r="F7127" s="8">
        <v>1054</v>
      </c>
      <c r="G7127" s="8">
        <v>7936</v>
      </c>
      <c r="H7127" s="8">
        <v>1184</v>
      </c>
      <c r="I7127" s="8">
        <v>4536</v>
      </c>
    </row>
    <row r="7128" spans="1:9" x14ac:dyDescent="0.2">
      <c r="A7128" t="s">
        <v>1470</v>
      </c>
      <c r="B7128" t="s">
        <v>1509</v>
      </c>
      <c r="C7128" t="str">
        <f t="shared" si="348"/>
        <v>39686760000000</v>
      </c>
      <c r="D7128" t="s">
        <v>8166</v>
      </c>
      <c r="E7128" t="str">
        <f>"39686760100206"</f>
        <v>39686760100206</v>
      </c>
      <c r="F7128" s="8">
        <v>862</v>
      </c>
      <c r="G7128" s="8">
        <v>8120</v>
      </c>
      <c r="H7128" s="8">
        <v>1184</v>
      </c>
      <c r="I7128" s="8">
        <v>4536</v>
      </c>
    </row>
    <row r="7129" spans="1:9" x14ac:dyDescent="0.2">
      <c r="A7129" t="s">
        <v>1470</v>
      </c>
      <c r="B7129" t="s">
        <v>1509</v>
      </c>
      <c r="C7129" t="str">
        <f t="shared" si="348"/>
        <v>39686760000000</v>
      </c>
      <c r="D7129" t="s">
        <v>232</v>
      </c>
      <c r="E7129" t="str">
        <f>"39686766042709"</f>
        <v>39686766042709</v>
      </c>
      <c r="F7129" s="8">
        <v>749</v>
      </c>
      <c r="G7129" s="8">
        <v>8157</v>
      </c>
      <c r="H7129" s="8">
        <v>1184</v>
      </c>
      <c r="I7129" s="8">
        <v>4536</v>
      </c>
    </row>
    <row r="7130" spans="1:9" x14ac:dyDescent="0.2">
      <c r="A7130" t="s">
        <v>1470</v>
      </c>
      <c r="B7130" t="s">
        <v>1509</v>
      </c>
      <c r="C7130" t="str">
        <f t="shared" si="348"/>
        <v>39686760000000</v>
      </c>
      <c r="D7130" t="s">
        <v>8167</v>
      </c>
      <c r="E7130" t="str">
        <f>"39686766042626"</f>
        <v>39686766042626</v>
      </c>
      <c r="F7130" s="8">
        <v>1045</v>
      </c>
      <c r="G7130" s="8">
        <v>7756</v>
      </c>
      <c r="H7130" s="8">
        <v>1184</v>
      </c>
      <c r="I7130" s="8">
        <v>4536</v>
      </c>
    </row>
    <row r="7131" spans="1:9" x14ac:dyDescent="0.2">
      <c r="A7131" t="s">
        <v>1470</v>
      </c>
      <c r="B7131" t="s">
        <v>1509</v>
      </c>
      <c r="C7131" t="str">
        <f t="shared" si="348"/>
        <v>39686760000000</v>
      </c>
      <c r="D7131" t="s">
        <v>3443</v>
      </c>
      <c r="E7131" t="str">
        <f>"39686760111351"</f>
        <v>39686760111351</v>
      </c>
      <c r="F7131" s="8">
        <v>1057</v>
      </c>
      <c r="G7131" s="8">
        <v>7688</v>
      </c>
      <c r="H7131" s="8">
        <v>1184</v>
      </c>
      <c r="I7131" s="8">
        <v>4536</v>
      </c>
    </row>
    <row r="7132" spans="1:9" x14ac:dyDescent="0.2">
      <c r="A7132" t="s">
        <v>1470</v>
      </c>
      <c r="B7132" t="s">
        <v>1509</v>
      </c>
      <c r="C7132" t="str">
        <f t="shared" si="348"/>
        <v>39686760000000</v>
      </c>
      <c r="D7132" t="s">
        <v>2349</v>
      </c>
      <c r="E7132" t="str">
        <f>"39686766042691"</f>
        <v>39686766042691</v>
      </c>
      <c r="F7132" s="8">
        <v>818</v>
      </c>
      <c r="G7132" s="8">
        <v>7885</v>
      </c>
      <c r="H7132" s="8">
        <v>1184</v>
      </c>
      <c r="I7132" s="8">
        <v>4536</v>
      </c>
    </row>
    <row r="7133" spans="1:9" x14ac:dyDescent="0.2">
      <c r="A7133" t="s">
        <v>1470</v>
      </c>
      <c r="B7133" t="s">
        <v>1509</v>
      </c>
      <c r="C7133" t="str">
        <f t="shared" si="348"/>
        <v>39686760000000</v>
      </c>
      <c r="D7133" t="s">
        <v>8168</v>
      </c>
      <c r="E7133" t="str">
        <f>"39686760111344"</f>
        <v>39686760111344</v>
      </c>
      <c r="F7133" s="8">
        <v>1353</v>
      </c>
      <c r="G7133" s="8">
        <v>7273</v>
      </c>
      <c r="H7133" s="8">
        <v>1184</v>
      </c>
      <c r="I7133" s="8">
        <v>4536</v>
      </c>
    </row>
    <row r="7134" spans="1:9" x14ac:dyDescent="0.2">
      <c r="A7134" t="s">
        <v>1470</v>
      </c>
      <c r="B7134" t="s">
        <v>1509</v>
      </c>
      <c r="C7134" t="str">
        <f t="shared" si="348"/>
        <v>39686760000000</v>
      </c>
      <c r="D7134" t="s">
        <v>8169</v>
      </c>
      <c r="E7134" t="str">
        <f>"39686760111369"</f>
        <v>39686760111369</v>
      </c>
      <c r="F7134" s="8">
        <v>1447</v>
      </c>
      <c r="G7134" s="8">
        <v>7173</v>
      </c>
      <c r="H7134" s="8">
        <v>1184</v>
      </c>
      <c r="I7134" s="8">
        <v>4536</v>
      </c>
    </row>
    <row r="7135" spans="1:9" x14ac:dyDescent="0.2">
      <c r="A7135" t="s">
        <v>1470</v>
      </c>
      <c r="B7135" t="s">
        <v>1509</v>
      </c>
      <c r="C7135" t="str">
        <f t="shared" si="348"/>
        <v>39686760000000</v>
      </c>
      <c r="D7135" t="s">
        <v>8170</v>
      </c>
      <c r="E7135" t="str">
        <f>"39686766115422"</f>
        <v>39686766115422</v>
      </c>
      <c r="F7135" s="8">
        <v>948</v>
      </c>
      <c r="G7135" s="8">
        <v>7395</v>
      </c>
      <c r="H7135" s="8">
        <v>1184</v>
      </c>
      <c r="I7135" s="8">
        <v>4536</v>
      </c>
    </row>
    <row r="7136" spans="1:9" x14ac:dyDescent="0.2">
      <c r="A7136" t="s">
        <v>1470</v>
      </c>
      <c r="B7136" t="s">
        <v>1509</v>
      </c>
      <c r="C7136" t="str">
        <f t="shared" si="348"/>
        <v>39686760000000</v>
      </c>
      <c r="D7136" t="s">
        <v>8171</v>
      </c>
      <c r="E7136" t="str">
        <f>"39686760111336"</f>
        <v>39686760111336</v>
      </c>
      <c r="F7136" s="8">
        <v>678</v>
      </c>
      <c r="G7136" s="8">
        <v>7664</v>
      </c>
      <c r="H7136" s="8">
        <v>1184</v>
      </c>
      <c r="I7136" s="8">
        <v>4536</v>
      </c>
    </row>
    <row r="7137" spans="1:9" x14ac:dyDescent="0.2">
      <c r="A7137" t="s">
        <v>1470</v>
      </c>
      <c r="B7137" t="s">
        <v>1509</v>
      </c>
      <c r="C7137" t="str">
        <f t="shared" si="348"/>
        <v>39686760000000</v>
      </c>
      <c r="D7137" t="s">
        <v>8172</v>
      </c>
      <c r="E7137" t="str">
        <f>"39686766042576"</f>
        <v>39686766042576</v>
      </c>
      <c r="F7137" s="8">
        <v>929</v>
      </c>
      <c r="G7137" s="8">
        <v>7317</v>
      </c>
      <c r="H7137" s="8">
        <v>1184</v>
      </c>
      <c r="I7137" s="8">
        <v>4536</v>
      </c>
    </row>
    <row r="7138" spans="1:9" x14ac:dyDescent="0.2">
      <c r="A7138" t="s">
        <v>1470</v>
      </c>
      <c r="B7138" t="s">
        <v>1509</v>
      </c>
      <c r="C7138" t="str">
        <f t="shared" si="348"/>
        <v>39686760000000</v>
      </c>
      <c r="D7138" t="s">
        <v>8173</v>
      </c>
      <c r="E7138" t="str">
        <f>"39686760119743"</f>
        <v>39686760119743</v>
      </c>
      <c r="F7138" s="8">
        <v>386</v>
      </c>
      <c r="G7138" s="8">
        <v>7830</v>
      </c>
      <c r="H7138" s="8">
        <v>1184</v>
      </c>
      <c r="I7138" s="8">
        <v>4536</v>
      </c>
    </row>
    <row r="7139" spans="1:9" x14ac:dyDescent="0.2">
      <c r="A7139" t="s">
        <v>1470</v>
      </c>
      <c r="B7139" t="s">
        <v>1509</v>
      </c>
      <c r="C7139" t="str">
        <f t="shared" si="348"/>
        <v>39686760000000</v>
      </c>
      <c r="D7139" t="s">
        <v>2947</v>
      </c>
      <c r="E7139" t="str">
        <f>"39686766042568"</f>
        <v>39686766042568</v>
      </c>
      <c r="F7139" s="8">
        <v>820</v>
      </c>
      <c r="G7139" s="8">
        <v>7278</v>
      </c>
      <c r="H7139" s="8">
        <v>1184</v>
      </c>
      <c r="I7139" s="8">
        <v>4536</v>
      </c>
    </row>
    <row r="7140" spans="1:9" x14ac:dyDescent="0.2">
      <c r="A7140" t="s">
        <v>1470</v>
      </c>
      <c r="B7140" t="s">
        <v>1509</v>
      </c>
      <c r="C7140" t="str">
        <f t="shared" si="348"/>
        <v>39686760000000</v>
      </c>
      <c r="D7140" t="s">
        <v>3999</v>
      </c>
      <c r="E7140" t="str">
        <f>"39686766118871"</f>
        <v>39686766118871</v>
      </c>
      <c r="F7140" s="8">
        <v>817</v>
      </c>
      <c r="G7140" s="8">
        <v>7090</v>
      </c>
      <c r="H7140" s="8">
        <v>1184</v>
      </c>
      <c r="I7140" s="8">
        <v>4536</v>
      </c>
    </row>
    <row r="7141" spans="1:9" x14ac:dyDescent="0.2">
      <c r="A7141" t="s">
        <v>1470</v>
      </c>
      <c r="B7141" t="s">
        <v>1509</v>
      </c>
      <c r="C7141" t="str">
        <f t="shared" si="348"/>
        <v>39686760000000</v>
      </c>
      <c r="D7141" t="s">
        <v>2977</v>
      </c>
      <c r="E7141" t="str">
        <f>"39686766116115"</f>
        <v>39686766116115</v>
      </c>
      <c r="F7141" s="8">
        <v>1120</v>
      </c>
      <c r="G7141" s="8">
        <v>6719</v>
      </c>
      <c r="H7141" s="8">
        <v>1184</v>
      </c>
      <c r="I7141" s="8">
        <v>4536</v>
      </c>
    </row>
    <row r="7142" spans="1:9" x14ac:dyDescent="0.2">
      <c r="A7142" t="s">
        <v>1470</v>
      </c>
      <c r="B7142" t="s">
        <v>1509</v>
      </c>
      <c r="C7142" t="str">
        <f t="shared" si="348"/>
        <v>39686760000000</v>
      </c>
      <c r="D7142" t="s">
        <v>8174</v>
      </c>
      <c r="E7142" t="str">
        <f>"39686766098651"</f>
        <v>39686766098651</v>
      </c>
      <c r="F7142" s="8">
        <v>785</v>
      </c>
      <c r="G7142" s="8">
        <v>6943</v>
      </c>
      <c r="H7142" s="8">
        <v>1184</v>
      </c>
      <c r="I7142" s="8">
        <v>4536</v>
      </c>
    </row>
    <row r="7143" spans="1:9" x14ac:dyDescent="0.2">
      <c r="A7143" t="s">
        <v>1470</v>
      </c>
      <c r="B7143" t="s">
        <v>1509</v>
      </c>
      <c r="C7143" t="str">
        <f t="shared" si="348"/>
        <v>39686760000000</v>
      </c>
      <c r="D7143" t="s">
        <v>8175</v>
      </c>
      <c r="E7143" t="str">
        <f>"39686766042550"</f>
        <v>39686766042550</v>
      </c>
      <c r="F7143" s="8">
        <v>568</v>
      </c>
      <c r="G7143" s="8">
        <v>7066</v>
      </c>
      <c r="H7143" s="8">
        <v>1184</v>
      </c>
      <c r="I7143" s="8">
        <v>4536</v>
      </c>
    </row>
    <row r="7144" spans="1:9" x14ac:dyDescent="0.2">
      <c r="A7144" t="s">
        <v>1470</v>
      </c>
      <c r="B7144" t="s">
        <v>1509</v>
      </c>
      <c r="C7144" t="str">
        <f t="shared" si="348"/>
        <v>39686760000000</v>
      </c>
      <c r="D7144" t="s">
        <v>8176</v>
      </c>
      <c r="E7144" t="str">
        <f>"39686766104368"</f>
        <v>39686766104368</v>
      </c>
      <c r="F7144" s="8" t="s">
        <v>30</v>
      </c>
      <c r="G7144" s="8" t="s">
        <v>30</v>
      </c>
      <c r="H7144" s="8" t="s">
        <v>30</v>
      </c>
      <c r="I7144" s="8" t="s">
        <v>30</v>
      </c>
    </row>
    <row r="7145" spans="1:9" x14ac:dyDescent="0.2">
      <c r="A7145" t="s">
        <v>1470</v>
      </c>
      <c r="B7145" t="s">
        <v>1512</v>
      </c>
      <c r="C7145" t="str">
        <f t="shared" ref="C7145:C7164" si="349">"39754990000000"</f>
        <v>39754990000000</v>
      </c>
      <c r="D7145" t="s">
        <v>8177</v>
      </c>
      <c r="E7145" t="str">
        <f>"39754993937976"</f>
        <v>39754993937976</v>
      </c>
      <c r="F7145" s="8">
        <v>446</v>
      </c>
      <c r="G7145" s="8">
        <v>42726</v>
      </c>
      <c r="H7145" s="8">
        <v>1124</v>
      </c>
      <c r="I7145" s="8">
        <v>2828</v>
      </c>
    </row>
    <row r="7146" spans="1:9" x14ac:dyDescent="0.2">
      <c r="A7146" t="s">
        <v>1470</v>
      </c>
      <c r="B7146" t="s">
        <v>1512</v>
      </c>
      <c r="C7146" t="str">
        <f t="shared" si="349"/>
        <v>39754990000000</v>
      </c>
      <c r="D7146" t="s">
        <v>8178</v>
      </c>
      <c r="E7146" t="str">
        <f>"39754990114140"</f>
        <v>39754990114140</v>
      </c>
      <c r="F7146" s="8">
        <v>902</v>
      </c>
      <c r="G7146" s="8">
        <v>20320</v>
      </c>
      <c r="H7146" s="8">
        <v>1124</v>
      </c>
      <c r="I7146" s="8">
        <v>2828</v>
      </c>
    </row>
    <row r="7147" spans="1:9" x14ac:dyDescent="0.2">
      <c r="A7147" t="s">
        <v>1470</v>
      </c>
      <c r="B7147" t="s">
        <v>1512</v>
      </c>
      <c r="C7147" t="str">
        <f t="shared" si="349"/>
        <v>39754990000000</v>
      </c>
      <c r="D7147" t="s">
        <v>8179</v>
      </c>
      <c r="E7147" t="str">
        <f>"39754990139949"</f>
        <v>39754990139949</v>
      </c>
      <c r="F7147" s="8">
        <v>0</v>
      </c>
      <c r="G7147" s="8">
        <v>21138</v>
      </c>
      <c r="H7147" s="8">
        <v>0</v>
      </c>
      <c r="I7147" s="8">
        <v>0</v>
      </c>
    </row>
    <row r="7148" spans="1:9" x14ac:dyDescent="0.2">
      <c r="A7148" t="s">
        <v>1470</v>
      </c>
      <c r="B7148" t="s">
        <v>1512</v>
      </c>
      <c r="C7148" t="str">
        <f t="shared" si="349"/>
        <v>39754990000000</v>
      </c>
      <c r="D7148" t="s">
        <v>8180</v>
      </c>
      <c r="E7148" t="str">
        <f>"39754996110530"</f>
        <v>39754996110530</v>
      </c>
      <c r="F7148" s="8">
        <v>745</v>
      </c>
      <c r="G7148" s="8">
        <v>7853</v>
      </c>
      <c r="H7148" s="8">
        <v>1124</v>
      </c>
      <c r="I7148" s="8">
        <v>2828</v>
      </c>
    </row>
    <row r="7149" spans="1:9" x14ac:dyDescent="0.2">
      <c r="A7149" t="s">
        <v>1470</v>
      </c>
      <c r="B7149" t="s">
        <v>1512</v>
      </c>
      <c r="C7149" t="str">
        <f t="shared" si="349"/>
        <v>39754990000000</v>
      </c>
      <c r="D7149" t="s">
        <v>8181</v>
      </c>
      <c r="E7149" t="str">
        <f>"39754996106488"</f>
        <v>39754996106488</v>
      </c>
      <c r="F7149" s="8">
        <v>407</v>
      </c>
      <c r="G7149" s="8">
        <v>7948</v>
      </c>
      <c r="H7149" s="8">
        <v>1124</v>
      </c>
      <c r="I7149" s="8">
        <v>2828</v>
      </c>
    </row>
    <row r="7150" spans="1:9" x14ac:dyDescent="0.2">
      <c r="A7150" t="s">
        <v>1470</v>
      </c>
      <c r="B7150" t="s">
        <v>1512</v>
      </c>
      <c r="C7150" t="str">
        <f t="shared" si="349"/>
        <v>39754990000000</v>
      </c>
      <c r="D7150" t="s">
        <v>8182</v>
      </c>
      <c r="E7150" t="str">
        <f>"39754996114490"</f>
        <v>39754996114490</v>
      </c>
      <c r="F7150" s="8">
        <v>768</v>
      </c>
      <c r="G7150" s="8">
        <v>7444</v>
      </c>
      <c r="H7150" s="8">
        <v>1124</v>
      </c>
      <c r="I7150" s="8">
        <v>2828</v>
      </c>
    </row>
    <row r="7151" spans="1:9" x14ac:dyDescent="0.2">
      <c r="A7151" t="s">
        <v>1470</v>
      </c>
      <c r="B7151" t="s">
        <v>1512</v>
      </c>
      <c r="C7151" t="str">
        <f t="shared" si="349"/>
        <v>39754990000000</v>
      </c>
      <c r="D7151" t="s">
        <v>2349</v>
      </c>
      <c r="E7151" t="str">
        <f>"39754996042857"</f>
        <v>39754996042857</v>
      </c>
      <c r="F7151" s="8">
        <v>851</v>
      </c>
      <c r="G7151" s="8">
        <v>7075</v>
      </c>
      <c r="H7151" s="8">
        <v>1124</v>
      </c>
      <c r="I7151" s="8">
        <v>2828</v>
      </c>
    </row>
    <row r="7152" spans="1:9" x14ac:dyDescent="0.2">
      <c r="A7152" t="s">
        <v>1470</v>
      </c>
      <c r="B7152" t="s">
        <v>1512</v>
      </c>
      <c r="C7152" t="str">
        <f t="shared" si="349"/>
        <v>39754990000000</v>
      </c>
      <c r="D7152" t="s">
        <v>8183</v>
      </c>
      <c r="E7152" t="str">
        <f>"39754996109003"</f>
        <v>39754996109003</v>
      </c>
      <c r="F7152" s="8">
        <v>170</v>
      </c>
      <c r="G7152" s="8">
        <v>7460</v>
      </c>
      <c r="H7152" s="8">
        <v>1124</v>
      </c>
      <c r="I7152" s="8">
        <v>2828</v>
      </c>
    </row>
    <row r="7153" spans="1:9" x14ac:dyDescent="0.2">
      <c r="A7153" t="s">
        <v>1470</v>
      </c>
      <c r="B7153" t="s">
        <v>1512</v>
      </c>
      <c r="C7153" t="str">
        <f t="shared" si="349"/>
        <v>39754990000000</v>
      </c>
      <c r="D7153" t="s">
        <v>1214</v>
      </c>
      <c r="E7153" t="str">
        <f>"39754996042832"</f>
        <v>39754996042832</v>
      </c>
      <c r="F7153" s="8">
        <v>409</v>
      </c>
      <c r="G7153" s="8">
        <v>7055</v>
      </c>
      <c r="H7153" s="8">
        <v>1124</v>
      </c>
      <c r="I7153" s="8">
        <v>2828</v>
      </c>
    </row>
    <row r="7154" spans="1:9" x14ac:dyDescent="0.2">
      <c r="A7154" t="s">
        <v>1470</v>
      </c>
      <c r="B7154" t="s">
        <v>1512</v>
      </c>
      <c r="C7154" t="str">
        <f t="shared" si="349"/>
        <v>39754990000000</v>
      </c>
      <c r="D7154" t="s">
        <v>6632</v>
      </c>
      <c r="E7154" t="str">
        <f>"39754996042840"</f>
        <v>39754996042840</v>
      </c>
      <c r="F7154" s="8">
        <v>306</v>
      </c>
      <c r="G7154" s="8">
        <v>7047</v>
      </c>
      <c r="H7154" s="8">
        <v>1124</v>
      </c>
      <c r="I7154" s="8">
        <v>2828</v>
      </c>
    </row>
    <row r="7155" spans="1:9" x14ac:dyDescent="0.2">
      <c r="A7155" t="s">
        <v>1470</v>
      </c>
      <c r="B7155" t="s">
        <v>1512</v>
      </c>
      <c r="C7155" t="str">
        <f t="shared" si="349"/>
        <v>39754990000000</v>
      </c>
      <c r="D7155" t="s">
        <v>8184</v>
      </c>
      <c r="E7155" t="str">
        <f>"39754996107973"</f>
        <v>39754996107973</v>
      </c>
      <c r="F7155" s="8">
        <v>569</v>
      </c>
      <c r="G7155" s="8">
        <v>6748</v>
      </c>
      <c r="H7155" s="8">
        <v>1124</v>
      </c>
      <c r="I7155" s="8">
        <v>2828</v>
      </c>
    </row>
    <row r="7156" spans="1:9" x14ac:dyDescent="0.2">
      <c r="A7156" t="s">
        <v>1470</v>
      </c>
      <c r="B7156" t="s">
        <v>1512</v>
      </c>
      <c r="C7156" t="str">
        <f t="shared" si="349"/>
        <v>39754990000000</v>
      </c>
      <c r="D7156" t="s">
        <v>8185</v>
      </c>
      <c r="E7156" t="str">
        <f>"39754993938008"</f>
        <v>39754993938008</v>
      </c>
      <c r="F7156" s="8">
        <v>105</v>
      </c>
      <c r="G7156" s="8">
        <v>7097</v>
      </c>
      <c r="H7156" s="8">
        <v>1124</v>
      </c>
      <c r="I7156" s="8">
        <v>2828</v>
      </c>
    </row>
    <row r="7157" spans="1:9" x14ac:dyDescent="0.2">
      <c r="A7157" t="s">
        <v>1470</v>
      </c>
      <c r="B7157" t="s">
        <v>1512</v>
      </c>
      <c r="C7157" t="str">
        <f t="shared" si="349"/>
        <v>39754990000000</v>
      </c>
      <c r="D7157" t="s">
        <v>8186</v>
      </c>
      <c r="E7157" t="str">
        <f>"39754996042881"</f>
        <v>39754996042881</v>
      </c>
      <c r="F7157" s="8">
        <v>240</v>
      </c>
      <c r="G7157" s="8">
        <v>6915</v>
      </c>
      <c r="H7157" s="8">
        <v>1124</v>
      </c>
      <c r="I7157" s="8">
        <v>2828</v>
      </c>
    </row>
    <row r="7158" spans="1:9" x14ac:dyDescent="0.2">
      <c r="A7158" t="s">
        <v>1470</v>
      </c>
      <c r="B7158" t="s">
        <v>1512</v>
      </c>
      <c r="C7158" t="str">
        <f t="shared" si="349"/>
        <v>39754990000000</v>
      </c>
      <c r="D7158" t="s">
        <v>8187</v>
      </c>
      <c r="E7158" t="str">
        <f>"39754996108997"</f>
        <v>39754996108997</v>
      </c>
      <c r="F7158" s="8">
        <v>33</v>
      </c>
      <c r="G7158" s="8">
        <v>6839</v>
      </c>
      <c r="H7158" s="8">
        <v>1124</v>
      </c>
      <c r="I7158" s="8">
        <v>2828</v>
      </c>
    </row>
    <row r="7159" spans="1:9" x14ac:dyDescent="0.2">
      <c r="A7159" t="s">
        <v>1470</v>
      </c>
      <c r="B7159" t="s">
        <v>1512</v>
      </c>
      <c r="C7159" t="str">
        <f t="shared" si="349"/>
        <v>39754990000000</v>
      </c>
      <c r="D7159" t="s">
        <v>8188</v>
      </c>
      <c r="E7159" t="str">
        <f>"39754993930302"</f>
        <v>39754993930302</v>
      </c>
      <c r="F7159" s="8">
        <v>227</v>
      </c>
      <c r="G7159" s="8">
        <v>6469</v>
      </c>
      <c r="H7159" s="8">
        <v>1124</v>
      </c>
      <c r="I7159" s="8">
        <v>2828</v>
      </c>
    </row>
    <row r="7160" spans="1:9" x14ac:dyDescent="0.2">
      <c r="A7160" t="s">
        <v>1470</v>
      </c>
      <c r="B7160" t="s">
        <v>1512</v>
      </c>
      <c r="C7160" t="str">
        <f t="shared" si="349"/>
        <v>39754990000000</v>
      </c>
      <c r="D7160" t="s">
        <v>8189</v>
      </c>
      <c r="E7160" t="str">
        <f>"39754996118699"</f>
        <v>39754996118699</v>
      </c>
      <c r="F7160" s="8">
        <v>159</v>
      </c>
      <c r="G7160" s="8">
        <v>6460</v>
      </c>
      <c r="H7160" s="8">
        <v>1124</v>
      </c>
      <c r="I7160" s="8">
        <v>2828</v>
      </c>
    </row>
    <row r="7161" spans="1:9" x14ac:dyDescent="0.2">
      <c r="A7161" t="s">
        <v>1470</v>
      </c>
      <c r="B7161" t="s">
        <v>1512</v>
      </c>
      <c r="C7161" t="str">
        <f t="shared" si="349"/>
        <v>39754990000000</v>
      </c>
      <c r="D7161" t="s">
        <v>8190</v>
      </c>
      <c r="E7161" t="str">
        <f>"39754990119040"</f>
        <v>39754990119040</v>
      </c>
      <c r="F7161" s="8">
        <v>73</v>
      </c>
      <c r="G7161" s="8">
        <v>6521</v>
      </c>
      <c r="H7161" s="8">
        <v>1124</v>
      </c>
      <c r="I7161" s="8">
        <v>2828</v>
      </c>
    </row>
    <row r="7162" spans="1:9" x14ac:dyDescent="0.2">
      <c r="A7162" t="s">
        <v>1470</v>
      </c>
      <c r="B7162" t="s">
        <v>1512</v>
      </c>
      <c r="C7162" t="str">
        <f t="shared" si="349"/>
        <v>39754990000000</v>
      </c>
      <c r="D7162" t="s">
        <v>8191</v>
      </c>
      <c r="E7162" t="str">
        <f>"39754996042865"</f>
        <v>39754996042865</v>
      </c>
      <c r="F7162" s="8">
        <v>204</v>
      </c>
      <c r="G7162" s="8">
        <v>6347</v>
      </c>
      <c r="H7162" s="8">
        <v>1124</v>
      </c>
      <c r="I7162" s="8">
        <v>2828</v>
      </c>
    </row>
    <row r="7163" spans="1:9" x14ac:dyDescent="0.2">
      <c r="A7163" t="s">
        <v>1470</v>
      </c>
      <c r="B7163" t="s">
        <v>1512</v>
      </c>
      <c r="C7163" t="str">
        <f t="shared" si="349"/>
        <v>39754990000000</v>
      </c>
      <c r="D7163" t="s">
        <v>8192</v>
      </c>
      <c r="E7163" t="str">
        <f>"39754990108357"</f>
        <v>39754990108357</v>
      </c>
      <c r="F7163" s="8">
        <v>27</v>
      </c>
      <c r="G7163" s="8">
        <v>5762</v>
      </c>
      <c r="H7163" s="8">
        <v>1124</v>
      </c>
      <c r="I7163" s="8">
        <v>2828</v>
      </c>
    </row>
    <row r="7164" spans="1:9" x14ac:dyDescent="0.2">
      <c r="A7164" t="s">
        <v>1470</v>
      </c>
      <c r="B7164" t="s">
        <v>1512</v>
      </c>
      <c r="C7164" t="str">
        <f t="shared" si="349"/>
        <v>39754990000000</v>
      </c>
      <c r="D7164" t="s">
        <v>8193</v>
      </c>
      <c r="E7164" t="str">
        <f>"39754993930393"</f>
        <v>39754993930393</v>
      </c>
      <c r="F7164" s="8">
        <v>550</v>
      </c>
      <c r="G7164" s="8">
        <v>447</v>
      </c>
      <c r="H7164" s="8">
        <v>1124</v>
      </c>
      <c r="I7164" s="8">
        <v>2828</v>
      </c>
    </row>
    <row r="7165" spans="1:9" x14ac:dyDescent="0.2">
      <c r="A7165" t="s">
        <v>1517</v>
      </c>
      <c r="B7165" t="s">
        <v>1519</v>
      </c>
      <c r="C7165" t="str">
        <f t="shared" ref="C7165:C7176" si="350">"40687000000000"</f>
        <v>40687000000000</v>
      </c>
      <c r="D7165" t="s">
        <v>8194</v>
      </c>
      <c r="E7165" t="str">
        <f>"40687006042915"</f>
        <v>40687006042915</v>
      </c>
      <c r="F7165" s="8">
        <v>4046</v>
      </c>
      <c r="G7165" s="8">
        <v>9640</v>
      </c>
      <c r="H7165" s="8">
        <v>505</v>
      </c>
      <c r="I7165" s="8">
        <v>4205</v>
      </c>
    </row>
    <row r="7166" spans="1:9" x14ac:dyDescent="0.2">
      <c r="A7166" t="s">
        <v>1517</v>
      </c>
      <c r="B7166" t="s">
        <v>1519</v>
      </c>
      <c r="C7166" t="str">
        <f t="shared" si="350"/>
        <v>40687000000000</v>
      </c>
      <c r="D7166" t="s">
        <v>8195</v>
      </c>
      <c r="E7166" t="str">
        <f>"40687006042907"</f>
        <v>40687006042907</v>
      </c>
      <c r="F7166" s="8">
        <v>1337</v>
      </c>
      <c r="G7166" s="8">
        <v>11708</v>
      </c>
      <c r="H7166" s="8">
        <v>505</v>
      </c>
      <c r="I7166" s="8">
        <v>4205</v>
      </c>
    </row>
    <row r="7167" spans="1:9" x14ac:dyDescent="0.2">
      <c r="A7167" t="s">
        <v>1517</v>
      </c>
      <c r="B7167" t="s">
        <v>1519</v>
      </c>
      <c r="C7167" t="str">
        <f t="shared" si="350"/>
        <v>40687000000000</v>
      </c>
      <c r="D7167" t="s">
        <v>8196</v>
      </c>
      <c r="E7167" t="str">
        <f>"40687004030151"</f>
        <v>40687004030151</v>
      </c>
      <c r="F7167" s="8">
        <v>825</v>
      </c>
      <c r="G7167" s="8">
        <v>10353</v>
      </c>
      <c r="H7167" s="8">
        <v>505</v>
      </c>
      <c r="I7167" s="8">
        <v>4205</v>
      </c>
    </row>
    <row r="7168" spans="1:9" x14ac:dyDescent="0.2">
      <c r="A7168" t="s">
        <v>1517</v>
      </c>
      <c r="B7168" t="s">
        <v>1519</v>
      </c>
      <c r="C7168" t="str">
        <f t="shared" si="350"/>
        <v>40687000000000</v>
      </c>
      <c r="D7168" t="s">
        <v>8197</v>
      </c>
      <c r="E7168" t="str">
        <f>"40687006107544"</f>
        <v>40687006107544</v>
      </c>
      <c r="F7168" s="8">
        <v>1293</v>
      </c>
      <c r="G7168" s="8">
        <v>8491</v>
      </c>
      <c r="H7168" s="8">
        <v>505</v>
      </c>
      <c r="I7168" s="8">
        <v>4205</v>
      </c>
    </row>
    <row r="7169" spans="1:9" x14ac:dyDescent="0.2">
      <c r="A7169" t="s">
        <v>1517</v>
      </c>
      <c r="B7169" t="s">
        <v>1519</v>
      </c>
      <c r="C7169" t="str">
        <f t="shared" si="350"/>
        <v>40687000000000</v>
      </c>
      <c r="D7169" t="s">
        <v>8198</v>
      </c>
      <c r="E7169" t="str">
        <f>"40687006117980"</f>
        <v>40687006117980</v>
      </c>
      <c r="F7169" s="8">
        <v>147</v>
      </c>
      <c r="G7169" s="8">
        <v>7632</v>
      </c>
      <c r="H7169" s="8">
        <v>505</v>
      </c>
      <c r="I7169" s="8">
        <v>4205</v>
      </c>
    </row>
    <row r="7170" spans="1:9" x14ac:dyDescent="0.2">
      <c r="A7170" t="s">
        <v>1517</v>
      </c>
      <c r="B7170" t="s">
        <v>1519</v>
      </c>
      <c r="C7170" t="str">
        <f t="shared" si="350"/>
        <v>40687000000000</v>
      </c>
      <c r="D7170" t="s">
        <v>8199</v>
      </c>
      <c r="E7170" t="str">
        <f>"40687006042964"</f>
        <v>40687006042964</v>
      </c>
      <c r="F7170" s="8">
        <v>866</v>
      </c>
      <c r="G7170" s="8">
        <v>6760</v>
      </c>
      <c r="H7170" s="8">
        <v>505</v>
      </c>
      <c r="I7170" s="8">
        <v>4205</v>
      </c>
    </row>
    <row r="7171" spans="1:9" x14ac:dyDescent="0.2">
      <c r="A7171" t="s">
        <v>1517</v>
      </c>
      <c r="B7171" t="s">
        <v>1519</v>
      </c>
      <c r="C7171" t="str">
        <f t="shared" si="350"/>
        <v>40687000000000</v>
      </c>
      <c r="D7171" t="s">
        <v>8200</v>
      </c>
      <c r="E7171" t="str">
        <f>"40687004030755"</f>
        <v>40687004030755</v>
      </c>
      <c r="F7171" s="8">
        <v>206</v>
      </c>
      <c r="G7171" s="8">
        <v>7332</v>
      </c>
      <c r="H7171" s="8">
        <v>505</v>
      </c>
      <c r="I7171" s="8">
        <v>4205</v>
      </c>
    </row>
    <row r="7172" spans="1:9" x14ac:dyDescent="0.2">
      <c r="A7172" t="s">
        <v>1517</v>
      </c>
      <c r="B7172" t="s">
        <v>1519</v>
      </c>
      <c r="C7172" t="str">
        <f t="shared" si="350"/>
        <v>40687000000000</v>
      </c>
      <c r="D7172" t="s">
        <v>8201</v>
      </c>
      <c r="E7172" t="str">
        <f>"40687006042949"</f>
        <v>40687006042949</v>
      </c>
      <c r="F7172" s="8">
        <v>91</v>
      </c>
      <c r="G7172" s="8">
        <v>6615</v>
      </c>
      <c r="H7172" s="8">
        <v>505</v>
      </c>
      <c r="I7172" s="8">
        <v>4205</v>
      </c>
    </row>
    <row r="7173" spans="1:9" x14ac:dyDescent="0.2">
      <c r="A7173" t="s">
        <v>1517</v>
      </c>
      <c r="B7173" t="s">
        <v>1519</v>
      </c>
      <c r="C7173" t="str">
        <f t="shared" si="350"/>
        <v>40687000000000</v>
      </c>
      <c r="D7173" t="s">
        <v>7643</v>
      </c>
      <c r="E7173" t="str">
        <f>"40687006042956"</f>
        <v>40687006042956</v>
      </c>
      <c r="F7173" s="8">
        <v>245</v>
      </c>
      <c r="G7173" s="8">
        <v>6369</v>
      </c>
      <c r="H7173" s="8">
        <v>505</v>
      </c>
      <c r="I7173" s="8">
        <v>4205</v>
      </c>
    </row>
    <row r="7174" spans="1:9" x14ac:dyDescent="0.2">
      <c r="A7174" t="s">
        <v>1517</v>
      </c>
      <c r="B7174" t="s">
        <v>1519</v>
      </c>
      <c r="C7174" t="str">
        <f t="shared" si="350"/>
        <v>40687000000000</v>
      </c>
      <c r="D7174" t="s">
        <v>8202</v>
      </c>
      <c r="E7174" t="str">
        <f>"40687006042931"</f>
        <v>40687006042931</v>
      </c>
      <c r="F7174" s="8">
        <v>241</v>
      </c>
      <c r="G7174" s="8">
        <v>5985</v>
      </c>
      <c r="H7174" s="8">
        <v>505</v>
      </c>
      <c r="I7174" s="8">
        <v>4205</v>
      </c>
    </row>
    <row r="7175" spans="1:9" x14ac:dyDescent="0.2">
      <c r="A7175" t="s">
        <v>1517</v>
      </c>
      <c r="B7175" t="s">
        <v>1519</v>
      </c>
      <c r="C7175" t="str">
        <f t="shared" si="350"/>
        <v>40687000000000</v>
      </c>
      <c r="D7175" t="s">
        <v>8203</v>
      </c>
      <c r="E7175" t="str">
        <f>"40687006111058"</f>
        <v>40687006111058</v>
      </c>
      <c r="F7175" s="8">
        <v>555</v>
      </c>
      <c r="G7175" s="8">
        <v>5353</v>
      </c>
      <c r="H7175" s="8">
        <v>505</v>
      </c>
      <c r="I7175" s="8">
        <v>4205</v>
      </c>
    </row>
    <row r="7176" spans="1:9" x14ac:dyDescent="0.2">
      <c r="A7176" t="s">
        <v>1517</v>
      </c>
      <c r="B7176" t="s">
        <v>1519</v>
      </c>
      <c r="C7176" t="str">
        <f t="shared" si="350"/>
        <v>40687000000000</v>
      </c>
      <c r="D7176" t="s">
        <v>8204</v>
      </c>
      <c r="E7176" t="str">
        <f>"40687004030102"</f>
        <v>40687004030102</v>
      </c>
      <c r="F7176" s="8">
        <v>994</v>
      </c>
      <c r="G7176" s="8">
        <v>3180</v>
      </c>
      <c r="H7176" s="8">
        <v>505</v>
      </c>
      <c r="I7176" s="8">
        <v>4205</v>
      </c>
    </row>
    <row r="7177" spans="1:9" x14ac:dyDescent="0.2">
      <c r="A7177" t="s">
        <v>1517</v>
      </c>
      <c r="B7177" t="s">
        <v>1521</v>
      </c>
      <c r="C7177" t="str">
        <f>"40687260000000"</f>
        <v>40687260000000</v>
      </c>
      <c r="D7177" t="s">
        <v>1521</v>
      </c>
      <c r="E7177" t="str">
        <f>"40687266042998"</f>
        <v>40687266042998</v>
      </c>
      <c r="F7177" s="8">
        <v>2255</v>
      </c>
      <c r="G7177" s="8">
        <v>17555</v>
      </c>
      <c r="H7177" s="8">
        <v>3</v>
      </c>
      <c r="I7177" s="8">
        <v>4207</v>
      </c>
    </row>
    <row r="7178" spans="1:9" x14ac:dyDescent="0.2">
      <c r="A7178" t="s">
        <v>1517</v>
      </c>
      <c r="B7178" t="s">
        <v>1522</v>
      </c>
      <c r="C7178" t="str">
        <f>"40754650000000"</f>
        <v>40754650000000</v>
      </c>
      <c r="D7178" t="s">
        <v>8205</v>
      </c>
      <c r="E7178" t="str">
        <f>"40754654032009"</f>
        <v>40754654032009</v>
      </c>
      <c r="F7178" s="8">
        <v>543</v>
      </c>
      <c r="G7178" s="8">
        <v>14729</v>
      </c>
      <c r="H7178" s="8">
        <v>1664</v>
      </c>
      <c r="I7178" s="8">
        <v>8031</v>
      </c>
    </row>
    <row r="7179" spans="1:9" x14ac:dyDescent="0.2">
      <c r="A7179" t="s">
        <v>1517</v>
      </c>
      <c r="B7179" t="s">
        <v>1522</v>
      </c>
      <c r="C7179" t="str">
        <f>"40754650000000"</f>
        <v>40754650000000</v>
      </c>
      <c r="D7179" t="s">
        <v>8206</v>
      </c>
      <c r="E7179" t="str">
        <f>"40754654030144"</f>
        <v>40754654030144</v>
      </c>
      <c r="F7179" s="8">
        <v>20</v>
      </c>
      <c r="G7179" s="8">
        <v>16527</v>
      </c>
      <c r="H7179" s="8">
        <v>1481</v>
      </c>
      <c r="I7179" s="8">
        <v>6672</v>
      </c>
    </row>
    <row r="7180" spans="1:9" x14ac:dyDescent="0.2">
      <c r="A7180" t="s">
        <v>1517</v>
      </c>
      <c r="B7180" t="s">
        <v>1522</v>
      </c>
      <c r="C7180" t="str">
        <f>"40754650000000"</f>
        <v>40754650000000</v>
      </c>
      <c r="D7180" t="s">
        <v>8207</v>
      </c>
      <c r="E7180" t="str">
        <f>"40754656042980"</f>
        <v>40754656042980</v>
      </c>
      <c r="F7180" s="8">
        <v>503</v>
      </c>
      <c r="G7180" s="8">
        <v>10892</v>
      </c>
      <c r="H7180" s="8">
        <v>1680</v>
      </c>
      <c r="I7180" s="8">
        <v>7710</v>
      </c>
    </row>
    <row r="7181" spans="1:9" x14ac:dyDescent="0.2">
      <c r="A7181" t="s">
        <v>1517</v>
      </c>
      <c r="B7181" t="s">
        <v>1522</v>
      </c>
      <c r="C7181" t="str">
        <f>"40754650000000"</f>
        <v>40754650000000</v>
      </c>
      <c r="D7181" t="s">
        <v>8208</v>
      </c>
      <c r="E7181" t="str">
        <f>"40754656042972"</f>
        <v>40754656042972</v>
      </c>
      <c r="F7181" s="8">
        <v>1292</v>
      </c>
      <c r="G7181" s="8">
        <v>9211</v>
      </c>
      <c r="H7181" s="8">
        <v>1741</v>
      </c>
      <c r="I7181" s="8">
        <v>7616</v>
      </c>
    </row>
    <row r="7182" spans="1:9" x14ac:dyDescent="0.2">
      <c r="A7182" t="s">
        <v>1517</v>
      </c>
      <c r="B7182" t="s">
        <v>1523</v>
      </c>
      <c r="C7182" t="str">
        <f t="shared" ref="C7182:C7200" si="351">"40687590000000"</f>
        <v>40687590000000</v>
      </c>
      <c r="D7182" t="s">
        <v>8209</v>
      </c>
      <c r="E7182" t="str">
        <f>"40687594033205"</f>
        <v>40687594033205</v>
      </c>
      <c r="F7182" s="8">
        <v>365</v>
      </c>
      <c r="G7182" s="8">
        <v>6970</v>
      </c>
      <c r="H7182" s="8">
        <v>1380</v>
      </c>
      <c r="I7182" s="8">
        <v>5440</v>
      </c>
    </row>
    <row r="7183" spans="1:9" x14ac:dyDescent="0.2">
      <c r="A7183" t="s">
        <v>1517</v>
      </c>
      <c r="B7183" t="s">
        <v>1523</v>
      </c>
      <c r="C7183" t="str">
        <f t="shared" si="351"/>
        <v>40687590000000</v>
      </c>
      <c r="D7183" t="s">
        <v>8210</v>
      </c>
      <c r="E7183" t="str">
        <f>"40687590125328"</f>
        <v>40687590125328</v>
      </c>
      <c r="F7183" s="8">
        <v>188</v>
      </c>
      <c r="G7183" s="8">
        <v>6802</v>
      </c>
      <c r="H7183" s="8">
        <v>1380</v>
      </c>
      <c r="I7183" s="8">
        <v>5440</v>
      </c>
    </row>
    <row r="7184" spans="1:9" x14ac:dyDescent="0.2">
      <c r="A7184" t="s">
        <v>1517</v>
      </c>
      <c r="B7184" t="s">
        <v>1523</v>
      </c>
      <c r="C7184" t="str">
        <f t="shared" si="351"/>
        <v>40687590000000</v>
      </c>
      <c r="D7184" t="s">
        <v>8211</v>
      </c>
      <c r="E7184" t="str">
        <f>"40687594030268"</f>
        <v>40687594030268</v>
      </c>
      <c r="F7184" s="8">
        <v>231</v>
      </c>
      <c r="G7184" s="8">
        <v>5967</v>
      </c>
      <c r="H7184" s="8">
        <v>1380</v>
      </c>
      <c r="I7184" s="8">
        <v>5440</v>
      </c>
    </row>
    <row r="7185" spans="1:9" x14ac:dyDescent="0.2">
      <c r="A7185" t="s">
        <v>1517</v>
      </c>
      <c r="B7185" t="s">
        <v>1523</v>
      </c>
      <c r="C7185" t="str">
        <f t="shared" si="351"/>
        <v>40687590000000</v>
      </c>
      <c r="D7185" t="s">
        <v>8212</v>
      </c>
      <c r="E7185" t="str">
        <f>"40687596109342"</f>
        <v>40687596109342</v>
      </c>
      <c r="F7185" s="8">
        <v>158</v>
      </c>
      <c r="G7185" s="8">
        <v>5456</v>
      </c>
      <c r="H7185" s="8">
        <v>1380</v>
      </c>
      <c r="I7185" s="8">
        <v>5440</v>
      </c>
    </row>
    <row r="7186" spans="1:9" x14ac:dyDescent="0.2">
      <c r="A7186" t="s">
        <v>1517</v>
      </c>
      <c r="B7186" t="s">
        <v>1523</v>
      </c>
      <c r="C7186" t="str">
        <f t="shared" si="351"/>
        <v>40687590000000</v>
      </c>
      <c r="D7186" t="s">
        <v>8213</v>
      </c>
      <c r="E7186" t="str">
        <f>"40687596043012"</f>
        <v>40687596043012</v>
      </c>
      <c r="F7186" s="8">
        <v>149</v>
      </c>
      <c r="G7186" s="8">
        <v>5442</v>
      </c>
      <c r="H7186" s="8">
        <v>1380</v>
      </c>
      <c r="I7186" s="8">
        <v>5440</v>
      </c>
    </row>
    <row r="7187" spans="1:9" x14ac:dyDescent="0.2">
      <c r="A7187" t="s">
        <v>1517</v>
      </c>
      <c r="B7187" t="s">
        <v>1523</v>
      </c>
      <c r="C7187" t="str">
        <f t="shared" si="351"/>
        <v>40687590000000</v>
      </c>
      <c r="D7187" t="s">
        <v>8214</v>
      </c>
      <c r="E7187" t="str">
        <f>"40687596043020"</f>
        <v>40687596043020</v>
      </c>
      <c r="F7187" s="8">
        <v>132</v>
      </c>
      <c r="G7187" s="8">
        <v>5378</v>
      </c>
      <c r="H7187" s="8">
        <v>1380</v>
      </c>
      <c r="I7187" s="8">
        <v>5440</v>
      </c>
    </row>
    <row r="7188" spans="1:9" x14ac:dyDescent="0.2">
      <c r="A7188" t="s">
        <v>1517</v>
      </c>
      <c r="B7188" t="s">
        <v>1523</v>
      </c>
      <c r="C7188" t="str">
        <f t="shared" si="351"/>
        <v>40687590000000</v>
      </c>
      <c r="D7188" t="s">
        <v>8215</v>
      </c>
      <c r="E7188" t="str">
        <f>"40687596043111"</f>
        <v>40687596043111</v>
      </c>
      <c r="F7188" s="8">
        <v>178</v>
      </c>
      <c r="G7188" s="8">
        <v>5226</v>
      </c>
      <c r="H7188" s="8">
        <v>1380</v>
      </c>
      <c r="I7188" s="8">
        <v>5440</v>
      </c>
    </row>
    <row r="7189" spans="1:9" x14ac:dyDescent="0.2">
      <c r="A7189" t="s">
        <v>1517</v>
      </c>
      <c r="B7189" t="s">
        <v>1523</v>
      </c>
      <c r="C7189" t="str">
        <f t="shared" si="351"/>
        <v>40687590000000</v>
      </c>
      <c r="D7189" t="s">
        <v>8216</v>
      </c>
      <c r="E7189" t="str">
        <f>"40687594030557"</f>
        <v>40687594030557</v>
      </c>
      <c r="F7189" s="8">
        <v>129</v>
      </c>
      <c r="G7189" s="8">
        <v>5014</v>
      </c>
      <c r="H7189" s="8">
        <v>1380</v>
      </c>
      <c r="I7189" s="8">
        <v>5440</v>
      </c>
    </row>
    <row r="7190" spans="1:9" x14ac:dyDescent="0.2">
      <c r="A7190" t="s">
        <v>1517</v>
      </c>
      <c r="B7190" t="s">
        <v>1523</v>
      </c>
      <c r="C7190" t="str">
        <f t="shared" si="351"/>
        <v>40687590000000</v>
      </c>
      <c r="D7190" t="s">
        <v>8217</v>
      </c>
      <c r="E7190" t="str">
        <f>"40687596043103"</f>
        <v>40687596043103</v>
      </c>
      <c r="F7190" s="8">
        <v>76</v>
      </c>
      <c r="G7190" s="8">
        <v>5023</v>
      </c>
      <c r="H7190" s="8">
        <v>1380</v>
      </c>
      <c r="I7190" s="8">
        <v>5440</v>
      </c>
    </row>
    <row r="7191" spans="1:9" x14ac:dyDescent="0.2">
      <c r="A7191" t="s">
        <v>1517</v>
      </c>
      <c r="B7191" t="s">
        <v>1523</v>
      </c>
      <c r="C7191" t="str">
        <f t="shared" si="351"/>
        <v>40687590000000</v>
      </c>
      <c r="D7191" t="s">
        <v>8218</v>
      </c>
      <c r="E7191" t="str">
        <f>"40687596043053"</f>
        <v>40687596043053</v>
      </c>
      <c r="F7191" s="8">
        <v>199</v>
      </c>
      <c r="G7191" s="8">
        <v>4842</v>
      </c>
      <c r="H7191" s="8">
        <v>1380</v>
      </c>
      <c r="I7191" s="8">
        <v>5440</v>
      </c>
    </row>
    <row r="7192" spans="1:9" x14ac:dyDescent="0.2">
      <c r="A7192" t="s">
        <v>1517</v>
      </c>
      <c r="B7192" t="s">
        <v>1523</v>
      </c>
      <c r="C7192" t="str">
        <f t="shared" si="351"/>
        <v>40687590000000</v>
      </c>
      <c r="D7192" t="s">
        <v>2080</v>
      </c>
      <c r="E7192" t="str">
        <f>"40687596043087"</f>
        <v>40687596043087</v>
      </c>
      <c r="F7192" s="8">
        <v>168</v>
      </c>
      <c r="G7192" s="8">
        <v>4639</v>
      </c>
      <c r="H7192" s="8">
        <v>1380</v>
      </c>
      <c r="I7192" s="8">
        <v>5440</v>
      </c>
    </row>
    <row r="7193" spans="1:9" x14ac:dyDescent="0.2">
      <c r="A7193" t="s">
        <v>1517</v>
      </c>
      <c r="B7193" t="s">
        <v>1523</v>
      </c>
      <c r="C7193" t="str">
        <f t="shared" si="351"/>
        <v>40687590000000</v>
      </c>
      <c r="D7193" t="s">
        <v>8219</v>
      </c>
      <c r="E7193" t="str">
        <f>"40687596043038"</f>
        <v>40687596043038</v>
      </c>
      <c r="F7193" s="8">
        <v>197</v>
      </c>
      <c r="G7193" s="8">
        <v>4409</v>
      </c>
      <c r="H7193" s="8">
        <v>1380</v>
      </c>
      <c r="I7193" s="8">
        <v>5440</v>
      </c>
    </row>
    <row r="7194" spans="1:9" x14ac:dyDescent="0.2">
      <c r="A7194" t="s">
        <v>1517</v>
      </c>
      <c r="B7194" t="s">
        <v>1523</v>
      </c>
      <c r="C7194" t="str">
        <f t="shared" si="351"/>
        <v>40687590000000</v>
      </c>
      <c r="D7194" t="s">
        <v>8220</v>
      </c>
      <c r="E7194" t="str">
        <f>"40687590140194"</f>
        <v>40687590140194</v>
      </c>
      <c r="F7194" s="8">
        <v>1159</v>
      </c>
      <c r="G7194" s="8">
        <v>3400</v>
      </c>
      <c r="H7194" s="8">
        <v>1380</v>
      </c>
      <c r="I7194" s="8">
        <v>5440</v>
      </c>
    </row>
    <row r="7195" spans="1:9" x14ac:dyDescent="0.2">
      <c r="A7195" t="s">
        <v>1517</v>
      </c>
      <c r="B7195" t="s">
        <v>1523</v>
      </c>
      <c r="C7195" t="str">
        <f t="shared" si="351"/>
        <v>40687590000000</v>
      </c>
      <c r="D7195" t="s">
        <v>8221</v>
      </c>
      <c r="E7195" t="str">
        <f>"40687596043079"</f>
        <v>40687596043079</v>
      </c>
      <c r="F7195" s="8">
        <v>268</v>
      </c>
      <c r="G7195" s="8">
        <v>4263</v>
      </c>
      <c r="H7195" s="8">
        <v>1380</v>
      </c>
      <c r="I7195" s="8">
        <v>5440</v>
      </c>
    </row>
    <row r="7196" spans="1:9" x14ac:dyDescent="0.2">
      <c r="A7196" t="s">
        <v>1517</v>
      </c>
      <c r="B7196" t="s">
        <v>1523</v>
      </c>
      <c r="C7196" t="str">
        <f t="shared" si="351"/>
        <v>40687590000000</v>
      </c>
      <c r="D7196" t="s">
        <v>8222</v>
      </c>
      <c r="E7196" t="str">
        <f>"40687596043061"</f>
        <v>40687596043061</v>
      </c>
      <c r="F7196" s="8">
        <v>368</v>
      </c>
      <c r="G7196" s="8">
        <v>4077</v>
      </c>
      <c r="H7196" s="8">
        <v>1380</v>
      </c>
      <c r="I7196" s="8">
        <v>5440</v>
      </c>
    </row>
    <row r="7197" spans="1:9" x14ac:dyDescent="0.2">
      <c r="A7197" t="s">
        <v>1517</v>
      </c>
      <c r="B7197" t="s">
        <v>1523</v>
      </c>
      <c r="C7197" t="str">
        <f t="shared" si="351"/>
        <v>40687590000000</v>
      </c>
      <c r="D7197" t="s">
        <v>8223</v>
      </c>
      <c r="E7197" t="str">
        <f>"40687596043046"</f>
        <v>40687596043046</v>
      </c>
      <c r="F7197" s="8">
        <v>201</v>
      </c>
      <c r="G7197" s="8">
        <v>4195</v>
      </c>
      <c r="H7197" s="8">
        <v>1380</v>
      </c>
      <c r="I7197" s="8">
        <v>5440</v>
      </c>
    </row>
    <row r="7198" spans="1:9" x14ac:dyDescent="0.2">
      <c r="A7198" t="s">
        <v>1517</v>
      </c>
      <c r="B7198" t="s">
        <v>1523</v>
      </c>
      <c r="C7198" t="str">
        <f t="shared" si="351"/>
        <v>40687590000000</v>
      </c>
      <c r="D7198" t="s">
        <v>8224</v>
      </c>
      <c r="E7198" t="str">
        <f>"40687590110486"</f>
        <v>40687590110486</v>
      </c>
      <c r="F7198" s="8">
        <v>222</v>
      </c>
      <c r="G7198" s="8">
        <v>4047</v>
      </c>
      <c r="H7198" s="8">
        <v>1380</v>
      </c>
      <c r="I7198" s="8">
        <v>5440</v>
      </c>
    </row>
    <row r="7199" spans="1:9" x14ac:dyDescent="0.2">
      <c r="A7199" t="s">
        <v>1517</v>
      </c>
      <c r="B7199" t="s">
        <v>1523</v>
      </c>
      <c r="C7199" t="str">
        <f t="shared" si="351"/>
        <v>40687590000000</v>
      </c>
      <c r="D7199" t="s">
        <v>8225</v>
      </c>
      <c r="E7199" t="str">
        <f>"40687596043095"</f>
        <v>40687596043095</v>
      </c>
      <c r="F7199" s="8">
        <v>209</v>
      </c>
      <c r="G7199" s="8">
        <v>3822</v>
      </c>
      <c r="H7199" s="8">
        <v>1380</v>
      </c>
      <c r="I7199" s="8">
        <v>5440</v>
      </c>
    </row>
    <row r="7200" spans="1:9" x14ac:dyDescent="0.2">
      <c r="A7200" t="s">
        <v>1517</v>
      </c>
      <c r="B7200" t="s">
        <v>1523</v>
      </c>
      <c r="C7200" t="str">
        <f t="shared" si="351"/>
        <v>40687590000000</v>
      </c>
      <c r="D7200" t="s">
        <v>8226</v>
      </c>
      <c r="E7200" t="str">
        <f>"40687596043129"</f>
        <v>40687596043129</v>
      </c>
      <c r="F7200" s="8">
        <v>228</v>
      </c>
      <c r="G7200" s="8">
        <v>3497</v>
      </c>
      <c r="H7200" s="8">
        <v>1380</v>
      </c>
      <c r="I7200" s="8">
        <v>5440</v>
      </c>
    </row>
    <row r="7201" spans="1:9" x14ac:dyDescent="0.2">
      <c r="A7201" t="s">
        <v>1517</v>
      </c>
      <c r="B7201" t="s">
        <v>1524</v>
      </c>
      <c r="C7201" t="str">
        <f t="shared" ref="C7201:C7212" si="352">"40754570000000"</f>
        <v>40754570000000</v>
      </c>
      <c r="D7201" t="s">
        <v>8227</v>
      </c>
      <c r="E7201" t="str">
        <f>"40754576108377"</f>
        <v>40754576108377</v>
      </c>
      <c r="F7201" s="8">
        <v>736</v>
      </c>
      <c r="G7201" s="8">
        <v>8801</v>
      </c>
      <c r="H7201" s="8">
        <v>1017</v>
      </c>
      <c r="I7201" s="8">
        <v>3818</v>
      </c>
    </row>
    <row r="7202" spans="1:9" x14ac:dyDescent="0.2">
      <c r="A7202" t="s">
        <v>1517</v>
      </c>
      <c r="B7202" t="s">
        <v>1524</v>
      </c>
      <c r="C7202" t="str">
        <f t="shared" si="352"/>
        <v>40754570000000</v>
      </c>
      <c r="D7202" t="s">
        <v>8228</v>
      </c>
      <c r="E7202" t="str">
        <f>"40754576043145"</f>
        <v>40754576043145</v>
      </c>
      <c r="F7202" s="8">
        <v>1169</v>
      </c>
      <c r="G7202" s="8">
        <v>8259</v>
      </c>
      <c r="H7202" s="8">
        <v>1017</v>
      </c>
      <c r="I7202" s="8">
        <v>3818</v>
      </c>
    </row>
    <row r="7203" spans="1:9" x14ac:dyDescent="0.2">
      <c r="A7203" t="s">
        <v>1517</v>
      </c>
      <c r="B7203" t="s">
        <v>1524</v>
      </c>
      <c r="C7203" t="str">
        <f t="shared" si="352"/>
        <v>40754570000000</v>
      </c>
      <c r="D7203" t="s">
        <v>8229</v>
      </c>
      <c r="E7203" t="str">
        <f>"40754576043160"</f>
        <v>40754576043160</v>
      </c>
      <c r="F7203" s="8">
        <v>793</v>
      </c>
      <c r="G7203" s="8">
        <v>7004</v>
      </c>
      <c r="H7203" s="8">
        <v>1017</v>
      </c>
      <c r="I7203" s="8">
        <v>3818</v>
      </c>
    </row>
    <row r="7204" spans="1:9" x14ac:dyDescent="0.2">
      <c r="A7204" t="s">
        <v>1517</v>
      </c>
      <c r="B7204" t="s">
        <v>1524</v>
      </c>
      <c r="C7204" t="str">
        <f t="shared" si="352"/>
        <v>40754570000000</v>
      </c>
      <c r="D7204" t="s">
        <v>8230</v>
      </c>
      <c r="E7204" t="str">
        <f>"40754574035762"</f>
        <v>40754574035762</v>
      </c>
      <c r="F7204" s="8">
        <v>30</v>
      </c>
      <c r="G7204" s="8">
        <v>7424</v>
      </c>
      <c r="H7204" s="8">
        <v>1017</v>
      </c>
      <c r="I7204" s="8">
        <v>3818</v>
      </c>
    </row>
    <row r="7205" spans="1:9" x14ac:dyDescent="0.2">
      <c r="A7205" t="s">
        <v>1517</v>
      </c>
      <c r="B7205" t="s">
        <v>1524</v>
      </c>
      <c r="C7205" t="str">
        <f t="shared" si="352"/>
        <v>40754570000000</v>
      </c>
      <c r="D7205" t="s">
        <v>8231</v>
      </c>
      <c r="E7205" t="str">
        <f>"40754576109151"</f>
        <v>40754576109151</v>
      </c>
      <c r="F7205" s="8">
        <v>577</v>
      </c>
      <c r="G7205" s="8">
        <v>6877</v>
      </c>
      <c r="H7205" s="8">
        <v>1017</v>
      </c>
      <c r="I7205" s="8">
        <v>3818</v>
      </c>
    </row>
    <row r="7206" spans="1:9" x14ac:dyDescent="0.2">
      <c r="A7206" t="s">
        <v>1517</v>
      </c>
      <c r="B7206" t="s">
        <v>1524</v>
      </c>
      <c r="C7206" t="str">
        <f t="shared" si="352"/>
        <v>40754570000000</v>
      </c>
      <c r="D7206" t="s">
        <v>8232</v>
      </c>
      <c r="E7206" t="str">
        <f>"40754576113096"</f>
        <v>40754576113096</v>
      </c>
      <c r="F7206" s="8">
        <v>428</v>
      </c>
      <c r="G7206" s="8">
        <v>6290</v>
      </c>
      <c r="H7206" s="8">
        <v>1017</v>
      </c>
      <c r="I7206" s="8">
        <v>3818</v>
      </c>
    </row>
    <row r="7207" spans="1:9" x14ac:dyDescent="0.2">
      <c r="A7207" t="s">
        <v>1517</v>
      </c>
      <c r="B7207" t="s">
        <v>1524</v>
      </c>
      <c r="C7207" t="str">
        <f t="shared" si="352"/>
        <v>40754570000000</v>
      </c>
      <c r="D7207" t="s">
        <v>8233</v>
      </c>
      <c r="E7207" t="str">
        <f>"40754574030243"</f>
        <v>40754574030243</v>
      </c>
      <c r="F7207" s="8">
        <v>651</v>
      </c>
      <c r="G7207" s="8">
        <v>5994</v>
      </c>
      <c r="H7207" s="8">
        <v>1017</v>
      </c>
      <c r="I7207" s="8">
        <v>3818</v>
      </c>
    </row>
    <row r="7208" spans="1:9" x14ac:dyDescent="0.2">
      <c r="A7208" t="s">
        <v>1517</v>
      </c>
      <c r="B7208" t="s">
        <v>1524</v>
      </c>
      <c r="C7208" t="str">
        <f t="shared" si="352"/>
        <v>40754570000000</v>
      </c>
      <c r="D7208" t="s">
        <v>8234</v>
      </c>
      <c r="E7208" t="str">
        <f>"40754574035754"</f>
        <v>40754574035754</v>
      </c>
      <c r="F7208" s="8">
        <v>298</v>
      </c>
      <c r="G7208" s="8">
        <v>6104</v>
      </c>
      <c r="H7208" s="8">
        <v>1017</v>
      </c>
      <c r="I7208" s="8">
        <v>3818</v>
      </c>
    </row>
    <row r="7209" spans="1:9" x14ac:dyDescent="0.2">
      <c r="A7209" t="s">
        <v>1517</v>
      </c>
      <c r="B7209" t="s">
        <v>1524</v>
      </c>
      <c r="C7209" t="str">
        <f t="shared" si="352"/>
        <v>40754570000000</v>
      </c>
      <c r="D7209" t="s">
        <v>8235</v>
      </c>
      <c r="E7209" t="str">
        <f>"40754576101570"</f>
        <v>40754576101570</v>
      </c>
      <c r="F7209" s="8">
        <v>514</v>
      </c>
      <c r="G7209" s="8">
        <v>5880</v>
      </c>
      <c r="H7209" s="8">
        <v>1017</v>
      </c>
      <c r="I7209" s="8">
        <v>3818</v>
      </c>
    </row>
    <row r="7210" spans="1:9" x14ac:dyDescent="0.2">
      <c r="A7210" t="s">
        <v>1517</v>
      </c>
      <c r="B7210" t="s">
        <v>1524</v>
      </c>
      <c r="C7210" t="str">
        <f t="shared" si="352"/>
        <v>40754570000000</v>
      </c>
      <c r="D7210" t="s">
        <v>2545</v>
      </c>
      <c r="E7210" t="str">
        <f>"40754570119354"</f>
        <v>40754570119354</v>
      </c>
      <c r="F7210" s="8">
        <v>569</v>
      </c>
      <c r="G7210" s="8">
        <v>5526</v>
      </c>
      <c r="H7210" s="8">
        <v>1017</v>
      </c>
      <c r="I7210" s="8">
        <v>3818</v>
      </c>
    </row>
    <row r="7211" spans="1:9" x14ac:dyDescent="0.2">
      <c r="A7211" t="s">
        <v>1517</v>
      </c>
      <c r="B7211" t="s">
        <v>1524</v>
      </c>
      <c r="C7211" t="str">
        <f t="shared" si="352"/>
        <v>40754570000000</v>
      </c>
      <c r="D7211" t="s">
        <v>8236</v>
      </c>
      <c r="E7211" t="str">
        <f>"40754576043137"</f>
        <v>40754576043137</v>
      </c>
      <c r="F7211" s="8">
        <v>449</v>
      </c>
      <c r="G7211" s="8">
        <v>5208</v>
      </c>
      <c r="H7211" s="8">
        <v>1017</v>
      </c>
      <c r="I7211" s="8">
        <v>3818</v>
      </c>
    </row>
    <row r="7212" spans="1:9" x14ac:dyDescent="0.2">
      <c r="A7212" t="s">
        <v>1517</v>
      </c>
      <c r="B7212" t="s">
        <v>1524</v>
      </c>
      <c r="C7212" t="str">
        <f t="shared" si="352"/>
        <v>40754570000000</v>
      </c>
      <c r="D7212" t="s">
        <v>8237</v>
      </c>
      <c r="E7212" t="str">
        <f>"40754574030235"</f>
        <v>40754574030235</v>
      </c>
      <c r="F7212" s="8">
        <v>54</v>
      </c>
      <c r="G7212" s="8">
        <v>1282</v>
      </c>
      <c r="H7212" s="8">
        <v>1017</v>
      </c>
      <c r="I7212" s="8">
        <v>3818</v>
      </c>
    </row>
    <row r="7213" spans="1:9" x14ac:dyDescent="0.2">
      <c r="A7213" t="s">
        <v>1517</v>
      </c>
      <c r="B7213" t="s">
        <v>1525</v>
      </c>
      <c r="C7213" t="str">
        <f>"40687910000000"</f>
        <v>40687910000000</v>
      </c>
      <c r="D7213" t="s">
        <v>5310</v>
      </c>
      <c r="E7213" t="str">
        <f>"40687916043186"</f>
        <v>40687916043186</v>
      </c>
      <c r="F7213" s="8">
        <v>2318</v>
      </c>
      <c r="G7213" s="8">
        <v>15716</v>
      </c>
      <c r="H7213" s="8">
        <v>0</v>
      </c>
      <c r="I7213" s="8">
        <v>0</v>
      </c>
    </row>
    <row r="7214" spans="1:9" x14ac:dyDescent="0.2">
      <c r="A7214" t="s">
        <v>1517</v>
      </c>
      <c r="B7214" t="s">
        <v>1526</v>
      </c>
      <c r="C7214" t="str">
        <f t="shared" ref="C7214:C7229" si="353">"40688090000000"</f>
        <v>40688090000000</v>
      </c>
      <c r="D7214" t="s">
        <v>8238</v>
      </c>
      <c r="E7214" t="str">
        <f>"40688090118695"</f>
        <v>40688090118695</v>
      </c>
      <c r="F7214" s="8">
        <v>7980</v>
      </c>
      <c r="G7214" s="8">
        <v>11618</v>
      </c>
      <c r="H7214" s="8">
        <v>1475</v>
      </c>
      <c r="I7214" s="8">
        <v>3994</v>
      </c>
    </row>
    <row r="7215" spans="1:9" x14ac:dyDescent="0.2">
      <c r="A7215" t="s">
        <v>1517</v>
      </c>
      <c r="B7215" t="s">
        <v>1526</v>
      </c>
      <c r="C7215" t="str">
        <f t="shared" si="353"/>
        <v>40688090000000</v>
      </c>
      <c r="D7215" t="s">
        <v>8239</v>
      </c>
      <c r="E7215" t="str">
        <f>"40688094030045"</f>
        <v>40688094030045</v>
      </c>
      <c r="F7215" s="8">
        <v>477</v>
      </c>
      <c r="G7215" s="8">
        <v>14642</v>
      </c>
      <c r="H7215" s="8">
        <v>1475</v>
      </c>
      <c r="I7215" s="8">
        <v>3994</v>
      </c>
    </row>
    <row r="7216" spans="1:9" x14ac:dyDescent="0.2">
      <c r="A7216" t="s">
        <v>1517</v>
      </c>
      <c r="B7216" t="s">
        <v>1526</v>
      </c>
      <c r="C7216" t="str">
        <f t="shared" si="353"/>
        <v>40688090000000</v>
      </c>
      <c r="D7216" t="s">
        <v>8240</v>
      </c>
      <c r="E7216" t="str">
        <f>"40688096110621"</f>
        <v>40688096110621</v>
      </c>
      <c r="F7216" s="8">
        <v>2228</v>
      </c>
      <c r="G7216" s="8">
        <v>8635</v>
      </c>
      <c r="H7216" s="8">
        <v>1475</v>
      </c>
      <c r="I7216" s="8">
        <v>3994</v>
      </c>
    </row>
    <row r="7217" spans="1:9" x14ac:dyDescent="0.2">
      <c r="A7217" t="s">
        <v>1517</v>
      </c>
      <c r="B7217" t="s">
        <v>1526</v>
      </c>
      <c r="C7217" t="str">
        <f t="shared" si="353"/>
        <v>40688090000000</v>
      </c>
      <c r="D7217" t="s">
        <v>8241</v>
      </c>
      <c r="E7217" t="str">
        <f>"40688094034807"</f>
        <v>40688094034807</v>
      </c>
      <c r="F7217" s="8">
        <v>990</v>
      </c>
      <c r="G7217" s="8">
        <v>9459</v>
      </c>
      <c r="H7217" s="8">
        <v>1475</v>
      </c>
      <c r="I7217" s="8">
        <v>3994</v>
      </c>
    </row>
    <row r="7218" spans="1:9" x14ac:dyDescent="0.2">
      <c r="A7218" t="s">
        <v>1517</v>
      </c>
      <c r="B7218" t="s">
        <v>1526</v>
      </c>
      <c r="C7218" t="str">
        <f t="shared" si="353"/>
        <v>40688090000000</v>
      </c>
      <c r="D7218" t="s">
        <v>8242</v>
      </c>
      <c r="E7218" t="str">
        <f>"40688096097349"</f>
        <v>40688096097349</v>
      </c>
      <c r="F7218" s="8">
        <v>4243</v>
      </c>
      <c r="G7218" s="8">
        <v>6084</v>
      </c>
      <c r="H7218" s="8">
        <v>1475</v>
      </c>
      <c r="I7218" s="8">
        <v>3994</v>
      </c>
    </row>
    <row r="7219" spans="1:9" x14ac:dyDescent="0.2">
      <c r="A7219" t="s">
        <v>1517</v>
      </c>
      <c r="B7219" t="s">
        <v>1526</v>
      </c>
      <c r="C7219" t="str">
        <f t="shared" si="353"/>
        <v>40688090000000</v>
      </c>
      <c r="D7219" t="s">
        <v>8243</v>
      </c>
      <c r="E7219" t="str">
        <f>"40688096043202"</f>
        <v>40688096043202</v>
      </c>
      <c r="F7219" s="8">
        <v>1687</v>
      </c>
      <c r="G7219" s="8">
        <v>8563</v>
      </c>
      <c r="H7219" s="8">
        <v>1475</v>
      </c>
      <c r="I7219" s="8">
        <v>3994</v>
      </c>
    </row>
    <row r="7220" spans="1:9" x14ac:dyDescent="0.2">
      <c r="A7220" t="s">
        <v>1517</v>
      </c>
      <c r="B7220" t="s">
        <v>1526</v>
      </c>
      <c r="C7220" t="str">
        <f t="shared" si="353"/>
        <v>40688090000000</v>
      </c>
      <c r="D7220" t="s">
        <v>2930</v>
      </c>
      <c r="E7220" t="str">
        <f>"40688096043210"</f>
        <v>40688096043210</v>
      </c>
      <c r="F7220" s="8">
        <v>1448</v>
      </c>
      <c r="G7220" s="8">
        <v>8480</v>
      </c>
      <c r="H7220" s="8">
        <v>1475</v>
      </c>
      <c r="I7220" s="8">
        <v>3994</v>
      </c>
    </row>
    <row r="7221" spans="1:9" x14ac:dyDescent="0.2">
      <c r="A7221" t="s">
        <v>1517</v>
      </c>
      <c r="B7221" t="s">
        <v>1526</v>
      </c>
      <c r="C7221" t="str">
        <f t="shared" si="353"/>
        <v>40688090000000</v>
      </c>
      <c r="D7221" t="s">
        <v>8244</v>
      </c>
      <c r="E7221" t="str">
        <f>"40688096096325"</f>
        <v>40688096096325</v>
      </c>
      <c r="F7221" s="8">
        <v>1719</v>
      </c>
      <c r="G7221" s="8">
        <v>7946</v>
      </c>
      <c r="H7221" s="8">
        <v>1475</v>
      </c>
      <c r="I7221" s="8">
        <v>3994</v>
      </c>
    </row>
    <row r="7222" spans="1:9" x14ac:dyDescent="0.2">
      <c r="A7222" t="s">
        <v>1517</v>
      </c>
      <c r="B7222" t="s">
        <v>1526</v>
      </c>
      <c r="C7222" t="str">
        <f t="shared" si="353"/>
        <v>40688090000000</v>
      </c>
      <c r="D7222" t="s">
        <v>3662</v>
      </c>
      <c r="E7222" t="str">
        <f>"40688096043236"</f>
        <v>40688096043236</v>
      </c>
      <c r="F7222" s="8">
        <v>1258</v>
      </c>
      <c r="G7222" s="8">
        <v>7618</v>
      </c>
      <c r="H7222" s="8">
        <v>1475</v>
      </c>
      <c r="I7222" s="8">
        <v>3994</v>
      </c>
    </row>
    <row r="7223" spans="1:9" x14ac:dyDescent="0.2">
      <c r="A7223" t="s">
        <v>1517</v>
      </c>
      <c r="B7223" t="s">
        <v>1526</v>
      </c>
      <c r="C7223" t="str">
        <f t="shared" si="353"/>
        <v>40688090000000</v>
      </c>
      <c r="D7223" t="s">
        <v>8245</v>
      </c>
      <c r="E7223" t="str">
        <f>"40688094036703"</f>
        <v>40688094036703</v>
      </c>
      <c r="F7223" s="8">
        <v>403</v>
      </c>
      <c r="G7223" s="8">
        <v>8418</v>
      </c>
      <c r="H7223" s="8">
        <v>1475</v>
      </c>
      <c r="I7223" s="8">
        <v>3994</v>
      </c>
    </row>
    <row r="7224" spans="1:9" x14ac:dyDescent="0.2">
      <c r="A7224" t="s">
        <v>1517</v>
      </c>
      <c r="B7224" t="s">
        <v>1526</v>
      </c>
      <c r="C7224" t="str">
        <f t="shared" si="353"/>
        <v>40688090000000</v>
      </c>
      <c r="D7224" t="s">
        <v>8246</v>
      </c>
      <c r="E7224" t="str">
        <f>"40688096043277"</f>
        <v>40688096043277</v>
      </c>
      <c r="F7224" s="8">
        <v>909</v>
      </c>
      <c r="G7224" s="8">
        <v>7740</v>
      </c>
      <c r="H7224" s="8">
        <v>1475</v>
      </c>
      <c r="I7224" s="8">
        <v>3994</v>
      </c>
    </row>
    <row r="7225" spans="1:9" x14ac:dyDescent="0.2">
      <c r="A7225" t="s">
        <v>1517</v>
      </c>
      <c r="B7225" t="s">
        <v>1526</v>
      </c>
      <c r="C7225" t="str">
        <f t="shared" si="353"/>
        <v>40688090000000</v>
      </c>
      <c r="D7225" t="s">
        <v>8247</v>
      </c>
      <c r="E7225" t="str">
        <f>"40688096043285"</f>
        <v>40688096043285</v>
      </c>
      <c r="F7225" s="8">
        <v>698</v>
      </c>
      <c r="G7225" s="8">
        <v>7949</v>
      </c>
      <c r="H7225" s="8">
        <v>1475</v>
      </c>
      <c r="I7225" s="8">
        <v>3994</v>
      </c>
    </row>
    <row r="7226" spans="1:9" x14ac:dyDescent="0.2">
      <c r="A7226" t="s">
        <v>1517</v>
      </c>
      <c r="B7226" t="s">
        <v>1526</v>
      </c>
      <c r="C7226" t="str">
        <f t="shared" si="353"/>
        <v>40688090000000</v>
      </c>
      <c r="D7226" t="s">
        <v>8248</v>
      </c>
      <c r="E7226" t="str">
        <f>"40688096067102"</f>
        <v>40688096067102</v>
      </c>
      <c r="F7226" s="8">
        <v>594</v>
      </c>
      <c r="G7226" s="8">
        <v>7838</v>
      </c>
      <c r="H7226" s="8">
        <v>1475</v>
      </c>
      <c r="I7226" s="8">
        <v>3994</v>
      </c>
    </row>
    <row r="7227" spans="1:9" x14ac:dyDescent="0.2">
      <c r="A7227" t="s">
        <v>1517</v>
      </c>
      <c r="B7227" t="s">
        <v>1526</v>
      </c>
      <c r="C7227" t="str">
        <f t="shared" si="353"/>
        <v>40688090000000</v>
      </c>
      <c r="D7227" t="s">
        <v>8249</v>
      </c>
      <c r="E7227" t="str">
        <f>"40688096043244"</f>
        <v>40688096043244</v>
      </c>
      <c r="F7227" s="8">
        <v>732</v>
      </c>
      <c r="G7227" s="8">
        <v>7482</v>
      </c>
      <c r="H7227" s="8">
        <v>1475</v>
      </c>
      <c r="I7227" s="8">
        <v>3994</v>
      </c>
    </row>
    <row r="7228" spans="1:9" x14ac:dyDescent="0.2">
      <c r="A7228" t="s">
        <v>1517</v>
      </c>
      <c r="B7228" t="s">
        <v>1526</v>
      </c>
      <c r="C7228" t="str">
        <f t="shared" si="353"/>
        <v>40688090000000</v>
      </c>
      <c r="D7228" t="s">
        <v>8250</v>
      </c>
      <c r="E7228" t="str">
        <f>"40688096043269"</f>
        <v>40688096043269</v>
      </c>
      <c r="F7228" s="8">
        <v>509</v>
      </c>
      <c r="G7228" s="8">
        <v>7429</v>
      </c>
      <c r="H7228" s="8">
        <v>1475</v>
      </c>
      <c r="I7228" s="8">
        <v>3994</v>
      </c>
    </row>
    <row r="7229" spans="1:9" x14ac:dyDescent="0.2">
      <c r="A7229" t="s">
        <v>1517</v>
      </c>
      <c r="B7229" t="s">
        <v>1526</v>
      </c>
      <c r="C7229" t="str">
        <f t="shared" si="353"/>
        <v>40688090000000</v>
      </c>
      <c r="D7229" t="s">
        <v>8251</v>
      </c>
      <c r="E7229" t="str">
        <f>"40688096043301"</f>
        <v>40688096043301</v>
      </c>
      <c r="F7229" s="8">
        <v>268</v>
      </c>
      <c r="G7229" s="8">
        <v>6543</v>
      </c>
      <c r="H7229" s="8">
        <v>1475</v>
      </c>
      <c r="I7229" s="8">
        <v>3994</v>
      </c>
    </row>
    <row r="7230" spans="1:9" x14ac:dyDescent="0.2">
      <c r="A7230" t="s">
        <v>1517</v>
      </c>
      <c r="B7230" t="s">
        <v>1527</v>
      </c>
      <c r="C7230" t="str">
        <f>"40104050000000"</f>
        <v>40104050000000</v>
      </c>
      <c r="D7230" t="s">
        <v>8252</v>
      </c>
      <c r="E7230" t="str">
        <f>"40104056106769"</f>
        <v>40104056106769</v>
      </c>
      <c r="F7230" s="8">
        <v>16357</v>
      </c>
      <c r="G7230" s="8">
        <v>193559</v>
      </c>
      <c r="H7230" s="8">
        <v>4404</v>
      </c>
      <c r="I7230" s="8">
        <v>24932</v>
      </c>
    </row>
    <row r="7231" spans="1:9" x14ac:dyDescent="0.2">
      <c r="A7231" t="s">
        <v>1517</v>
      </c>
      <c r="B7231" t="s">
        <v>1527</v>
      </c>
      <c r="C7231" t="str">
        <f>"40104050000000"</f>
        <v>40104050000000</v>
      </c>
      <c r="D7231" t="s">
        <v>8253</v>
      </c>
      <c r="E7231" t="str">
        <f>"40104054030078"</f>
        <v>40104054030078</v>
      </c>
      <c r="F7231" s="8">
        <v>10005</v>
      </c>
      <c r="G7231" s="8">
        <v>52218</v>
      </c>
      <c r="H7231" s="8">
        <v>4404</v>
      </c>
      <c r="I7231" s="8">
        <v>24932</v>
      </c>
    </row>
    <row r="7232" spans="1:9" x14ac:dyDescent="0.2">
      <c r="A7232" t="s">
        <v>1517</v>
      </c>
      <c r="B7232" t="s">
        <v>1527</v>
      </c>
      <c r="C7232" t="str">
        <f>"40104050000000"</f>
        <v>40104050000000</v>
      </c>
      <c r="D7232" t="s">
        <v>8254</v>
      </c>
      <c r="E7232" t="str">
        <f>"40104054030250"</f>
        <v>40104054030250</v>
      </c>
      <c r="F7232" s="8">
        <v>4586</v>
      </c>
      <c r="G7232" s="8">
        <v>18517</v>
      </c>
      <c r="H7232" s="8">
        <v>4404</v>
      </c>
      <c r="I7232" s="8">
        <v>24932</v>
      </c>
    </row>
    <row r="7233" spans="1:9" x14ac:dyDescent="0.2">
      <c r="A7233" t="s">
        <v>1517</v>
      </c>
      <c r="B7233" t="s">
        <v>1527</v>
      </c>
      <c r="C7233" t="str">
        <f>"40104050000000"</f>
        <v>40104050000000</v>
      </c>
      <c r="D7233" t="s">
        <v>8255</v>
      </c>
      <c r="E7233" t="str">
        <f>"40104050101725"</f>
        <v>40104050101725</v>
      </c>
      <c r="F7233" s="8">
        <v>3755</v>
      </c>
      <c r="G7233" s="8">
        <v>16120</v>
      </c>
      <c r="H7233" s="8">
        <v>4404</v>
      </c>
      <c r="I7233" s="8">
        <v>24932</v>
      </c>
    </row>
    <row r="7234" spans="1:9" x14ac:dyDescent="0.2">
      <c r="A7234" t="s">
        <v>1517</v>
      </c>
      <c r="B7234" t="s">
        <v>1528</v>
      </c>
      <c r="C7234" t="str">
        <f>"40688250000000"</f>
        <v>40688250000000</v>
      </c>
      <c r="D7234" t="s">
        <v>8256</v>
      </c>
      <c r="E7234" t="str">
        <f>"40688256043319"</f>
        <v>40688256043319</v>
      </c>
      <c r="F7234" s="8">
        <v>2213</v>
      </c>
      <c r="G7234" s="8">
        <v>8388</v>
      </c>
      <c r="H7234" s="8">
        <v>1147</v>
      </c>
      <c r="I7234" s="8">
        <v>3743</v>
      </c>
    </row>
    <row r="7235" spans="1:9" x14ac:dyDescent="0.2">
      <c r="A7235" t="s">
        <v>1517</v>
      </c>
      <c r="B7235" t="s">
        <v>1528</v>
      </c>
      <c r="C7235" t="str">
        <f>"40688250000000"</f>
        <v>40688250000000</v>
      </c>
      <c r="D7235" t="s">
        <v>8257</v>
      </c>
      <c r="E7235" t="str">
        <f>"40688250108522"</f>
        <v>40688250108522</v>
      </c>
      <c r="F7235" s="8">
        <v>1550</v>
      </c>
      <c r="G7235" s="8">
        <v>7484</v>
      </c>
      <c r="H7235" s="8">
        <v>1147</v>
      </c>
      <c r="I7235" s="8">
        <v>3743</v>
      </c>
    </row>
    <row r="7236" spans="1:9" x14ac:dyDescent="0.2">
      <c r="A7236" t="s">
        <v>1517</v>
      </c>
      <c r="B7236" t="s">
        <v>1529</v>
      </c>
      <c r="C7236" t="str">
        <f>"40688330000000"</f>
        <v>40688330000000</v>
      </c>
      <c r="D7236" t="s">
        <v>8258</v>
      </c>
      <c r="E7236" t="str">
        <f>"40688336043335"</f>
        <v>40688336043335</v>
      </c>
      <c r="F7236" s="8">
        <v>857</v>
      </c>
      <c r="G7236" s="8">
        <v>19003</v>
      </c>
      <c r="H7236" s="8">
        <v>458</v>
      </c>
      <c r="I7236" s="8">
        <v>5569</v>
      </c>
    </row>
    <row r="7237" spans="1:9" x14ac:dyDescent="0.2">
      <c r="A7237" t="s">
        <v>1517</v>
      </c>
      <c r="B7237" t="s">
        <v>1529</v>
      </c>
      <c r="C7237" t="str">
        <f>"40688330000000"</f>
        <v>40688330000000</v>
      </c>
      <c r="D7237" t="s">
        <v>8259</v>
      </c>
      <c r="E7237" t="str">
        <f>"40688334037008"</f>
        <v>40688334037008</v>
      </c>
      <c r="F7237" s="8">
        <v>208</v>
      </c>
      <c r="G7237" s="8">
        <v>11421</v>
      </c>
      <c r="H7237" s="8">
        <v>3947</v>
      </c>
      <c r="I7237" s="8">
        <v>5302</v>
      </c>
    </row>
    <row r="7238" spans="1:9" x14ac:dyDescent="0.2">
      <c r="A7238" t="s">
        <v>1517</v>
      </c>
      <c r="B7238" t="s">
        <v>1529</v>
      </c>
      <c r="C7238" t="str">
        <f>"40688330000000"</f>
        <v>40688330000000</v>
      </c>
      <c r="D7238" t="s">
        <v>8260</v>
      </c>
      <c r="E7238" t="str">
        <f>"40688336043343"</f>
        <v>40688336043343</v>
      </c>
      <c r="F7238" s="8">
        <v>706</v>
      </c>
      <c r="G7238" s="8">
        <v>7581</v>
      </c>
      <c r="H7238" s="8">
        <v>782</v>
      </c>
      <c r="I7238" s="8">
        <v>2899</v>
      </c>
    </row>
    <row r="7239" spans="1:9" x14ac:dyDescent="0.2">
      <c r="A7239" t="s">
        <v>1517</v>
      </c>
      <c r="B7239" t="s">
        <v>1530</v>
      </c>
      <c r="C7239" t="str">
        <f t="shared" ref="C7239:C7245" si="354">"40688410000000"</f>
        <v>40688410000000</v>
      </c>
      <c r="D7239" t="s">
        <v>8261</v>
      </c>
      <c r="E7239" t="str">
        <f>"40688414030128"</f>
        <v>40688414030128</v>
      </c>
      <c r="F7239" s="8">
        <v>341</v>
      </c>
      <c r="G7239" s="8">
        <v>12476</v>
      </c>
      <c r="H7239" s="8">
        <v>774</v>
      </c>
      <c r="I7239" s="8">
        <v>4463</v>
      </c>
    </row>
    <row r="7240" spans="1:9" x14ac:dyDescent="0.2">
      <c r="A7240" t="s">
        <v>1517</v>
      </c>
      <c r="B7240" t="s">
        <v>1530</v>
      </c>
      <c r="C7240" t="str">
        <f t="shared" si="354"/>
        <v>40688410000000</v>
      </c>
      <c r="D7240" t="s">
        <v>8262</v>
      </c>
      <c r="E7240" t="str">
        <f>"40688416043350"</f>
        <v>40688416043350</v>
      </c>
      <c r="F7240" s="8">
        <v>631</v>
      </c>
      <c r="G7240" s="8">
        <v>7287</v>
      </c>
      <c r="H7240" s="8">
        <v>774</v>
      </c>
      <c r="I7240" s="8">
        <v>4463</v>
      </c>
    </row>
    <row r="7241" spans="1:9" x14ac:dyDescent="0.2">
      <c r="A7241" t="s">
        <v>1517</v>
      </c>
      <c r="B7241" t="s">
        <v>1530</v>
      </c>
      <c r="C7241" t="str">
        <f t="shared" si="354"/>
        <v>40688410000000</v>
      </c>
      <c r="D7241" t="s">
        <v>8263</v>
      </c>
      <c r="E7241" t="str">
        <f>"40688414037701"</f>
        <v>40688414037701</v>
      </c>
      <c r="F7241" s="8">
        <v>16</v>
      </c>
      <c r="G7241" s="8">
        <v>7398</v>
      </c>
      <c r="H7241" s="8">
        <v>774</v>
      </c>
      <c r="I7241" s="8">
        <v>4463</v>
      </c>
    </row>
    <row r="7242" spans="1:9" x14ac:dyDescent="0.2">
      <c r="A7242" t="s">
        <v>1517</v>
      </c>
      <c r="B7242" t="s">
        <v>1530</v>
      </c>
      <c r="C7242" t="str">
        <f t="shared" si="354"/>
        <v>40688410000000</v>
      </c>
      <c r="D7242" t="s">
        <v>7266</v>
      </c>
      <c r="E7242" t="str">
        <f>"40688416112155"</f>
        <v>40688416112155</v>
      </c>
      <c r="F7242" s="8">
        <v>217</v>
      </c>
      <c r="G7242" s="8">
        <v>6413</v>
      </c>
      <c r="H7242" s="8">
        <v>774</v>
      </c>
      <c r="I7242" s="8">
        <v>4463</v>
      </c>
    </row>
    <row r="7243" spans="1:9" x14ac:dyDescent="0.2">
      <c r="A7243" t="s">
        <v>1517</v>
      </c>
      <c r="B7243" t="s">
        <v>1530</v>
      </c>
      <c r="C7243" t="str">
        <f t="shared" si="354"/>
        <v>40688410000000</v>
      </c>
      <c r="D7243" t="s">
        <v>8264</v>
      </c>
      <c r="E7243" t="str">
        <f>"40688416106371"</f>
        <v>40688416106371</v>
      </c>
      <c r="F7243" s="8">
        <v>103</v>
      </c>
      <c r="G7243" s="8">
        <v>6400</v>
      </c>
      <c r="H7243" s="8">
        <v>774</v>
      </c>
      <c r="I7243" s="8">
        <v>4463</v>
      </c>
    </row>
    <row r="7244" spans="1:9" x14ac:dyDescent="0.2">
      <c r="A7244" t="s">
        <v>1517</v>
      </c>
      <c r="B7244" t="s">
        <v>1530</v>
      </c>
      <c r="C7244" t="str">
        <f t="shared" si="354"/>
        <v>40688410000000</v>
      </c>
      <c r="D7244" t="s">
        <v>8265</v>
      </c>
      <c r="E7244" t="str">
        <f>"40688414030185"</f>
        <v>40688414030185</v>
      </c>
      <c r="F7244" s="8">
        <v>0</v>
      </c>
      <c r="G7244" s="8">
        <v>4879</v>
      </c>
      <c r="H7244" s="8">
        <v>774</v>
      </c>
      <c r="I7244" s="8">
        <v>4463</v>
      </c>
    </row>
    <row r="7245" spans="1:9" x14ac:dyDescent="0.2">
      <c r="A7245" t="s">
        <v>1517</v>
      </c>
      <c r="B7245" t="s">
        <v>1530</v>
      </c>
      <c r="C7245" t="str">
        <f t="shared" si="354"/>
        <v>40688410000000</v>
      </c>
      <c r="D7245" t="s">
        <v>8266</v>
      </c>
      <c r="E7245" t="str">
        <f>"40688416118145"</f>
        <v>40688416118145</v>
      </c>
      <c r="F7245" s="8">
        <v>0</v>
      </c>
      <c r="G7245" s="8">
        <v>3999</v>
      </c>
      <c r="H7245" s="8">
        <v>774</v>
      </c>
      <c r="I7245" s="8">
        <v>4463</v>
      </c>
    </row>
    <row r="7246" spans="1:9" x14ac:dyDescent="0.2">
      <c r="A7246" t="s">
        <v>1531</v>
      </c>
      <c r="B7246" t="s">
        <v>1533</v>
      </c>
      <c r="C7246" t="str">
        <f>"41688580000000"</f>
        <v>41688580000000</v>
      </c>
      <c r="D7246" t="s">
        <v>8267</v>
      </c>
      <c r="E7246" t="str">
        <f>"41688586043392"</f>
        <v>41688586043392</v>
      </c>
      <c r="F7246" s="8">
        <v>2054</v>
      </c>
      <c r="G7246" s="8">
        <v>10890</v>
      </c>
      <c r="H7246" s="8">
        <v>1929</v>
      </c>
      <c r="I7246" s="8">
        <v>86</v>
      </c>
    </row>
    <row r="7247" spans="1:9" x14ac:dyDescent="0.2">
      <c r="A7247" t="s">
        <v>1531</v>
      </c>
      <c r="B7247" t="s">
        <v>1534</v>
      </c>
      <c r="C7247" t="str">
        <f t="shared" ref="C7247:C7253" si="355">"41688660000000"</f>
        <v>41688660000000</v>
      </c>
      <c r="D7247" t="s">
        <v>8268</v>
      </c>
      <c r="E7247" t="str">
        <f>"41688666043475"</f>
        <v>41688666043475</v>
      </c>
      <c r="F7247" s="8">
        <v>264</v>
      </c>
      <c r="G7247" s="8">
        <v>7784</v>
      </c>
      <c r="H7247" s="8">
        <v>578</v>
      </c>
      <c r="I7247" s="8">
        <v>4428</v>
      </c>
    </row>
    <row r="7248" spans="1:9" x14ac:dyDescent="0.2">
      <c r="A7248" t="s">
        <v>1531</v>
      </c>
      <c r="B7248" t="s">
        <v>1534</v>
      </c>
      <c r="C7248" t="str">
        <f t="shared" si="355"/>
        <v>41688660000000</v>
      </c>
      <c r="D7248" t="s">
        <v>8269</v>
      </c>
      <c r="E7248" t="str">
        <f>"41688660121111"</f>
        <v>41688660121111</v>
      </c>
      <c r="F7248" s="8">
        <v>125</v>
      </c>
      <c r="G7248" s="8">
        <v>7428</v>
      </c>
      <c r="H7248" s="8">
        <v>578</v>
      </c>
      <c r="I7248" s="8">
        <v>4428</v>
      </c>
    </row>
    <row r="7249" spans="1:9" x14ac:dyDescent="0.2">
      <c r="A7249" t="s">
        <v>1531</v>
      </c>
      <c r="B7249" t="s">
        <v>1534</v>
      </c>
      <c r="C7249" t="str">
        <f t="shared" si="355"/>
        <v>41688660000000</v>
      </c>
      <c r="D7249" t="s">
        <v>8270</v>
      </c>
      <c r="E7249" t="str">
        <f>"41688666043483"</f>
        <v>41688666043483</v>
      </c>
      <c r="F7249" s="8">
        <v>42</v>
      </c>
      <c r="G7249" s="8">
        <v>7191</v>
      </c>
      <c r="H7249" s="8">
        <v>578</v>
      </c>
      <c r="I7249" s="8">
        <v>4428</v>
      </c>
    </row>
    <row r="7250" spans="1:9" x14ac:dyDescent="0.2">
      <c r="A7250" t="s">
        <v>1531</v>
      </c>
      <c r="B7250" t="s">
        <v>1534</v>
      </c>
      <c r="C7250" t="str">
        <f t="shared" si="355"/>
        <v>41688660000000</v>
      </c>
      <c r="D7250" t="s">
        <v>8271</v>
      </c>
      <c r="E7250" t="str">
        <f>"41688666043459"</f>
        <v>41688666043459</v>
      </c>
      <c r="F7250" s="8">
        <v>68</v>
      </c>
      <c r="G7250" s="8">
        <v>6826</v>
      </c>
      <c r="H7250" s="8">
        <v>578</v>
      </c>
      <c r="I7250" s="8">
        <v>4428</v>
      </c>
    </row>
    <row r="7251" spans="1:9" x14ac:dyDescent="0.2">
      <c r="A7251" t="s">
        <v>1531</v>
      </c>
      <c r="B7251" t="s">
        <v>1534</v>
      </c>
      <c r="C7251" t="str">
        <f t="shared" si="355"/>
        <v>41688660000000</v>
      </c>
      <c r="D7251" t="s">
        <v>8272</v>
      </c>
      <c r="E7251" t="str">
        <f>"41688666043442"</f>
        <v>41688666043442</v>
      </c>
      <c r="F7251" s="8">
        <v>49</v>
      </c>
      <c r="G7251" s="8">
        <v>6808</v>
      </c>
      <c r="H7251" s="8">
        <v>578</v>
      </c>
      <c r="I7251" s="8">
        <v>4428</v>
      </c>
    </row>
    <row r="7252" spans="1:9" x14ac:dyDescent="0.2">
      <c r="A7252" t="s">
        <v>1531</v>
      </c>
      <c r="B7252" t="s">
        <v>1534</v>
      </c>
      <c r="C7252" t="str">
        <f t="shared" si="355"/>
        <v>41688660000000</v>
      </c>
      <c r="D7252" t="s">
        <v>1214</v>
      </c>
      <c r="E7252" t="str">
        <f>"41688666043434"</f>
        <v>41688666043434</v>
      </c>
      <c r="F7252" s="8">
        <v>92</v>
      </c>
      <c r="G7252" s="8">
        <v>6576</v>
      </c>
      <c r="H7252" s="8">
        <v>578</v>
      </c>
      <c r="I7252" s="8">
        <v>4428</v>
      </c>
    </row>
    <row r="7253" spans="1:9" x14ac:dyDescent="0.2">
      <c r="A7253" t="s">
        <v>1531</v>
      </c>
      <c r="B7253" t="s">
        <v>1534</v>
      </c>
      <c r="C7253" t="str">
        <f t="shared" si="355"/>
        <v>41688660000000</v>
      </c>
      <c r="D7253" t="s">
        <v>8273</v>
      </c>
      <c r="E7253" t="str">
        <f>"41688666114771"</f>
        <v>41688666114771</v>
      </c>
      <c r="F7253" s="8">
        <v>71</v>
      </c>
      <c r="G7253" s="8">
        <v>6289</v>
      </c>
      <c r="H7253" s="8">
        <v>578</v>
      </c>
      <c r="I7253" s="8">
        <v>4428</v>
      </c>
    </row>
    <row r="7254" spans="1:9" x14ac:dyDescent="0.2">
      <c r="A7254" t="s">
        <v>1531</v>
      </c>
      <c r="B7254" t="s">
        <v>1535</v>
      </c>
      <c r="C7254" t="str">
        <f>"41688740000000"</f>
        <v>41688740000000</v>
      </c>
      <c r="D7254" t="s">
        <v>8274</v>
      </c>
      <c r="E7254" t="str">
        <f>"41688746043509"</f>
        <v>41688746043509</v>
      </c>
      <c r="F7254" s="8">
        <v>372</v>
      </c>
      <c r="G7254" s="8">
        <v>14980</v>
      </c>
      <c r="H7254" s="8">
        <v>195</v>
      </c>
      <c r="I7254" s="8">
        <v>3847</v>
      </c>
    </row>
    <row r="7255" spans="1:9" x14ac:dyDescent="0.2">
      <c r="A7255" t="s">
        <v>1531</v>
      </c>
      <c r="B7255" t="s">
        <v>1535</v>
      </c>
      <c r="C7255" t="str">
        <f>"41688740000000"</f>
        <v>41688740000000</v>
      </c>
      <c r="D7255" t="s">
        <v>6055</v>
      </c>
      <c r="E7255" t="str">
        <f>"41688746043517"</f>
        <v>41688746043517</v>
      </c>
      <c r="F7255" s="8">
        <v>619</v>
      </c>
      <c r="G7255" s="8">
        <v>14319</v>
      </c>
      <c r="H7255" s="8">
        <v>195</v>
      </c>
      <c r="I7255" s="8">
        <v>3847</v>
      </c>
    </row>
    <row r="7256" spans="1:9" x14ac:dyDescent="0.2">
      <c r="A7256" t="s">
        <v>1531</v>
      </c>
      <c r="B7256" t="s">
        <v>1535</v>
      </c>
      <c r="C7256" t="str">
        <f>"41688740000000"</f>
        <v>41688740000000</v>
      </c>
      <c r="D7256" t="s">
        <v>1535</v>
      </c>
      <c r="E7256" t="str">
        <f>"41688746043491"</f>
        <v>41688746043491</v>
      </c>
      <c r="F7256" s="8">
        <v>284</v>
      </c>
      <c r="G7256" s="8">
        <v>10777</v>
      </c>
      <c r="H7256" s="8">
        <v>195</v>
      </c>
      <c r="I7256" s="8">
        <v>3847</v>
      </c>
    </row>
    <row r="7257" spans="1:9" x14ac:dyDescent="0.2">
      <c r="A7257" t="s">
        <v>1531</v>
      </c>
      <c r="B7257" t="s">
        <v>1536</v>
      </c>
      <c r="C7257" t="str">
        <f t="shared" ref="C7257:C7263" si="356">"41688820000000"</f>
        <v>41688820000000</v>
      </c>
      <c r="D7257" t="s">
        <v>2347</v>
      </c>
      <c r="E7257" t="str">
        <f>"41688826043590"</f>
        <v>41688826043590</v>
      </c>
      <c r="F7257" s="8">
        <v>678</v>
      </c>
      <c r="G7257" s="8">
        <v>8709</v>
      </c>
      <c r="H7257" s="8">
        <v>567</v>
      </c>
      <c r="I7257" s="8">
        <v>3332</v>
      </c>
    </row>
    <row r="7258" spans="1:9" x14ac:dyDescent="0.2">
      <c r="A7258" t="s">
        <v>1531</v>
      </c>
      <c r="B7258" t="s">
        <v>1536</v>
      </c>
      <c r="C7258" t="str">
        <f t="shared" si="356"/>
        <v>41688820000000</v>
      </c>
      <c r="D7258" t="s">
        <v>2286</v>
      </c>
      <c r="E7258" t="str">
        <f>"41688820133157"</f>
        <v>41688820133157</v>
      </c>
      <c r="F7258" s="8">
        <v>314</v>
      </c>
      <c r="G7258" s="8">
        <v>7701</v>
      </c>
      <c r="H7258" s="8">
        <v>567</v>
      </c>
      <c r="I7258" s="8">
        <v>3332</v>
      </c>
    </row>
    <row r="7259" spans="1:9" x14ac:dyDescent="0.2">
      <c r="A7259" t="s">
        <v>1531</v>
      </c>
      <c r="B7259" t="s">
        <v>1536</v>
      </c>
      <c r="C7259" t="str">
        <f t="shared" si="356"/>
        <v>41688820000000</v>
      </c>
      <c r="D7259" t="s">
        <v>2243</v>
      </c>
      <c r="E7259" t="str">
        <f>"41688826043566"</f>
        <v>41688826043566</v>
      </c>
      <c r="F7259" s="8">
        <v>245</v>
      </c>
      <c r="G7259" s="8">
        <v>7118</v>
      </c>
      <c r="H7259" s="8">
        <v>567</v>
      </c>
      <c r="I7259" s="8">
        <v>3332</v>
      </c>
    </row>
    <row r="7260" spans="1:9" x14ac:dyDescent="0.2">
      <c r="A7260" t="s">
        <v>1531</v>
      </c>
      <c r="B7260" t="s">
        <v>1536</v>
      </c>
      <c r="C7260" t="str">
        <f t="shared" si="356"/>
        <v>41688820000000</v>
      </c>
      <c r="D7260" t="s">
        <v>2094</v>
      </c>
      <c r="E7260" t="str">
        <f>"41688826043608"</f>
        <v>41688826043608</v>
      </c>
      <c r="F7260" s="8">
        <v>172</v>
      </c>
      <c r="G7260" s="8">
        <v>7024</v>
      </c>
      <c r="H7260" s="8">
        <v>567</v>
      </c>
      <c r="I7260" s="8">
        <v>3332</v>
      </c>
    </row>
    <row r="7261" spans="1:9" x14ac:dyDescent="0.2">
      <c r="A7261" t="s">
        <v>1531</v>
      </c>
      <c r="B7261" t="s">
        <v>1536</v>
      </c>
      <c r="C7261" t="str">
        <f t="shared" si="356"/>
        <v>41688820000000</v>
      </c>
      <c r="D7261" t="s">
        <v>1894</v>
      </c>
      <c r="E7261" t="str">
        <f>"41688826043541"</f>
        <v>41688826043541</v>
      </c>
      <c r="F7261" s="8">
        <v>186</v>
      </c>
      <c r="G7261" s="8">
        <v>6707</v>
      </c>
      <c r="H7261" s="8">
        <v>567</v>
      </c>
      <c r="I7261" s="8">
        <v>3332</v>
      </c>
    </row>
    <row r="7262" spans="1:9" x14ac:dyDescent="0.2">
      <c r="A7262" t="s">
        <v>1531</v>
      </c>
      <c r="B7262" t="s">
        <v>1536</v>
      </c>
      <c r="C7262" t="str">
        <f t="shared" si="356"/>
        <v>41688820000000</v>
      </c>
      <c r="D7262" t="s">
        <v>8275</v>
      </c>
      <c r="E7262" t="str">
        <f>"41688826043525"</f>
        <v>41688826043525</v>
      </c>
      <c r="F7262" s="8">
        <v>107</v>
      </c>
      <c r="G7262" s="8">
        <v>6484</v>
      </c>
      <c r="H7262" s="8">
        <v>567</v>
      </c>
      <c r="I7262" s="8">
        <v>3332</v>
      </c>
    </row>
    <row r="7263" spans="1:9" x14ac:dyDescent="0.2">
      <c r="A7263" t="s">
        <v>1531</v>
      </c>
      <c r="B7263" t="s">
        <v>1536</v>
      </c>
      <c r="C7263" t="str">
        <f t="shared" si="356"/>
        <v>41688820000000</v>
      </c>
      <c r="D7263" t="s">
        <v>2349</v>
      </c>
      <c r="E7263" t="str">
        <f>"41688826043574"</f>
        <v>41688826043574</v>
      </c>
      <c r="F7263" s="8">
        <v>81</v>
      </c>
      <c r="G7263" s="8">
        <v>6435</v>
      </c>
      <c r="H7263" s="8">
        <v>567</v>
      </c>
      <c r="I7263" s="8">
        <v>3332</v>
      </c>
    </row>
    <row r="7264" spans="1:9" x14ac:dyDescent="0.2">
      <c r="A7264" t="s">
        <v>1531</v>
      </c>
      <c r="B7264" t="s">
        <v>1537</v>
      </c>
      <c r="C7264" t="str">
        <f t="shared" ref="C7264:C7270" si="357">"41688900000000"</f>
        <v>41688900000000</v>
      </c>
      <c r="D7264" t="s">
        <v>8276</v>
      </c>
      <c r="E7264" t="str">
        <f>"41688904130027"</f>
        <v>41688904130027</v>
      </c>
      <c r="F7264" s="8">
        <v>1113</v>
      </c>
      <c r="G7264" s="8">
        <v>9577</v>
      </c>
      <c r="H7264" s="8">
        <v>903</v>
      </c>
      <c r="I7264" s="8">
        <v>3362</v>
      </c>
    </row>
    <row r="7265" spans="1:9" x14ac:dyDescent="0.2">
      <c r="A7265" t="s">
        <v>1531</v>
      </c>
      <c r="B7265" t="s">
        <v>1537</v>
      </c>
      <c r="C7265" t="str">
        <f t="shared" si="357"/>
        <v>41688900000000</v>
      </c>
      <c r="D7265" t="s">
        <v>8277</v>
      </c>
      <c r="E7265" t="str">
        <f>"41688906043624"</f>
        <v>41688906043624</v>
      </c>
      <c r="F7265" s="8">
        <v>1167</v>
      </c>
      <c r="G7265" s="8">
        <v>9153</v>
      </c>
      <c r="H7265" s="8">
        <v>903</v>
      </c>
      <c r="I7265" s="8">
        <v>3362</v>
      </c>
    </row>
    <row r="7266" spans="1:9" x14ac:dyDescent="0.2">
      <c r="A7266" t="s">
        <v>1531</v>
      </c>
      <c r="B7266" t="s">
        <v>1537</v>
      </c>
      <c r="C7266" t="str">
        <f t="shared" si="357"/>
        <v>41688900000000</v>
      </c>
      <c r="D7266" t="s">
        <v>8278</v>
      </c>
      <c r="E7266" t="str">
        <f>"41688906043657"</f>
        <v>41688906043657</v>
      </c>
      <c r="F7266" s="8">
        <v>557</v>
      </c>
      <c r="G7266" s="8">
        <v>9216</v>
      </c>
      <c r="H7266" s="8">
        <v>903</v>
      </c>
      <c r="I7266" s="8">
        <v>3362</v>
      </c>
    </row>
    <row r="7267" spans="1:9" x14ac:dyDescent="0.2">
      <c r="A7267" t="s">
        <v>1531</v>
      </c>
      <c r="B7267" t="s">
        <v>1537</v>
      </c>
      <c r="C7267" t="str">
        <f t="shared" si="357"/>
        <v>41688900000000</v>
      </c>
      <c r="D7267" t="s">
        <v>8279</v>
      </c>
      <c r="E7267" t="str">
        <f>"41688906043665"</f>
        <v>41688906043665</v>
      </c>
      <c r="F7267" s="8">
        <v>552</v>
      </c>
      <c r="G7267" s="8">
        <v>9089</v>
      </c>
      <c r="H7267" s="8">
        <v>903</v>
      </c>
      <c r="I7267" s="8">
        <v>3362</v>
      </c>
    </row>
    <row r="7268" spans="1:9" x14ac:dyDescent="0.2">
      <c r="A7268" t="s">
        <v>1531</v>
      </c>
      <c r="B7268" t="s">
        <v>1537</v>
      </c>
      <c r="C7268" t="str">
        <f t="shared" si="357"/>
        <v>41688900000000</v>
      </c>
      <c r="D7268" t="s">
        <v>8280</v>
      </c>
      <c r="E7268" t="str">
        <f>"41688906043632"</f>
        <v>41688906043632</v>
      </c>
      <c r="F7268" s="8">
        <v>658</v>
      </c>
      <c r="G7268" s="8">
        <v>8972</v>
      </c>
      <c r="H7268" s="8">
        <v>903</v>
      </c>
      <c r="I7268" s="8">
        <v>3362</v>
      </c>
    </row>
    <row r="7269" spans="1:9" x14ac:dyDescent="0.2">
      <c r="A7269" t="s">
        <v>1531</v>
      </c>
      <c r="B7269" t="s">
        <v>1537</v>
      </c>
      <c r="C7269" t="str">
        <f t="shared" si="357"/>
        <v>41688900000000</v>
      </c>
      <c r="D7269" t="s">
        <v>8281</v>
      </c>
      <c r="E7269" t="str">
        <f>"41688904132817"</f>
        <v>41688904132817</v>
      </c>
      <c r="F7269" s="8">
        <v>755</v>
      </c>
      <c r="G7269" s="8">
        <v>7303</v>
      </c>
      <c r="H7269" s="8">
        <v>903</v>
      </c>
      <c r="I7269" s="8">
        <v>3362</v>
      </c>
    </row>
    <row r="7270" spans="1:9" x14ac:dyDescent="0.2">
      <c r="A7270" t="s">
        <v>1531</v>
      </c>
      <c r="B7270" t="s">
        <v>1537</v>
      </c>
      <c r="C7270" t="str">
        <f t="shared" si="357"/>
        <v>41688900000000</v>
      </c>
      <c r="D7270" t="s">
        <v>8282</v>
      </c>
      <c r="E7270" t="str">
        <f>"41688906043616"</f>
        <v>41688906043616</v>
      </c>
      <c r="F7270" s="8">
        <v>264</v>
      </c>
      <c r="G7270" s="8">
        <v>6517</v>
      </c>
      <c r="H7270" s="8">
        <v>903</v>
      </c>
      <c r="I7270" s="8">
        <v>3362</v>
      </c>
    </row>
    <row r="7271" spans="1:9" x14ac:dyDescent="0.2">
      <c r="A7271" t="s">
        <v>1531</v>
      </c>
      <c r="B7271" t="s">
        <v>1543</v>
      </c>
      <c r="C7271" t="str">
        <f>"41689080000000"</f>
        <v>41689080000000</v>
      </c>
      <c r="D7271" t="s">
        <v>8283</v>
      </c>
      <c r="E7271" t="str">
        <f>"41689086043681"</f>
        <v>41689086043681</v>
      </c>
      <c r="F7271" s="8">
        <v>647</v>
      </c>
      <c r="G7271" s="8">
        <v>20229</v>
      </c>
      <c r="H7271" s="8">
        <v>102</v>
      </c>
      <c r="I7271" s="8">
        <v>5522</v>
      </c>
    </row>
    <row r="7272" spans="1:9" x14ac:dyDescent="0.2">
      <c r="A7272" t="s">
        <v>1531</v>
      </c>
      <c r="B7272" t="s">
        <v>1543</v>
      </c>
      <c r="C7272" t="str">
        <f>"41689080000000"</f>
        <v>41689080000000</v>
      </c>
      <c r="D7272" t="s">
        <v>8284</v>
      </c>
      <c r="E7272" t="str">
        <f>"41689086043707"</f>
        <v>41689086043707</v>
      </c>
      <c r="F7272" s="8">
        <v>435</v>
      </c>
      <c r="G7272" s="8">
        <v>19224</v>
      </c>
      <c r="H7272" s="8">
        <v>102</v>
      </c>
      <c r="I7272" s="8">
        <v>5522</v>
      </c>
    </row>
    <row r="7273" spans="1:9" x14ac:dyDescent="0.2">
      <c r="A7273" t="s">
        <v>1531</v>
      </c>
      <c r="B7273" t="s">
        <v>1543</v>
      </c>
      <c r="C7273" t="str">
        <f>"41689080000000"</f>
        <v>41689080000000</v>
      </c>
      <c r="D7273" t="s">
        <v>8285</v>
      </c>
      <c r="E7273" t="str">
        <f>"41689086043673"</f>
        <v>41689086043673</v>
      </c>
      <c r="F7273" s="8">
        <v>361</v>
      </c>
      <c r="G7273" s="8">
        <v>17839</v>
      </c>
      <c r="H7273" s="8">
        <v>102</v>
      </c>
      <c r="I7273" s="8">
        <v>5522</v>
      </c>
    </row>
    <row r="7274" spans="1:9" x14ac:dyDescent="0.2">
      <c r="A7274" t="s">
        <v>1531</v>
      </c>
      <c r="B7274" t="s">
        <v>1543</v>
      </c>
      <c r="C7274" t="str">
        <f>"41689080000000"</f>
        <v>41689080000000</v>
      </c>
      <c r="D7274" t="s">
        <v>8286</v>
      </c>
      <c r="E7274" t="str">
        <f>"41689086043699"</f>
        <v>41689086043699</v>
      </c>
      <c r="F7274" s="8">
        <v>623</v>
      </c>
      <c r="G7274" s="8">
        <v>16684</v>
      </c>
      <c r="H7274" s="8">
        <v>102</v>
      </c>
      <c r="I7274" s="8">
        <v>5522</v>
      </c>
    </row>
    <row r="7275" spans="1:9" x14ac:dyDescent="0.2">
      <c r="A7275" t="s">
        <v>1531</v>
      </c>
      <c r="B7275" t="s">
        <v>1194</v>
      </c>
      <c r="C7275" t="str">
        <f t="shared" ref="C7275:C7288" si="358">"41689160000000"</f>
        <v>41689160000000</v>
      </c>
      <c r="D7275" t="s">
        <v>8287</v>
      </c>
      <c r="E7275" t="str">
        <f>"41689166043855"</f>
        <v>41689166043855</v>
      </c>
      <c r="F7275" s="8">
        <v>790</v>
      </c>
      <c r="G7275" s="8">
        <v>12004</v>
      </c>
      <c r="H7275" s="8">
        <v>1317</v>
      </c>
      <c r="I7275" s="8">
        <v>5490</v>
      </c>
    </row>
    <row r="7276" spans="1:9" x14ac:dyDescent="0.2">
      <c r="A7276" t="s">
        <v>1531</v>
      </c>
      <c r="B7276" t="s">
        <v>1194</v>
      </c>
      <c r="C7276" t="str">
        <f t="shared" si="358"/>
        <v>41689160000000</v>
      </c>
      <c r="D7276" t="s">
        <v>2244</v>
      </c>
      <c r="E7276" t="str">
        <f>"41689166043848"</f>
        <v>41689166043848</v>
      </c>
      <c r="F7276" s="8">
        <v>2055</v>
      </c>
      <c r="G7276" s="8">
        <v>7752</v>
      </c>
      <c r="H7276" s="8">
        <v>1331</v>
      </c>
      <c r="I7276" s="8">
        <v>5723</v>
      </c>
    </row>
    <row r="7277" spans="1:9" x14ac:dyDescent="0.2">
      <c r="A7277" t="s">
        <v>1531</v>
      </c>
      <c r="B7277" t="s">
        <v>1194</v>
      </c>
      <c r="C7277" t="str">
        <f t="shared" si="358"/>
        <v>41689160000000</v>
      </c>
      <c r="D7277" t="s">
        <v>8288</v>
      </c>
      <c r="E7277" t="str">
        <f>"41689166043798"</f>
        <v>41689166043798</v>
      </c>
      <c r="F7277" s="8">
        <v>1286</v>
      </c>
      <c r="G7277" s="8">
        <v>7801</v>
      </c>
      <c r="H7277" s="8">
        <v>1332</v>
      </c>
      <c r="I7277" s="8">
        <v>5728</v>
      </c>
    </row>
    <row r="7278" spans="1:9" x14ac:dyDescent="0.2">
      <c r="A7278" t="s">
        <v>1531</v>
      </c>
      <c r="B7278" t="s">
        <v>1194</v>
      </c>
      <c r="C7278" t="str">
        <f t="shared" si="358"/>
        <v>41689160000000</v>
      </c>
      <c r="D7278" t="s">
        <v>3041</v>
      </c>
      <c r="E7278" t="str">
        <f>"41689166043822"</f>
        <v>41689166043822</v>
      </c>
      <c r="F7278" s="8">
        <v>1268</v>
      </c>
      <c r="G7278" s="8">
        <v>7329</v>
      </c>
      <c r="H7278" s="8">
        <v>1289</v>
      </c>
      <c r="I7278" s="8">
        <v>5050</v>
      </c>
    </row>
    <row r="7279" spans="1:9" x14ac:dyDescent="0.2">
      <c r="A7279" t="s">
        <v>1531</v>
      </c>
      <c r="B7279" t="s">
        <v>1194</v>
      </c>
      <c r="C7279" t="str">
        <f t="shared" si="358"/>
        <v>41689160000000</v>
      </c>
      <c r="D7279" t="s">
        <v>8289</v>
      </c>
      <c r="E7279" t="str">
        <f>"41689166043806"</f>
        <v>41689166043806</v>
      </c>
      <c r="F7279" s="8">
        <v>415</v>
      </c>
      <c r="G7279" s="8">
        <v>8172</v>
      </c>
      <c r="H7279" s="8">
        <v>1234</v>
      </c>
      <c r="I7279" s="8">
        <v>4165</v>
      </c>
    </row>
    <row r="7280" spans="1:9" x14ac:dyDescent="0.2">
      <c r="A7280" t="s">
        <v>1531</v>
      </c>
      <c r="B7280" t="s">
        <v>1194</v>
      </c>
      <c r="C7280" t="str">
        <f t="shared" si="358"/>
        <v>41689160000000</v>
      </c>
      <c r="D7280" t="s">
        <v>8290</v>
      </c>
      <c r="E7280" t="str">
        <f>"41689166043772"</f>
        <v>41689166043772</v>
      </c>
      <c r="F7280" s="8">
        <v>724</v>
      </c>
      <c r="G7280" s="8">
        <v>6800</v>
      </c>
      <c r="H7280" s="8">
        <v>1262</v>
      </c>
      <c r="I7280" s="8">
        <v>4610</v>
      </c>
    </row>
    <row r="7281" spans="1:9" x14ac:dyDescent="0.2">
      <c r="A7281" t="s">
        <v>1531</v>
      </c>
      <c r="B7281" t="s">
        <v>1194</v>
      </c>
      <c r="C7281" t="str">
        <f t="shared" si="358"/>
        <v>41689160000000</v>
      </c>
      <c r="D7281" t="s">
        <v>8291</v>
      </c>
      <c r="E7281" t="str">
        <f>"41689166043905"</f>
        <v>41689166043905</v>
      </c>
      <c r="F7281" s="8">
        <v>221</v>
      </c>
      <c r="G7281" s="8">
        <v>7286</v>
      </c>
      <c r="H7281" s="8">
        <v>1251</v>
      </c>
      <c r="I7281" s="8">
        <v>4435</v>
      </c>
    </row>
    <row r="7282" spans="1:9" x14ac:dyDescent="0.2">
      <c r="A7282" t="s">
        <v>1531</v>
      </c>
      <c r="B7282" t="s">
        <v>1194</v>
      </c>
      <c r="C7282" t="str">
        <f t="shared" si="358"/>
        <v>41689160000000</v>
      </c>
      <c r="D7282" t="s">
        <v>8292</v>
      </c>
      <c r="E7282" t="str">
        <f>"41689166043756"</f>
        <v>41689166043756</v>
      </c>
      <c r="F7282" s="8">
        <v>854</v>
      </c>
      <c r="G7282" s="8">
        <v>6644</v>
      </c>
      <c r="H7282" s="8">
        <v>1248</v>
      </c>
      <c r="I7282" s="8">
        <v>4386</v>
      </c>
    </row>
    <row r="7283" spans="1:9" x14ac:dyDescent="0.2">
      <c r="A7283" t="s">
        <v>1531</v>
      </c>
      <c r="B7283" t="s">
        <v>1194</v>
      </c>
      <c r="C7283" t="str">
        <f t="shared" si="358"/>
        <v>41689160000000</v>
      </c>
      <c r="D7283" t="s">
        <v>8293</v>
      </c>
      <c r="E7283" t="str">
        <f>"41689166043780"</f>
        <v>41689166043780</v>
      </c>
      <c r="F7283" s="8">
        <v>251</v>
      </c>
      <c r="G7283" s="8">
        <v>6991</v>
      </c>
      <c r="H7283" s="8">
        <v>1240</v>
      </c>
      <c r="I7283" s="8">
        <v>4265</v>
      </c>
    </row>
    <row r="7284" spans="1:9" x14ac:dyDescent="0.2">
      <c r="A7284" t="s">
        <v>1531</v>
      </c>
      <c r="B7284" t="s">
        <v>1194</v>
      </c>
      <c r="C7284" t="str">
        <f t="shared" si="358"/>
        <v>41689160000000</v>
      </c>
      <c r="D7284" t="s">
        <v>3043</v>
      </c>
      <c r="E7284" t="str">
        <f>"41689166043913"</f>
        <v>41689166043913</v>
      </c>
      <c r="F7284" s="8">
        <v>240</v>
      </c>
      <c r="G7284" s="8">
        <v>6778</v>
      </c>
      <c r="H7284" s="8">
        <v>1238</v>
      </c>
      <c r="I7284" s="8">
        <v>4235</v>
      </c>
    </row>
    <row r="7285" spans="1:9" x14ac:dyDescent="0.2">
      <c r="A7285" t="s">
        <v>1531</v>
      </c>
      <c r="B7285" t="s">
        <v>1194</v>
      </c>
      <c r="C7285" t="str">
        <f t="shared" si="358"/>
        <v>41689160000000</v>
      </c>
      <c r="D7285" t="s">
        <v>8294</v>
      </c>
      <c r="E7285" t="str">
        <f>"41689166043723"</f>
        <v>41689166043723</v>
      </c>
      <c r="F7285" s="8">
        <v>335</v>
      </c>
      <c r="G7285" s="8">
        <v>6423</v>
      </c>
      <c r="H7285" s="8">
        <v>1248</v>
      </c>
      <c r="I7285" s="8">
        <v>4390</v>
      </c>
    </row>
    <row r="7286" spans="1:9" x14ac:dyDescent="0.2">
      <c r="A7286" t="s">
        <v>1531</v>
      </c>
      <c r="B7286" t="s">
        <v>1194</v>
      </c>
      <c r="C7286" t="str">
        <f t="shared" si="358"/>
        <v>41689160000000</v>
      </c>
      <c r="D7286" t="s">
        <v>3690</v>
      </c>
      <c r="E7286" t="str">
        <f>"41689166043871"</f>
        <v>41689166043871</v>
      </c>
      <c r="F7286" s="8">
        <v>440</v>
      </c>
      <c r="G7286" s="8">
        <v>6093</v>
      </c>
      <c r="H7286" s="8">
        <v>1243</v>
      </c>
      <c r="I7286" s="8">
        <v>4317</v>
      </c>
    </row>
    <row r="7287" spans="1:9" x14ac:dyDescent="0.2">
      <c r="A7287" t="s">
        <v>1531</v>
      </c>
      <c r="B7287" t="s">
        <v>1194</v>
      </c>
      <c r="C7287" t="str">
        <f t="shared" si="358"/>
        <v>41689160000000</v>
      </c>
      <c r="D7287" t="s">
        <v>8295</v>
      </c>
      <c r="E7287" t="str">
        <f>"41689166043897"</f>
        <v>41689166043897</v>
      </c>
      <c r="F7287" s="8">
        <v>337</v>
      </c>
      <c r="G7287" s="8">
        <v>6177</v>
      </c>
      <c r="H7287" s="8">
        <v>1229</v>
      </c>
      <c r="I7287" s="8">
        <v>4087</v>
      </c>
    </row>
    <row r="7288" spans="1:9" x14ac:dyDescent="0.2">
      <c r="A7288" t="s">
        <v>1531</v>
      </c>
      <c r="B7288" t="s">
        <v>1194</v>
      </c>
      <c r="C7288" t="str">
        <f t="shared" si="358"/>
        <v>41689160000000</v>
      </c>
      <c r="D7288" t="s">
        <v>2889</v>
      </c>
      <c r="E7288" t="str">
        <f>"41689166115364"</f>
        <v>41689166115364</v>
      </c>
      <c r="F7288" s="8">
        <v>237</v>
      </c>
      <c r="G7288" s="8">
        <v>5853</v>
      </c>
      <c r="H7288" s="8">
        <v>1231</v>
      </c>
      <c r="I7288" s="8">
        <v>4120</v>
      </c>
    </row>
    <row r="7289" spans="1:9" x14ac:dyDescent="0.2">
      <c r="A7289" t="s">
        <v>1531</v>
      </c>
      <c r="B7289" t="s">
        <v>1544</v>
      </c>
      <c r="C7289" t="str">
        <f>"41689240000000"</f>
        <v>41689240000000</v>
      </c>
      <c r="D7289" t="s">
        <v>8296</v>
      </c>
      <c r="E7289" t="str">
        <f>"41689244137592"</f>
        <v>41689244137592</v>
      </c>
      <c r="F7289" s="8">
        <v>1861</v>
      </c>
      <c r="G7289" s="8">
        <v>12542</v>
      </c>
      <c r="H7289" s="8">
        <v>782</v>
      </c>
      <c r="I7289" s="8">
        <v>5032</v>
      </c>
    </row>
    <row r="7290" spans="1:9" x14ac:dyDescent="0.2">
      <c r="A7290" t="s">
        <v>1531</v>
      </c>
      <c r="B7290" t="s">
        <v>1544</v>
      </c>
      <c r="C7290" t="str">
        <f>"41689240000000"</f>
        <v>41689240000000</v>
      </c>
      <c r="D7290" t="s">
        <v>8297</v>
      </c>
      <c r="E7290" t="str">
        <f>"41689244135075"</f>
        <v>41689244135075</v>
      </c>
      <c r="F7290" s="8">
        <v>723</v>
      </c>
      <c r="G7290" s="8">
        <v>9352</v>
      </c>
      <c r="H7290" s="8">
        <v>782</v>
      </c>
      <c r="I7290" s="8">
        <v>5032</v>
      </c>
    </row>
    <row r="7291" spans="1:9" x14ac:dyDescent="0.2">
      <c r="A7291" t="s">
        <v>1531</v>
      </c>
      <c r="B7291" t="s">
        <v>1544</v>
      </c>
      <c r="C7291" t="str">
        <f>"41689240000000"</f>
        <v>41689240000000</v>
      </c>
      <c r="D7291" t="s">
        <v>8298</v>
      </c>
      <c r="E7291" t="str">
        <f>"41689244137535"</f>
        <v>41689244137535</v>
      </c>
      <c r="F7291" s="8">
        <v>571</v>
      </c>
      <c r="G7291" s="8">
        <v>9346</v>
      </c>
      <c r="H7291" s="8">
        <v>782</v>
      </c>
      <c r="I7291" s="8">
        <v>5032</v>
      </c>
    </row>
    <row r="7292" spans="1:9" x14ac:dyDescent="0.2">
      <c r="A7292" t="s">
        <v>1531</v>
      </c>
      <c r="B7292" t="s">
        <v>1544</v>
      </c>
      <c r="C7292" t="str">
        <f>"41689240000000"</f>
        <v>41689240000000</v>
      </c>
      <c r="D7292" t="s">
        <v>8299</v>
      </c>
      <c r="E7292" t="str">
        <f>"41689244137790"</f>
        <v>41689244137790</v>
      </c>
      <c r="F7292" s="8">
        <v>420</v>
      </c>
      <c r="G7292" s="8">
        <v>7912</v>
      </c>
      <c r="H7292" s="8">
        <v>782</v>
      </c>
      <c r="I7292" s="8">
        <v>5032</v>
      </c>
    </row>
    <row r="7293" spans="1:9" x14ac:dyDescent="0.2">
      <c r="A7293" t="s">
        <v>1531</v>
      </c>
      <c r="B7293" t="s">
        <v>1544</v>
      </c>
      <c r="C7293" t="str">
        <f>"41689240000000"</f>
        <v>41689240000000</v>
      </c>
      <c r="D7293" t="s">
        <v>8300</v>
      </c>
      <c r="E7293" t="str">
        <f>"41689244133393"</f>
        <v>41689244133393</v>
      </c>
      <c r="F7293" s="8">
        <v>488</v>
      </c>
      <c r="G7293" s="8">
        <v>7295</v>
      </c>
      <c r="H7293" s="8">
        <v>782</v>
      </c>
      <c r="I7293" s="8">
        <v>5032</v>
      </c>
    </row>
    <row r="7294" spans="1:9" x14ac:dyDescent="0.2">
      <c r="A7294" t="s">
        <v>1531</v>
      </c>
      <c r="B7294" t="s">
        <v>1548</v>
      </c>
      <c r="C7294" t="str">
        <f>"41689400000000"</f>
        <v>41689400000000</v>
      </c>
      <c r="D7294" t="s">
        <v>8301</v>
      </c>
      <c r="E7294" t="str">
        <f>"41689404135331"</f>
        <v>41689404135331</v>
      </c>
      <c r="F7294" s="8">
        <v>70</v>
      </c>
      <c r="G7294" s="8">
        <v>18722</v>
      </c>
      <c r="H7294" s="8">
        <v>2152</v>
      </c>
      <c r="I7294" s="8">
        <v>9288</v>
      </c>
    </row>
    <row r="7295" spans="1:9" x14ac:dyDescent="0.2">
      <c r="A7295" t="s">
        <v>1531</v>
      </c>
      <c r="B7295" t="s">
        <v>1548</v>
      </c>
      <c r="C7295" t="str">
        <f>"41689400000000"</f>
        <v>41689400000000</v>
      </c>
      <c r="D7295" t="s">
        <v>8302</v>
      </c>
      <c r="E7295" t="str">
        <f>"41689406044085"</f>
        <v>41689406044085</v>
      </c>
      <c r="F7295" s="8">
        <v>502</v>
      </c>
      <c r="G7295" s="8">
        <v>13588</v>
      </c>
      <c r="H7295" s="8">
        <v>2408</v>
      </c>
      <c r="I7295" s="8">
        <v>10262</v>
      </c>
    </row>
    <row r="7296" spans="1:9" x14ac:dyDescent="0.2">
      <c r="A7296" t="s">
        <v>1531</v>
      </c>
      <c r="B7296" t="s">
        <v>1548</v>
      </c>
      <c r="C7296" t="str">
        <f>"41689400000000"</f>
        <v>41689400000000</v>
      </c>
      <c r="D7296" t="s">
        <v>8303</v>
      </c>
      <c r="E7296" t="str">
        <f>"41689406044077"</f>
        <v>41689406044077</v>
      </c>
      <c r="F7296" s="8">
        <v>2190</v>
      </c>
      <c r="G7296" s="8">
        <v>12759</v>
      </c>
      <c r="H7296" s="8">
        <v>17</v>
      </c>
      <c r="I7296" s="8">
        <v>1160</v>
      </c>
    </row>
    <row r="7297" spans="1:9" x14ac:dyDescent="0.2">
      <c r="A7297" t="s">
        <v>1531</v>
      </c>
      <c r="B7297" t="s">
        <v>1549</v>
      </c>
      <c r="C7297" t="str">
        <f>"41689570000000"</f>
        <v>41689570000000</v>
      </c>
      <c r="D7297" t="s">
        <v>1549</v>
      </c>
      <c r="E7297" t="str">
        <f>"41689576044127"</f>
        <v>41689576044127</v>
      </c>
      <c r="F7297" s="8">
        <v>230</v>
      </c>
      <c r="G7297" s="8">
        <v>19728</v>
      </c>
      <c r="H7297" s="8">
        <v>372</v>
      </c>
      <c r="I7297" s="8">
        <v>8268</v>
      </c>
    </row>
    <row r="7298" spans="1:9" x14ac:dyDescent="0.2">
      <c r="A7298" t="s">
        <v>1531</v>
      </c>
      <c r="B7298" t="s">
        <v>1549</v>
      </c>
      <c r="C7298" t="str">
        <f>"41689570000000"</f>
        <v>41689570000000</v>
      </c>
      <c r="D7298" t="s">
        <v>8304</v>
      </c>
      <c r="E7298" t="str">
        <f>"41689576044093"</f>
        <v>41689576044093</v>
      </c>
      <c r="F7298" s="8">
        <v>456</v>
      </c>
      <c r="G7298" s="8">
        <v>16099</v>
      </c>
      <c r="H7298" s="8">
        <v>372</v>
      </c>
      <c r="I7298" s="8">
        <v>8268</v>
      </c>
    </row>
    <row r="7299" spans="1:9" x14ac:dyDescent="0.2">
      <c r="A7299" t="s">
        <v>1531</v>
      </c>
      <c r="B7299" t="s">
        <v>1550</v>
      </c>
      <c r="C7299" t="str">
        <f>"41689650000000"</f>
        <v>41689650000000</v>
      </c>
      <c r="D7299" t="s">
        <v>2297</v>
      </c>
      <c r="E7299" t="str">
        <f>"41689656044168"</f>
        <v>41689656044168</v>
      </c>
      <c r="F7299" s="8">
        <v>4</v>
      </c>
      <c r="G7299" s="8">
        <v>10407</v>
      </c>
      <c r="H7299" s="8">
        <v>723</v>
      </c>
      <c r="I7299" s="8">
        <v>10720</v>
      </c>
    </row>
    <row r="7300" spans="1:9" x14ac:dyDescent="0.2">
      <c r="A7300" t="s">
        <v>1531</v>
      </c>
      <c r="B7300" t="s">
        <v>1550</v>
      </c>
      <c r="C7300" t="str">
        <f>"41689650000000"</f>
        <v>41689650000000</v>
      </c>
      <c r="D7300" t="s">
        <v>8305</v>
      </c>
      <c r="E7300" t="str">
        <f>"41689656044135"</f>
        <v>41689656044135</v>
      </c>
      <c r="F7300" s="8">
        <v>19</v>
      </c>
      <c r="G7300" s="8">
        <v>10329</v>
      </c>
      <c r="H7300" s="8">
        <v>714</v>
      </c>
      <c r="I7300" s="8">
        <v>10608</v>
      </c>
    </row>
    <row r="7301" spans="1:9" x14ac:dyDescent="0.2">
      <c r="A7301" t="s">
        <v>1531</v>
      </c>
      <c r="B7301" t="s">
        <v>1550</v>
      </c>
      <c r="C7301" t="str">
        <f>"41689650000000"</f>
        <v>41689650000000</v>
      </c>
      <c r="D7301" t="s">
        <v>3797</v>
      </c>
      <c r="E7301" t="str">
        <f>"41689656044150"</f>
        <v>41689656044150</v>
      </c>
      <c r="F7301" s="8">
        <v>5</v>
      </c>
      <c r="G7301" s="8">
        <v>10266</v>
      </c>
      <c r="H7301" s="8">
        <v>716</v>
      </c>
      <c r="I7301" s="8">
        <v>10640</v>
      </c>
    </row>
    <row r="7302" spans="1:9" x14ac:dyDescent="0.2">
      <c r="A7302" t="s">
        <v>1531</v>
      </c>
      <c r="B7302" t="s">
        <v>1550</v>
      </c>
      <c r="C7302" t="str">
        <f>"41689650000000"</f>
        <v>41689650000000</v>
      </c>
      <c r="D7302" t="s">
        <v>8306</v>
      </c>
      <c r="E7302" t="str">
        <f>"41689656044176"</f>
        <v>41689656044176</v>
      </c>
      <c r="F7302" s="8">
        <v>0</v>
      </c>
      <c r="G7302" s="8">
        <v>9994</v>
      </c>
      <c r="H7302" s="8">
        <v>596</v>
      </c>
      <c r="I7302" s="8">
        <v>9185</v>
      </c>
    </row>
    <row r="7303" spans="1:9" x14ac:dyDescent="0.2">
      <c r="A7303" t="s">
        <v>1531</v>
      </c>
      <c r="B7303" t="s">
        <v>1551</v>
      </c>
      <c r="C7303" t="str">
        <f>"41689730000000"</f>
        <v>41689730000000</v>
      </c>
      <c r="D7303" t="s">
        <v>8307</v>
      </c>
      <c r="E7303" t="str">
        <f>"41689736044226"</f>
        <v>41689736044226</v>
      </c>
      <c r="F7303" s="8">
        <v>443</v>
      </c>
      <c r="G7303" s="8">
        <v>6269</v>
      </c>
      <c r="H7303" s="8">
        <v>1143</v>
      </c>
      <c r="I7303" s="8">
        <v>5371</v>
      </c>
    </row>
    <row r="7304" spans="1:9" x14ac:dyDescent="0.2">
      <c r="A7304" t="s">
        <v>1531</v>
      </c>
      <c r="B7304" t="s">
        <v>1551</v>
      </c>
      <c r="C7304" t="str">
        <f>"41689730000000"</f>
        <v>41689730000000</v>
      </c>
      <c r="D7304" t="s">
        <v>8308</v>
      </c>
      <c r="E7304" t="str">
        <f>"41689736044267"</f>
        <v>41689736044267</v>
      </c>
      <c r="F7304" s="8">
        <v>2</v>
      </c>
      <c r="G7304" s="8">
        <v>5506</v>
      </c>
      <c r="H7304" s="8">
        <v>1143</v>
      </c>
      <c r="I7304" s="8">
        <v>5371</v>
      </c>
    </row>
    <row r="7305" spans="1:9" x14ac:dyDescent="0.2">
      <c r="A7305" t="s">
        <v>1531</v>
      </c>
      <c r="B7305" t="s">
        <v>1551</v>
      </c>
      <c r="C7305" t="str">
        <f>"41689730000000"</f>
        <v>41689730000000</v>
      </c>
      <c r="D7305" t="s">
        <v>5228</v>
      </c>
      <c r="E7305" t="str">
        <f>"41689736044259"</f>
        <v>41689736044259</v>
      </c>
      <c r="F7305" s="8">
        <v>0</v>
      </c>
      <c r="G7305" s="8">
        <v>5441</v>
      </c>
      <c r="H7305" s="8">
        <v>1143</v>
      </c>
      <c r="I7305" s="8">
        <v>5371</v>
      </c>
    </row>
    <row r="7306" spans="1:9" x14ac:dyDescent="0.2">
      <c r="A7306" t="s">
        <v>1531</v>
      </c>
      <c r="B7306" t="s">
        <v>1551</v>
      </c>
      <c r="C7306" t="str">
        <f>"41689730000000"</f>
        <v>41689730000000</v>
      </c>
      <c r="D7306" t="s">
        <v>8309</v>
      </c>
      <c r="E7306" t="str">
        <f>"41689736044200"</f>
        <v>41689736044200</v>
      </c>
      <c r="F7306" s="8">
        <v>0</v>
      </c>
      <c r="G7306" s="8">
        <v>5265</v>
      </c>
      <c r="H7306" s="8">
        <v>1143</v>
      </c>
      <c r="I7306" s="8">
        <v>5371</v>
      </c>
    </row>
    <row r="7307" spans="1:9" x14ac:dyDescent="0.2">
      <c r="A7307" t="s">
        <v>1531</v>
      </c>
      <c r="B7307" t="s">
        <v>1551</v>
      </c>
      <c r="C7307" t="str">
        <f>"41689730000000"</f>
        <v>41689730000000</v>
      </c>
      <c r="D7307" t="s">
        <v>3194</v>
      </c>
      <c r="E7307" t="str">
        <f>"41689736044234"</f>
        <v>41689736044234</v>
      </c>
      <c r="F7307" s="8">
        <v>0</v>
      </c>
      <c r="G7307" s="8">
        <v>4802</v>
      </c>
      <c r="H7307" s="8">
        <v>1143</v>
      </c>
      <c r="I7307" s="8">
        <v>5371</v>
      </c>
    </row>
    <row r="7308" spans="1:9" x14ac:dyDescent="0.2">
      <c r="A7308" t="s">
        <v>1531</v>
      </c>
      <c r="B7308" t="s">
        <v>1553</v>
      </c>
      <c r="C7308" t="str">
        <f t="shared" ref="C7308:C7314" si="359">"41689320000000"</f>
        <v>41689320000000</v>
      </c>
      <c r="D7308" t="s">
        <v>8310</v>
      </c>
      <c r="E7308" t="str">
        <f>"41689320132217"</f>
        <v>41689320132217</v>
      </c>
      <c r="F7308" s="8">
        <v>1423</v>
      </c>
      <c r="G7308" s="8">
        <v>19512</v>
      </c>
      <c r="H7308" s="8">
        <v>458</v>
      </c>
      <c r="I7308" s="8">
        <v>4493</v>
      </c>
    </row>
    <row r="7309" spans="1:9" x14ac:dyDescent="0.2">
      <c r="A7309" t="s">
        <v>1531</v>
      </c>
      <c r="B7309" t="s">
        <v>1553</v>
      </c>
      <c r="C7309" t="str">
        <f t="shared" si="359"/>
        <v>41689320000000</v>
      </c>
      <c r="D7309" t="s">
        <v>8311</v>
      </c>
      <c r="E7309" t="str">
        <f>"41689324130126"</f>
        <v>41689324130126</v>
      </c>
      <c r="F7309" s="8">
        <v>589</v>
      </c>
      <c r="G7309" s="8">
        <v>6965</v>
      </c>
      <c r="H7309" s="8">
        <v>458</v>
      </c>
      <c r="I7309" s="8">
        <v>4493</v>
      </c>
    </row>
    <row r="7310" spans="1:9" x14ac:dyDescent="0.2">
      <c r="A7310" t="s">
        <v>1531</v>
      </c>
      <c r="B7310" t="s">
        <v>1553</v>
      </c>
      <c r="C7310" t="str">
        <f t="shared" si="359"/>
        <v>41689320000000</v>
      </c>
      <c r="D7310" t="s">
        <v>8312</v>
      </c>
      <c r="E7310" t="str">
        <f>"41689326044044"</f>
        <v>41689326044044</v>
      </c>
      <c r="F7310" s="8">
        <v>211</v>
      </c>
      <c r="G7310" s="8">
        <v>6396</v>
      </c>
      <c r="H7310" s="8">
        <v>458</v>
      </c>
      <c r="I7310" s="8">
        <v>4493</v>
      </c>
    </row>
    <row r="7311" spans="1:9" x14ac:dyDescent="0.2">
      <c r="A7311" t="s">
        <v>1531</v>
      </c>
      <c r="B7311" t="s">
        <v>1553</v>
      </c>
      <c r="C7311" t="str">
        <f t="shared" si="359"/>
        <v>41689320000000</v>
      </c>
      <c r="D7311" t="s">
        <v>2136</v>
      </c>
      <c r="E7311" t="str">
        <f>"41689326043939"</f>
        <v>41689326043939</v>
      </c>
      <c r="F7311" s="8">
        <v>353</v>
      </c>
      <c r="G7311" s="8">
        <v>6090</v>
      </c>
      <c r="H7311" s="8">
        <v>458</v>
      </c>
      <c r="I7311" s="8">
        <v>4493</v>
      </c>
    </row>
    <row r="7312" spans="1:9" x14ac:dyDescent="0.2">
      <c r="A7312" t="s">
        <v>1531</v>
      </c>
      <c r="B7312" t="s">
        <v>1553</v>
      </c>
      <c r="C7312" t="str">
        <f t="shared" si="359"/>
        <v>41689320000000</v>
      </c>
      <c r="D7312" t="s">
        <v>8313</v>
      </c>
      <c r="E7312" t="str">
        <f>"41689320105874"</f>
        <v>41689320105874</v>
      </c>
      <c r="F7312" s="8">
        <v>837</v>
      </c>
      <c r="G7312" s="8">
        <v>5517</v>
      </c>
      <c r="H7312" s="8">
        <v>458</v>
      </c>
      <c r="I7312" s="8">
        <v>4493</v>
      </c>
    </row>
    <row r="7313" spans="1:9" x14ac:dyDescent="0.2">
      <c r="A7313" t="s">
        <v>1531</v>
      </c>
      <c r="B7313" t="s">
        <v>1553</v>
      </c>
      <c r="C7313" t="str">
        <f t="shared" si="359"/>
        <v>41689320000000</v>
      </c>
      <c r="D7313" t="s">
        <v>8314</v>
      </c>
      <c r="E7313" t="str">
        <f>"41689326044051"</f>
        <v>41689326044051</v>
      </c>
      <c r="F7313" s="8">
        <v>336</v>
      </c>
      <c r="G7313" s="8">
        <v>5653</v>
      </c>
      <c r="H7313" s="8">
        <v>458</v>
      </c>
      <c r="I7313" s="8">
        <v>4493</v>
      </c>
    </row>
    <row r="7314" spans="1:9" x14ac:dyDescent="0.2">
      <c r="A7314" t="s">
        <v>1531</v>
      </c>
      <c r="B7314" t="s">
        <v>1553</v>
      </c>
      <c r="C7314" t="str">
        <f t="shared" si="359"/>
        <v>41689320000000</v>
      </c>
      <c r="D7314" t="s">
        <v>8315</v>
      </c>
      <c r="E7314" t="str">
        <f>"41689326044069"</f>
        <v>41689326044069</v>
      </c>
      <c r="F7314" s="8">
        <v>734</v>
      </c>
      <c r="G7314" s="8">
        <v>5103</v>
      </c>
      <c r="H7314" s="8">
        <v>458</v>
      </c>
      <c r="I7314" s="8">
        <v>4493</v>
      </c>
    </row>
    <row r="7315" spans="1:9" x14ac:dyDescent="0.2">
      <c r="A7315" t="s">
        <v>1531</v>
      </c>
      <c r="B7315" t="s">
        <v>1554</v>
      </c>
      <c r="C7315" t="str">
        <f>"41689810000000"</f>
        <v>41689810000000</v>
      </c>
      <c r="D7315" t="s">
        <v>8316</v>
      </c>
      <c r="E7315" t="str">
        <f>"41689816044283"</f>
        <v>41689816044283</v>
      </c>
      <c r="F7315" s="8">
        <v>20</v>
      </c>
      <c r="G7315" s="8">
        <v>19887</v>
      </c>
      <c r="H7315" s="8">
        <v>406</v>
      </c>
      <c r="I7315" s="8">
        <v>9131</v>
      </c>
    </row>
    <row r="7316" spans="1:9" x14ac:dyDescent="0.2">
      <c r="A7316" t="s">
        <v>1531</v>
      </c>
      <c r="B7316" t="s">
        <v>1554</v>
      </c>
      <c r="C7316" t="str">
        <f>"41689810000000"</f>
        <v>41689810000000</v>
      </c>
      <c r="D7316" t="s">
        <v>8317</v>
      </c>
      <c r="E7316" t="str">
        <f>"41689816044275"</f>
        <v>41689816044275</v>
      </c>
      <c r="F7316" s="8">
        <v>280</v>
      </c>
      <c r="G7316" s="8">
        <v>18800</v>
      </c>
      <c r="H7316" s="8">
        <v>406</v>
      </c>
      <c r="I7316" s="8">
        <v>9131</v>
      </c>
    </row>
    <row r="7317" spans="1:9" x14ac:dyDescent="0.2">
      <c r="A7317" t="s">
        <v>1531</v>
      </c>
      <c r="B7317" t="s">
        <v>1555</v>
      </c>
      <c r="C7317" t="str">
        <f>"41689990000000"</f>
        <v>41689990000000</v>
      </c>
      <c r="D7317" t="s">
        <v>8318</v>
      </c>
      <c r="E7317" t="str">
        <f>"41689990136093"</f>
        <v>41689990136093</v>
      </c>
      <c r="F7317" s="8">
        <v>908</v>
      </c>
      <c r="G7317" s="8">
        <v>11808</v>
      </c>
      <c r="H7317" s="8">
        <v>4015</v>
      </c>
      <c r="I7317" s="8">
        <v>10789</v>
      </c>
    </row>
    <row r="7318" spans="1:9" x14ac:dyDescent="0.2">
      <c r="A7318" t="s">
        <v>1531</v>
      </c>
      <c r="B7318" t="s">
        <v>1555</v>
      </c>
      <c r="C7318" t="str">
        <f>"41689990000000"</f>
        <v>41689990000000</v>
      </c>
      <c r="D7318" t="s">
        <v>8319</v>
      </c>
      <c r="E7318" t="str">
        <f>"41689990126649"</f>
        <v>41689990126649</v>
      </c>
      <c r="F7318" s="8">
        <v>564</v>
      </c>
      <c r="G7318" s="8">
        <v>10895</v>
      </c>
      <c r="H7318" s="8">
        <v>4015</v>
      </c>
      <c r="I7318" s="8">
        <v>10789</v>
      </c>
    </row>
    <row r="7319" spans="1:9" x14ac:dyDescent="0.2">
      <c r="A7319" t="s">
        <v>1531</v>
      </c>
      <c r="B7319" t="s">
        <v>1555</v>
      </c>
      <c r="C7319" t="str">
        <f>"41689990000000"</f>
        <v>41689990000000</v>
      </c>
      <c r="D7319" t="s">
        <v>8320</v>
      </c>
      <c r="E7319" t="str">
        <f>"41689996044309"</f>
        <v>41689996044309</v>
      </c>
      <c r="F7319" s="8">
        <v>1485</v>
      </c>
      <c r="G7319" s="8">
        <v>7437</v>
      </c>
      <c r="H7319" s="8">
        <v>4015</v>
      </c>
      <c r="I7319" s="8">
        <v>10789</v>
      </c>
    </row>
    <row r="7320" spans="1:9" x14ac:dyDescent="0.2">
      <c r="A7320" t="s">
        <v>1531</v>
      </c>
      <c r="B7320" t="s">
        <v>1555</v>
      </c>
      <c r="C7320" t="str">
        <f>"41689990000000"</f>
        <v>41689990000000</v>
      </c>
      <c r="D7320" t="s">
        <v>8321</v>
      </c>
      <c r="E7320" t="str">
        <f>"41689996044325"</f>
        <v>41689996044325</v>
      </c>
      <c r="F7320" s="8">
        <v>654</v>
      </c>
      <c r="G7320" s="8">
        <v>7107</v>
      </c>
      <c r="H7320" s="8">
        <v>4015</v>
      </c>
      <c r="I7320" s="8">
        <v>10789</v>
      </c>
    </row>
    <row r="7321" spans="1:9" x14ac:dyDescent="0.2">
      <c r="A7321" t="s">
        <v>1531</v>
      </c>
      <c r="B7321" t="s">
        <v>1556</v>
      </c>
      <c r="C7321" t="str">
        <f t="shared" ref="C7321:C7332" si="360">"41690050000000"</f>
        <v>41690050000000</v>
      </c>
      <c r="D7321" t="s">
        <v>6054</v>
      </c>
      <c r="E7321" t="str">
        <f>"41690056044598"</f>
        <v>41690056044598</v>
      </c>
      <c r="F7321" s="8">
        <v>324</v>
      </c>
      <c r="G7321" s="8">
        <v>7215</v>
      </c>
      <c r="H7321" s="8">
        <v>3323</v>
      </c>
      <c r="I7321" s="8">
        <v>10377</v>
      </c>
    </row>
    <row r="7322" spans="1:9" x14ac:dyDescent="0.2">
      <c r="A7322" t="s">
        <v>1531</v>
      </c>
      <c r="B7322" t="s">
        <v>1556</v>
      </c>
      <c r="C7322" t="str">
        <f t="shared" si="360"/>
        <v>41690050000000</v>
      </c>
      <c r="D7322" t="s">
        <v>8322</v>
      </c>
      <c r="E7322" t="str">
        <f>"41690056044556"</f>
        <v>41690056044556</v>
      </c>
      <c r="F7322" s="8">
        <v>151</v>
      </c>
      <c r="G7322" s="8">
        <v>8535</v>
      </c>
      <c r="H7322" s="8">
        <v>2837</v>
      </c>
      <c r="I7322" s="8">
        <v>8709</v>
      </c>
    </row>
    <row r="7323" spans="1:9" x14ac:dyDescent="0.2">
      <c r="A7323" t="s">
        <v>1531</v>
      </c>
      <c r="B7323" t="s">
        <v>1556</v>
      </c>
      <c r="C7323" t="str">
        <f t="shared" si="360"/>
        <v>41690050000000</v>
      </c>
      <c r="D7323" t="s">
        <v>8323</v>
      </c>
      <c r="E7323" t="str">
        <f>"41690056044531"</f>
        <v>41690056044531</v>
      </c>
      <c r="F7323" s="8">
        <v>93</v>
      </c>
      <c r="G7323" s="8">
        <v>7222</v>
      </c>
      <c r="H7323" s="8">
        <v>2495</v>
      </c>
      <c r="I7323" s="8">
        <v>7570</v>
      </c>
    </row>
    <row r="7324" spans="1:9" x14ac:dyDescent="0.2">
      <c r="A7324" t="s">
        <v>1531</v>
      </c>
      <c r="B7324" t="s">
        <v>1556</v>
      </c>
      <c r="C7324" t="str">
        <f t="shared" si="360"/>
        <v>41690050000000</v>
      </c>
      <c r="D7324" t="s">
        <v>8324</v>
      </c>
      <c r="E7324" t="str">
        <f>"41690056044424"</f>
        <v>41690056044424</v>
      </c>
      <c r="F7324" s="8">
        <v>0</v>
      </c>
      <c r="G7324" s="8">
        <v>6591</v>
      </c>
      <c r="H7324" s="8">
        <v>2618</v>
      </c>
      <c r="I7324" s="8">
        <v>8035</v>
      </c>
    </row>
    <row r="7325" spans="1:9" x14ac:dyDescent="0.2">
      <c r="A7325" t="s">
        <v>1531</v>
      </c>
      <c r="B7325" t="s">
        <v>1556</v>
      </c>
      <c r="C7325" t="str">
        <f t="shared" si="360"/>
        <v>41690050000000</v>
      </c>
      <c r="D7325" t="s">
        <v>8325</v>
      </c>
      <c r="E7325" t="str">
        <f>"41690056102941"</f>
        <v>41690056102941</v>
      </c>
      <c r="F7325" s="8">
        <v>103</v>
      </c>
      <c r="G7325" s="8">
        <v>7155</v>
      </c>
      <c r="H7325" s="8">
        <v>2311</v>
      </c>
      <c r="I7325" s="8">
        <v>6968</v>
      </c>
    </row>
    <row r="7326" spans="1:9" x14ac:dyDescent="0.2">
      <c r="A7326" t="s">
        <v>1531</v>
      </c>
      <c r="B7326" t="s">
        <v>1556</v>
      </c>
      <c r="C7326" t="str">
        <f t="shared" si="360"/>
        <v>41690050000000</v>
      </c>
      <c r="D7326" t="s">
        <v>8326</v>
      </c>
      <c r="E7326" t="str">
        <f>"41690056044499"</f>
        <v>41690056044499</v>
      </c>
      <c r="F7326" s="8">
        <v>179</v>
      </c>
      <c r="G7326" s="8">
        <v>6014</v>
      </c>
      <c r="H7326" s="8">
        <v>2529</v>
      </c>
      <c r="I7326" s="8">
        <v>7686</v>
      </c>
    </row>
    <row r="7327" spans="1:9" x14ac:dyDescent="0.2">
      <c r="A7327" t="s">
        <v>1531</v>
      </c>
      <c r="B7327" t="s">
        <v>1556</v>
      </c>
      <c r="C7327" t="str">
        <f t="shared" si="360"/>
        <v>41690050000000</v>
      </c>
      <c r="D7327" t="s">
        <v>2286</v>
      </c>
      <c r="E7327" t="str">
        <f>"41690056044507"</f>
        <v>41690056044507</v>
      </c>
      <c r="F7327" s="8">
        <v>146</v>
      </c>
      <c r="G7327" s="8">
        <v>6654</v>
      </c>
      <c r="H7327" s="8">
        <v>2404</v>
      </c>
      <c r="I7327" s="8">
        <v>7199</v>
      </c>
    </row>
    <row r="7328" spans="1:9" x14ac:dyDescent="0.2">
      <c r="A7328" t="s">
        <v>1531</v>
      </c>
      <c r="B7328" t="s">
        <v>1556</v>
      </c>
      <c r="C7328" t="str">
        <f t="shared" si="360"/>
        <v>41690050000000</v>
      </c>
      <c r="D7328" t="s">
        <v>8327</v>
      </c>
      <c r="E7328" t="str">
        <f>"41690056044580"</f>
        <v>41690056044580</v>
      </c>
      <c r="F7328" s="8">
        <v>271</v>
      </c>
      <c r="G7328" s="8">
        <v>6685</v>
      </c>
      <c r="H7328" s="8">
        <v>2204</v>
      </c>
      <c r="I7328" s="8">
        <v>6561</v>
      </c>
    </row>
    <row r="7329" spans="1:9" x14ac:dyDescent="0.2">
      <c r="A7329" t="s">
        <v>1531</v>
      </c>
      <c r="B7329" t="s">
        <v>1556</v>
      </c>
      <c r="C7329" t="str">
        <f t="shared" si="360"/>
        <v>41690050000000</v>
      </c>
      <c r="D7329" t="s">
        <v>2347</v>
      </c>
      <c r="E7329" t="str">
        <f>"41690056044572"</f>
        <v>41690056044572</v>
      </c>
      <c r="F7329" s="8">
        <v>205</v>
      </c>
      <c r="G7329" s="8">
        <v>5651</v>
      </c>
      <c r="H7329" s="8">
        <v>2442</v>
      </c>
      <c r="I7329" s="8">
        <v>7382</v>
      </c>
    </row>
    <row r="7330" spans="1:9" x14ac:dyDescent="0.2">
      <c r="A7330" t="s">
        <v>1531</v>
      </c>
      <c r="B7330" t="s">
        <v>1556</v>
      </c>
      <c r="C7330" t="str">
        <f t="shared" si="360"/>
        <v>41690050000000</v>
      </c>
      <c r="D7330" t="s">
        <v>280</v>
      </c>
      <c r="E7330" t="str">
        <f>"41690056044473"</f>
        <v>41690056044473</v>
      </c>
      <c r="F7330" s="8">
        <v>423</v>
      </c>
      <c r="G7330" s="8">
        <v>5773</v>
      </c>
      <c r="H7330" s="8">
        <v>2335</v>
      </c>
      <c r="I7330" s="8">
        <v>6969</v>
      </c>
    </row>
    <row r="7331" spans="1:9" x14ac:dyDescent="0.2">
      <c r="A7331" t="s">
        <v>1531</v>
      </c>
      <c r="B7331" t="s">
        <v>1556</v>
      </c>
      <c r="C7331" t="str">
        <f t="shared" si="360"/>
        <v>41690050000000</v>
      </c>
      <c r="D7331" t="s">
        <v>8328</v>
      </c>
      <c r="E7331" t="str">
        <f>"41690056044432"</f>
        <v>41690056044432</v>
      </c>
      <c r="F7331" s="8">
        <v>35</v>
      </c>
      <c r="G7331" s="8">
        <v>6296</v>
      </c>
      <c r="H7331" s="8">
        <v>2166</v>
      </c>
      <c r="I7331" s="8">
        <v>6531</v>
      </c>
    </row>
    <row r="7332" spans="1:9" x14ac:dyDescent="0.2">
      <c r="A7332" t="s">
        <v>1531</v>
      </c>
      <c r="B7332" t="s">
        <v>1556</v>
      </c>
      <c r="C7332" t="str">
        <f t="shared" si="360"/>
        <v>41690050000000</v>
      </c>
      <c r="D7332" t="s">
        <v>2380</v>
      </c>
      <c r="E7332" t="str">
        <f>"41690056115026"</f>
        <v>41690056115026</v>
      </c>
      <c r="F7332" s="8">
        <v>0</v>
      </c>
      <c r="G7332" s="8">
        <v>5651</v>
      </c>
      <c r="H7332" s="8">
        <v>1978</v>
      </c>
      <c r="I7332" s="8">
        <v>5888</v>
      </c>
    </row>
    <row r="7333" spans="1:9" x14ac:dyDescent="0.2">
      <c r="A7333" t="s">
        <v>1531</v>
      </c>
      <c r="B7333" t="s">
        <v>1558</v>
      </c>
      <c r="C7333" t="str">
        <f t="shared" ref="C7333:C7338" si="361">"41690130000000"</f>
        <v>41690130000000</v>
      </c>
      <c r="D7333" t="s">
        <v>8329</v>
      </c>
      <c r="E7333" t="str">
        <f>"41690136044614"</f>
        <v>41690136044614</v>
      </c>
      <c r="F7333" s="8">
        <v>1842</v>
      </c>
      <c r="G7333" s="8">
        <v>9899</v>
      </c>
      <c r="H7333" s="8">
        <v>729</v>
      </c>
      <c r="I7333" s="8">
        <v>5276</v>
      </c>
    </row>
    <row r="7334" spans="1:9" x14ac:dyDescent="0.2">
      <c r="A7334" t="s">
        <v>1531</v>
      </c>
      <c r="B7334" t="s">
        <v>1558</v>
      </c>
      <c r="C7334" t="str">
        <f t="shared" si="361"/>
        <v>41690130000000</v>
      </c>
      <c r="D7334" t="s">
        <v>8330</v>
      </c>
      <c r="E7334" t="str">
        <f>"41690136044705"</f>
        <v>41690136044705</v>
      </c>
      <c r="F7334" s="8">
        <v>700</v>
      </c>
      <c r="G7334" s="8">
        <v>7074</v>
      </c>
      <c r="H7334" s="8">
        <v>729</v>
      </c>
      <c r="I7334" s="8">
        <v>5276</v>
      </c>
    </row>
    <row r="7335" spans="1:9" x14ac:dyDescent="0.2">
      <c r="A7335" t="s">
        <v>1531</v>
      </c>
      <c r="B7335" t="s">
        <v>1558</v>
      </c>
      <c r="C7335" t="str">
        <f t="shared" si="361"/>
        <v>41690130000000</v>
      </c>
      <c r="D7335" t="s">
        <v>8331</v>
      </c>
      <c r="E7335" t="str">
        <f>"41690136044010"</f>
        <v>41690136044010</v>
      </c>
      <c r="F7335" s="8">
        <v>361</v>
      </c>
      <c r="G7335" s="8">
        <v>6265</v>
      </c>
      <c r="H7335" s="8">
        <v>729</v>
      </c>
      <c r="I7335" s="8">
        <v>5276</v>
      </c>
    </row>
    <row r="7336" spans="1:9" x14ac:dyDescent="0.2">
      <c r="A7336" t="s">
        <v>1531</v>
      </c>
      <c r="B7336" t="s">
        <v>1558</v>
      </c>
      <c r="C7336" t="str">
        <f t="shared" si="361"/>
        <v>41690130000000</v>
      </c>
      <c r="D7336" t="s">
        <v>8332</v>
      </c>
      <c r="E7336" t="str">
        <f>"41690136044648"</f>
        <v>41690136044648</v>
      </c>
      <c r="F7336" s="8">
        <v>548</v>
      </c>
      <c r="G7336" s="8">
        <v>6025</v>
      </c>
      <c r="H7336" s="8">
        <v>729</v>
      </c>
      <c r="I7336" s="8">
        <v>5276</v>
      </c>
    </row>
    <row r="7337" spans="1:9" x14ac:dyDescent="0.2">
      <c r="A7337" t="s">
        <v>1531</v>
      </c>
      <c r="B7337" t="s">
        <v>1558</v>
      </c>
      <c r="C7337" t="str">
        <f t="shared" si="361"/>
        <v>41690130000000</v>
      </c>
      <c r="D7337" t="s">
        <v>2093</v>
      </c>
      <c r="E7337" t="str">
        <f>"41690136044671"</f>
        <v>41690136044671</v>
      </c>
      <c r="F7337" s="8">
        <v>144</v>
      </c>
      <c r="G7337" s="8">
        <v>6370</v>
      </c>
      <c r="H7337" s="8">
        <v>729</v>
      </c>
      <c r="I7337" s="8">
        <v>5276</v>
      </c>
    </row>
    <row r="7338" spans="1:9" x14ac:dyDescent="0.2">
      <c r="A7338" t="s">
        <v>1531</v>
      </c>
      <c r="B7338" t="s">
        <v>1558</v>
      </c>
      <c r="C7338" t="str">
        <f t="shared" si="361"/>
        <v>41690130000000</v>
      </c>
      <c r="D7338" t="s">
        <v>8333</v>
      </c>
      <c r="E7338" t="str">
        <f>"41690136044697"</f>
        <v>41690136044697</v>
      </c>
      <c r="F7338" s="8">
        <v>144</v>
      </c>
      <c r="G7338" s="8">
        <v>6279</v>
      </c>
      <c r="H7338" s="8">
        <v>729</v>
      </c>
      <c r="I7338" s="8">
        <v>5276</v>
      </c>
    </row>
    <row r="7339" spans="1:9" x14ac:dyDescent="0.2">
      <c r="A7339" t="s">
        <v>1531</v>
      </c>
      <c r="B7339" t="s">
        <v>1560</v>
      </c>
      <c r="C7339" t="str">
        <f t="shared" ref="C7339:C7347" si="362">"41690210000000"</f>
        <v>41690210000000</v>
      </c>
      <c r="D7339" t="s">
        <v>8334</v>
      </c>
      <c r="E7339" t="str">
        <f>"41690216044754"</f>
        <v>41690216044754</v>
      </c>
      <c r="F7339" s="8">
        <v>18</v>
      </c>
      <c r="G7339" s="8">
        <v>13236</v>
      </c>
      <c r="H7339" s="8">
        <v>375</v>
      </c>
      <c r="I7339" s="8">
        <v>2950</v>
      </c>
    </row>
    <row r="7340" spans="1:9" x14ac:dyDescent="0.2">
      <c r="A7340" t="s">
        <v>1531</v>
      </c>
      <c r="B7340" t="s">
        <v>1560</v>
      </c>
      <c r="C7340" t="str">
        <f t="shared" si="362"/>
        <v>41690210000000</v>
      </c>
      <c r="D7340" t="s">
        <v>8335</v>
      </c>
      <c r="E7340" t="str">
        <f>"41690216044739"</f>
        <v>41690216044739</v>
      </c>
      <c r="F7340" s="8">
        <v>31</v>
      </c>
      <c r="G7340" s="8">
        <v>10443</v>
      </c>
      <c r="H7340" s="8">
        <v>375</v>
      </c>
      <c r="I7340" s="8">
        <v>2950</v>
      </c>
    </row>
    <row r="7341" spans="1:9" x14ac:dyDescent="0.2">
      <c r="A7341" t="s">
        <v>1531</v>
      </c>
      <c r="B7341" t="s">
        <v>1560</v>
      </c>
      <c r="C7341" t="str">
        <f t="shared" si="362"/>
        <v>41690210000000</v>
      </c>
      <c r="D7341" t="s">
        <v>8336</v>
      </c>
      <c r="E7341" t="str">
        <f>"41690216044788"</f>
        <v>41690216044788</v>
      </c>
      <c r="F7341" s="8">
        <v>0</v>
      </c>
      <c r="G7341" s="8">
        <v>10448</v>
      </c>
      <c r="H7341" s="8">
        <v>375</v>
      </c>
      <c r="I7341" s="8">
        <v>2950</v>
      </c>
    </row>
    <row r="7342" spans="1:9" x14ac:dyDescent="0.2">
      <c r="A7342" t="s">
        <v>1531</v>
      </c>
      <c r="B7342" t="s">
        <v>1560</v>
      </c>
      <c r="C7342" t="str">
        <f t="shared" si="362"/>
        <v>41690210000000</v>
      </c>
      <c r="D7342" t="s">
        <v>8337</v>
      </c>
      <c r="E7342" t="str">
        <f>"41690216044721"</f>
        <v>41690216044721</v>
      </c>
      <c r="F7342" s="8">
        <v>25</v>
      </c>
      <c r="G7342" s="8">
        <v>9320</v>
      </c>
      <c r="H7342" s="8">
        <v>375</v>
      </c>
      <c r="I7342" s="8">
        <v>2950</v>
      </c>
    </row>
    <row r="7343" spans="1:9" x14ac:dyDescent="0.2">
      <c r="A7343" t="s">
        <v>1531</v>
      </c>
      <c r="B7343" t="s">
        <v>1560</v>
      </c>
      <c r="C7343" t="str">
        <f t="shared" si="362"/>
        <v>41690210000000</v>
      </c>
      <c r="D7343" t="s">
        <v>2428</v>
      </c>
      <c r="E7343" t="str">
        <f>"41690216044747"</f>
        <v>41690216044747</v>
      </c>
      <c r="F7343" s="8">
        <v>0</v>
      </c>
      <c r="G7343" s="8">
        <v>9163</v>
      </c>
      <c r="H7343" s="8">
        <v>375</v>
      </c>
      <c r="I7343" s="8">
        <v>2950</v>
      </c>
    </row>
    <row r="7344" spans="1:9" x14ac:dyDescent="0.2">
      <c r="A7344" t="s">
        <v>1531</v>
      </c>
      <c r="B7344" t="s">
        <v>1560</v>
      </c>
      <c r="C7344" t="str">
        <f t="shared" si="362"/>
        <v>41690210000000</v>
      </c>
      <c r="D7344" t="s">
        <v>8338</v>
      </c>
      <c r="E7344" t="str">
        <f>"41690210126961"</f>
        <v>41690210126961</v>
      </c>
      <c r="F7344" s="8">
        <v>796</v>
      </c>
      <c r="G7344" s="8">
        <v>8218</v>
      </c>
      <c r="H7344" s="8">
        <v>375</v>
      </c>
      <c r="I7344" s="8">
        <v>2950</v>
      </c>
    </row>
    <row r="7345" spans="1:9" x14ac:dyDescent="0.2">
      <c r="A7345" t="s">
        <v>1531</v>
      </c>
      <c r="B7345" t="s">
        <v>1560</v>
      </c>
      <c r="C7345" t="str">
        <f t="shared" si="362"/>
        <v>41690210000000</v>
      </c>
      <c r="D7345" t="s">
        <v>8339</v>
      </c>
      <c r="E7345" t="str">
        <f>"41690216044770"</f>
        <v>41690216044770</v>
      </c>
      <c r="F7345" s="8">
        <v>19</v>
      </c>
      <c r="G7345" s="8">
        <v>8878</v>
      </c>
      <c r="H7345" s="8">
        <v>375</v>
      </c>
      <c r="I7345" s="8">
        <v>2950</v>
      </c>
    </row>
    <row r="7346" spans="1:9" x14ac:dyDescent="0.2">
      <c r="A7346" t="s">
        <v>1531</v>
      </c>
      <c r="B7346" t="s">
        <v>1560</v>
      </c>
      <c r="C7346" t="str">
        <f t="shared" si="362"/>
        <v>41690210000000</v>
      </c>
      <c r="D7346" t="s">
        <v>8340</v>
      </c>
      <c r="E7346" t="str">
        <f>"41690210133645"</f>
        <v>41690210133645</v>
      </c>
      <c r="F7346" s="8">
        <v>0</v>
      </c>
      <c r="G7346" s="8">
        <v>7829</v>
      </c>
      <c r="H7346" s="8">
        <v>375</v>
      </c>
      <c r="I7346" s="8">
        <v>2950</v>
      </c>
    </row>
    <row r="7347" spans="1:9" x14ac:dyDescent="0.2">
      <c r="A7347" t="s">
        <v>1531</v>
      </c>
      <c r="B7347" t="s">
        <v>1560</v>
      </c>
      <c r="C7347" t="str">
        <f t="shared" si="362"/>
        <v>41690210000000</v>
      </c>
      <c r="D7347" t="s">
        <v>877</v>
      </c>
      <c r="E7347" t="str">
        <f>"41690210138685"</f>
        <v>41690210138685</v>
      </c>
      <c r="F7347" s="8">
        <v>9</v>
      </c>
      <c r="G7347" s="8">
        <v>7232</v>
      </c>
      <c r="H7347" s="8">
        <v>375</v>
      </c>
      <c r="I7347" s="8">
        <v>2950</v>
      </c>
    </row>
    <row r="7348" spans="1:9" x14ac:dyDescent="0.2">
      <c r="A7348" t="s">
        <v>1531</v>
      </c>
      <c r="B7348" t="s">
        <v>1561</v>
      </c>
      <c r="C7348" t="str">
        <f>"41104130000000"</f>
        <v>41104130000000</v>
      </c>
      <c r="D7348" t="s">
        <v>8341</v>
      </c>
      <c r="E7348" t="str">
        <f>"41104130128652"</f>
        <v>41104130128652</v>
      </c>
      <c r="F7348" s="8">
        <v>0</v>
      </c>
      <c r="G7348" s="8">
        <v>121730</v>
      </c>
      <c r="H7348" s="8">
        <v>0</v>
      </c>
      <c r="I7348" s="8">
        <v>48369</v>
      </c>
    </row>
    <row r="7349" spans="1:9" x14ac:dyDescent="0.2">
      <c r="A7349" t="s">
        <v>1531</v>
      </c>
      <c r="B7349" t="s">
        <v>1561</v>
      </c>
      <c r="C7349" t="str">
        <f>"41104130000000"</f>
        <v>41104130000000</v>
      </c>
      <c r="D7349" t="s">
        <v>8342</v>
      </c>
      <c r="E7349" t="str">
        <f>"41104130113332"</f>
        <v>41104130113332</v>
      </c>
      <c r="F7349" s="8">
        <v>0</v>
      </c>
      <c r="G7349" s="8">
        <v>107113</v>
      </c>
      <c r="H7349" s="8">
        <v>0</v>
      </c>
      <c r="I7349" s="8">
        <v>48369</v>
      </c>
    </row>
    <row r="7350" spans="1:9" x14ac:dyDescent="0.2">
      <c r="A7350" t="s">
        <v>1531</v>
      </c>
      <c r="B7350" t="s">
        <v>1561</v>
      </c>
      <c r="C7350" t="str">
        <f>"41104130000000"</f>
        <v>41104130000000</v>
      </c>
      <c r="D7350" t="s">
        <v>8343</v>
      </c>
      <c r="E7350" t="str">
        <f>"41104134130076"</f>
        <v>41104134130076</v>
      </c>
      <c r="F7350" s="8">
        <v>0</v>
      </c>
      <c r="G7350" s="8">
        <v>87282</v>
      </c>
      <c r="H7350" s="8">
        <v>0</v>
      </c>
      <c r="I7350" s="8">
        <v>48369</v>
      </c>
    </row>
    <row r="7351" spans="1:9" x14ac:dyDescent="0.2">
      <c r="A7351" t="s">
        <v>1531</v>
      </c>
      <c r="B7351" t="s">
        <v>1561</v>
      </c>
      <c r="C7351" t="str">
        <f>"41104130000000"</f>
        <v>41104130000000</v>
      </c>
      <c r="D7351" t="s">
        <v>8344</v>
      </c>
      <c r="E7351" t="str">
        <f>"41104130117143"</f>
        <v>41104130117143</v>
      </c>
      <c r="F7351" s="8">
        <v>0</v>
      </c>
      <c r="G7351" s="8">
        <v>84598</v>
      </c>
      <c r="H7351" s="8">
        <v>0</v>
      </c>
      <c r="I7351" s="8">
        <v>48369</v>
      </c>
    </row>
    <row r="7352" spans="1:9" x14ac:dyDescent="0.2">
      <c r="A7352" t="s">
        <v>1531</v>
      </c>
      <c r="B7352" t="s">
        <v>1561</v>
      </c>
      <c r="C7352" t="str">
        <f>"41104130000000"</f>
        <v>41104130000000</v>
      </c>
      <c r="D7352" t="s">
        <v>8345</v>
      </c>
      <c r="E7352" t="str">
        <f>"41104136069363"</f>
        <v>41104136069363</v>
      </c>
      <c r="F7352" s="8">
        <v>0</v>
      </c>
      <c r="G7352" s="8">
        <v>70101</v>
      </c>
      <c r="H7352" s="8">
        <v>0</v>
      </c>
      <c r="I7352" s="8">
        <v>6652</v>
      </c>
    </row>
    <row r="7353" spans="1:9" x14ac:dyDescent="0.2">
      <c r="A7353" t="s">
        <v>1531</v>
      </c>
      <c r="B7353" t="s">
        <v>1562</v>
      </c>
      <c r="C7353" t="str">
        <f t="shared" ref="C7353:C7360" si="363">"41690470000000"</f>
        <v>41690470000000</v>
      </c>
      <c r="D7353" t="s">
        <v>8346</v>
      </c>
      <c r="E7353" t="str">
        <f>"41690470128165"</f>
        <v>41690470128165</v>
      </c>
      <c r="F7353" s="8">
        <v>1442</v>
      </c>
      <c r="G7353" s="8">
        <v>20032</v>
      </c>
      <c r="H7353" s="8">
        <v>228</v>
      </c>
      <c r="I7353" s="8">
        <v>1910</v>
      </c>
    </row>
    <row r="7354" spans="1:9" x14ac:dyDescent="0.2">
      <c r="A7354" t="s">
        <v>1531</v>
      </c>
      <c r="B7354" t="s">
        <v>1562</v>
      </c>
      <c r="C7354" t="str">
        <f t="shared" si="363"/>
        <v>41690470000000</v>
      </c>
      <c r="D7354" t="s">
        <v>8347</v>
      </c>
      <c r="E7354" t="str">
        <f>"41690470135814"</f>
        <v>41690470135814</v>
      </c>
      <c r="F7354" s="8">
        <v>1442</v>
      </c>
      <c r="G7354" s="8">
        <v>20032</v>
      </c>
      <c r="H7354" s="8">
        <v>228</v>
      </c>
      <c r="I7354" s="8">
        <v>1910</v>
      </c>
    </row>
    <row r="7355" spans="1:9" x14ac:dyDescent="0.2">
      <c r="A7355" t="s">
        <v>1531</v>
      </c>
      <c r="B7355" t="s">
        <v>1562</v>
      </c>
      <c r="C7355" t="str">
        <f t="shared" si="363"/>
        <v>41690470000000</v>
      </c>
      <c r="D7355" t="s">
        <v>8348</v>
      </c>
      <c r="E7355" t="str">
        <f>"41690474130738"</f>
        <v>41690474130738</v>
      </c>
      <c r="F7355" s="8">
        <v>286</v>
      </c>
      <c r="G7355" s="8">
        <v>13830</v>
      </c>
      <c r="H7355" s="8">
        <v>184</v>
      </c>
      <c r="I7355" s="8">
        <v>1885</v>
      </c>
    </row>
    <row r="7356" spans="1:9" x14ac:dyDescent="0.2">
      <c r="A7356" t="s">
        <v>1531</v>
      </c>
      <c r="B7356" t="s">
        <v>1562</v>
      </c>
      <c r="C7356" t="str">
        <f t="shared" si="363"/>
        <v>41690470000000</v>
      </c>
      <c r="D7356" t="s">
        <v>8349</v>
      </c>
      <c r="E7356" t="str">
        <f>"41690474134557"</f>
        <v>41690474134557</v>
      </c>
      <c r="F7356" s="8">
        <v>218</v>
      </c>
      <c r="G7356" s="8">
        <v>13845</v>
      </c>
      <c r="H7356" s="8">
        <v>173</v>
      </c>
      <c r="I7356" s="8">
        <v>1880</v>
      </c>
    </row>
    <row r="7357" spans="1:9" x14ac:dyDescent="0.2">
      <c r="A7357" t="s">
        <v>1531</v>
      </c>
      <c r="B7357" t="s">
        <v>1562</v>
      </c>
      <c r="C7357" t="str">
        <f t="shared" si="363"/>
        <v>41690470000000</v>
      </c>
      <c r="D7357" t="s">
        <v>8350</v>
      </c>
      <c r="E7357" t="str">
        <f>"41690474136370"</f>
        <v>41690474136370</v>
      </c>
      <c r="F7357" s="8">
        <v>234</v>
      </c>
      <c r="G7357" s="8">
        <v>12979</v>
      </c>
      <c r="H7357" s="8">
        <v>142</v>
      </c>
      <c r="I7357" s="8">
        <v>1862</v>
      </c>
    </row>
    <row r="7358" spans="1:9" x14ac:dyDescent="0.2">
      <c r="A7358" t="s">
        <v>1531</v>
      </c>
      <c r="B7358" t="s">
        <v>1562</v>
      </c>
      <c r="C7358" t="str">
        <f t="shared" si="363"/>
        <v>41690470000000</v>
      </c>
      <c r="D7358" t="s">
        <v>8351</v>
      </c>
      <c r="E7358" t="str">
        <f>"41690474133070"</f>
        <v>41690474133070</v>
      </c>
      <c r="F7358" s="8">
        <v>240</v>
      </c>
      <c r="G7358" s="8">
        <v>12849</v>
      </c>
      <c r="H7358" s="8">
        <v>153</v>
      </c>
      <c r="I7358" s="8">
        <v>1868</v>
      </c>
    </row>
    <row r="7359" spans="1:9" x14ac:dyDescent="0.2">
      <c r="A7359" t="s">
        <v>1531</v>
      </c>
      <c r="B7359" t="s">
        <v>1562</v>
      </c>
      <c r="C7359" t="str">
        <f t="shared" si="363"/>
        <v>41690470000000</v>
      </c>
      <c r="D7359" t="s">
        <v>8352</v>
      </c>
      <c r="E7359" t="str">
        <f>"41690474130472"</f>
        <v>41690474130472</v>
      </c>
      <c r="F7359" s="8">
        <v>166</v>
      </c>
      <c r="G7359" s="8">
        <v>12339</v>
      </c>
      <c r="H7359" s="8">
        <v>123</v>
      </c>
      <c r="I7359" s="8">
        <v>1851</v>
      </c>
    </row>
    <row r="7360" spans="1:9" x14ac:dyDescent="0.2">
      <c r="A7360" t="s">
        <v>1531</v>
      </c>
      <c r="B7360" t="s">
        <v>1562</v>
      </c>
      <c r="C7360" t="str">
        <f t="shared" si="363"/>
        <v>41690470000000</v>
      </c>
      <c r="D7360" t="s">
        <v>8353</v>
      </c>
      <c r="E7360" t="str">
        <f>"41690474130217"</f>
        <v>41690474130217</v>
      </c>
      <c r="F7360" s="8">
        <v>160</v>
      </c>
      <c r="G7360" s="8">
        <v>9611</v>
      </c>
      <c r="H7360" s="8">
        <v>140</v>
      </c>
      <c r="I7360" s="8">
        <v>1861</v>
      </c>
    </row>
    <row r="7361" spans="1:9" x14ac:dyDescent="0.2">
      <c r="A7361" t="s">
        <v>1531</v>
      </c>
      <c r="B7361" t="s">
        <v>1563</v>
      </c>
      <c r="C7361" t="str">
        <f t="shared" ref="C7361:C7381" si="364">"41690390000000"</f>
        <v>41690390000000</v>
      </c>
      <c r="D7361" t="s">
        <v>8354</v>
      </c>
      <c r="E7361" t="str">
        <f>"41690390140137"</f>
        <v>41690390140137</v>
      </c>
      <c r="F7361" s="8">
        <v>43</v>
      </c>
      <c r="G7361" s="8">
        <v>14812</v>
      </c>
      <c r="H7361" s="8">
        <v>669</v>
      </c>
      <c r="I7361" s="8">
        <v>4603</v>
      </c>
    </row>
    <row r="7362" spans="1:9" x14ac:dyDescent="0.2">
      <c r="A7362" t="s">
        <v>1531</v>
      </c>
      <c r="B7362" t="s">
        <v>1563</v>
      </c>
      <c r="C7362" t="str">
        <f t="shared" si="364"/>
        <v>41690390000000</v>
      </c>
      <c r="D7362" t="s">
        <v>5938</v>
      </c>
      <c r="E7362" t="str">
        <f>"41690396044952"</f>
        <v>41690396044952</v>
      </c>
      <c r="F7362" s="8">
        <v>143</v>
      </c>
      <c r="G7362" s="8">
        <v>12587</v>
      </c>
      <c r="H7362" s="8">
        <v>669</v>
      </c>
      <c r="I7362" s="8">
        <v>4603</v>
      </c>
    </row>
    <row r="7363" spans="1:9" x14ac:dyDescent="0.2">
      <c r="A7363" t="s">
        <v>1531</v>
      </c>
      <c r="B7363" t="s">
        <v>1563</v>
      </c>
      <c r="C7363" t="str">
        <f t="shared" si="364"/>
        <v>41690390000000</v>
      </c>
      <c r="D7363" t="s">
        <v>8355</v>
      </c>
      <c r="E7363" t="str">
        <f>"41690396044960"</f>
        <v>41690396044960</v>
      </c>
      <c r="F7363" s="8">
        <v>1245</v>
      </c>
      <c r="G7363" s="8">
        <v>11207</v>
      </c>
      <c r="H7363" s="8">
        <v>669</v>
      </c>
      <c r="I7363" s="8">
        <v>4603</v>
      </c>
    </row>
    <row r="7364" spans="1:9" x14ac:dyDescent="0.2">
      <c r="A7364" t="s">
        <v>1531</v>
      </c>
      <c r="B7364" t="s">
        <v>1563</v>
      </c>
      <c r="C7364" t="str">
        <f t="shared" si="364"/>
        <v>41690390000000</v>
      </c>
      <c r="D7364" t="s">
        <v>8356</v>
      </c>
      <c r="E7364" t="str">
        <f>"41690396045017"</f>
        <v>41690396045017</v>
      </c>
      <c r="F7364" s="8">
        <v>1422</v>
      </c>
      <c r="G7364" s="8">
        <v>10951</v>
      </c>
      <c r="H7364" s="8">
        <v>669</v>
      </c>
      <c r="I7364" s="8">
        <v>4603</v>
      </c>
    </row>
    <row r="7365" spans="1:9" x14ac:dyDescent="0.2">
      <c r="A7365" t="s">
        <v>1531</v>
      </c>
      <c r="B7365" t="s">
        <v>1563</v>
      </c>
      <c r="C7365" t="str">
        <f t="shared" si="364"/>
        <v>41690390000000</v>
      </c>
      <c r="D7365" t="s">
        <v>8357</v>
      </c>
      <c r="E7365" t="str">
        <f>"41690396044804"</f>
        <v>41690396044804</v>
      </c>
      <c r="F7365" s="8">
        <v>1387</v>
      </c>
      <c r="G7365" s="8">
        <v>10802</v>
      </c>
      <c r="H7365" s="8">
        <v>669</v>
      </c>
      <c r="I7365" s="8">
        <v>4603</v>
      </c>
    </row>
    <row r="7366" spans="1:9" x14ac:dyDescent="0.2">
      <c r="A7366" t="s">
        <v>1531</v>
      </c>
      <c r="B7366" t="s">
        <v>1563</v>
      </c>
      <c r="C7366" t="str">
        <f t="shared" si="364"/>
        <v>41690390000000</v>
      </c>
      <c r="D7366" t="s">
        <v>8358</v>
      </c>
      <c r="E7366" t="str">
        <f>"41690396044994"</f>
        <v>41690396044994</v>
      </c>
      <c r="F7366" s="8">
        <v>1222</v>
      </c>
      <c r="G7366" s="8">
        <v>10488</v>
      </c>
      <c r="H7366" s="8">
        <v>669</v>
      </c>
      <c r="I7366" s="8">
        <v>4603</v>
      </c>
    </row>
    <row r="7367" spans="1:9" x14ac:dyDescent="0.2">
      <c r="A7367" t="s">
        <v>1531</v>
      </c>
      <c r="B7367" t="s">
        <v>1563</v>
      </c>
      <c r="C7367" t="str">
        <f t="shared" si="364"/>
        <v>41690390000000</v>
      </c>
      <c r="D7367" t="s">
        <v>8359</v>
      </c>
      <c r="E7367" t="str">
        <f>"41690396044903"</f>
        <v>41690396044903</v>
      </c>
      <c r="F7367" s="8">
        <v>1097</v>
      </c>
      <c r="G7367" s="8">
        <v>10517</v>
      </c>
      <c r="H7367" s="8">
        <v>669</v>
      </c>
      <c r="I7367" s="8">
        <v>4603</v>
      </c>
    </row>
    <row r="7368" spans="1:9" x14ac:dyDescent="0.2">
      <c r="A7368" t="s">
        <v>1531</v>
      </c>
      <c r="B7368" t="s">
        <v>1563</v>
      </c>
      <c r="C7368" t="str">
        <f t="shared" si="364"/>
        <v>41690390000000</v>
      </c>
      <c r="D7368" t="s">
        <v>8360</v>
      </c>
      <c r="E7368" t="str">
        <f>"41690396044978"</f>
        <v>41690396044978</v>
      </c>
      <c r="F7368" s="8">
        <v>653</v>
      </c>
      <c r="G7368" s="8">
        <v>10252</v>
      </c>
      <c r="H7368" s="8">
        <v>669</v>
      </c>
      <c r="I7368" s="8">
        <v>4669</v>
      </c>
    </row>
    <row r="7369" spans="1:9" x14ac:dyDescent="0.2">
      <c r="A7369" t="s">
        <v>1531</v>
      </c>
      <c r="B7369" t="s">
        <v>1563</v>
      </c>
      <c r="C7369" t="str">
        <f t="shared" si="364"/>
        <v>41690390000000</v>
      </c>
      <c r="D7369" t="s">
        <v>8361</v>
      </c>
      <c r="E7369" t="str">
        <f>"41690396044887"</f>
        <v>41690396044887</v>
      </c>
      <c r="F7369" s="8">
        <v>842</v>
      </c>
      <c r="G7369" s="8">
        <v>10107</v>
      </c>
      <c r="H7369" s="8">
        <v>669</v>
      </c>
      <c r="I7369" s="8">
        <v>4603</v>
      </c>
    </row>
    <row r="7370" spans="1:9" x14ac:dyDescent="0.2">
      <c r="A7370" t="s">
        <v>1531</v>
      </c>
      <c r="B7370" t="s">
        <v>1563</v>
      </c>
      <c r="C7370" t="str">
        <f t="shared" si="364"/>
        <v>41690390000000</v>
      </c>
      <c r="D7370" t="s">
        <v>8362</v>
      </c>
      <c r="E7370" t="str">
        <f>"41690396044986"</f>
        <v>41690396044986</v>
      </c>
      <c r="F7370" s="8">
        <v>858</v>
      </c>
      <c r="G7370" s="8">
        <v>9126</v>
      </c>
      <c r="H7370" s="8">
        <v>669</v>
      </c>
      <c r="I7370" s="8">
        <v>4603</v>
      </c>
    </row>
    <row r="7371" spans="1:9" x14ac:dyDescent="0.2">
      <c r="A7371" t="s">
        <v>1531</v>
      </c>
      <c r="B7371" t="s">
        <v>1563</v>
      </c>
      <c r="C7371" t="str">
        <f t="shared" si="364"/>
        <v>41690390000000</v>
      </c>
      <c r="D7371" t="s">
        <v>8363</v>
      </c>
      <c r="E7371" t="str">
        <f>"41690396044846"</f>
        <v>41690396044846</v>
      </c>
      <c r="F7371" s="8">
        <v>435</v>
      </c>
      <c r="G7371" s="8">
        <v>9493</v>
      </c>
      <c r="H7371" s="8">
        <v>669</v>
      </c>
      <c r="I7371" s="8">
        <v>4603</v>
      </c>
    </row>
    <row r="7372" spans="1:9" x14ac:dyDescent="0.2">
      <c r="A7372" t="s">
        <v>1531</v>
      </c>
      <c r="B7372" t="s">
        <v>1563</v>
      </c>
      <c r="C7372" t="str">
        <f t="shared" si="364"/>
        <v>41690390000000</v>
      </c>
      <c r="D7372" t="s">
        <v>8364</v>
      </c>
      <c r="E7372" t="str">
        <f>"41690396112650"</f>
        <v>41690396112650</v>
      </c>
      <c r="F7372" s="8">
        <v>307</v>
      </c>
      <c r="G7372" s="8">
        <v>9613</v>
      </c>
      <c r="H7372" s="8">
        <v>669</v>
      </c>
      <c r="I7372" s="8">
        <v>4603</v>
      </c>
    </row>
    <row r="7373" spans="1:9" x14ac:dyDescent="0.2">
      <c r="A7373" t="s">
        <v>1531</v>
      </c>
      <c r="B7373" t="s">
        <v>1563</v>
      </c>
      <c r="C7373" t="str">
        <f t="shared" si="364"/>
        <v>41690390000000</v>
      </c>
      <c r="D7373" t="s">
        <v>8244</v>
      </c>
      <c r="E7373" t="str">
        <f>"41690396044838"</f>
        <v>41690396044838</v>
      </c>
      <c r="F7373" s="8">
        <v>247</v>
      </c>
      <c r="G7373" s="8">
        <v>9600</v>
      </c>
      <c r="H7373" s="8">
        <v>669</v>
      </c>
      <c r="I7373" s="8">
        <v>4603</v>
      </c>
    </row>
    <row r="7374" spans="1:9" x14ac:dyDescent="0.2">
      <c r="A7374" t="s">
        <v>1531</v>
      </c>
      <c r="B7374" t="s">
        <v>1563</v>
      </c>
      <c r="C7374" t="str">
        <f t="shared" si="364"/>
        <v>41690390000000</v>
      </c>
      <c r="D7374" t="s">
        <v>8365</v>
      </c>
      <c r="E7374" t="str">
        <f>"41690390136242"</f>
        <v>41690390136242</v>
      </c>
      <c r="F7374" s="8">
        <v>665</v>
      </c>
      <c r="G7374" s="8">
        <v>8926</v>
      </c>
      <c r="H7374" s="8">
        <v>669</v>
      </c>
      <c r="I7374" s="8">
        <v>4669</v>
      </c>
    </row>
    <row r="7375" spans="1:9" x14ac:dyDescent="0.2">
      <c r="A7375" t="s">
        <v>1531</v>
      </c>
      <c r="B7375" t="s">
        <v>1563</v>
      </c>
      <c r="C7375" t="str">
        <f t="shared" si="364"/>
        <v>41690390000000</v>
      </c>
      <c r="D7375" t="s">
        <v>8366</v>
      </c>
      <c r="E7375" t="str">
        <f>"41690396044796"</f>
        <v>41690396044796</v>
      </c>
      <c r="F7375" s="8">
        <v>722</v>
      </c>
      <c r="G7375" s="8">
        <v>8794</v>
      </c>
      <c r="H7375" s="8">
        <v>668</v>
      </c>
      <c r="I7375" s="8">
        <v>4667</v>
      </c>
    </row>
    <row r="7376" spans="1:9" x14ac:dyDescent="0.2">
      <c r="A7376" t="s">
        <v>1531</v>
      </c>
      <c r="B7376" t="s">
        <v>1563</v>
      </c>
      <c r="C7376" t="str">
        <f t="shared" si="364"/>
        <v>41690390000000</v>
      </c>
      <c r="D7376" t="s">
        <v>2297</v>
      </c>
      <c r="E7376" t="str">
        <f>"41690396044945"</f>
        <v>41690396044945</v>
      </c>
      <c r="F7376" s="8">
        <v>599</v>
      </c>
      <c r="G7376" s="8">
        <v>8708</v>
      </c>
      <c r="H7376" s="8">
        <v>669</v>
      </c>
      <c r="I7376" s="8">
        <v>4603</v>
      </c>
    </row>
    <row r="7377" spans="1:9" x14ac:dyDescent="0.2">
      <c r="A7377" t="s">
        <v>1531</v>
      </c>
      <c r="B7377" t="s">
        <v>1563</v>
      </c>
      <c r="C7377" t="str">
        <f t="shared" si="364"/>
        <v>41690390000000</v>
      </c>
      <c r="D7377" t="s">
        <v>8367</v>
      </c>
      <c r="E7377" t="str">
        <f>"41690396044812"</f>
        <v>41690396044812</v>
      </c>
      <c r="F7377" s="8">
        <v>409</v>
      </c>
      <c r="G7377" s="8">
        <v>8617</v>
      </c>
      <c r="H7377" s="8">
        <v>669</v>
      </c>
      <c r="I7377" s="8">
        <v>4603</v>
      </c>
    </row>
    <row r="7378" spans="1:9" x14ac:dyDescent="0.2">
      <c r="A7378" t="s">
        <v>1531</v>
      </c>
      <c r="B7378" t="s">
        <v>1563</v>
      </c>
      <c r="C7378" t="str">
        <f t="shared" si="364"/>
        <v>41690390000000</v>
      </c>
      <c r="D7378" t="s">
        <v>8368</v>
      </c>
      <c r="E7378" t="str">
        <f>"41690396044853"</f>
        <v>41690396044853</v>
      </c>
      <c r="F7378" s="8">
        <v>322</v>
      </c>
      <c r="G7378" s="8">
        <v>8318</v>
      </c>
      <c r="H7378" s="8">
        <v>668</v>
      </c>
      <c r="I7378" s="8">
        <v>4667</v>
      </c>
    </row>
    <row r="7379" spans="1:9" x14ac:dyDescent="0.2">
      <c r="A7379" t="s">
        <v>1531</v>
      </c>
      <c r="B7379" t="s">
        <v>1563</v>
      </c>
      <c r="C7379" t="str">
        <f t="shared" si="364"/>
        <v>41690390000000</v>
      </c>
      <c r="D7379" t="s">
        <v>2589</v>
      </c>
      <c r="E7379" t="str">
        <f>"41690396044911"</f>
        <v>41690396044911</v>
      </c>
      <c r="F7379" s="8">
        <v>595</v>
      </c>
      <c r="G7379" s="8">
        <v>7887</v>
      </c>
      <c r="H7379" s="8">
        <v>669</v>
      </c>
      <c r="I7379" s="8">
        <v>4603</v>
      </c>
    </row>
    <row r="7380" spans="1:9" x14ac:dyDescent="0.2">
      <c r="A7380" t="s">
        <v>1531</v>
      </c>
      <c r="B7380" t="s">
        <v>1563</v>
      </c>
      <c r="C7380" t="str">
        <f t="shared" si="364"/>
        <v>41690390000000</v>
      </c>
      <c r="D7380" t="s">
        <v>8369</v>
      </c>
      <c r="E7380" t="str">
        <f>"41690396044895"</f>
        <v>41690396044895</v>
      </c>
      <c r="F7380" s="8">
        <v>505</v>
      </c>
      <c r="G7380" s="8">
        <v>7822</v>
      </c>
      <c r="H7380" s="8">
        <v>669</v>
      </c>
      <c r="I7380" s="8">
        <v>4603</v>
      </c>
    </row>
    <row r="7381" spans="1:9" x14ac:dyDescent="0.2">
      <c r="A7381" t="s">
        <v>1531</v>
      </c>
      <c r="B7381" t="s">
        <v>1563</v>
      </c>
      <c r="C7381" t="str">
        <f t="shared" si="364"/>
        <v>41690390000000</v>
      </c>
      <c r="D7381" t="s">
        <v>8370</v>
      </c>
      <c r="E7381" t="str">
        <f>"41690396044861"</f>
        <v>41690396044861</v>
      </c>
      <c r="F7381" s="8">
        <v>361</v>
      </c>
      <c r="G7381" s="8">
        <v>7812</v>
      </c>
      <c r="H7381" s="8">
        <v>668</v>
      </c>
      <c r="I7381" s="8">
        <v>4667</v>
      </c>
    </row>
    <row r="7382" spans="1:9" x14ac:dyDescent="0.2">
      <c r="A7382" t="s">
        <v>1531</v>
      </c>
      <c r="B7382" t="s">
        <v>1564</v>
      </c>
      <c r="C7382" t="str">
        <f t="shared" ref="C7382:C7387" si="365">"41690620000000"</f>
        <v>41690620000000</v>
      </c>
      <c r="D7382" t="s">
        <v>8371</v>
      </c>
      <c r="E7382" t="str">
        <f>"41690620138420"</f>
        <v>41690620138420</v>
      </c>
      <c r="F7382" s="8">
        <v>297</v>
      </c>
      <c r="G7382" s="8">
        <v>24108</v>
      </c>
      <c r="H7382" s="8">
        <v>381</v>
      </c>
      <c r="I7382" s="8">
        <v>1955</v>
      </c>
    </row>
    <row r="7383" spans="1:9" x14ac:dyDescent="0.2">
      <c r="A7383" t="s">
        <v>1531</v>
      </c>
      <c r="B7383" t="s">
        <v>1564</v>
      </c>
      <c r="C7383" t="str">
        <f t="shared" si="365"/>
        <v>41690620000000</v>
      </c>
      <c r="D7383" t="s">
        <v>5344</v>
      </c>
      <c r="E7383" t="str">
        <f>"41690624135687"</f>
        <v>41690624135687</v>
      </c>
      <c r="F7383" s="8">
        <v>1403</v>
      </c>
      <c r="G7383" s="8">
        <v>18988</v>
      </c>
      <c r="H7383" s="8">
        <v>381</v>
      </c>
      <c r="I7383" s="8">
        <v>1955</v>
      </c>
    </row>
    <row r="7384" spans="1:9" x14ac:dyDescent="0.2">
      <c r="A7384" t="s">
        <v>1531</v>
      </c>
      <c r="B7384" t="s">
        <v>1564</v>
      </c>
      <c r="C7384" t="str">
        <f t="shared" si="365"/>
        <v>41690620000000</v>
      </c>
      <c r="D7384" t="s">
        <v>8372</v>
      </c>
      <c r="E7384" t="str">
        <f>"41690624138053"</f>
        <v>41690624138053</v>
      </c>
      <c r="F7384" s="8">
        <v>841</v>
      </c>
      <c r="G7384" s="8">
        <v>13836</v>
      </c>
      <c r="H7384" s="8">
        <v>381</v>
      </c>
      <c r="I7384" s="8">
        <v>1955</v>
      </c>
    </row>
    <row r="7385" spans="1:9" x14ac:dyDescent="0.2">
      <c r="A7385" t="s">
        <v>1531</v>
      </c>
      <c r="B7385" t="s">
        <v>1564</v>
      </c>
      <c r="C7385" t="str">
        <f t="shared" si="365"/>
        <v>41690620000000</v>
      </c>
      <c r="D7385" t="s">
        <v>5486</v>
      </c>
      <c r="E7385" t="str">
        <f>"41690624136693"</f>
        <v>41690624136693</v>
      </c>
      <c r="F7385" s="8">
        <v>710</v>
      </c>
      <c r="G7385" s="8">
        <v>13286</v>
      </c>
      <c r="H7385" s="8">
        <v>381</v>
      </c>
      <c r="I7385" s="8">
        <v>1955</v>
      </c>
    </row>
    <row r="7386" spans="1:9" x14ac:dyDescent="0.2">
      <c r="A7386" t="s">
        <v>1531</v>
      </c>
      <c r="B7386" t="s">
        <v>1564</v>
      </c>
      <c r="C7386" t="str">
        <f t="shared" si="365"/>
        <v>41690620000000</v>
      </c>
      <c r="D7386" t="s">
        <v>8373</v>
      </c>
      <c r="E7386" t="str">
        <f>"41690624133716"</f>
        <v>41690624133716</v>
      </c>
      <c r="F7386" s="8">
        <v>526</v>
      </c>
      <c r="G7386" s="8">
        <v>12849</v>
      </c>
      <c r="H7386" s="8">
        <v>381</v>
      </c>
      <c r="I7386" s="8">
        <v>1955</v>
      </c>
    </row>
    <row r="7387" spans="1:9" x14ac:dyDescent="0.2">
      <c r="A7387" t="s">
        <v>1531</v>
      </c>
      <c r="B7387" t="s">
        <v>1564</v>
      </c>
      <c r="C7387" t="str">
        <f t="shared" si="365"/>
        <v>41690620000000</v>
      </c>
      <c r="D7387" t="s">
        <v>8374</v>
      </c>
      <c r="E7387" t="str">
        <f>"41690624130993"</f>
        <v>41690624130993</v>
      </c>
      <c r="F7387" s="8">
        <v>352</v>
      </c>
      <c r="G7387" s="8">
        <v>11398</v>
      </c>
      <c r="H7387" s="8">
        <v>381</v>
      </c>
      <c r="I7387" s="8">
        <v>1955</v>
      </c>
    </row>
    <row r="7388" spans="1:9" x14ac:dyDescent="0.2">
      <c r="A7388" t="s">
        <v>1531</v>
      </c>
      <c r="B7388" t="s">
        <v>1565</v>
      </c>
      <c r="C7388" t="str">
        <f t="shared" ref="C7388:C7404" si="366">"41690700000000"</f>
        <v>41690700000000</v>
      </c>
      <c r="D7388" t="s">
        <v>2248</v>
      </c>
      <c r="E7388" t="str">
        <f>"41690700127563"</f>
        <v>41690700127563</v>
      </c>
      <c r="F7388" s="8">
        <v>0</v>
      </c>
      <c r="G7388" s="8">
        <v>69080</v>
      </c>
      <c r="H7388" s="8">
        <v>975</v>
      </c>
      <c r="I7388" s="8">
        <v>4660</v>
      </c>
    </row>
    <row r="7389" spans="1:9" x14ac:dyDescent="0.2">
      <c r="A7389" t="s">
        <v>1531</v>
      </c>
      <c r="B7389" t="s">
        <v>1565</v>
      </c>
      <c r="C7389" t="str">
        <f t="shared" si="366"/>
        <v>41690700000000</v>
      </c>
      <c r="D7389" t="s">
        <v>8375</v>
      </c>
      <c r="E7389" t="str">
        <f>"41690704130324"</f>
        <v>41690704130324</v>
      </c>
      <c r="F7389" s="8">
        <v>0</v>
      </c>
      <c r="G7389" s="8">
        <v>10865</v>
      </c>
      <c r="H7389" s="8">
        <v>975</v>
      </c>
      <c r="I7389" s="8">
        <v>4660</v>
      </c>
    </row>
    <row r="7390" spans="1:9" x14ac:dyDescent="0.2">
      <c r="A7390" t="s">
        <v>1531</v>
      </c>
      <c r="B7390" t="s">
        <v>1565</v>
      </c>
      <c r="C7390" t="str">
        <f t="shared" si="366"/>
        <v>41690700000000</v>
      </c>
      <c r="D7390" t="s">
        <v>4071</v>
      </c>
      <c r="E7390" t="str">
        <f>"41690706045082"</f>
        <v>41690706045082</v>
      </c>
      <c r="F7390" s="8">
        <v>1443</v>
      </c>
      <c r="G7390" s="8">
        <v>9129</v>
      </c>
      <c r="H7390" s="8">
        <v>975</v>
      </c>
      <c r="I7390" s="8">
        <v>4660</v>
      </c>
    </row>
    <row r="7391" spans="1:9" x14ac:dyDescent="0.2">
      <c r="A7391" t="s">
        <v>1531</v>
      </c>
      <c r="B7391" t="s">
        <v>1565</v>
      </c>
      <c r="C7391" t="str">
        <f t="shared" si="366"/>
        <v>41690700000000</v>
      </c>
      <c r="D7391" t="s">
        <v>8376</v>
      </c>
      <c r="E7391" t="str">
        <f>"41690706068282"</f>
        <v>41690706068282</v>
      </c>
      <c r="F7391" s="8">
        <v>1793</v>
      </c>
      <c r="G7391" s="8">
        <v>8293</v>
      </c>
      <c r="H7391" s="8">
        <v>975</v>
      </c>
      <c r="I7391" s="8">
        <v>4660</v>
      </c>
    </row>
    <row r="7392" spans="1:9" x14ac:dyDescent="0.2">
      <c r="A7392" t="s">
        <v>1531</v>
      </c>
      <c r="B7392" t="s">
        <v>1565</v>
      </c>
      <c r="C7392" t="str">
        <f t="shared" si="366"/>
        <v>41690700000000</v>
      </c>
      <c r="D7392" t="s">
        <v>8377</v>
      </c>
      <c r="E7392" t="str">
        <f>"41690706059984"</f>
        <v>41690706059984</v>
      </c>
      <c r="F7392" s="8">
        <v>1090</v>
      </c>
      <c r="G7392" s="8">
        <v>8627</v>
      </c>
      <c r="H7392" s="8">
        <v>975</v>
      </c>
      <c r="I7392" s="8">
        <v>4660</v>
      </c>
    </row>
    <row r="7393" spans="1:9" x14ac:dyDescent="0.2">
      <c r="A7393" t="s">
        <v>1531</v>
      </c>
      <c r="B7393" t="s">
        <v>1565</v>
      </c>
      <c r="C7393" t="str">
        <f t="shared" si="366"/>
        <v>41690700000000</v>
      </c>
      <c r="D7393" t="s">
        <v>5713</v>
      </c>
      <c r="E7393" t="str">
        <f>"41690706045116"</f>
        <v>41690706045116</v>
      </c>
      <c r="F7393" s="8">
        <v>1532</v>
      </c>
      <c r="G7393" s="8">
        <v>8118</v>
      </c>
      <c r="H7393" s="8">
        <v>975</v>
      </c>
      <c r="I7393" s="8">
        <v>4660</v>
      </c>
    </row>
    <row r="7394" spans="1:9" x14ac:dyDescent="0.2">
      <c r="A7394" t="s">
        <v>1531</v>
      </c>
      <c r="B7394" t="s">
        <v>1565</v>
      </c>
      <c r="C7394" t="str">
        <f t="shared" si="366"/>
        <v>41690700000000</v>
      </c>
      <c r="D7394" t="s">
        <v>8378</v>
      </c>
      <c r="E7394" t="str">
        <f>"41690706067128"</f>
        <v>41690706067128</v>
      </c>
      <c r="F7394" s="8">
        <v>1072</v>
      </c>
      <c r="G7394" s="8">
        <v>8321</v>
      </c>
      <c r="H7394" s="8">
        <v>975</v>
      </c>
      <c r="I7394" s="8">
        <v>4660</v>
      </c>
    </row>
    <row r="7395" spans="1:9" x14ac:dyDescent="0.2">
      <c r="A7395" t="s">
        <v>1531</v>
      </c>
      <c r="B7395" t="s">
        <v>1565</v>
      </c>
      <c r="C7395" t="str">
        <f t="shared" si="366"/>
        <v>41690700000000</v>
      </c>
      <c r="D7395" t="s">
        <v>8379</v>
      </c>
      <c r="E7395" t="str">
        <f>"41690706045157"</f>
        <v>41690706045157</v>
      </c>
      <c r="F7395" s="8">
        <v>762</v>
      </c>
      <c r="G7395" s="8">
        <v>8447</v>
      </c>
      <c r="H7395" s="8">
        <v>975</v>
      </c>
      <c r="I7395" s="8">
        <v>4660</v>
      </c>
    </row>
    <row r="7396" spans="1:9" x14ac:dyDescent="0.2">
      <c r="A7396" t="s">
        <v>1531</v>
      </c>
      <c r="B7396" t="s">
        <v>1565</v>
      </c>
      <c r="C7396" t="str">
        <f t="shared" si="366"/>
        <v>41690700000000</v>
      </c>
      <c r="D7396" t="s">
        <v>8380</v>
      </c>
      <c r="E7396" t="str">
        <f>"41690706045140"</f>
        <v>41690706045140</v>
      </c>
      <c r="F7396" s="8">
        <v>1055</v>
      </c>
      <c r="G7396" s="8">
        <v>7729</v>
      </c>
      <c r="H7396" s="8">
        <v>975</v>
      </c>
      <c r="I7396" s="8">
        <v>4660</v>
      </c>
    </row>
    <row r="7397" spans="1:9" x14ac:dyDescent="0.2">
      <c r="A7397" t="s">
        <v>1531</v>
      </c>
      <c r="B7397" t="s">
        <v>1565</v>
      </c>
      <c r="C7397" t="str">
        <f t="shared" si="366"/>
        <v>41690700000000</v>
      </c>
      <c r="D7397" t="s">
        <v>8381</v>
      </c>
      <c r="E7397" t="str">
        <f>"41690704137279"</f>
        <v>41690704137279</v>
      </c>
      <c r="F7397" s="8">
        <v>763</v>
      </c>
      <c r="G7397" s="8">
        <v>7918</v>
      </c>
      <c r="H7397" s="8">
        <v>975</v>
      </c>
      <c r="I7397" s="8">
        <v>4660</v>
      </c>
    </row>
    <row r="7398" spans="1:9" x14ac:dyDescent="0.2">
      <c r="A7398" t="s">
        <v>1531</v>
      </c>
      <c r="B7398" t="s">
        <v>1565</v>
      </c>
      <c r="C7398" t="str">
        <f t="shared" si="366"/>
        <v>41690700000000</v>
      </c>
      <c r="D7398" t="s">
        <v>7649</v>
      </c>
      <c r="E7398" t="str">
        <f>"41690704132551"</f>
        <v>41690704132551</v>
      </c>
      <c r="F7398" s="8">
        <v>398</v>
      </c>
      <c r="G7398" s="8">
        <v>8132</v>
      </c>
      <c r="H7398" s="8">
        <v>975</v>
      </c>
      <c r="I7398" s="8">
        <v>4660</v>
      </c>
    </row>
    <row r="7399" spans="1:9" x14ac:dyDescent="0.2">
      <c r="A7399" t="s">
        <v>1531</v>
      </c>
      <c r="B7399" t="s">
        <v>1565</v>
      </c>
      <c r="C7399" t="str">
        <f t="shared" si="366"/>
        <v>41690700000000</v>
      </c>
      <c r="D7399" t="s">
        <v>8382</v>
      </c>
      <c r="E7399" t="str">
        <f>"41690706059976"</f>
        <v>41690706059976</v>
      </c>
      <c r="F7399" s="8">
        <v>581</v>
      </c>
      <c r="G7399" s="8">
        <v>7631</v>
      </c>
      <c r="H7399" s="8">
        <v>975</v>
      </c>
      <c r="I7399" s="8">
        <v>4660</v>
      </c>
    </row>
    <row r="7400" spans="1:9" x14ac:dyDescent="0.2">
      <c r="A7400" t="s">
        <v>1531</v>
      </c>
      <c r="B7400" t="s">
        <v>1565</v>
      </c>
      <c r="C7400" t="str">
        <f t="shared" si="366"/>
        <v>41690700000000</v>
      </c>
      <c r="D7400" t="s">
        <v>6138</v>
      </c>
      <c r="E7400" t="str">
        <f>"41690706045090"</f>
        <v>41690706045090</v>
      </c>
      <c r="F7400" s="8">
        <v>977</v>
      </c>
      <c r="G7400" s="8">
        <v>7080</v>
      </c>
      <c r="H7400" s="8">
        <v>975</v>
      </c>
      <c r="I7400" s="8">
        <v>4660</v>
      </c>
    </row>
    <row r="7401" spans="1:9" x14ac:dyDescent="0.2">
      <c r="A7401" t="s">
        <v>1531</v>
      </c>
      <c r="B7401" t="s">
        <v>1565</v>
      </c>
      <c r="C7401" t="str">
        <f t="shared" si="366"/>
        <v>41690700000000</v>
      </c>
      <c r="D7401" t="s">
        <v>7873</v>
      </c>
      <c r="E7401" t="str">
        <f>"41690706045132"</f>
        <v>41690706045132</v>
      </c>
      <c r="F7401" s="8">
        <v>331</v>
      </c>
      <c r="G7401" s="8">
        <v>7405</v>
      </c>
      <c r="H7401" s="8">
        <v>975</v>
      </c>
      <c r="I7401" s="8">
        <v>4660</v>
      </c>
    </row>
    <row r="7402" spans="1:9" x14ac:dyDescent="0.2">
      <c r="A7402" t="s">
        <v>1531</v>
      </c>
      <c r="B7402" t="s">
        <v>1565</v>
      </c>
      <c r="C7402" t="str">
        <f t="shared" si="366"/>
        <v>41690700000000</v>
      </c>
      <c r="D7402" t="s">
        <v>8383</v>
      </c>
      <c r="E7402" t="str">
        <f>"41690706045041"</f>
        <v>41690706045041</v>
      </c>
      <c r="F7402" s="8">
        <v>661</v>
      </c>
      <c r="G7402" s="8">
        <v>6699</v>
      </c>
      <c r="H7402" s="8">
        <v>975</v>
      </c>
      <c r="I7402" s="8">
        <v>4660</v>
      </c>
    </row>
    <row r="7403" spans="1:9" x14ac:dyDescent="0.2">
      <c r="A7403" t="s">
        <v>1531</v>
      </c>
      <c r="B7403" t="s">
        <v>1565</v>
      </c>
      <c r="C7403" t="str">
        <f t="shared" si="366"/>
        <v>41690700000000</v>
      </c>
      <c r="D7403" t="s">
        <v>8384</v>
      </c>
      <c r="E7403" t="str">
        <f>"41690706045108"</f>
        <v>41690706045108</v>
      </c>
      <c r="F7403" s="8">
        <v>240</v>
      </c>
      <c r="G7403" s="8">
        <v>6259</v>
      </c>
      <c r="H7403" s="8">
        <v>975</v>
      </c>
      <c r="I7403" s="8">
        <v>4660</v>
      </c>
    </row>
    <row r="7404" spans="1:9" x14ac:dyDescent="0.2">
      <c r="A7404" t="s">
        <v>1531</v>
      </c>
      <c r="B7404" t="s">
        <v>1565</v>
      </c>
      <c r="C7404" t="str">
        <f t="shared" si="366"/>
        <v>41690700000000</v>
      </c>
      <c r="D7404" t="s">
        <v>2359</v>
      </c>
      <c r="E7404" t="str">
        <f>"41690700131730"</f>
        <v>41690700131730</v>
      </c>
      <c r="F7404" s="8">
        <v>147</v>
      </c>
      <c r="G7404" s="8">
        <v>3798</v>
      </c>
      <c r="H7404" s="8">
        <v>975</v>
      </c>
      <c r="I7404" s="8">
        <v>4660</v>
      </c>
    </row>
    <row r="7405" spans="1:9" x14ac:dyDescent="0.2">
      <c r="A7405" t="s">
        <v>1531</v>
      </c>
      <c r="B7405" t="s">
        <v>1568</v>
      </c>
      <c r="C7405" t="str">
        <f>"41690880000000"</f>
        <v>41690880000000</v>
      </c>
      <c r="D7405" t="s">
        <v>1568</v>
      </c>
      <c r="E7405" t="str">
        <f>"41690886045165"</f>
        <v>41690886045165</v>
      </c>
      <c r="F7405" s="8">
        <v>898</v>
      </c>
      <c r="G7405" s="8">
        <v>32588</v>
      </c>
      <c r="H7405" s="8">
        <v>0</v>
      </c>
      <c r="I7405" s="8">
        <v>0</v>
      </c>
    </row>
    <row r="7406" spans="1:9" x14ac:dyDescent="0.2">
      <c r="A7406" t="s">
        <v>1569</v>
      </c>
      <c r="B7406" t="s">
        <v>1571</v>
      </c>
      <c r="C7406" t="str">
        <f>"42691040000000"</f>
        <v>42691040000000</v>
      </c>
      <c r="D7406" t="s">
        <v>1571</v>
      </c>
      <c r="E7406" t="str">
        <f>"42691046045256"</f>
        <v>42691046045256</v>
      </c>
      <c r="F7406" s="8">
        <v>533</v>
      </c>
      <c r="G7406" s="8">
        <v>18071</v>
      </c>
      <c r="H7406" s="8">
        <v>0</v>
      </c>
      <c r="I7406" s="8">
        <v>0</v>
      </c>
    </row>
    <row r="7407" spans="1:9" x14ac:dyDescent="0.2">
      <c r="A7407" t="s">
        <v>1569</v>
      </c>
      <c r="B7407" t="s">
        <v>1572</v>
      </c>
      <c r="C7407" t="str">
        <f>"42691120000000"</f>
        <v>42691120000000</v>
      </c>
      <c r="D7407" t="s">
        <v>8385</v>
      </c>
      <c r="E7407" t="str">
        <f>"42691126045264"</f>
        <v>42691126045264</v>
      </c>
      <c r="F7407" s="8">
        <v>1059</v>
      </c>
      <c r="G7407" s="8">
        <v>9035</v>
      </c>
      <c r="H7407" s="8">
        <v>0</v>
      </c>
      <c r="I7407" s="8">
        <v>3049</v>
      </c>
    </row>
    <row r="7408" spans="1:9" x14ac:dyDescent="0.2">
      <c r="A7408" t="s">
        <v>1569</v>
      </c>
      <c r="B7408" t="s">
        <v>1573</v>
      </c>
      <c r="C7408" t="str">
        <f>"42691380000000"</f>
        <v>42691380000000</v>
      </c>
      <c r="D7408" t="s">
        <v>8386</v>
      </c>
      <c r="E7408" t="str">
        <f>"42691386119804"</f>
        <v>42691386119804</v>
      </c>
      <c r="F7408" s="8">
        <v>743</v>
      </c>
      <c r="G7408" s="8">
        <v>6505</v>
      </c>
      <c r="H7408" s="8">
        <v>215</v>
      </c>
      <c r="I7408" s="8">
        <v>2341</v>
      </c>
    </row>
    <row r="7409" spans="1:9" x14ac:dyDescent="0.2">
      <c r="A7409" t="s">
        <v>1569</v>
      </c>
      <c r="B7409" t="s">
        <v>1573</v>
      </c>
      <c r="C7409" t="str">
        <f>"42691380000000"</f>
        <v>42691380000000</v>
      </c>
      <c r="D7409" t="s">
        <v>8387</v>
      </c>
      <c r="E7409" t="str">
        <f>"42691386045280"</f>
        <v>42691386045280</v>
      </c>
      <c r="F7409" s="8">
        <v>455</v>
      </c>
      <c r="G7409" s="8">
        <v>5808</v>
      </c>
      <c r="H7409" s="8">
        <v>215</v>
      </c>
      <c r="I7409" s="8">
        <v>2341</v>
      </c>
    </row>
    <row r="7410" spans="1:9" x14ac:dyDescent="0.2">
      <c r="A7410" t="s">
        <v>1569</v>
      </c>
      <c r="B7410" t="s">
        <v>1575</v>
      </c>
      <c r="C7410" t="str">
        <f t="shared" ref="C7410:C7415" si="367">"42691460000000"</f>
        <v>42691460000000</v>
      </c>
      <c r="D7410" t="s">
        <v>8388</v>
      </c>
      <c r="E7410" t="str">
        <f>"42691466045322"</f>
        <v>42691466045322</v>
      </c>
      <c r="F7410" s="8">
        <v>0</v>
      </c>
      <c r="G7410" s="8">
        <v>9923</v>
      </c>
      <c r="H7410" s="8">
        <v>1739</v>
      </c>
      <c r="I7410" s="8">
        <v>16327</v>
      </c>
    </row>
    <row r="7411" spans="1:9" x14ac:dyDescent="0.2">
      <c r="A7411" t="s">
        <v>1569</v>
      </c>
      <c r="B7411" t="s">
        <v>1575</v>
      </c>
      <c r="C7411" t="str">
        <f t="shared" si="367"/>
        <v>42691460000000</v>
      </c>
      <c r="D7411" t="s">
        <v>8389</v>
      </c>
      <c r="E7411" t="str">
        <f>"42691466045298"</f>
        <v>42691466045298</v>
      </c>
      <c r="F7411" s="8">
        <v>758</v>
      </c>
      <c r="G7411" s="8">
        <v>7369</v>
      </c>
      <c r="H7411" s="8">
        <v>2496</v>
      </c>
      <c r="I7411" s="8">
        <v>13773</v>
      </c>
    </row>
    <row r="7412" spans="1:9" x14ac:dyDescent="0.2">
      <c r="A7412" t="s">
        <v>1569</v>
      </c>
      <c r="B7412" t="s">
        <v>1575</v>
      </c>
      <c r="C7412" t="str">
        <f t="shared" si="367"/>
        <v>42691460000000</v>
      </c>
      <c r="D7412" t="s">
        <v>8390</v>
      </c>
      <c r="E7412" t="str">
        <f>"42691464230587"</f>
        <v>42691464230587</v>
      </c>
      <c r="F7412" s="8">
        <v>38</v>
      </c>
      <c r="G7412" s="8">
        <v>7887</v>
      </c>
      <c r="H7412" s="8">
        <v>1776</v>
      </c>
      <c r="I7412" s="8">
        <v>14291</v>
      </c>
    </row>
    <row r="7413" spans="1:9" x14ac:dyDescent="0.2">
      <c r="A7413" t="s">
        <v>1569</v>
      </c>
      <c r="B7413" t="s">
        <v>1575</v>
      </c>
      <c r="C7413" t="str">
        <f t="shared" si="367"/>
        <v>42691460000000</v>
      </c>
      <c r="D7413" t="s">
        <v>8391</v>
      </c>
      <c r="E7413" t="str">
        <f>"42691466060008"</f>
        <v>42691466060008</v>
      </c>
      <c r="F7413" s="8">
        <v>93</v>
      </c>
      <c r="G7413" s="8">
        <v>7659</v>
      </c>
      <c r="H7413" s="8">
        <v>1832</v>
      </c>
      <c r="I7413" s="8">
        <v>14063</v>
      </c>
    </row>
    <row r="7414" spans="1:9" x14ac:dyDescent="0.2">
      <c r="A7414" t="s">
        <v>1569</v>
      </c>
      <c r="B7414" t="s">
        <v>1575</v>
      </c>
      <c r="C7414" t="str">
        <f t="shared" si="367"/>
        <v>42691460000000</v>
      </c>
      <c r="D7414" t="s">
        <v>8392</v>
      </c>
      <c r="E7414" t="str">
        <f>"42691466045306"</f>
        <v>42691466045306</v>
      </c>
      <c r="F7414" s="8">
        <v>440</v>
      </c>
      <c r="G7414" s="8">
        <v>7117</v>
      </c>
      <c r="H7414" s="8">
        <v>2179</v>
      </c>
      <c r="I7414" s="8">
        <v>13521</v>
      </c>
    </row>
    <row r="7415" spans="1:9" x14ac:dyDescent="0.2">
      <c r="A7415" t="s">
        <v>1569</v>
      </c>
      <c r="B7415" t="s">
        <v>1575</v>
      </c>
      <c r="C7415" t="str">
        <f t="shared" si="367"/>
        <v>42691460000000</v>
      </c>
      <c r="D7415" t="s">
        <v>8393</v>
      </c>
      <c r="E7415" t="str">
        <f>"42691460102129"</f>
        <v>42691460102129</v>
      </c>
      <c r="F7415" s="8">
        <v>0</v>
      </c>
      <c r="G7415" s="8">
        <v>6103</v>
      </c>
      <c r="H7415" s="8">
        <v>1739</v>
      </c>
      <c r="I7415" s="8">
        <v>12507</v>
      </c>
    </row>
    <row r="7416" spans="1:9" x14ac:dyDescent="0.2">
      <c r="A7416" t="s">
        <v>1569</v>
      </c>
      <c r="B7416" t="s">
        <v>1576</v>
      </c>
      <c r="C7416" t="str">
        <f>"42691610000000"</f>
        <v>42691610000000</v>
      </c>
      <c r="D7416" t="s">
        <v>1576</v>
      </c>
      <c r="E7416" t="str">
        <f>"42691616045348"</f>
        <v>42691616045348</v>
      </c>
      <c r="F7416" s="8">
        <v>380</v>
      </c>
      <c r="G7416" s="8">
        <v>21089</v>
      </c>
      <c r="H7416" s="8">
        <v>59</v>
      </c>
      <c r="I7416" s="8">
        <v>4335</v>
      </c>
    </row>
    <row r="7417" spans="1:9" x14ac:dyDescent="0.2">
      <c r="A7417" t="s">
        <v>1569</v>
      </c>
      <c r="B7417" t="s">
        <v>1577</v>
      </c>
      <c r="C7417" t="str">
        <f>"42691790000000"</f>
        <v>42691790000000</v>
      </c>
      <c r="D7417" t="s">
        <v>1577</v>
      </c>
      <c r="E7417" t="str">
        <f>"42691796045355"</f>
        <v>42691796045355</v>
      </c>
      <c r="F7417" s="8">
        <v>2211</v>
      </c>
      <c r="G7417" s="8">
        <v>19393</v>
      </c>
      <c r="H7417" s="8">
        <v>0</v>
      </c>
      <c r="I7417" s="8">
        <v>0</v>
      </c>
    </row>
    <row r="7418" spans="1:9" x14ac:dyDescent="0.2">
      <c r="A7418" t="s">
        <v>1569</v>
      </c>
      <c r="B7418" t="s">
        <v>1577</v>
      </c>
      <c r="C7418" t="str">
        <f>"42691790000000"</f>
        <v>42691790000000</v>
      </c>
      <c r="D7418" t="s">
        <v>8394</v>
      </c>
      <c r="E7418" t="str">
        <f>"42691796045371"</f>
        <v>42691796045371</v>
      </c>
      <c r="F7418" s="8">
        <v>2211</v>
      </c>
      <c r="G7418" s="8">
        <v>19393</v>
      </c>
      <c r="H7418" s="8">
        <v>0</v>
      </c>
      <c r="I7418" s="8">
        <v>0</v>
      </c>
    </row>
    <row r="7419" spans="1:9" x14ac:dyDescent="0.2">
      <c r="A7419" t="s">
        <v>1569</v>
      </c>
      <c r="B7419" t="s">
        <v>1578</v>
      </c>
      <c r="C7419" t="str">
        <f>"42750100000000"</f>
        <v>42750100000000</v>
      </c>
      <c r="D7419" t="s">
        <v>8395</v>
      </c>
      <c r="E7419" t="str">
        <f>"42750106045389"</f>
        <v>42750106045389</v>
      </c>
      <c r="F7419" s="8" t="s">
        <v>30</v>
      </c>
      <c r="G7419" s="8" t="s">
        <v>30</v>
      </c>
      <c r="H7419" s="8" t="s">
        <v>30</v>
      </c>
      <c r="I7419" s="8" t="s">
        <v>30</v>
      </c>
    </row>
    <row r="7420" spans="1:9" x14ac:dyDescent="0.2">
      <c r="A7420" t="s">
        <v>1569</v>
      </c>
      <c r="B7420" t="s">
        <v>1578</v>
      </c>
      <c r="C7420" t="str">
        <f>"42750100000000"</f>
        <v>42750100000000</v>
      </c>
      <c r="D7420" t="s">
        <v>8396</v>
      </c>
      <c r="E7420" t="str">
        <f>"42750104231205"</f>
        <v>42750104231205</v>
      </c>
      <c r="F7420" s="8" t="s">
        <v>30</v>
      </c>
      <c r="G7420" s="8" t="s">
        <v>30</v>
      </c>
      <c r="H7420" s="8" t="s">
        <v>30</v>
      </c>
      <c r="I7420" s="8" t="s">
        <v>30</v>
      </c>
    </row>
    <row r="7421" spans="1:9" x14ac:dyDescent="0.2">
      <c r="A7421" t="s">
        <v>1569</v>
      </c>
      <c r="B7421" t="s">
        <v>1578</v>
      </c>
      <c r="C7421" t="str">
        <f>"42750100000000"</f>
        <v>42750100000000</v>
      </c>
      <c r="D7421" t="s">
        <v>8397</v>
      </c>
      <c r="E7421" t="str">
        <f>"42750104230173"</f>
        <v>42750104230173</v>
      </c>
      <c r="F7421" s="8" t="s">
        <v>30</v>
      </c>
      <c r="G7421" s="8" t="s">
        <v>30</v>
      </c>
      <c r="H7421" s="8" t="s">
        <v>30</v>
      </c>
      <c r="I7421" s="8" t="s">
        <v>30</v>
      </c>
    </row>
    <row r="7422" spans="1:9" x14ac:dyDescent="0.2">
      <c r="A7422" t="s">
        <v>1569</v>
      </c>
      <c r="B7422" t="s">
        <v>1580</v>
      </c>
      <c r="C7422" t="str">
        <f t="shared" ref="C7422:C7430" si="368">"42691950000000"</f>
        <v>42691950000000</v>
      </c>
      <c r="D7422" t="s">
        <v>7250</v>
      </c>
      <c r="E7422" t="str">
        <f>"42691956045405"</f>
        <v>42691956045405</v>
      </c>
      <c r="F7422" s="8">
        <v>1</v>
      </c>
      <c r="G7422" s="8">
        <v>1052</v>
      </c>
      <c r="H7422" s="8">
        <v>1298</v>
      </c>
      <c r="I7422" s="8">
        <v>18680</v>
      </c>
    </row>
    <row r="7423" spans="1:9" x14ac:dyDescent="0.2">
      <c r="A7423" t="s">
        <v>1569</v>
      </c>
      <c r="B7423" t="s">
        <v>1580</v>
      </c>
      <c r="C7423" t="str">
        <f t="shared" si="368"/>
        <v>42691950000000</v>
      </c>
      <c r="D7423" t="s">
        <v>8398</v>
      </c>
      <c r="E7423" t="str">
        <f>"42691956045470"</f>
        <v>42691956045470</v>
      </c>
      <c r="F7423" s="8">
        <v>0</v>
      </c>
      <c r="G7423" s="8">
        <v>890</v>
      </c>
      <c r="H7423" s="8">
        <v>1298</v>
      </c>
      <c r="I7423" s="8">
        <v>18680</v>
      </c>
    </row>
    <row r="7424" spans="1:9" x14ac:dyDescent="0.2">
      <c r="A7424" t="s">
        <v>1569</v>
      </c>
      <c r="B7424" t="s">
        <v>1580</v>
      </c>
      <c r="C7424" t="str">
        <f t="shared" si="368"/>
        <v>42691950000000</v>
      </c>
      <c r="D7424" t="s">
        <v>8399</v>
      </c>
      <c r="E7424" t="str">
        <f>"42691956045496"</f>
        <v>42691956045496</v>
      </c>
      <c r="F7424" s="8">
        <v>0</v>
      </c>
      <c r="G7424" s="8">
        <v>856</v>
      </c>
      <c r="H7424" s="8">
        <v>1298</v>
      </c>
      <c r="I7424" s="8">
        <v>18680</v>
      </c>
    </row>
    <row r="7425" spans="1:9" x14ac:dyDescent="0.2">
      <c r="A7425" t="s">
        <v>1569</v>
      </c>
      <c r="B7425" t="s">
        <v>1580</v>
      </c>
      <c r="C7425" t="str">
        <f t="shared" si="368"/>
        <v>42691950000000</v>
      </c>
      <c r="D7425" t="s">
        <v>2621</v>
      </c>
      <c r="E7425" t="str">
        <f>"42691956045447"</f>
        <v>42691956045447</v>
      </c>
      <c r="F7425" s="8">
        <v>0</v>
      </c>
      <c r="G7425" s="8">
        <v>446</v>
      </c>
      <c r="H7425" s="8">
        <v>1298</v>
      </c>
      <c r="I7425" s="8">
        <v>18680</v>
      </c>
    </row>
    <row r="7426" spans="1:9" x14ac:dyDescent="0.2">
      <c r="A7426" t="s">
        <v>1569</v>
      </c>
      <c r="B7426" t="s">
        <v>1580</v>
      </c>
      <c r="C7426" t="str">
        <f t="shared" si="368"/>
        <v>42691950000000</v>
      </c>
      <c r="D7426" t="s">
        <v>8400</v>
      </c>
      <c r="E7426" t="str">
        <f>"42691956045488"</f>
        <v>42691956045488</v>
      </c>
      <c r="F7426" s="8">
        <v>0</v>
      </c>
      <c r="G7426" s="8">
        <v>394</v>
      </c>
      <c r="H7426" s="8">
        <v>1298</v>
      </c>
      <c r="I7426" s="8">
        <v>18680</v>
      </c>
    </row>
    <row r="7427" spans="1:9" x14ac:dyDescent="0.2">
      <c r="A7427" t="s">
        <v>1569</v>
      </c>
      <c r="B7427" t="s">
        <v>1580</v>
      </c>
      <c r="C7427" t="str">
        <f t="shared" si="368"/>
        <v>42691950000000</v>
      </c>
      <c r="D7427" t="s">
        <v>8401</v>
      </c>
      <c r="E7427" t="str">
        <f>"42691956045421"</f>
        <v>42691956045421</v>
      </c>
      <c r="F7427" s="8">
        <v>0</v>
      </c>
      <c r="G7427" s="8">
        <v>375</v>
      </c>
      <c r="H7427" s="8">
        <v>1298</v>
      </c>
      <c r="I7427" s="8">
        <v>18680</v>
      </c>
    </row>
    <row r="7428" spans="1:9" x14ac:dyDescent="0.2">
      <c r="A7428" t="s">
        <v>1569</v>
      </c>
      <c r="B7428" t="s">
        <v>1580</v>
      </c>
      <c r="C7428" t="str">
        <f t="shared" si="368"/>
        <v>42691950000000</v>
      </c>
      <c r="D7428" t="s">
        <v>8402</v>
      </c>
      <c r="E7428" t="str">
        <f>"42691956045462"</f>
        <v>42691956045462</v>
      </c>
      <c r="F7428" s="8">
        <v>0</v>
      </c>
      <c r="G7428" s="8">
        <v>352</v>
      </c>
      <c r="H7428" s="8">
        <v>1298</v>
      </c>
      <c r="I7428" s="8">
        <v>18680</v>
      </c>
    </row>
    <row r="7429" spans="1:9" x14ac:dyDescent="0.2">
      <c r="A7429" t="s">
        <v>1569</v>
      </c>
      <c r="B7429" t="s">
        <v>1580</v>
      </c>
      <c r="C7429" t="str">
        <f t="shared" si="368"/>
        <v>42691950000000</v>
      </c>
      <c r="D7429" t="s">
        <v>710</v>
      </c>
      <c r="E7429" t="str">
        <f>"42691956045504"</f>
        <v>42691956045504</v>
      </c>
      <c r="F7429" s="8">
        <v>0</v>
      </c>
      <c r="G7429" s="8">
        <v>317</v>
      </c>
      <c r="H7429" s="8">
        <v>1298</v>
      </c>
      <c r="I7429" s="8">
        <v>18680</v>
      </c>
    </row>
    <row r="7430" spans="1:9" x14ac:dyDescent="0.2">
      <c r="A7430" t="s">
        <v>1569</v>
      </c>
      <c r="B7430" t="s">
        <v>1580</v>
      </c>
      <c r="C7430" t="str">
        <f t="shared" si="368"/>
        <v>42691950000000</v>
      </c>
      <c r="D7430" t="s">
        <v>8403</v>
      </c>
      <c r="E7430" t="str">
        <f>"42691956067110"</f>
        <v>42691956067110</v>
      </c>
      <c r="F7430" s="8">
        <v>0</v>
      </c>
      <c r="G7430" s="8">
        <v>304</v>
      </c>
      <c r="H7430" s="8">
        <v>1298</v>
      </c>
      <c r="I7430" s="8">
        <v>18680</v>
      </c>
    </row>
    <row r="7431" spans="1:9" x14ac:dyDescent="0.2">
      <c r="A7431" t="s">
        <v>1569</v>
      </c>
      <c r="B7431" t="s">
        <v>1581</v>
      </c>
      <c r="C7431" t="str">
        <f>"42692030000000"</f>
        <v>42692030000000</v>
      </c>
      <c r="D7431" t="s">
        <v>8404</v>
      </c>
      <c r="E7431" t="str">
        <f>"42692036045520"</f>
        <v>42692036045520</v>
      </c>
      <c r="F7431" s="8">
        <v>832</v>
      </c>
      <c r="G7431" s="8">
        <v>7476</v>
      </c>
      <c r="H7431" s="8">
        <v>2030</v>
      </c>
      <c r="I7431" s="8">
        <v>3783</v>
      </c>
    </row>
    <row r="7432" spans="1:9" x14ac:dyDescent="0.2">
      <c r="A7432" t="s">
        <v>1569</v>
      </c>
      <c r="B7432" t="s">
        <v>1581</v>
      </c>
      <c r="C7432" t="str">
        <f>"42692030000000"</f>
        <v>42692030000000</v>
      </c>
      <c r="D7432" t="s">
        <v>8405</v>
      </c>
      <c r="E7432" t="str">
        <f>"42692036045512"</f>
        <v>42692036045512</v>
      </c>
      <c r="F7432" s="8">
        <v>651</v>
      </c>
      <c r="G7432" s="8">
        <v>7291</v>
      </c>
      <c r="H7432" s="8">
        <v>2030</v>
      </c>
      <c r="I7432" s="8">
        <v>3783</v>
      </c>
    </row>
    <row r="7433" spans="1:9" x14ac:dyDescent="0.2">
      <c r="A7433" t="s">
        <v>1569</v>
      </c>
      <c r="B7433" t="s">
        <v>1582</v>
      </c>
      <c r="C7433" t="str">
        <f>"42692110000000"</f>
        <v>42692110000000</v>
      </c>
      <c r="D7433" t="s">
        <v>3877</v>
      </c>
      <c r="E7433" t="str">
        <f>"42692116045546"</f>
        <v>42692116045546</v>
      </c>
      <c r="F7433" s="8">
        <v>192</v>
      </c>
      <c r="G7433" s="8">
        <v>10305</v>
      </c>
      <c r="H7433" s="8">
        <v>668</v>
      </c>
      <c r="I7433" s="8">
        <v>5234</v>
      </c>
    </row>
    <row r="7434" spans="1:9" x14ac:dyDescent="0.2">
      <c r="A7434" t="s">
        <v>1569</v>
      </c>
      <c r="B7434" t="s">
        <v>1582</v>
      </c>
      <c r="C7434" t="str">
        <f>"42692110000000"</f>
        <v>42692110000000</v>
      </c>
      <c r="D7434" t="s">
        <v>1582</v>
      </c>
      <c r="E7434" t="str">
        <f>"42692116045538"</f>
        <v>42692116045538</v>
      </c>
      <c r="F7434" s="8">
        <v>420</v>
      </c>
      <c r="G7434" s="8">
        <v>9591</v>
      </c>
      <c r="H7434" s="8">
        <v>668</v>
      </c>
      <c r="I7434" s="8">
        <v>5234</v>
      </c>
    </row>
    <row r="7435" spans="1:9" x14ac:dyDescent="0.2">
      <c r="A7435" t="s">
        <v>1569</v>
      </c>
      <c r="B7435" t="s">
        <v>1582</v>
      </c>
      <c r="C7435" t="str">
        <f>"42692110000000"</f>
        <v>42692110000000</v>
      </c>
      <c r="D7435" t="s">
        <v>8406</v>
      </c>
      <c r="E7435" t="str">
        <f>"42692116045553"</f>
        <v>42692116045553</v>
      </c>
      <c r="F7435" s="8">
        <v>201</v>
      </c>
      <c r="G7435" s="8">
        <v>8835</v>
      </c>
      <c r="H7435" s="8">
        <v>668</v>
      </c>
      <c r="I7435" s="8">
        <v>5234</v>
      </c>
    </row>
    <row r="7436" spans="1:9" x14ac:dyDescent="0.2">
      <c r="A7436" t="s">
        <v>1569</v>
      </c>
      <c r="B7436" t="s">
        <v>1583</v>
      </c>
      <c r="C7436" t="str">
        <f t="shared" ref="C7436:C7451" si="369">"42692290000000"</f>
        <v>42692290000000</v>
      </c>
      <c r="D7436" t="s">
        <v>8407</v>
      </c>
      <c r="E7436" t="str">
        <f>"42692290132738"</f>
        <v>42692290132738</v>
      </c>
      <c r="F7436" s="8">
        <v>3475</v>
      </c>
      <c r="G7436" s="8">
        <v>31007</v>
      </c>
      <c r="H7436" s="8">
        <v>794</v>
      </c>
      <c r="I7436" s="8">
        <v>3625</v>
      </c>
    </row>
    <row r="7437" spans="1:9" x14ac:dyDescent="0.2">
      <c r="A7437" t="s">
        <v>1569</v>
      </c>
      <c r="B7437" t="s">
        <v>1583</v>
      </c>
      <c r="C7437" t="str">
        <f t="shared" si="369"/>
        <v>42692290000000</v>
      </c>
      <c r="D7437" t="s">
        <v>8408</v>
      </c>
      <c r="E7437" t="str">
        <f>"42692294233029"</f>
        <v>42692294233029</v>
      </c>
      <c r="F7437" s="8">
        <v>1560</v>
      </c>
      <c r="G7437" s="8">
        <v>15394</v>
      </c>
      <c r="H7437" s="8">
        <v>794</v>
      </c>
      <c r="I7437" s="8">
        <v>3625</v>
      </c>
    </row>
    <row r="7438" spans="1:9" x14ac:dyDescent="0.2">
      <c r="A7438" t="s">
        <v>1569</v>
      </c>
      <c r="B7438" t="s">
        <v>1583</v>
      </c>
      <c r="C7438" t="str">
        <f t="shared" si="369"/>
        <v>42692290000000</v>
      </c>
      <c r="D7438" t="s">
        <v>8409</v>
      </c>
      <c r="E7438" t="str">
        <f>"42692296045595"</f>
        <v>42692296045595</v>
      </c>
      <c r="F7438" s="8">
        <v>811</v>
      </c>
      <c r="G7438" s="8">
        <v>10231</v>
      </c>
      <c r="H7438" s="8">
        <v>794</v>
      </c>
      <c r="I7438" s="8">
        <v>3625</v>
      </c>
    </row>
    <row r="7439" spans="1:9" x14ac:dyDescent="0.2">
      <c r="A7439" t="s">
        <v>1569</v>
      </c>
      <c r="B7439" t="s">
        <v>1583</v>
      </c>
      <c r="C7439" t="str">
        <f t="shared" si="369"/>
        <v>42692290000000</v>
      </c>
      <c r="D7439" t="s">
        <v>8410</v>
      </c>
      <c r="E7439" t="str">
        <f>"42692296045660"</f>
        <v>42692296045660</v>
      </c>
      <c r="F7439" s="8">
        <v>1048</v>
      </c>
      <c r="G7439" s="8">
        <v>9685</v>
      </c>
      <c r="H7439" s="8">
        <v>794</v>
      </c>
      <c r="I7439" s="8">
        <v>3625</v>
      </c>
    </row>
    <row r="7440" spans="1:9" x14ac:dyDescent="0.2">
      <c r="A7440" t="s">
        <v>1569</v>
      </c>
      <c r="B7440" t="s">
        <v>1583</v>
      </c>
      <c r="C7440" t="str">
        <f t="shared" si="369"/>
        <v>42692290000000</v>
      </c>
      <c r="D7440" t="s">
        <v>8411</v>
      </c>
      <c r="E7440" t="str">
        <f>"42692296045629"</f>
        <v>42692296045629</v>
      </c>
      <c r="F7440" s="8">
        <v>878</v>
      </c>
      <c r="G7440" s="8">
        <v>9016</v>
      </c>
      <c r="H7440" s="8">
        <v>794</v>
      </c>
      <c r="I7440" s="8">
        <v>3625</v>
      </c>
    </row>
    <row r="7441" spans="1:9" x14ac:dyDescent="0.2">
      <c r="A7441" t="s">
        <v>1569</v>
      </c>
      <c r="B7441" t="s">
        <v>1583</v>
      </c>
      <c r="C7441" t="str">
        <f t="shared" si="369"/>
        <v>42692290000000</v>
      </c>
      <c r="D7441" t="s">
        <v>8412</v>
      </c>
      <c r="E7441" t="str">
        <f>"42692296060024"</f>
        <v>42692296060024</v>
      </c>
      <c r="F7441" s="8">
        <v>316</v>
      </c>
      <c r="G7441" s="8">
        <v>9201</v>
      </c>
      <c r="H7441" s="8">
        <v>794</v>
      </c>
      <c r="I7441" s="8">
        <v>3625</v>
      </c>
    </row>
    <row r="7442" spans="1:9" x14ac:dyDescent="0.2">
      <c r="A7442" t="s">
        <v>1569</v>
      </c>
      <c r="B7442" t="s">
        <v>1583</v>
      </c>
      <c r="C7442" t="str">
        <f t="shared" si="369"/>
        <v>42692290000000</v>
      </c>
      <c r="D7442" t="s">
        <v>8413</v>
      </c>
      <c r="E7442" t="str">
        <f>"42692296045645"</f>
        <v>42692296045645</v>
      </c>
      <c r="F7442" s="8">
        <v>789</v>
      </c>
      <c r="G7442" s="8">
        <v>8657</v>
      </c>
      <c r="H7442" s="8">
        <v>794</v>
      </c>
      <c r="I7442" s="8">
        <v>3625</v>
      </c>
    </row>
    <row r="7443" spans="1:9" x14ac:dyDescent="0.2">
      <c r="A7443" t="s">
        <v>1569</v>
      </c>
      <c r="B7443" t="s">
        <v>1583</v>
      </c>
      <c r="C7443" t="str">
        <f t="shared" si="369"/>
        <v>42692290000000</v>
      </c>
      <c r="D7443" t="s">
        <v>4017</v>
      </c>
      <c r="E7443" t="str">
        <f>"42692294230454"</f>
        <v>42692294230454</v>
      </c>
      <c r="F7443" s="8">
        <v>334</v>
      </c>
      <c r="G7443" s="8">
        <v>8929</v>
      </c>
      <c r="H7443" s="8">
        <v>794</v>
      </c>
      <c r="I7443" s="8">
        <v>3625</v>
      </c>
    </row>
    <row r="7444" spans="1:9" x14ac:dyDescent="0.2">
      <c r="A7444" t="s">
        <v>1569</v>
      </c>
      <c r="B7444" t="s">
        <v>1583</v>
      </c>
      <c r="C7444" t="str">
        <f t="shared" si="369"/>
        <v>42692290000000</v>
      </c>
      <c r="D7444" t="s">
        <v>8414</v>
      </c>
      <c r="E7444" t="str">
        <f>"42692296045587"</f>
        <v>42692296045587</v>
      </c>
      <c r="F7444" s="8">
        <v>506</v>
      </c>
      <c r="G7444" s="8">
        <v>8254</v>
      </c>
      <c r="H7444" s="8">
        <v>794</v>
      </c>
      <c r="I7444" s="8">
        <v>3625</v>
      </c>
    </row>
    <row r="7445" spans="1:9" x14ac:dyDescent="0.2">
      <c r="A7445" t="s">
        <v>1569</v>
      </c>
      <c r="B7445" t="s">
        <v>1583</v>
      </c>
      <c r="C7445" t="str">
        <f t="shared" si="369"/>
        <v>42692290000000</v>
      </c>
      <c r="D7445" t="s">
        <v>8415</v>
      </c>
      <c r="E7445" t="str">
        <f>"42692294233060"</f>
        <v>42692294233060</v>
      </c>
      <c r="F7445" s="8">
        <v>342</v>
      </c>
      <c r="G7445" s="8">
        <v>8417</v>
      </c>
      <c r="H7445" s="8">
        <v>794</v>
      </c>
      <c r="I7445" s="8">
        <v>3625</v>
      </c>
    </row>
    <row r="7446" spans="1:9" x14ac:dyDescent="0.2">
      <c r="A7446" t="s">
        <v>1569</v>
      </c>
      <c r="B7446" t="s">
        <v>1583</v>
      </c>
      <c r="C7446" t="str">
        <f t="shared" si="369"/>
        <v>42692290000000</v>
      </c>
      <c r="D7446" t="s">
        <v>1942</v>
      </c>
      <c r="E7446" t="str">
        <f>"42692296045579"</f>
        <v>42692296045579</v>
      </c>
      <c r="F7446" s="8">
        <v>702</v>
      </c>
      <c r="G7446" s="8">
        <v>7860</v>
      </c>
      <c r="H7446" s="8">
        <v>794</v>
      </c>
      <c r="I7446" s="8">
        <v>3625</v>
      </c>
    </row>
    <row r="7447" spans="1:9" x14ac:dyDescent="0.2">
      <c r="A7447" t="s">
        <v>1569</v>
      </c>
      <c r="B7447" t="s">
        <v>1583</v>
      </c>
      <c r="C7447" t="str">
        <f t="shared" si="369"/>
        <v>42692290000000</v>
      </c>
      <c r="D7447" t="s">
        <v>8416</v>
      </c>
      <c r="E7447" t="str">
        <f>"42692296060016"</f>
        <v>42692296060016</v>
      </c>
      <c r="F7447" s="8">
        <v>645</v>
      </c>
      <c r="G7447" s="8">
        <v>7806</v>
      </c>
      <c r="H7447" s="8">
        <v>794</v>
      </c>
      <c r="I7447" s="8">
        <v>3625</v>
      </c>
    </row>
    <row r="7448" spans="1:9" x14ac:dyDescent="0.2">
      <c r="A7448" t="s">
        <v>1569</v>
      </c>
      <c r="B7448" t="s">
        <v>1583</v>
      </c>
      <c r="C7448" t="str">
        <f t="shared" si="369"/>
        <v>42692290000000</v>
      </c>
      <c r="D7448" t="s">
        <v>8417</v>
      </c>
      <c r="E7448" t="str">
        <f>"42692296045561"</f>
        <v>42692296045561</v>
      </c>
      <c r="F7448" s="8">
        <v>777</v>
      </c>
      <c r="G7448" s="8">
        <v>7561</v>
      </c>
      <c r="H7448" s="8">
        <v>794</v>
      </c>
      <c r="I7448" s="8">
        <v>3625</v>
      </c>
    </row>
    <row r="7449" spans="1:9" x14ac:dyDescent="0.2">
      <c r="A7449" t="s">
        <v>1569</v>
      </c>
      <c r="B7449" t="s">
        <v>1583</v>
      </c>
      <c r="C7449" t="str">
        <f t="shared" si="369"/>
        <v>42692290000000</v>
      </c>
      <c r="D7449" t="s">
        <v>3957</v>
      </c>
      <c r="E7449" t="str">
        <f>"42692296045611"</f>
        <v>42692296045611</v>
      </c>
      <c r="F7449" s="8">
        <v>748</v>
      </c>
      <c r="G7449" s="8">
        <v>7526</v>
      </c>
      <c r="H7449" s="8">
        <v>794</v>
      </c>
      <c r="I7449" s="8">
        <v>3625</v>
      </c>
    </row>
    <row r="7450" spans="1:9" x14ac:dyDescent="0.2">
      <c r="A7450" t="s">
        <v>1569</v>
      </c>
      <c r="B7450" t="s">
        <v>1583</v>
      </c>
      <c r="C7450" t="str">
        <f t="shared" si="369"/>
        <v>42692290000000</v>
      </c>
      <c r="D7450" t="s">
        <v>8418</v>
      </c>
      <c r="E7450" t="str">
        <f>"42692296068902"</f>
        <v>42692296068902</v>
      </c>
      <c r="F7450" s="8">
        <v>621</v>
      </c>
      <c r="G7450" s="8">
        <v>7389</v>
      </c>
      <c r="H7450" s="8">
        <v>794</v>
      </c>
      <c r="I7450" s="8">
        <v>3625</v>
      </c>
    </row>
    <row r="7451" spans="1:9" x14ac:dyDescent="0.2">
      <c r="A7451" t="s">
        <v>1569</v>
      </c>
      <c r="B7451" t="s">
        <v>1583</v>
      </c>
      <c r="C7451" t="str">
        <f t="shared" si="369"/>
        <v>42692290000000</v>
      </c>
      <c r="D7451" t="s">
        <v>8419</v>
      </c>
      <c r="E7451" t="str">
        <f>"42692290100651"</f>
        <v>42692290100651</v>
      </c>
      <c r="F7451" s="8">
        <v>129</v>
      </c>
      <c r="G7451" s="8">
        <v>6640</v>
      </c>
      <c r="H7451" s="8">
        <v>794</v>
      </c>
      <c r="I7451" s="8">
        <v>3625</v>
      </c>
    </row>
    <row r="7452" spans="1:9" x14ac:dyDescent="0.2">
      <c r="A7452" t="s">
        <v>1569</v>
      </c>
      <c r="B7452" t="s">
        <v>1584</v>
      </c>
      <c r="C7452" t="str">
        <f>"42692450000000"</f>
        <v>42692450000000</v>
      </c>
      <c r="D7452" t="s">
        <v>1584</v>
      </c>
      <c r="E7452" t="str">
        <f>"42692456045710"</f>
        <v>42692456045710</v>
      </c>
      <c r="F7452" s="8">
        <v>81</v>
      </c>
      <c r="G7452" s="8">
        <v>12985</v>
      </c>
      <c r="H7452" s="8">
        <v>0</v>
      </c>
      <c r="I7452" s="8">
        <v>0</v>
      </c>
    </row>
    <row r="7453" spans="1:9" x14ac:dyDescent="0.2">
      <c r="A7453" t="s">
        <v>1569</v>
      </c>
      <c r="B7453" t="s">
        <v>1586</v>
      </c>
      <c r="C7453" t="str">
        <f>"42692520000000"</f>
        <v>42692520000000</v>
      </c>
      <c r="D7453" t="s">
        <v>8420</v>
      </c>
      <c r="E7453" t="str">
        <f>"42692526045728"</f>
        <v>42692526045728</v>
      </c>
      <c r="F7453" s="8">
        <v>238.2566844919786</v>
      </c>
      <c r="G7453" s="8">
        <v>32072.860962566843</v>
      </c>
      <c r="H7453" s="8">
        <v>0</v>
      </c>
      <c r="I7453" s="8">
        <v>0</v>
      </c>
    </row>
    <row r="7454" spans="1:9" x14ac:dyDescent="0.2">
      <c r="A7454" t="s">
        <v>1569</v>
      </c>
      <c r="B7454" t="s">
        <v>1591</v>
      </c>
      <c r="C7454" t="str">
        <f t="shared" ref="C7454:C7462" si="370">"42692600000000"</f>
        <v>42692600000000</v>
      </c>
      <c r="D7454" t="s">
        <v>8421</v>
      </c>
      <c r="E7454" t="str">
        <f>"42692606045736"</f>
        <v>42692606045736</v>
      </c>
      <c r="F7454" s="8" t="s">
        <v>30</v>
      </c>
      <c r="G7454" s="8" t="s">
        <v>30</v>
      </c>
      <c r="H7454" s="8" t="s">
        <v>30</v>
      </c>
      <c r="I7454" s="8" t="s">
        <v>30</v>
      </c>
    </row>
    <row r="7455" spans="1:9" x14ac:dyDescent="0.2">
      <c r="A7455" t="s">
        <v>1569</v>
      </c>
      <c r="B7455" t="s">
        <v>1591</v>
      </c>
      <c r="C7455" t="str">
        <f t="shared" si="370"/>
        <v>42692600000000</v>
      </c>
      <c r="D7455" t="s">
        <v>8422</v>
      </c>
      <c r="E7455" t="str">
        <f>"42692606045777"</f>
        <v>42692606045777</v>
      </c>
      <c r="F7455" s="8" t="s">
        <v>30</v>
      </c>
      <c r="G7455" s="8" t="s">
        <v>30</v>
      </c>
      <c r="H7455" s="8" t="s">
        <v>30</v>
      </c>
      <c r="I7455" s="8" t="s">
        <v>30</v>
      </c>
    </row>
    <row r="7456" spans="1:9" x14ac:dyDescent="0.2">
      <c r="A7456" t="s">
        <v>1569</v>
      </c>
      <c r="B7456" t="s">
        <v>1591</v>
      </c>
      <c r="C7456" t="str">
        <f t="shared" si="370"/>
        <v>42692600000000</v>
      </c>
      <c r="D7456" t="s">
        <v>8423</v>
      </c>
      <c r="E7456" t="str">
        <f>"42692606045751"</f>
        <v>42692606045751</v>
      </c>
      <c r="F7456" s="8" t="s">
        <v>30</v>
      </c>
      <c r="G7456" s="8" t="s">
        <v>30</v>
      </c>
      <c r="H7456" s="8" t="s">
        <v>30</v>
      </c>
      <c r="I7456" s="8" t="s">
        <v>30</v>
      </c>
    </row>
    <row r="7457" spans="1:9" x14ac:dyDescent="0.2">
      <c r="A7457" t="s">
        <v>1569</v>
      </c>
      <c r="B7457" t="s">
        <v>1591</v>
      </c>
      <c r="C7457" t="str">
        <f t="shared" si="370"/>
        <v>42692600000000</v>
      </c>
      <c r="D7457" t="s">
        <v>8424</v>
      </c>
      <c r="E7457" t="str">
        <f>"42692606045702"</f>
        <v>42692606045702</v>
      </c>
      <c r="F7457" s="8" t="s">
        <v>30</v>
      </c>
      <c r="G7457" s="8" t="s">
        <v>30</v>
      </c>
      <c r="H7457" s="8" t="s">
        <v>30</v>
      </c>
      <c r="I7457" s="8" t="s">
        <v>30</v>
      </c>
    </row>
    <row r="7458" spans="1:9" x14ac:dyDescent="0.2">
      <c r="A7458" t="s">
        <v>1569</v>
      </c>
      <c r="B7458" t="s">
        <v>1591</v>
      </c>
      <c r="C7458" t="str">
        <f t="shared" si="370"/>
        <v>42692600000000</v>
      </c>
      <c r="D7458" t="s">
        <v>8425</v>
      </c>
      <c r="E7458" t="str">
        <f>"42692600116434"</f>
        <v>42692600116434</v>
      </c>
      <c r="F7458" s="8" t="s">
        <v>30</v>
      </c>
      <c r="G7458" s="8" t="s">
        <v>30</v>
      </c>
      <c r="H7458" s="8" t="s">
        <v>30</v>
      </c>
      <c r="I7458" s="8" t="s">
        <v>30</v>
      </c>
    </row>
    <row r="7459" spans="1:9" x14ac:dyDescent="0.2">
      <c r="A7459" t="s">
        <v>1569</v>
      </c>
      <c r="B7459" t="s">
        <v>1591</v>
      </c>
      <c r="C7459" t="str">
        <f t="shared" si="370"/>
        <v>42692600000000</v>
      </c>
      <c r="D7459" t="s">
        <v>8426</v>
      </c>
      <c r="E7459" t="str">
        <f>"42692606045785"</f>
        <v>42692606045785</v>
      </c>
      <c r="F7459" s="8" t="s">
        <v>30</v>
      </c>
      <c r="G7459" s="8" t="s">
        <v>30</v>
      </c>
      <c r="H7459" s="8" t="s">
        <v>30</v>
      </c>
      <c r="I7459" s="8" t="s">
        <v>30</v>
      </c>
    </row>
    <row r="7460" spans="1:9" x14ac:dyDescent="0.2">
      <c r="A7460" t="s">
        <v>1569</v>
      </c>
      <c r="B7460" t="s">
        <v>1591</v>
      </c>
      <c r="C7460" t="str">
        <f t="shared" si="370"/>
        <v>42692600000000</v>
      </c>
      <c r="D7460" t="s">
        <v>8427</v>
      </c>
      <c r="E7460" t="str">
        <f>"42692606045793"</f>
        <v>42692606045793</v>
      </c>
      <c r="F7460" s="8" t="s">
        <v>30</v>
      </c>
      <c r="G7460" s="8" t="s">
        <v>30</v>
      </c>
      <c r="H7460" s="8" t="s">
        <v>30</v>
      </c>
      <c r="I7460" s="8" t="s">
        <v>30</v>
      </c>
    </row>
    <row r="7461" spans="1:9" x14ac:dyDescent="0.2">
      <c r="A7461" t="s">
        <v>1569</v>
      </c>
      <c r="B7461" t="s">
        <v>1591</v>
      </c>
      <c r="C7461" t="str">
        <f t="shared" si="370"/>
        <v>42692600000000</v>
      </c>
      <c r="D7461" t="s">
        <v>2730</v>
      </c>
      <c r="E7461" t="str">
        <f>"42692606045801"</f>
        <v>42692606045801</v>
      </c>
      <c r="F7461" s="8" t="s">
        <v>30</v>
      </c>
      <c r="G7461" s="8" t="s">
        <v>30</v>
      </c>
      <c r="H7461" s="8" t="s">
        <v>30</v>
      </c>
      <c r="I7461" s="8" t="s">
        <v>30</v>
      </c>
    </row>
    <row r="7462" spans="1:9" x14ac:dyDescent="0.2">
      <c r="A7462" t="s">
        <v>1569</v>
      </c>
      <c r="B7462" t="s">
        <v>1591</v>
      </c>
      <c r="C7462" t="str">
        <f t="shared" si="370"/>
        <v>42692600000000</v>
      </c>
      <c r="D7462" t="s">
        <v>8428</v>
      </c>
      <c r="E7462" t="str">
        <f>"42692606045744"</f>
        <v>42692606045744</v>
      </c>
      <c r="F7462" s="8" t="s">
        <v>30</v>
      </c>
      <c r="G7462" s="8" t="s">
        <v>30</v>
      </c>
      <c r="H7462" s="8" t="s">
        <v>30</v>
      </c>
      <c r="I7462" s="8" t="s">
        <v>30</v>
      </c>
    </row>
    <row r="7463" spans="1:9" x14ac:dyDescent="0.2">
      <c r="A7463" t="s">
        <v>1569</v>
      </c>
      <c r="B7463" t="s">
        <v>1593</v>
      </c>
      <c r="C7463" t="str">
        <f>"42104210000000"</f>
        <v>42104210000000</v>
      </c>
      <c r="D7463" t="s">
        <v>8429</v>
      </c>
      <c r="E7463" t="str">
        <f>"42104214230157"</f>
        <v>42104214230157</v>
      </c>
      <c r="F7463" s="8">
        <v>19297</v>
      </c>
      <c r="G7463" s="8">
        <v>54305</v>
      </c>
      <c r="H7463" s="8">
        <v>0</v>
      </c>
      <c r="I7463" s="8">
        <v>8742</v>
      </c>
    </row>
    <row r="7464" spans="1:9" x14ac:dyDescent="0.2">
      <c r="A7464" t="s">
        <v>1569</v>
      </c>
      <c r="B7464" t="s">
        <v>1593</v>
      </c>
      <c r="C7464" t="str">
        <f>"42104210000000"</f>
        <v>42104210000000</v>
      </c>
      <c r="D7464" t="s">
        <v>8430</v>
      </c>
      <c r="E7464" t="str">
        <f>"42104214230207"</f>
        <v>42104214230207</v>
      </c>
      <c r="F7464" s="8">
        <v>0</v>
      </c>
      <c r="G7464" s="8">
        <v>40149</v>
      </c>
      <c r="H7464" s="8">
        <v>0</v>
      </c>
      <c r="I7464" s="8">
        <v>4768</v>
      </c>
    </row>
    <row r="7465" spans="1:9" x14ac:dyDescent="0.2">
      <c r="A7465" t="s">
        <v>1569</v>
      </c>
      <c r="B7465" t="s">
        <v>1593</v>
      </c>
      <c r="C7465" t="str">
        <f>"42104210000000"</f>
        <v>42104210000000</v>
      </c>
      <c r="D7465" t="s">
        <v>8431</v>
      </c>
      <c r="E7465" t="str">
        <f>"42104216069223"</f>
        <v>42104216069223</v>
      </c>
      <c r="F7465" s="8" t="s">
        <v>30</v>
      </c>
      <c r="G7465" s="8" t="s">
        <v>30</v>
      </c>
      <c r="H7465" s="8" t="s">
        <v>30</v>
      </c>
      <c r="I7465" s="8" t="s">
        <v>30</v>
      </c>
    </row>
    <row r="7466" spans="1:9" x14ac:dyDescent="0.2">
      <c r="A7466" t="s">
        <v>1569</v>
      </c>
      <c r="B7466" t="s">
        <v>1594</v>
      </c>
      <c r="C7466" t="str">
        <f t="shared" ref="C7466:C7485" si="371">"42767860000000"</f>
        <v>42767860000000</v>
      </c>
      <c r="D7466" t="s">
        <v>8432</v>
      </c>
      <c r="E7466" t="str">
        <f>"42767864232690"</f>
        <v>42767864232690</v>
      </c>
      <c r="F7466" s="8">
        <v>1999</v>
      </c>
      <c r="G7466" s="8">
        <v>17869</v>
      </c>
      <c r="H7466" s="8">
        <v>934</v>
      </c>
      <c r="I7466" s="8">
        <v>5100</v>
      </c>
    </row>
    <row r="7467" spans="1:9" x14ac:dyDescent="0.2">
      <c r="A7467" t="s">
        <v>1569</v>
      </c>
      <c r="B7467" t="s">
        <v>1594</v>
      </c>
      <c r="C7467" t="str">
        <f t="shared" si="371"/>
        <v>42767860000000</v>
      </c>
      <c r="D7467" t="s">
        <v>8433</v>
      </c>
      <c r="E7467" t="str">
        <f>"42767860120402"</f>
        <v>42767860120402</v>
      </c>
      <c r="F7467" s="8">
        <v>471</v>
      </c>
      <c r="G7467" s="8">
        <v>14829</v>
      </c>
      <c r="H7467" s="8">
        <v>934</v>
      </c>
      <c r="I7467" s="8">
        <v>5100</v>
      </c>
    </row>
    <row r="7468" spans="1:9" x14ac:dyDescent="0.2">
      <c r="A7468" t="s">
        <v>1569</v>
      </c>
      <c r="B7468" t="s">
        <v>1594</v>
      </c>
      <c r="C7468" t="str">
        <f t="shared" si="371"/>
        <v>42767860000000</v>
      </c>
      <c r="D7468" t="s">
        <v>8434</v>
      </c>
      <c r="E7468" t="str">
        <f>"42767866111603"</f>
        <v>42767866111603</v>
      </c>
      <c r="F7468" s="8">
        <v>203</v>
      </c>
      <c r="G7468" s="8">
        <v>10244</v>
      </c>
      <c r="H7468" s="8">
        <v>934</v>
      </c>
      <c r="I7468" s="8">
        <v>5100</v>
      </c>
    </row>
    <row r="7469" spans="1:9" x14ac:dyDescent="0.2">
      <c r="A7469" t="s">
        <v>1569</v>
      </c>
      <c r="B7469" t="s">
        <v>1594</v>
      </c>
      <c r="C7469" t="str">
        <f t="shared" si="371"/>
        <v>42767860000000</v>
      </c>
      <c r="D7469" t="s">
        <v>2306</v>
      </c>
      <c r="E7469" t="str">
        <f>"42767866045827"</f>
        <v>42767866045827</v>
      </c>
      <c r="F7469" s="8">
        <v>1368</v>
      </c>
      <c r="G7469" s="8">
        <v>8946</v>
      </c>
      <c r="H7469" s="8">
        <v>934</v>
      </c>
      <c r="I7469" s="8">
        <v>5100</v>
      </c>
    </row>
    <row r="7470" spans="1:9" x14ac:dyDescent="0.2">
      <c r="A7470" t="s">
        <v>1569</v>
      </c>
      <c r="B7470" t="s">
        <v>1594</v>
      </c>
      <c r="C7470" t="str">
        <f t="shared" si="371"/>
        <v>42767860000000</v>
      </c>
      <c r="D7470" t="s">
        <v>232</v>
      </c>
      <c r="E7470" t="str">
        <f>"42767866045892"</f>
        <v>42767866045892</v>
      </c>
      <c r="F7470" s="8">
        <v>1197</v>
      </c>
      <c r="G7470" s="8">
        <v>8993</v>
      </c>
      <c r="H7470" s="8">
        <v>934</v>
      </c>
      <c r="I7470" s="8">
        <v>5100</v>
      </c>
    </row>
    <row r="7471" spans="1:9" x14ac:dyDescent="0.2">
      <c r="A7471" t="s">
        <v>1569</v>
      </c>
      <c r="B7471" t="s">
        <v>1594</v>
      </c>
      <c r="C7471" t="str">
        <f t="shared" si="371"/>
        <v>42767860000000</v>
      </c>
      <c r="D7471" t="s">
        <v>8435</v>
      </c>
      <c r="E7471" t="str">
        <f>"42767866060040"</f>
        <v>42767866060040</v>
      </c>
      <c r="F7471" s="8">
        <v>572</v>
      </c>
      <c r="G7471" s="8">
        <v>8954</v>
      </c>
      <c r="H7471" s="8">
        <v>934</v>
      </c>
      <c r="I7471" s="8">
        <v>5100</v>
      </c>
    </row>
    <row r="7472" spans="1:9" x14ac:dyDescent="0.2">
      <c r="A7472" t="s">
        <v>1569</v>
      </c>
      <c r="B7472" t="s">
        <v>1594</v>
      </c>
      <c r="C7472" t="str">
        <f t="shared" si="371"/>
        <v>42767860000000</v>
      </c>
      <c r="D7472" t="s">
        <v>8436</v>
      </c>
      <c r="E7472" t="str">
        <f>"42767866045850"</f>
        <v>42767866045850</v>
      </c>
      <c r="F7472" s="8">
        <v>654</v>
      </c>
      <c r="G7472" s="8">
        <v>8606</v>
      </c>
      <c r="H7472" s="8">
        <v>934</v>
      </c>
      <c r="I7472" s="8">
        <v>5100</v>
      </c>
    </row>
    <row r="7473" spans="1:9" x14ac:dyDescent="0.2">
      <c r="A7473" t="s">
        <v>1569</v>
      </c>
      <c r="B7473" t="s">
        <v>1594</v>
      </c>
      <c r="C7473" t="str">
        <f t="shared" si="371"/>
        <v>42767860000000</v>
      </c>
      <c r="D7473" t="s">
        <v>8437</v>
      </c>
      <c r="E7473" t="str">
        <f>"42767866060057"</f>
        <v>42767866060057</v>
      </c>
      <c r="F7473" s="8">
        <v>379</v>
      </c>
      <c r="G7473" s="8">
        <v>8829</v>
      </c>
      <c r="H7473" s="8">
        <v>934</v>
      </c>
      <c r="I7473" s="8">
        <v>5100</v>
      </c>
    </row>
    <row r="7474" spans="1:9" x14ac:dyDescent="0.2">
      <c r="A7474" t="s">
        <v>1569</v>
      </c>
      <c r="B7474" t="s">
        <v>1594</v>
      </c>
      <c r="C7474" t="str">
        <f t="shared" si="371"/>
        <v>42767860000000</v>
      </c>
      <c r="D7474" t="s">
        <v>2349</v>
      </c>
      <c r="E7474" t="str">
        <f>"42767866045884"</f>
        <v>42767866045884</v>
      </c>
      <c r="F7474" s="8">
        <v>316</v>
      </c>
      <c r="G7474" s="8">
        <v>8781</v>
      </c>
      <c r="H7474" s="8">
        <v>934</v>
      </c>
      <c r="I7474" s="8">
        <v>5100</v>
      </c>
    </row>
    <row r="7475" spans="1:9" x14ac:dyDescent="0.2">
      <c r="A7475" t="s">
        <v>1569</v>
      </c>
      <c r="B7475" t="s">
        <v>1594</v>
      </c>
      <c r="C7475" t="str">
        <f t="shared" si="371"/>
        <v>42767860000000</v>
      </c>
      <c r="D7475" t="s">
        <v>8438</v>
      </c>
      <c r="E7475" t="str">
        <f>"42767866116875"</f>
        <v>42767866116875</v>
      </c>
      <c r="F7475" s="8">
        <v>197</v>
      </c>
      <c r="G7475" s="8">
        <v>8378</v>
      </c>
      <c r="H7475" s="8">
        <v>934</v>
      </c>
      <c r="I7475" s="8">
        <v>5100</v>
      </c>
    </row>
    <row r="7476" spans="1:9" x14ac:dyDescent="0.2">
      <c r="A7476" t="s">
        <v>1569</v>
      </c>
      <c r="B7476" t="s">
        <v>1594</v>
      </c>
      <c r="C7476" t="str">
        <f t="shared" si="371"/>
        <v>42767860000000</v>
      </c>
      <c r="D7476" t="s">
        <v>8439</v>
      </c>
      <c r="E7476" t="str">
        <f>"42767866060032"</f>
        <v>42767866060032</v>
      </c>
      <c r="F7476" s="8">
        <v>546</v>
      </c>
      <c r="G7476" s="8">
        <v>7887</v>
      </c>
      <c r="H7476" s="8">
        <v>934</v>
      </c>
      <c r="I7476" s="8">
        <v>5100</v>
      </c>
    </row>
    <row r="7477" spans="1:9" x14ac:dyDescent="0.2">
      <c r="A7477" t="s">
        <v>1569</v>
      </c>
      <c r="B7477" t="s">
        <v>1594</v>
      </c>
      <c r="C7477" t="str">
        <f t="shared" si="371"/>
        <v>42767860000000</v>
      </c>
      <c r="D7477" t="s">
        <v>8440</v>
      </c>
      <c r="E7477" t="str">
        <f>"42767864235727"</f>
        <v>42767864235727</v>
      </c>
      <c r="F7477" s="8">
        <v>412</v>
      </c>
      <c r="G7477" s="8">
        <v>7969</v>
      </c>
      <c r="H7477" s="8">
        <v>934</v>
      </c>
      <c r="I7477" s="8">
        <v>5100</v>
      </c>
    </row>
    <row r="7478" spans="1:9" x14ac:dyDescent="0.2">
      <c r="A7478" t="s">
        <v>1569</v>
      </c>
      <c r="B7478" t="s">
        <v>1594</v>
      </c>
      <c r="C7478" t="str">
        <f t="shared" si="371"/>
        <v>42767860000000</v>
      </c>
      <c r="D7478" t="s">
        <v>8441</v>
      </c>
      <c r="E7478" t="str">
        <f>"42767864235230"</f>
        <v>42767864235230</v>
      </c>
      <c r="F7478" s="8">
        <v>499</v>
      </c>
      <c r="G7478" s="8">
        <v>7796</v>
      </c>
      <c r="H7478" s="8">
        <v>934</v>
      </c>
      <c r="I7478" s="8">
        <v>5100</v>
      </c>
    </row>
    <row r="7479" spans="1:9" x14ac:dyDescent="0.2">
      <c r="A7479" t="s">
        <v>1569</v>
      </c>
      <c r="B7479" t="s">
        <v>1594</v>
      </c>
      <c r="C7479" t="str">
        <f t="shared" si="371"/>
        <v>42767860000000</v>
      </c>
      <c r="D7479" t="s">
        <v>1894</v>
      </c>
      <c r="E7479" t="str">
        <f>"42767866045835"</f>
        <v>42767866045835</v>
      </c>
      <c r="F7479" s="8">
        <v>369</v>
      </c>
      <c r="G7479" s="8">
        <v>7916</v>
      </c>
      <c r="H7479" s="8">
        <v>934</v>
      </c>
      <c r="I7479" s="8">
        <v>5100</v>
      </c>
    </row>
    <row r="7480" spans="1:9" x14ac:dyDescent="0.2">
      <c r="A7480" t="s">
        <v>1569</v>
      </c>
      <c r="B7480" t="s">
        <v>1594</v>
      </c>
      <c r="C7480" t="str">
        <f t="shared" si="371"/>
        <v>42767860000000</v>
      </c>
      <c r="D7480" t="s">
        <v>8442</v>
      </c>
      <c r="E7480" t="str">
        <f>"42767864231726"</f>
        <v>42767864231726</v>
      </c>
      <c r="F7480" s="8">
        <v>375</v>
      </c>
      <c r="G7480" s="8">
        <v>7895</v>
      </c>
      <c r="H7480" s="8">
        <v>934</v>
      </c>
      <c r="I7480" s="8">
        <v>5100</v>
      </c>
    </row>
    <row r="7481" spans="1:9" x14ac:dyDescent="0.2">
      <c r="A7481" t="s">
        <v>1569</v>
      </c>
      <c r="B7481" t="s">
        <v>1594</v>
      </c>
      <c r="C7481" t="str">
        <f t="shared" si="371"/>
        <v>42767860000000</v>
      </c>
      <c r="D7481" t="s">
        <v>2347</v>
      </c>
      <c r="E7481" t="str">
        <f>"42767866045926"</f>
        <v>42767866045926</v>
      </c>
      <c r="F7481" s="8">
        <v>253</v>
      </c>
      <c r="G7481" s="8">
        <v>7859</v>
      </c>
      <c r="H7481" s="8">
        <v>934</v>
      </c>
      <c r="I7481" s="8">
        <v>5100</v>
      </c>
    </row>
    <row r="7482" spans="1:9" x14ac:dyDescent="0.2">
      <c r="A7482" t="s">
        <v>1569</v>
      </c>
      <c r="B7482" t="s">
        <v>1594</v>
      </c>
      <c r="C7482" t="str">
        <f t="shared" si="371"/>
        <v>42767860000000</v>
      </c>
      <c r="D7482" t="s">
        <v>2094</v>
      </c>
      <c r="E7482" t="str">
        <f>"42767866045934"</f>
        <v>42767866045934</v>
      </c>
      <c r="F7482" s="8">
        <v>285</v>
      </c>
      <c r="G7482" s="8">
        <v>7612</v>
      </c>
      <c r="H7482" s="8">
        <v>934</v>
      </c>
      <c r="I7482" s="8">
        <v>5100</v>
      </c>
    </row>
    <row r="7483" spans="1:9" x14ac:dyDescent="0.2">
      <c r="A7483" t="s">
        <v>1569</v>
      </c>
      <c r="B7483" t="s">
        <v>1594</v>
      </c>
      <c r="C7483" t="str">
        <f t="shared" si="371"/>
        <v>42767860000000</v>
      </c>
      <c r="D7483" t="s">
        <v>5998</v>
      </c>
      <c r="E7483" t="str">
        <f>"42767866045819"</f>
        <v>42767866045819</v>
      </c>
      <c r="F7483" s="8">
        <v>391</v>
      </c>
      <c r="G7483" s="8">
        <v>7360</v>
      </c>
      <c r="H7483" s="8">
        <v>934</v>
      </c>
      <c r="I7483" s="8">
        <v>5100</v>
      </c>
    </row>
    <row r="7484" spans="1:9" x14ac:dyDescent="0.2">
      <c r="A7484" t="s">
        <v>1569</v>
      </c>
      <c r="B7484" t="s">
        <v>1594</v>
      </c>
      <c r="C7484" t="str">
        <f t="shared" si="371"/>
        <v>42767860000000</v>
      </c>
      <c r="D7484" t="s">
        <v>8443</v>
      </c>
      <c r="E7484" t="str">
        <f>"42767866062095"</f>
        <v>42767866062095</v>
      </c>
      <c r="F7484" s="8">
        <v>325</v>
      </c>
      <c r="G7484" s="8">
        <v>6157</v>
      </c>
      <c r="H7484" s="8">
        <v>934</v>
      </c>
      <c r="I7484" s="8">
        <v>5100</v>
      </c>
    </row>
    <row r="7485" spans="1:9" x14ac:dyDescent="0.2">
      <c r="A7485" t="s">
        <v>1569</v>
      </c>
      <c r="B7485" t="s">
        <v>1594</v>
      </c>
      <c r="C7485" t="str">
        <f t="shared" si="371"/>
        <v>42767860000000</v>
      </c>
      <c r="D7485" t="s">
        <v>8444</v>
      </c>
      <c r="E7485" t="str">
        <f>"42767860123885"</f>
        <v>42767860123885</v>
      </c>
      <c r="F7485" s="8" t="s">
        <v>30</v>
      </c>
      <c r="G7485" s="8" t="s">
        <v>30</v>
      </c>
      <c r="H7485" s="8" t="s">
        <v>30</v>
      </c>
      <c r="I7485" s="8" t="s">
        <v>30</v>
      </c>
    </row>
    <row r="7486" spans="1:9" x14ac:dyDescent="0.2">
      <c r="A7486" t="s">
        <v>1569</v>
      </c>
      <c r="B7486" t="s">
        <v>1595</v>
      </c>
      <c r="C7486" t="str">
        <f>"42693100000000"</f>
        <v>42693100000000</v>
      </c>
      <c r="D7486" t="s">
        <v>8445</v>
      </c>
      <c r="E7486" t="str">
        <f>"42693104234613"</f>
        <v>42693104234613</v>
      </c>
      <c r="F7486" s="8">
        <v>802</v>
      </c>
      <c r="G7486" s="8">
        <v>8987</v>
      </c>
      <c r="H7486" s="8">
        <v>694</v>
      </c>
      <c r="I7486" s="8">
        <v>1800</v>
      </c>
    </row>
    <row r="7487" spans="1:9" x14ac:dyDescent="0.2">
      <c r="A7487" t="s">
        <v>1569</v>
      </c>
      <c r="B7487" t="s">
        <v>1595</v>
      </c>
      <c r="C7487" t="str">
        <f>"42693100000000"</f>
        <v>42693100000000</v>
      </c>
      <c r="D7487" t="s">
        <v>8446</v>
      </c>
      <c r="E7487" t="str">
        <f>"42693104236030"</f>
        <v>42693104236030</v>
      </c>
      <c r="F7487" s="8">
        <v>842</v>
      </c>
      <c r="G7487" s="8">
        <v>8564</v>
      </c>
      <c r="H7487" s="8">
        <v>694</v>
      </c>
      <c r="I7487" s="8">
        <v>1800</v>
      </c>
    </row>
    <row r="7488" spans="1:9" x14ac:dyDescent="0.2">
      <c r="A7488" t="s">
        <v>1569</v>
      </c>
      <c r="B7488" t="s">
        <v>1595</v>
      </c>
      <c r="C7488" t="str">
        <f>"42693100000000"</f>
        <v>42693100000000</v>
      </c>
      <c r="D7488" t="s">
        <v>6825</v>
      </c>
      <c r="E7488" t="str">
        <f>"42693104231452"</f>
        <v>42693104231452</v>
      </c>
      <c r="F7488" s="8">
        <v>536</v>
      </c>
      <c r="G7488" s="8">
        <v>8610</v>
      </c>
      <c r="H7488" s="8">
        <v>694</v>
      </c>
      <c r="I7488" s="8">
        <v>1800</v>
      </c>
    </row>
    <row r="7489" spans="1:9" x14ac:dyDescent="0.2">
      <c r="A7489" t="s">
        <v>1569</v>
      </c>
      <c r="B7489" t="s">
        <v>1595</v>
      </c>
      <c r="C7489" t="str">
        <f>"42693100000000"</f>
        <v>42693100000000</v>
      </c>
      <c r="D7489" t="s">
        <v>8447</v>
      </c>
      <c r="E7489" t="str">
        <f>"42693100102285"</f>
        <v>42693100102285</v>
      </c>
      <c r="F7489" s="8">
        <v>595</v>
      </c>
      <c r="G7489" s="8">
        <v>7954</v>
      </c>
      <c r="H7489" s="8">
        <v>694</v>
      </c>
      <c r="I7489" s="8">
        <v>1800</v>
      </c>
    </row>
    <row r="7490" spans="1:9" x14ac:dyDescent="0.2">
      <c r="A7490" t="s">
        <v>1569</v>
      </c>
      <c r="B7490" t="s">
        <v>1596</v>
      </c>
      <c r="C7490" t="str">
        <f t="shared" ref="C7490:C7510" si="372">"42691200000000"</f>
        <v>42691200000000</v>
      </c>
      <c r="D7490" t="s">
        <v>8448</v>
      </c>
      <c r="E7490" t="str">
        <f>"42691200139824"</f>
        <v>42691200139824</v>
      </c>
      <c r="F7490" s="8">
        <v>977</v>
      </c>
      <c r="G7490" s="8">
        <v>12076</v>
      </c>
      <c r="H7490" s="8">
        <v>1482</v>
      </c>
      <c r="I7490" s="8">
        <v>3894</v>
      </c>
    </row>
    <row r="7491" spans="1:9" x14ac:dyDescent="0.2">
      <c r="A7491" t="s">
        <v>1569</v>
      </c>
      <c r="B7491" t="s">
        <v>1596</v>
      </c>
      <c r="C7491" t="str">
        <f t="shared" si="372"/>
        <v>42691200000000</v>
      </c>
      <c r="D7491" t="s">
        <v>8449</v>
      </c>
      <c r="E7491" t="str">
        <f>"42691206045975"</f>
        <v>42691206045975</v>
      </c>
      <c r="F7491" s="8">
        <v>464</v>
      </c>
      <c r="G7491" s="8">
        <v>9308</v>
      </c>
      <c r="H7491" s="8">
        <v>1482</v>
      </c>
      <c r="I7491" s="8">
        <v>3894</v>
      </c>
    </row>
    <row r="7492" spans="1:9" x14ac:dyDescent="0.2">
      <c r="A7492" t="s">
        <v>1569</v>
      </c>
      <c r="B7492" t="s">
        <v>1596</v>
      </c>
      <c r="C7492" t="str">
        <f t="shared" si="372"/>
        <v>42691200000000</v>
      </c>
      <c r="D7492" t="s">
        <v>8450</v>
      </c>
      <c r="E7492" t="str">
        <f>"42691206045991"</f>
        <v>42691206045991</v>
      </c>
      <c r="F7492" s="8">
        <v>783</v>
      </c>
      <c r="G7492" s="8">
        <v>8753</v>
      </c>
      <c r="H7492" s="8">
        <v>1482</v>
      </c>
      <c r="I7492" s="8">
        <v>3894</v>
      </c>
    </row>
    <row r="7493" spans="1:9" x14ac:dyDescent="0.2">
      <c r="A7493" t="s">
        <v>1569</v>
      </c>
      <c r="B7493" t="s">
        <v>1596</v>
      </c>
      <c r="C7493" t="str">
        <f t="shared" si="372"/>
        <v>42691200000000</v>
      </c>
      <c r="D7493" t="s">
        <v>8451</v>
      </c>
      <c r="E7493" t="str">
        <f>"42691200102855"</f>
        <v>42691200102855</v>
      </c>
      <c r="F7493" s="8">
        <v>683</v>
      </c>
      <c r="G7493" s="8">
        <v>8086</v>
      </c>
      <c r="H7493" s="8">
        <v>1482</v>
      </c>
      <c r="I7493" s="8">
        <v>3894</v>
      </c>
    </row>
    <row r="7494" spans="1:9" x14ac:dyDescent="0.2">
      <c r="A7494" t="s">
        <v>1569</v>
      </c>
      <c r="B7494" t="s">
        <v>1596</v>
      </c>
      <c r="C7494" t="str">
        <f t="shared" si="372"/>
        <v>42691200000000</v>
      </c>
      <c r="D7494" t="s">
        <v>8452</v>
      </c>
      <c r="E7494" t="str">
        <f>"42691206107007"</f>
        <v>42691206107007</v>
      </c>
      <c r="F7494" s="8">
        <v>862</v>
      </c>
      <c r="G7494" s="8">
        <v>7641</v>
      </c>
      <c r="H7494" s="8">
        <v>1482</v>
      </c>
      <c r="I7494" s="8">
        <v>3894</v>
      </c>
    </row>
    <row r="7495" spans="1:9" x14ac:dyDescent="0.2">
      <c r="A7495" t="s">
        <v>1569</v>
      </c>
      <c r="B7495" t="s">
        <v>1596</v>
      </c>
      <c r="C7495" t="str">
        <f t="shared" si="372"/>
        <v>42691200000000</v>
      </c>
      <c r="D7495" t="s">
        <v>8453</v>
      </c>
      <c r="E7495" t="str">
        <f>"42691206119812"</f>
        <v>42691206119812</v>
      </c>
      <c r="F7495" s="8">
        <v>1052</v>
      </c>
      <c r="G7495" s="8">
        <v>7381</v>
      </c>
      <c r="H7495" s="8">
        <v>1482</v>
      </c>
      <c r="I7495" s="8">
        <v>3894</v>
      </c>
    </row>
    <row r="7496" spans="1:9" x14ac:dyDescent="0.2">
      <c r="A7496" t="s">
        <v>1569</v>
      </c>
      <c r="B7496" t="s">
        <v>1596</v>
      </c>
      <c r="C7496" t="str">
        <f t="shared" si="372"/>
        <v>42691200000000</v>
      </c>
      <c r="D7496" t="s">
        <v>8454</v>
      </c>
      <c r="E7496" t="str">
        <f>"42691206119820"</f>
        <v>42691206119820</v>
      </c>
      <c r="F7496" s="8">
        <v>370</v>
      </c>
      <c r="G7496" s="8">
        <v>7975</v>
      </c>
      <c r="H7496" s="8">
        <v>1482</v>
      </c>
      <c r="I7496" s="8">
        <v>3894</v>
      </c>
    </row>
    <row r="7497" spans="1:9" x14ac:dyDescent="0.2">
      <c r="A7497" t="s">
        <v>1569</v>
      </c>
      <c r="B7497" t="s">
        <v>1596</v>
      </c>
      <c r="C7497" t="str">
        <f t="shared" si="372"/>
        <v>42691200000000</v>
      </c>
      <c r="D7497" t="s">
        <v>8455</v>
      </c>
      <c r="E7497" t="str">
        <f>"42691206046015"</f>
        <v>42691206046015</v>
      </c>
      <c r="F7497" s="8">
        <v>568</v>
      </c>
      <c r="G7497" s="8">
        <v>7584</v>
      </c>
      <c r="H7497" s="8">
        <v>1482</v>
      </c>
      <c r="I7497" s="8">
        <v>3894</v>
      </c>
    </row>
    <row r="7498" spans="1:9" x14ac:dyDescent="0.2">
      <c r="A7498" t="s">
        <v>1569</v>
      </c>
      <c r="B7498" t="s">
        <v>1596</v>
      </c>
      <c r="C7498" t="str">
        <f t="shared" si="372"/>
        <v>42691200000000</v>
      </c>
      <c r="D7498" t="s">
        <v>1811</v>
      </c>
      <c r="E7498" t="str">
        <f>"42691200102863"</f>
        <v>42691200102863</v>
      </c>
      <c r="F7498" s="8">
        <v>1050</v>
      </c>
      <c r="G7498" s="8">
        <v>6989</v>
      </c>
      <c r="H7498" s="8">
        <v>1482</v>
      </c>
      <c r="I7498" s="8">
        <v>3894</v>
      </c>
    </row>
    <row r="7499" spans="1:9" x14ac:dyDescent="0.2">
      <c r="A7499" t="s">
        <v>1569</v>
      </c>
      <c r="B7499" t="s">
        <v>1596</v>
      </c>
      <c r="C7499" t="str">
        <f t="shared" si="372"/>
        <v>42691200000000</v>
      </c>
      <c r="D7499" t="s">
        <v>8456</v>
      </c>
      <c r="E7499" t="str">
        <f>"42691206109268"</f>
        <v>42691206109268</v>
      </c>
      <c r="F7499" s="8">
        <v>488</v>
      </c>
      <c r="G7499" s="8">
        <v>7298</v>
      </c>
      <c r="H7499" s="8">
        <v>1482</v>
      </c>
      <c r="I7499" s="8">
        <v>3894</v>
      </c>
    </row>
    <row r="7500" spans="1:9" x14ac:dyDescent="0.2">
      <c r="A7500" t="s">
        <v>1569</v>
      </c>
      <c r="B7500" t="s">
        <v>1596</v>
      </c>
      <c r="C7500" t="str">
        <f t="shared" si="372"/>
        <v>42691200000000</v>
      </c>
      <c r="D7500" t="s">
        <v>8457</v>
      </c>
      <c r="E7500" t="str">
        <f>"42691206046064"</f>
        <v>42691206046064</v>
      </c>
      <c r="F7500" s="8">
        <v>711</v>
      </c>
      <c r="G7500" s="8">
        <v>6876</v>
      </c>
      <c r="H7500" s="8">
        <v>1482</v>
      </c>
      <c r="I7500" s="8">
        <v>3894</v>
      </c>
    </row>
    <row r="7501" spans="1:9" x14ac:dyDescent="0.2">
      <c r="A7501" t="s">
        <v>1569</v>
      </c>
      <c r="B7501" t="s">
        <v>1596</v>
      </c>
      <c r="C7501" t="str">
        <f t="shared" si="372"/>
        <v>42691200000000</v>
      </c>
      <c r="D7501" t="s">
        <v>8458</v>
      </c>
      <c r="E7501" t="str">
        <f>"42691200102848"</f>
        <v>42691200102848</v>
      </c>
      <c r="F7501" s="8">
        <v>420</v>
      </c>
      <c r="G7501" s="8">
        <v>7166</v>
      </c>
      <c r="H7501" s="8">
        <v>1482</v>
      </c>
      <c r="I7501" s="8">
        <v>3894</v>
      </c>
    </row>
    <row r="7502" spans="1:9" x14ac:dyDescent="0.2">
      <c r="A7502" t="s">
        <v>1569</v>
      </c>
      <c r="B7502" t="s">
        <v>1596</v>
      </c>
      <c r="C7502" t="str">
        <f t="shared" si="372"/>
        <v>42691200000000</v>
      </c>
      <c r="D7502" t="s">
        <v>8459</v>
      </c>
      <c r="E7502" t="str">
        <f>"42691206046049"</f>
        <v>42691206046049</v>
      </c>
      <c r="F7502" s="8">
        <v>534</v>
      </c>
      <c r="G7502" s="8">
        <v>7046</v>
      </c>
      <c r="H7502" s="8">
        <v>1482</v>
      </c>
      <c r="I7502" s="8">
        <v>3894</v>
      </c>
    </row>
    <row r="7503" spans="1:9" x14ac:dyDescent="0.2">
      <c r="A7503" t="s">
        <v>1569</v>
      </c>
      <c r="B7503" t="s">
        <v>1596</v>
      </c>
      <c r="C7503" t="str">
        <f t="shared" si="372"/>
        <v>42691200000000</v>
      </c>
      <c r="D7503" t="s">
        <v>8460</v>
      </c>
      <c r="E7503" t="str">
        <f>"42691206045959"</f>
        <v>42691206045959</v>
      </c>
      <c r="F7503" s="8">
        <v>586</v>
      </c>
      <c r="G7503" s="8">
        <v>6881</v>
      </c>
      <c r="H7503" s="8">
        <v>1482</v>
      </c>
      <c r="I7503" s="8">
        <v>3894</v>
      </c>
    </row>
    <row r="7504" spans="1:9" x14ac:dyDescent="0.2">
      <c r="A7504" t="s">
        <v>1569</v>
      </c>
      <c r="B7504" t="s">
        <v>1596</v>
      </c>
      <c r="C7504" t="str">
        <f t="shared" si="372"/>
        <v>42691200000000</v>
      </c>
      <c r="D7504" t="s">
        <v>8461</v>
      </c>
      <c r="E7504" t="str">
        <f>"42691206045272"</f>
        <v>42691206045272</v>
      </c>
      <c r="F7504" s="8">
        <v>278</v>
      </c>
      <c r="G7504" s="8">
        <v>6981</v>
      </c>
      <c r="H7504" s="8">
        <v>1482</v>
      </c>
      <c r="I7504" s="8">
        <v>3894</v>
      </c>
    </row>
    <row r="7505" spans="1:9" x14ac:dyDescent="0.2">
      <c r="A7505" t="s">
        <v>1569</v>
      </c>
      <c r="B7505" t="s">
        <v>1596</v>
      </c>
      <c r="C7505" t="str">
        <f t="shared" si="372"/>
        <v>42691200000000</v>
      </c>
      <c r="D7505" t="s">
        <v>8462</v>
      </c>
      <c r="E7505" t="str">
        <f>"42691206046023"</f>
        <v>42691206046023</v>
      </c>
      <c r="F7505" s="8">
        <v>521</v>
      </c>
      <c r="G7505" s="8">
        <v>6631</v>
      </c>
      <c r="H7505" s="8">
        <v>1482</v>
      </c>
      <c r="I7505" s="8">
        <v>3894</v>
      </c>
    </row>
    <row r="7506" spans="1:9" x14ac:dyDescent="0.2">
      <c r="A7506" t="s">
        <v>1569</v>
      </c>
      <c r="B7506" t="s">
        <v>1596</v>
      </c>
      <c r="C7506" t="str">
        <f t="shared" si="372"/>
        <v>42691200000000</v>
      </c>
      <c r="D7506" t="s">
        <v>8463</v>
      </c>
      <c r="E7506" t="str">
        <f>"42691206046007"</f>
        <v>42691206046007</v>
      </c>
      <c r="F7506" s="8">
        <v>295</v>
      </c>
      <c r="G7506" s="8">
        <v>6820</v>
      </c>
      <c r="H7506" s="8">
        <v>1482</v>
      </c>
      <c r="I7506" s="8">
        <v>3894</v>
      </c>
    </row>
    <row r="7507" spans="1:9" x14ac:dyDescent="0.2">
      <c r="A7507" t="s">
        <v>1569</v>
      </c>
      <c r="B7507" t="s">
        <v>1596</v>
      </c>
      <c r="C7507" t="str">
        <f t="shared" si="372"/>
        <v>42691200000000</v>
      </c>
      <c r="D7507" t="s">
        <v>8464</v>
      </c>
      <c r="E7507" t="str">
        <f>"42691206046056"</f>
        <v>42691206046056</v>
      </c>
      <c r="F7507" s="8">
        <v>340</v>
      </c>
      <c r="G7507" s="8">
        <v>6708</v>
      </c>
      <c r="H7507" s="8">
        <v>1482</v>
      </c>
      <c r="I7507" s="8">
        <v>3894</v>
      </c>
    </row>
    <row r="7508" spans="1:9" x14ac:dyDescent="0.2">
      <c r="A7508" t="s">
        <v>1569</v>
      </c>
      <c r="B7508" t="s">
        <v>1596</v>
      </c>
      <c r="C7508" t="str">
        <f t="shared" si="372"/>
        <v>42691200000000</v>
      </c>
      <c r="D7508" t="s">
        <v>8465</v>
      </c>
      <c r="E7508" t="str">
        <f>"42691200131623"</f>
        <v>42691200131623</v>
      </c>
      <c r="F7508" s="8">
        <v>403</v>
      </c>
      <c r="G7508" s="8">
        <v>6481</v>
      </c>
      <c r="H7508" s="8">
        <v>1482</v>
      </c>
      <c r="I7508" s="8">
        <v>3894</v>
      </c>
    </row>
    <row r="7509" spans="1:9" x14ac:dyDescent="0.2">
      <c r="A7509" t="s">
        <v>1569</v>
      </c>
      <c r="B7509" t="s">
        <v>1596</v>
      </c>
      <c r="C7509" t="str">
        <f t="shared" si="372"/>
        <v>42691200000000</v>
      </c>
      <c r="D7509" t="s">
        <v>8466</v>
      </c>
      <c r="E7509" t="str">
        <f>"42691206046031"</f>
        <v>42691206046031</v>
      </c>
      <c r="F7509" s="8">
        <v>305</v>
      </c>
      <c r="G7509" s="8">
        <v>6147</v>
      </c>
      <c r="H7509" s="8">
        <v>1482</v>
      </c>
      <c r="I7509" s="8">
        <v>3894</v>
      </c>
    </row>
    <row r="7510" spans="1:9" x14ac:dyDescent="0.2">
      <c r="A7510" t="s">
        <v>1569</v>
      </c>
      <c r="B7510" t="s">
        <v>1596</v>
      </c>
      <c r="C7510" t="str">
        <f t="shared" si="372"/>
        <v>42691200000000</v>
      </c>
      <c r="D7510" t="s">
        <v>8467</v>
      </c>
      <c r="E7510" t="str">
        <f>"42691206045967"</f>
        <v>42691206045967</v>
      </c>
      <c r="F7510" s="8">
        <v>325</v>
      </c>
      <c r="G7510" s="8">
        <v>6075</v>
      </c>
      <c r="H7510" s="8">
        <v>1482</v>
      </c>
      <c r="I7510" s="8">
        <v>3894</v>
      </c>
    </row>
    <row r="7511" spans="1:9" x14ac:dyDescent="0.2">
      <c r="A7511" t="s">
        <v>1569</v>
      </c>
      <c r="B7511" t="s">
        <v>1598</v>
      </c>
      <c r="C7511" t="str">
        <f>"42693280000000"</f>
        <v>42693280000000</v>
      </c>
      <c r="D7511" t="s">
        <v>8468</v>
      </c>
      <c r="E7511" t="str">
        <f>"42693284230074"</f>
        <v>42693284230074</v>
      </c>
      <c r="F7511" s="8">
        <v>0</v>
      </c>
      <c r="G7511" s="8">
        <v>18972</v>
      </c>
      <c r="H7511" s="8">
        <v>0</v>
      </c>
      <c r="I7511" s="8">
        <v>0</v>
      </c>
    </row>
    <row r="7512" spans="1:9" x14ac:dyDescent="0.2">
      <c r="A7512" t="s">
        <v>1569</v>
      </c>
      <c r="B7512" t="s">
        <v>1598</v>
      </c>
      <c r="C7512" t="str">
        <f>"42693280000000"</f>
        <v>42693280000000</v>
      </c>
      <c r="D7512" t="s">
        <v>1598</v>
      </c>
      <c r="E7512" t="str">
        <f>"42693284236345"</f>
        <v>42693284236345</v>
      </c>
      <c r="F7512" s="8">
        <v>597</v>
      </c>
      <c r="G7512" s="8">
        <v>14780</v>
      </c>
      <c r="H7512" s="8">
        <v>0</v>
      </c>
      <c r="I7512" s="8">
        <v>0</v>
      </c>
    </row>
    <row r="7513" spans="1:9" x14ac:dyDescent="0.2">
      <c r="A7513" t="s">
        <v>1569</v>
      </c>
      <c r="B7513" t="s">
        <v>1599</v>
      </c>
      <c r="C7513" t="str">
        <f>"42693360000000"</f>
        <v>42693360000000</v>
      </c>
      <c r="D7513" t="s">
        <v>1599</v>
      </c>
      <c r="E7513" t="str">
        <f>"42693366046072"</f>
        <v>42693366046072</v>
      </c>
      <c r="F7513" s="8">
        <v>2111</v>
      </c>
      <c r="G7513" s="8">
        <v>8709</v>
      </c>
      <c r="H7513" s="8">
        <v>0</v>
      </c>
      <c r="I7513" s="8">
        <v>0</v>
      </c>
    </row>
    <row r="7514" spans="1:9" x14ac:dyDescent="0.2">
      <c r="A7514" t="s">
        <v>1569</v>
      </c>
      <c r="B7514" t="s">
        <v>1603</v>
      </c>
      <c r="C7514" t="str">
        <f>"42693440000000"</f>
        <v>42693440000000</v>
      </c>
      <c r="D7514" t="s">
        <v>8469</v>
      </c>
      <c r="E7514" t="str">
        <f>"42693446046080"</f>
        <v>42693446046080</v>
      </c>
      <c r="F7514" s="8">
        <v>5395</v>
      </c>
      <c r="G7514" s="8">
        <v>45614</v>
      </c>
      <c r="H7514" s="8">
        <v>212</v>
      </c>
      <c r="I7514" s="8">
        <v>10579</v>
      </c>
    </row>
    <row r="7515" spans="1:9" x14ac:dyDescent="0.2">
      <c r="A7515" t="s">
        <v>1604</v>
      </c>
      <c r="B7515" t="s">
        <v>1613</v>
      </c>
      <c r="C7515" t="str">
        <f t="shared" ref="C7515:C7538" si="373">"43693690000000"</f>
        <v>43693690000000</v>
      </c>
      <c r="D7515" t="s">
        <v>8470</v>
      </c>
      <c r="E7515" t="str">
        <f>"43693696046148"</f>
        <v>43693696046148</v>
      </c>
      <c r="F7515" s="8">
        <v>496</v>
      </c>
      <c r="G7515" s="8">
        <v>7752</v>
      </c>
      <c r="H7515" s="8">
        <v>2102</v>
      </c>
      <c r="I7515" s="8">
        <v>6212</v>
      </c>
    </row>
    <row r="7516" spans="1:9" x14ac:dyDescent="0.2">
      <c r="A7516" t="s">
        <v>1604</v>
      </c>
      <c r="B7516" t="s">
        <v>1613</v>
      </c>
      <c r="C7516" t="str">
        <f t="shared" si="373"/>
        <v>43693690000000</v>
      </c>
      <c r="D7516" t="s">
        <v>8471</v>
      </c>
      <c r="E7516" t="str">
        <f>"43693696046197"</f>
        <v>43693696046197</v>
      </c>
      <c r="F7516" s="8">
        <v>393</v>
      </c>
      <c r="G7516" s="8">
        <v>7828</v>
      </c>
      <c r="H7516" s="8">
        <v>2102</v>
      </c>
      <c r="I7516" s="8">
        <v>6212</v>
      </c>
    </row>
    <row r="7517" spans="1:9" x14ac:dyDescent="0.2">
      <c r="A7517" t="s">
        <v>1604</v>
      </c>
      <c r="B7517" t="s">
        <v>1613</v>
      </c>
      <c r="C7517" t="str">
        <f t="shared" si="373"/>
        <v>43693690000000</v>
      </c>
      <c r="D7517" t="s">
        <v>3158</v>
      </c>
      <c r="E7517" t="str">
        <f>"43693696046239"</f>
        <v>43693696046239</v>
      </c>
      <c r="F7517" s="8">
        <v>301</v>
      </c>
      <c r="G7517" s="8">
        <v>7860</v>
      </c>
      <c r="H7517" s="8">
        <v>2102</v>
      </c>
      <c r="I7517" s="8">
        <v>6212</v>
      </c>
    </row>
    <row r="7518" spans="1:9" x14ac:dyDescent="0.2">
      <c r="A7518" t="s">
        <v>1604</v>
      </c>
      <c r="B7518" t="s">
        <v>1613</v>
      </c>
      <c r="C7518" t="str">
        <f t="shared" si="373"/>
        <v>43693690000000</v>
      </c>
      <c r="D7518" t="s">
        <v>8472</v>
      </c>
      <c r="E7518" t="str">
        <f>"43693696046122"</f>
        <v>43693696046122</v>
      </c>
      <c r="F7518" s="8">
        <v>225</v>
      </c>
      <c r="G7518" s="8">
        <v>7826</v>
      </c>
      <c r="H7518" s="8">
        <v>2102</v>
      </c>
      <c r="I7518" s="8">
        <v>6212</v>
      </c>
    </row>
    <row r="7519" spans="1:9" x14ac:dyDescent="0.2">
      <c r="A7519" t="s">
        <v>1604</v>
      </c>
      <c r="B7519" t="s">
        <v>1613</v>
      </c>
      <c r="C7519" t="str">
        <f t="shared" si="373"/>
        <v>43693690000000</v>
      </c>
      <c r="D7519" t="s">
        <v>8473</v>
      </c>
      <c r="E7519" t="str">
        <f>"43693696046247"</f>
        <v>43693696046247</v>
      </c>
      <c r="F7519" s="8">
        <v>204</v>
      </c>
      <c r="G7519" s="8">
        <v>7599</v>
      </c>
      <c r="H7519" s="8">
        <v>2102</v>
      </c>
      <c r="I7519" s="8">
        <v>6212</v>
      </c>
    </row>
    <row r="7520" spans="1:9" x14ac:dyDescent="0.2">
      <c r="A7520" t="s">
        <v>1604</v>
      </c>
      <c r="B7520" t="s">
        <v>1613</v>
      </c>
      <c r="C7520" t="str">
        <f t="shared" si="373"/>
        <v>43693690000000</v>
      </c>
      <c r="D7520" t="s">
        <v>8474</v>
      </c>
      <c r="E7520" t="str">
        <f>"43693690108167"</f>
        <v>43693690108167</v>
      </c>
      <c r="F7520" s="8">
        <v>117</v>
      </c>
      <c r="G7520" s="8">
        <v>7603</v>
      </c>
      <c r="H7520" s="8">
        <v>2102</v>
      </c>
      <c r="I7520" s="8">
        <v>6212</v>
      </c>
    </row>
    <row r="7521" spans="1:9" x14ac:dyDescent="0.2">
      <c r="A7521" t="s">
        <v>1604</v>
      </c>
      <c r="B7521" t="s">
        <v>1613</v>
      </c>
      <c r="C7521" t="str">
        <f t="shared" si="373"/>
        <v>43693690000000</v>
      </c>
      <c r="D7521" t="s">
        <v>8475</v>
      </c>
      <c r="E7521" t="str">
        <f>"43693696046221"</f>
        <v>43693696046221</v>
      </c>
      <c r="F7521" s="8">
        <v>236</v>
      </c>
      <c r="G7521" s="8">
        <v>7432</v>
      </c>
      <c r="H7521" s="8">
        <v>2102</v>
      </c>
      <c r="I7521" s="8">
        <v>6212</v>
      </c>
    </row>
    <row r="7522" spans="1:9" x14ac:dyDescent="0.2">
      <c r="A7522" t="s">
        <v>1604</v>
      </c>
      <c r="B7522" t="s">
        <v>1613</v>
      </c>
      <c r="C7522" t="str">
        <f t="shared" si="373"/>
        <v>43693690000000</v>
      </c>
      <c r="D7522" t="s">
        <v>4389</v>
      </c>
      <c r="E7522" t="str">
        <f>"43693696046304"</f>
        <v>43693696046304</v>
      </c>
      <c r="F7522" s="8">
        <v>270</v>
      </c>
      <c r="G7522" s="8">
        <v>7327</v>
      </c>
      <c r="H7522" s="8">
        <v>2102</v>
      </c>
      <c r="I7522" s="8">
        <v>6212</v>
      </c>
    </row>
    <row r="7523" spans="1:9" x14ac:dyDescent="0.2">
      <c r="A7523" t="s">
        <v>1604</v>
      </c>
      <c r="B7523" t="s">
        <v>1613</v>
      </c>
      <c r="C7523" t="str">
        <f t="shared" si="373"/>
        <v>43693690000000</v>
      </c>
      <c r="D7523" t="s">
        <v>8476</v>
      </c>
      <c r="E7523" t="str">
        <f>"43693690135749"</f>
        <v>43693690135749</v>
      </c>
      <c r="F7523" s="8">
        <v>173</v>
      </c>
      <c r="G7523" s="8">
        <v>7415</v>
      </c>
      <c r="H7523" s="8">
        <v>2102</v>
      </c>
      <c r="I7523" s="8">
        <v>6212</v>
      </c>
    </row>
    <row r="7524" spans="1:9" x14ac:dyDescent="0.2">
      <c r="A7524" t="s">
        <v>1604</v>
      </c>
      <c r="B7524" t="s">
        <v>1613</v>
      </c>
      <c r="C7524" t="str">
        <f t="shared" si="373"/>
        <v>43693690000000</v>
      </c>
      <c r="D7524" t="s">
        <v>8477</v>
      </c>
      <c r="E7524" t="str">
        <f>"43693696046270"</f>
        <v>43693696046270</v>
      </c>
      <c r="F7524" s="8">
        <v>283</v>
      </c>
      <c r="G7524" s="8">
        <v>6963</v>
      </c>
      <c r="H7524" s="8">
        <v>2102</v>
      </c>
      <c r="I7524" s="8">
        <v>6212</v>
      </c>
    </row>
    <row r="7525" spans="1:9" x14ac:dyDescent="0.2">
      <c r="A7525" t="s">
        <v>1604</v>
      </c>
      <c r="B7525" t="s">
        <v>1613</v>
      </c>
      <c r="C7525" t="str">
        <f t="shared" si="373"/>
        <v>43693690000000</v>
      </c>
      <c r="D7525" t="s">
        <v>8478</v>
      </c>
      <c r="E7525" t="str">
        <f>"43693696046312"</f>
        <v>43693696046312</v>
      </c>
      <c r="F7525" s="8">
        <v>263</v>
      </c>
      <c r="G7525" s="8">
        <v>6854</v>
      </c>
      <c r="H7525" s="8">
        <v>2102</v>
      </c>
      <c r="I7525" s="8">
        <v>6212</v>
      </c>
    </row>
    <row r="7526" spans="1:9" x14ac:dyDescent="0.2">
      <c r="A7526" t="s">
        <v>1604</v>
      </c>
      <c r="B7526" t="s">
        <v>1613</v>
      </c>
      <c r="C7526" t="str">
        <f t="shared" si="373"/>
        <v>43693690000000</v>
      </c>
      <c r="D7526" t="s">
        <v>8479</v>
      </c>
      <c r="E7526" t="str">
        <f>"43693696046155"</f>
        <v>43693696046155</v>
      </c>
      <c r="F7526" s="8">
        <v>150</v>
      </c>
      <c r="G7526" s="8">
        <v>6962</v>
      </c>
      <c r="H7526" s="8">
        <v>2102</v>
      </c>
      <c r="I7526" s="8">
        <v>6212</v>
      </c>
    </row>
    <row r="7527" spans="1:9" x14ac:dyDescent="0.2">
      <c r="A7527" t="s">
        <v>1604</v>
      </c>
      <c r="B7527" t="s">
        <v>1613</v>
      </c>
      <c r="C7527" t="str">
        <f t="shared" si="373"/>
        <v>43693690000000</v>
      </c>
      <c r="D7527" t="s">
        <v>8480</v>
      </c>
      <c r="E7527" t="str">
        <f>"43693696046320"</f>
        <v>43693696046320</v>
      </c>
      <c r="F7527" s="8">
        <v>206</v>
      </c>
      <c r="G7527" s="8">
        <v>6856</v>
      </c>
      <c r="H7527" s="8">
        <v>2102</v>
      </c>
      <c r="I7527" s="8">
        <v>6212</v>
      </c>
    </row>
    <row r="7528" spans="1:9" x14ac:dyDescent="0.2">
      <c r="A7528" t="s">
        <v>1604</v>
      </c>
      <c r="B7528" t="s">
        <v>1613</v>
      </c>
      <c r="C7528" t="str">
        <f t="shared" si="373"/>
        <v>43693690000000</v>
      </c>
      <c r="D7528" t="s">
        <v>8481</v>
      </c>
      <c r="E7528" t="str">
        <f>"43693696046114"</f>
        <v>43693696046114</v>
      </c>
      <c r="F7528" s="8">
        <v>232</v>
      </c>
      <c r="G7528" s="8">
        <v>6788</v>
      </c>
      <c r="H7528" s="8">
        <v>2102</v>
      </c>
      <c r="I7528" s="8">
        <v>6212</v>
      </c>
    </row>
    <row r="7529" spans="1:9" x14ac:dyDescent="0.2">
      <c r="A7529" t="s">
        <v>1604</v>
      </c>
      <c r="B7529" t="s">
        <v>1613</v>
      </c>
      <c r="C7529" t="str">
        <f t="shared" si="373"/>
        <v>43693690000000</v>
      </c>
      <c r="D7529" t="s">
        <v>8482</v>
      </c>
      <c r="E7529" t="str">
        <f>"43693696089270"</f>
        <v>43693696089270</v>
      </c>
      <c r="F7529" s="8">
        <v>235</v>
      </c>
      <c r="G7529" s="8">
        <v>6756</v>
      </c>
      <c r="H7529" s="8">
        <v>2102</v>
      </c>
      <c r="I7529" s="8">
        <v>6212</v>
      </c>
    </row>
    <row r="7530" spans="1:9" x14ac:dyDescent="0.2">
      <c r="A7530" t="s">
        <v>1604</v>
      </c>
      <c r="B7530" t="s">
        <v>1613</v>
      </c>
      <c r="C7530" t="str">
        <f t="shared" si="373"/>
        <v>43693690000000</v>
      </c>
      <c r="D7530" t="s">
        <v>8483</v>
      </c>
      <c r="E7530" t="str">
        <f>"43693690114900"</f>
        <v>43693690114900</v>
      </c>
      <c r="F7530" s="8">
        <v>201</v>
      </c>
      <c r="G7530" s="8">
        <v>6648</v>
      </c>
      <c r="H7530" s="8">
        <v>2102</v>
      </c>
      <c r="I7530" s="8">
        <v>6212</v>
      </c>
    </row>
    <row r="7531" spans="1:9" x14ac:dyDescent="0.2">
      <c r="A7531" t="s">
        <v>1604</v>
      </c>
      <c r="B7531" t="s">
        <v>1613</v>
      </c>
      <c r="C7531" t="str">
        <f t="shared" si="373"/>
        <v>43693690000000</v>
      </c>
      <c r="D7531" t="s">
        <v>8484</v>
      </c>
      <c r="E7531" t="str">
        <f>"43693696046254"</f>
        <v>43693696046254</v>
      </c>
      <c r="F7531" s="8">
        <v>170</v>
      </c>
      <c r="G7531" s="8">
        <v>6615</v>
      </c>
      <c r="H7531" s="8">
        <v>2102</v>
      </c>
      <c r="I7531" s="8">
        <v>6212</v>
      </c>
    </row>
    <row r="7532" spans="1:9" x14ac:dyDescent="0.2">
      <c r="A7532" t="s">
        <v>1604</v>
      </c>
      <c r="B7532" t="s">
        <v>1613</v>
      </c>
      <c r="C7532" t="str">
        <f t="shared" si="373"/>
        <v>43693690000000</v>
      </c>
      <c r="D7532" t="s">
        <v>8485</v>
      </c>
      <c r="E7532" t="str">
        <f>"43693690107748"</f>
        <v>43693690107748</v>
      </c>
      <c r="F7532" s="8">
        <v>157</v>
      </c>
      <c r="G7532" s="8">
        <v>6533</v>
      </c>
      <c r="H7532" s="8">
        <v>2102</v>
      </c>
      <c r="I7532" s="8">
        <v>6212</v>
      </c>
    </row>
    <row r="7533" spans="1:9" x14ac:dyDescent="0.2">
      <c r="A7533" t="s">
        <v>1604</v>
      </c>
      <c r="B7533" t="s">
        <v>1613</v>
      </c>
      <c r="C7533" t="str">
        <f t="shared" si="373"/>
        <v>43693690000000</v>
      </c>
      <c r="D7533" t="s">
        <v>8486</v>
      </c>
      <c r="E7533" t="str">
        <f>"43693696046189"</f>
        <v>43693696046189</v>
      </c>
      <c r="F7533" s="8">
        <v>271</v>
      </c>
      <c r="G7533" s="8">
        <v>6293</v>
      </c>
      <c r="H7533" s="8">
        <v>2102</v>
      </c>
      <c r="I7533" s="8">
        <v>6212</v>
      </c>
    </row>
    <row r="7534" spans="1:9" x14ac:dyDescent="0.2">
      <c r="A7534" t="s">
        <v>1604</v>
      </c>
      <c r="B7534" t="s">
        <v>1613</v>
      </c>
      <c r="C7534" t="str">
        <f t="shared" si="373"/>
        <v>43693690000000</v>
      </c>
      <c r="D7534" t="s">
        <v>6044</v>
      </c>
      <c r="E7534" t="str">
        <f>"43693696046213"</f>
        <v>43693696046213</v>
      </c>
      <c r="F7534" s="8">
        <v>156</v>
      </c>
      <c r="G7534" s="8">
        <v>6313</v>
      </c>
      <c r="H7534" s="8">
        <v>2102</v>
      </c>
      <c r="I7534" s="8">
        <v>6212</v>
      </c>
    </row>
    <row r="7535" spans="1:9" x14ac:dyDescent="0.2">
      <c r="A7535" t="s">
        <v>1604</v>
      </c>
      <c r="B7535" t="s">
        <v>1613</v>
      </c>
      <c r="C7535" t="str">
        <f t="shared" si="373"/>
        <v>43693690000000</v>
      </c>
      <c r="D7535" t="s">
        <v>8487</v>
      </c>
      <c r="E7535" t="str">
        <f>"43693696068910"</f>
        <v>43693696068910</v>
      </c>
      <c r="F7535" s="8">
        <v>269</v>
      </c>
      <c r="G7535" s="8">
        <v>6121</v>
      </c>
      <c r="H7535" s="8">
        <v>2102</v>
      </c>
      <c r="I7535" s="8">
        <v>6212</v>
      </c>
    </row>
    <row r="7536" spans="1:9" x14ac:dyDescent="0.2">
      <c r="A7536" t="s">
        <v>1604</v>
      </c>
      <c r="B7536" t="s">
        <v>1613</v>
      </c>
      <c r="C7536" t="str">
        <f t="shared" si="373"/>
        <v>43693690000000</v>
      </c>
      <c r="D7536" t="s">
        <v>8488</v>
      </c>
      <c r="E7536" t="str">
        <f>"43693696046338"</f>
        <v>43693696046338</v>
      </c>
      <c r="F7536" s="8">
        <v>276</v>
      </c>
      <c r="G7536" s="8">
        <v>6063</v>
      </c>
      <c r="H7536" s="8">
        <v>2102</v>
      </c>
      <c r="I7536" s="8">
        <v>6212</v>
      </c>
    </row>
    <row r="7537" spans="1:9" x14ac:dyDescent="0.2">
      <c r="A7537" t="s">
        <v>1604</v>
      </c>
      <c r="B7537" t="s">
        <v>1613</v>
      </c>
      <c r="C7537" t="str">
        <f t="shared" si="373"/>
        <v>43693690000000</v>
      </c>
      <c r="D7537" t="s">
        <v>8489</v>
      </c>
      <c r="E7537" t="str">
        <f>"43693690126284"</f>
        <v>43693690126284</v>
      </c>
      <c r="F7537" s="8">
        <v>214</v>
      </c>
      <c r="G7537" s="8">
        <v>5767</v>
      </c>
      <c r="H7537" s="8">
        <v>2102</v>
      </c>
      <c r="I7537" s="8">
        <v>6212</v>
      </c>
    </row>
    <row r="7538" spans="1:9" x14ac:dyDescent="0.2">
      <c r="A7538" t="s">
        <v>1604</v>
      </c>
      <c r="B7538" t="s">
        <v>1613</v>
      </c>
      <c r="C7538" t="str">
        <f t="shared" si="373"/>
        <v>43693690000000</v>
      </c>
      <c r="D7538" t="s">
        <v>8490</v>
      </c>
      <c r="E7538" t="str">
        <f>"43693690107763"</f>
        <v>43693690107763</v>
      </c>
      <c r="F7538" s="8">
        <v>217</v>
      </c>
      <c r="G7538" s="8">
        <v>5476</v>
      </c>
      <c r="H7538" s="8">
        <v>2102</v>
      </c>
      <c r="I7538" s="8">
        <v>6212</v>
      </c>
    </row>
    <row r="7539" spans="1:9" x14ac:dyDescent="0.2">
      <c r="A7539" t="s">
        <v>1604</v>
      </c>
      <c r="B7539" t="s">
        <v>1615</v>
      </c>
      <c r="C7539" t="str">
        <f t="shared" ref="C7539:C7552" si="374">"43693770000000"</f>
        <v>43693770000000</v>
      </c>
      <c r="D7539" t="s">
        <v>8491</v>
      </c>
      <c r="E7539" t="str">
        <f>"43693776046403"</f>
        <v>43693776046403</v>
      </c>
      <c r="F7539" s="8">
        <v>7447</v>
      </c>
      <c r="G7539" s="8">
        <v>204</v>
      </c>
      <c r="H7539" s="8">
        <v>4339</v>
      </c>
      <c r="I7539" s="8">
        <v>1838</v>
      </c>
    </row>
    <row r="7540" spans="1:9" x14ac:dyDescent="0.2">
      <c r="A7540" t="s">
        <v>1604</v>
      </c>
      <c r="B7540" t="s">
        <v>1615</v>
      </c>
      <c r="C7540" t="str">
        <f t="shared" si="374"/>
        <v>43693770000000</v>
      </c>
      <c r="D7540" t="s">
        <v>8492</v>
      </c>
      <c r="E7540" t="str">
        <f>"43693776046361"</f>
        <v>43693776046361</v>
      </c>
      <c r="F7540" s="8">
        <v>6786</v>
      </c>
      <c r="G7540" s="8">
        <v>97</v>
      </c>
      <c r="H7540" s="8">
        <v>4247</v>
      </c>
      <c r="I7540" s="8">
        <v>1776</v>
      </c>
    </row>
    <row r="7541" spans="1:9" x14ac:dyDescent="0.2">
      <c r="A7541" t="s">
        <v>1604</v>
      </c>
      <c r="B7541" t="s">
        <v>1615</v>
      </c>
      <c r="C7541" t="str">
        <f t="shared" si="374"/>
        <v>43693770000000</v>
      </c>
      <c r="D7541" t="s">
        <v>8493</v>
      </c>
      <c r="E7541" t="str">
        <f>"43693776095335"</f>
        <v>43693776095335</v>
      </c>
      <c r="F7541" s="8">
        <v>6886</v>
      </c>
      <c r="G7541" s="8">
        <v>20</v>
      </c>
      <c r="H7541" s="8">
        <v>4213</v>
      </c>
      <c r="I7541" s="8">
        <v>1752</v>
      </c>
    </row>
    <row r="7542" spans="1:9" x14ac:dyDescent="0.2">
      <c r="A7542" t="s">
        <v>1604</v>
      </c>
      <c r="B7542" t="s">
        <v>1615</v>
      </c>
      <c r="C7542" t="str">
        <f t="shared" si="374"/>
        <v>43693770000000</v>
      </c>
      <c r="D7542" t="s">
        <v>8494</v>
      </c>
      <c r="E7542" t="str">
        <f>"43693776095350"</f>
        <v>43693776095350</v>
      </c>
      <c r="F7542" s="8">
        <v>6650</v>
      </c>
      <c r="G7542" s="8">
        <v>202</v>
      </c>
      <c r="H7542" s="8">
        <v>4237</v>
      </c>
      <c r="I7542" s="8">
        <v>1768</v>
      </c>
    </row>
    <row r="7543" spans="1:9" x14ac:dyDescent="0.2">
      <c r="A7543" t="s">
        <v>1604</v>
      </c>
      <c r="B7543" t="s">
        <v>1615</v>
      </c>
      <c r="C7543" t="str">
        <f t="shared" si="374"/>
        <v>43693770000000</v>
      </c>
      <c r="D7543" t="s">
        <v>8495</v>
      </c>
      <c r="E7543" t="str">
        <f>"43693776068928"</f>
        <v>43693776068928</v>
      </c>
      <c r="F7543" s="8">
        <v>6691</v>
      </c>
      <c r="G7543" s="8">
        <v>133</v>
      </c>
      <c r="H7543" s="8">
        <v>4202</v>
      </c>
      <c r="I7543" s="8">
        <v>1745</v>
      </c>
    </row>
    <row r="7544" spans="1:9" x14ac:dyDescent="0.2">
      <c r="A7544" t="s">
        <v>1604</v>
      </c>
      <c r="B7544" t="s">
        <v>1615</v>
      </c>
      <c r="C7544" t="str">
        <f t="shared" si="374"/>
        <v>43693770000000</v>
      </c>
      <c r="D7544" t="s">
        <v>5650</v>
      </c>
      <c r="E7544" t="str">
        <f>"43693776046387"</f>
        <v>43693776046387</v>
      </c>
      <c r="F7544" s="8">
        <v>6895</v>
      </c>
      <c r="G7544" s="8">
        <v>12</v>
      </c>
      <c r="H7544" s="8">
        <v>4152</v>
      </c>
      <c r="I7544" s="8">
        <v>1710</v>
      </c>
    </row>
    <row r="7545" spans="1:9" x14ac:dyDescent="0.2">
      <c r="A7545" t="s">
        <v>1604</v>
      </c>
      <c r="B7545" t="s">
        <v>1615</v>
      </c>
      <c r="C7545" t="str">
        <f t="shared" si="374"/>
        <v>43693770000000</v>
      </c>
      <c r="D7545" t="s">
        <v>2325</v>
      </c>
      <c r="E7545" t="str">
        <f>"43693776046395"</f>
        <v>43693776046395</v>
      </c>
      <c r="F7545" s="8">
        <v>6644</v>
      </c>
      <c r="G7545" s="8">
        <v>82</v>
      </c>
      <c r="H7545" s="8">
        <v>4215</v>
      </c>
      <c r="I7545" s="8">
        <v>1754</v>
      </c>
    </row>
    <row r="7546" spans="1:9" x14ac:dyDescent="0.2">
      <c r="A7546" t="s">
        <v>1604</v>
      </c>
      <c r="B7546" t="s">
        <v>1615</v>
      </c>
      <c r="C7546" t="str">
        <f t="shared" si="374"/>
        <v>43693770000000</v>
      </c>
      <c r="D7546" t="s">
        <v>8496</v>
      </c>
      <c r="E7546" t="str">
        <f>"43693776093041"</f>
        <v>43693776093041</v>
      </c>
      <c r="F7546" s="8">
        <v>6510</v>
      </c>
      <c r="G7546" s="8">
        <v>194</v>
      </c>
      <c r="H7546" s="8">
        <v>4165</v>
      </c>
      <c r="I7546" s="8">
        <v>1720</v>
      </c>
    </row>
    <row r="7547" spans="1:9" x14ac:dyDescent="0.2">
      <c r="A7547" t="s">
        <v>1604</v>
      </c>
      <c r="B7547" t="s">
        <v>1615</v>
      </c>
      <c r="C7547" t="str">
        <f t="shared" si="374"/>
        <v>43693770000000</v>
      </c>
      <c r="D7547" t="s">
        <v>8497</v>
      </c>
      <c r="E7547" t="str">
        <f>"43693776046379"</f>
        <v>43693776046379</v>
      </c>
      <c r="F7547" s="8">
        <v>6624</v>
      </c>
      <c r="G7547" s="8">
        <v>30</v>
      </c>
      <c r="H7547" s="8">
        <v>4152</v>
      </c>
      <c r="I7547" s="8">
        <v>1710</v>
      </c>
    </row>
    <row r="7548" spans="1:9" x14ac:dyDescent="0.2">
      <c r="A7548" t="s">
        <v>1604</v>
      </c>
      <c r="B7548" t="s">
        <v>1615</v>
      </c>
      <c r="C7548" t="str">
        <f t="shared" si="374"/>
        <v>43693770000000</v>
      </c>
      <c r="D7548" t="s">
        <v>8498</v>
      </c>
      <c r="E7548" t="str">
        <f>"43693776093033"</f>
        <v>43693776093033</v>
      </c>
      <c r="F7548" s="8">
        <v>6545</v>
      </c>
      <c r="G7548" s="8">
        <v>23</v>
      </c>
      <c r="H7548" s="8">
        <v>4143</v>
      </c>
      <c r="I7548" s="8">
        <v>1705</v>
      </c>
    </row>
    <row r="7549" spans="1:9" x14ac:dyDescent="0.2">
      <c r="A7549" t="s">
        <v>1604</v>
      </c>
      <c r="B7549" t="s">
        <v>1615</v>
      </c>
      <c r="C7549" t="str">
        <f t="shared" si="374"/>
        <v>43693770000000</v>
      </c>
      <c r="D7549" t="s">
        <v>8499</v>
      </c>
      <c r="E7549" t="str">
        <f>"43693776067177"</f>
        <v>43693776067177</v>
      </c>
      <c r="F7549" s="8">
        <v>6492</v>
      </c>
      <c r="G7549" s="8">
        <v>16</v>
      </c>
      <c r="H7549" s="8">
        <v>4156</v>
      </c>
      <c r="I7549" s="8">
        <v>1713</v>
      </c>
    </row>
    <row r="7550" spans="1:9" x14ac:dyDescent="0.2">
      <c r="A7550" t="s">
        <v>1604</v>
      </c>
      <c r="B7550" t="s">
        <v>1615</v>
      </c>
      <c r="C7550" t="str">
        <f t="shared" si="374"/>
        <v>43693770000000</v>
      </c>
      <c r="D7550" t="s">
        <v>8500</v>
      </c>
      <c r="E7550" t="str">
        <f>"43693776095343"</f>
        <v>43693776095343</v>
      </c>
      <c r="F7550" s="8">
        <v>6372</v>
      </c>
      <c r="G7550" s="8">
        <v>20</v>
      </c>
      <c r="H7550" s="8">
        <v>4166</v>
      </c>
      <c r="I7550" s="8">
        <v>1720</v>
      </c>
    </row>
    <row r="7551" spans="1:9" x14ac:dyDescent="0.2">
      <c r="A7551" t="s">
        <v>1604</v>
      </c>
      <c r="B7551" t="s">
        <v>1615</v>
      </c>
      <c r="C7551" t="str">
        <f t="shared" si="374"/>
        <v>43693770000000</v>
      </c>
      <c r="D7551" t="s">
        <v>8501</v>
      </c>
      <c r="E7551" t="str">
        <f>"43693776089288"</f>
        <v>43693776089288</v>
      </c>
      <c r="F7551" s="8">
        <v>6122</v>
      </c>
      <c r="G7551" s="8">
        <v>22</v>
      </c>
      <c r="H7551" s="8">
        <v>4185</v>
      </c>
      <c r="I7551" s="8">
        <v>1733</v>
      </c>
    </row>
    <row r="7552" spans="1:9" x14ac:dyDescent="0.2">
      <c r="A7552" t="s">
        <v>1604</v>
      </c>
      <c r="B7552" t="s">
        <v>1615</v>
      </c>
      <c r="C7552" t="str">
        <f t="shared" si="374"/>
        <v>43693770000000</v>
      </c>
      <c r="D7552" t="s">
        <v>1615</v>
      </c>
      <c r="E7552" t="str">
        <f>"43693776111348"</f>
        <v>43693776111348</v>
      </c>
      <c r="F7552" s="8" t="s">
        <v>30</v>
      </c>
      <c r="G7552" s="8" t="s">
        <v>30</v>
      </c>
      <c r="H7552" s="8" t="s">
        <v>30</v>
      </c>
      <c r="I7552" s="8" t="s">
        <v>30</v>
      </c>
    </row>
    <row r="7553" spans="1:9" x14ac:dyDescent="0.2">
      <c r="A7553" t="s">
        <v>1604</v>
      </c>
      <c r="B7553" t="s">
        <v>1617</v>
      </c>
      <c r="C7553" t="str">
        <f t="shared" ref="C7553:C7558" si="375">"43693850000000"</f>
        <v>43693850000000</v>
      </c>
      <c r="D7553" t="s">
        <v>8502</v>
      </c>
      <c r="E7553" t="str">
        <f>"43693856046445"</f>
        <v>43693856046445</v>
      </c>
      <c r="F7553" s="8">
        <v>0</v>
      </c>
      <c r="G7553" s="8">
        <v>6976</v>
      </c>
      <c r="H7553" s="8">
        <v>941</v>
      </c>
      <c r="I7553" s="8">
        <v>6320</v>
      </c>
    </row>
    <row r="7554" spans="1:9" x14ac:dyDescent="0.2">
      <c r="A7554" t="s">
        <v>1604</v>
      </c>
      <c r="B7554" t="s">
        <v>1617</v>
      </c>
      <c r="C7554" t="str">
        <f t="shared" si="375"/>
        <v>43693850000000</v>
      </c>
      <c r="D7554" t="s">
        <v>8503</v>
      </c>
      <c r="E7554" t="str">
        <f>"43693850133439"</f>
        <v>43693850133439</v>
      </c>
      <c r="F7554" s="8">
        <v>0</v>
      </c>
      <c r="G7554" s="8">
        <v>6681</v>
      </c>
      <c r="H7554" s="8">
        <v>941</v>
      </c>
      <c r="I7554" s="8">
        <v>6320</v>
      </c>
    </row>
    <row r="7555" spans="1:9" x14ac:dyDescent="0.2">
      <c r="A7555" t="s">
        <v>1604</v>
      </c>
      <c r="B7555" t="s">
        <v>1617</v>
      </c>
      <c r="C7555" t="str">
        <f t="shared" si="375"/>
        <v>43693850000000</v>
      </c>
      <c r="D7555" t="s">
        <v>8504</v>
      </c>
      <c r="E7555" t="str">
        <f>"43693856046452"</f>
        <v>43693856046452</v>
      </c>
      <c r="F7555" s="8">
        <v>0</v>
      </c>
      <c r="G7555" s="8">
        <v>6624</v>
      </c>
      <c r="H7555" s="8">
        <v>941</v>
      </c>
      <c r="I7555" s="8">
        <v>6320</v>
      </c>
    </row>
    <row r="7556" spans="1:9" x14ac:dyDescent="0.2">
      <c r="A7556" t="s">
        <v>1604</v>
      </c>
      <c r="B7556" t="s">
        <v>1617</v>
      </c>
      <c r="C7556" t="str">
        <f t="shared" si="375"/>
        <v>43693850000000</v>
      </c>
      <c r="D7556" t="s">
        <v>8505</v>
      </c>
      <c r="E7556" t="str">
        <f>"43693856046411"</f>
        <v>43693856046411</v>
      </c>
      <c r="F7556" s="8">
        <v>0</v>
      </c>
      <c r="G7556" s="8">
        <v>6076</v>
      </c>
      <c r="H7556" s="8">
        <v>941</v>
      </c>
      <c r="I7556" s="8">
        <v>6320</v>
      </c>
    </row>
    <row r="7557" spans="1:9" x14ac:dyDescent="0.2">
      <c r="A7557" t="s">
        <v>1604</v>
      </c>
      <c r="B7557" t="s">
        <v>1617</v>
      </c>
      <c r="C7557" t="str">
        <f t="shared" si="375"/>
        <v>43693850000000</v>
      </c>
      <c r="D7557" t="s">
        <v>8506</v>
      </c>
      <c r="E7557" t="str">
        <f>"43693856046486"</f>
        <v>43693856046486</v>
      </c>
      <c r="F7557" s="8">
        <v>42</v>
      </c>
      <c r="G7557" s="8">
        <v>5859</v>
      </c>
      <c r="H7557" s="8">
        <v>941</v>
      </c>
      <c r="I7557" s="8">
        <v>6320</v>
      </c>
    </row>
    <row r="7558" spans="1:9" x14ac:dyDescent="0.2">
      <c r="A7558" t="s">
        <v>1604</v>
      </c>
      <c r="B7558" t="s">
        <v>1617</v>
      </c>
      <c r="C7558" t="str">
        <f t="shared" si="375"/>
        <v>43693850000000</v>
      </c>
      <c r="D7558" t="s">
        <v>8507</v>
      </c>
      <c r="E7558" t="str">
        <f>"43693856046494"</f>
        <v>43693856046494</v>
      </c>
      <c r="F7558" s="8">
        <v>44</v>
      </c>
      <c r="G7558" s="8">
        <v>5575</v>
      </c>
      <c r="H7558" s="8">
        <v>941</v>
      </c>
      <c r="I7558" s="8">
        <v>6320</v>
      </c>
    </row>
    <row r="7559" spans="1:9" x14ac:dyDescent="0.2">
      <c r="A7559" t="s">
        <v>1604</v>
      </c>
      <c r="B7559" t="s">
        <v>1618</v>
      </c>
      <c r="C7559" t="str">
        <f t="shared" ref="C7559:C7571" si="376">"43693930000000"</f>
        <v>43693930000000</v>
      </c>
      <c r="D7559" t="s">
        <v>8508</v>
      </c>
      <c r="E7559" t="str">
        <f>"43693930140285"</f>
        <v>43693930140285</v>
      </c>
      <c r="F7559" s="8">
        <v>245</v>
      </c>
      <c r="G7559" s="8">
        <v>9681</v>
      </c>
      <c r="H7559" s="8">
        <v>1188</v>
      </c>
      <c r="I7559" s="8">
        <v>5604</v>
      </c>
    </row>
    <row r="7560" spans="1:9" x14ac:dyDescent="0.2">
      <c r="A7560" t="s">
        <v>1604</v>
      </c>
      <c r="B7560" t="s">
        <v>1618</v>
      </c>
      <c r="C7560" t="str">
        <f t="shared" si="376"/>
        <v>43693930000000</v>
      </c>
      <c r="D7560" t="s">
        <v>8509</v>
      </c>
      <c r="E7560" t="str">
        <f>"43693936046676"</f>
        <v>43693936046676</v>
      </c>
      <c r="F7560" s="8">
        <v>345</v>
      </c>
      <c r="G7560" s="8">
        <v>8982</v>
      </c>
      <c r="H7560" s="8">
        <v>1188</v>
      </c>
      <c r="I7560" s="8">
        <v>5604</v>
      </c>
    </row>
    <row r="7561" spans="1:9" x14ac:dyDescent="0.2">
      <c r="A7561" t="s">
        <v>1604</v>
      </c>
      <c r="B7561" t="s">
        <v>1618</v>
      </c>
      <c r="C7561" t="str">
        <f t="shared" si="376"/>
        <v>43693930000000</v>
      </c>
      <c r="D7561" t="s">
        <v>8510</v>
      </c>
      <c r="E7561" t="str">
        <f>"43693936046510"</f>
        <v>43693936046510</v>
      </c>
      <c r="F7561" s="8">
        <v>188</v>
      </c>
      <c r="G7561" s="8">
        <v>8494</v>
      </c>
      <c r="H7561" s="8">
        <v>1188</v>
      </c>
      <c r="I7561" s="8">
        <v>5604</v>
      </c>
    </row>
    <row r="7562" spans="1:9" x14ac:dyDescent="0.2">
      <c r="A7562" t="s">
        <v>1604</v>
      </c>
      <c r="B7562" t="s">
        <v>1618</v>
      </c>
      <c r="C7562" t="str">
        <f t="shared" si="376"/>
        <v>43693930000000</v>
      </c>
      <c r="D7562" t="s">
        <v>8511</v>
      </c>
      <c r="E7562" t="str">
        <f>"43693936046619"</f>
        <v>43693936046619</v>
      </c>
      <c r="F7562" s="8">
        <v>0</v>
      </c>
      <c r="G7562" s="8">
        <v>7741</v>
      </c>
      <c r="H7562" s="8">
        <v>1188</v>
      </c>
      <c r="I7562" s="8">
        <v>5604</v>
      </c>
    </row>
    <row r="7563" spans="1:9" x14ac:dyDescent="0.2">
      <c r="A7563" t="s">
        <v>1604</v>
      </c>
      <c r="B7563" t="s">
        <v>1618</v>
      </c>
      <c r="C7563" t="str">
        <f t="shared" si="376"/>
        <v>43693930000000</v>
      </c>
      <c r="D7563" t="s">
        <v>8512</v>
      </c>
      <c r="E7563" t="str">
        <f>"43693936046544"</f>
        <v>43693936046544</v>
      </c>
      <c r="F7563" s="8">
        <v>248</v>
      </c>
      <c r="G7563" s="8">
        <v>7404</v>
      </c>
      <c r="H7563" s="8">
        <v>1188</v>
      </c>
      <c r="I7563" s="8">
        <v>5604</v>
      </c>
    </row>
    <row r="7564" spans="1:9" x14ac:dyDescent="0.2">
      <c r="A7564" t="s">
        <v>1604</v>
      </c>
      <c r="B7564" t="s">
        <v>1618</v>
      </c>
      <c r="C7564" t="str">
        <f t="shared" si="376"/>
        <v>43693930000000</v>
      </c>
      <c r="D7564" t="s">
        <v>8513</v>
      </c>
      <c r="E7564" t="str">
        <f>"43693936046692"</f>
        <v>43693936046692</v>
      </c>
      <c r="F7564" s="8">
        <v>201</v>
      </c>
      <c r="G7564" s="8">
        <v>7451</v>
      </c>
      <c r="H7564" s="8">
        <v>1188</v>
      </c>
      <c r="I7564" s="8">
        <v>5604</v>
      </c>
    </row>
    <row r="7565" spans="1:9" x14ac:dyDescent="0.2">
      <c r="A7565" t="s">
        <v>1604</v>
      </c>
      <c r="B7565" t="s">
        <v>1618</v>
      </c>
      <c r="C7565" t="str">
        <f t="shared" si="376"/>
        <v>43693930000000</v>
      </c>
      <c r="D7565" t="s">
        <v>8514</v>
      </c>
      <c r="E7565" t="str">
        <f>"43693936046601"</f>
        <v>43693936046601</v>
      </c>
      <c r="F7565" s="8">
        <v>191</v>
      </c>
      <c r="G7565" s="8">
        <v>7380</v>
      </c>
      <c r="H7565" s="8">
        <v>1188</v>
      </c>
      <c r="I7565" s="8">
        <v>5604</v>
      </c>
    </row>
    <row r="7566" spans="1:9" x14ac:dyDescent="0.2">
      <c r="A7566" t="s">
        <v>1604</v>
      </c>
      <c r="B7566" t="s">
        <v>1618</v>
      </c>
      <c r="C7566" t="str">
        <f t="shared" si="376"/>
        <v>43693930000000</v>
      </c>
      <c r="D7566" t="s">
        <v>8515</v>
      </c>
      <c r="E7566" t="str">
        <f>"43693930106005"</f>
        <v>43693930106005</v>
      </c>
      <c r="F7566" s="8">
        <v>0</v>
      </c>
      <c r="G7566" s="8">
        <v>7491</v>
      </c>
      <c r="H7566" s="8">
        <v>1188</v>
      </c>
      <c r="I7566" s="8">
        <v>5604</v>
      </c>
    </row>
    <row r="7567" spans="1:9" x14ac:dyDescent="0.2">
      <c r="A7567" t="s">
        <v>1604</v>
      </c>
      <c r="B7567" t="s">
        <v>1618</v>
      </c>
      <c r="C7567" t="str">
        <f t="shared" si="376"/>
        <v>43693930000000</v>
      </c>
      <c r="D7567" t="s">
        <v>7538</v>
      </c>
      <c r="E7567" t="str">
        <f>"43693936046536"</f>
        <v>43693936046536</v>
      </c>
      <c r="F7567" s="8">
        <v>30</v>
      </c>
      <c r="G7567" s="8">
        <v>7222</v>
      </c>
      <c r="H7567" s="8">
        <v>1188</v>
      </c>
      <c r="I7567" s="8">
        <v>5604</v>
      </c>
    </row>
    <row r="7568" spans="1:9" x14ac:dyDescent="0.2">
      <c r="A7568" t="s">
        <v>1604</v>
      </c>
      <c r="B7568" t="s">
        <v>1618</v>
      </c>
      <c r="C7568" t="str">
        <f t="shared" si="376"/>
        <v>43693930000000</v>
      </c>
      <c r="D7568" t="s">
        <v>8516</v>
      </c>
      <c r="E7568" t="str">
        <f>"43693936046577"</f>
        <v>43693936046577</v>
      </c>
      <c r="F7568" s="8">
        <v>18</v>
      </c>
      <c r="G7568" s="8">
        <v>6853</v>
      </c>
      <c r="H7568" s="8">
        <v>1188</v>
      </c>
      <c r="I7568" s="8">
        <v>5604</v>
      </c>
    </row>
    <row r="7569" spans="1:9" x14ac:dyDescent="0.2">
      <c r="A7569" t="s">
        <v>1604</v>
      </c>
      <c r="B7569" t="s">
        <v>1618</v>
      </c>
      <c r="C7569" t="str">
        <f t="shared" si="376"/>
        <v>43693930000000</v>
      </c>
      <c r="D7569" t="s">
        <v>8517</v>
      </c>
      <c r="E7569" t="str">
        <f>"43693936046627"</f>
        <v>43693936046627</v>
      </c>
      <c r="F7569" s="8">
        <v>1612</v>
      </c>
      <c r="G7569" s="8">
        <v>5168</v>
      </c>
      <c r="H7569" s="8">
        <v>1188</v>
      </c>
      <c r="I7569" s="8">
        <v>5604</v>
      </c>
    </row>
    <row r="7570" spans="1:9" x14ac:dyDescent="0.2">
      <c r="A7570" t="s">
        <v>1604</v>
      </c>
      <c r="B7570" t="s">
        <v>1618</v>
      </c>
      <c r="C7570" t="str">
        <f t="shared" si="376"/>
        <v>43693930000000</v>
      </c>
      <c r="D7570" t="s">
        <v>2739</v>
      </c>
      <c r="E7570" t="str">
        <f>"43693936046668"</f>
        <v>43693936046668</v>
      </c>
      <c r="F7570" s="8">
        <v>9</v>
      </c>
      <c r="G7570" s="8">
        <v>6528</v>
      </c>
      <c r="H7570" s="8">
        <v>1188</v>
      </c>
      <c r="I7570" s="8">
        <v>5604</v>
      </c>
    </row>
    <row r="7571" spans="1:9" x14ac:dyDescent="0.2">
      <c r="A7571" t="s">
        <v>1604</v>
      </c>
      <c r="B7571" t="s">
        <v>1618</v>
      </c>
      <c r="C7571" t="str">
        <f t="shared" si="376"/>
        <v>43693930000000</v>
      </c>
      <c r="D7571" t="s">
        <v>8518</v>
      </c>
      <c r="E7571" t="str">
        <f>"43693930137273"</f>
        <v>43693930137273</v>
      </c>
      <c r="F7571" s="8">
        <v>0</v>
      </c>
      <c r="G7571" s="8">
        <v>6342</v>
      </c>
      <c r="H7571" s="8">
        <v>1188</v>
      </c>
      <c r="I7571" s="8">
        <v>5604</v>
      </c>
    </row>
    <row r="7572" spans="1:9" x14ac:dyDescent="0.2">
      <c r="A7572" t="s">
        <v>1604</v>
      </c>
      <c r="B7572" t="s">
        <v>1619</v>
      </c>
      <c r="C7572" t="str">
        <f t="shared" ref="C7572:C7577" si="377">"43694010000000"</f>
        <v>43694010000000</v>
      </c>
      <c r="D7572" t="s">
        <v>8519</v>
      </c>
      <c r="E7572" t="str">
        <f>"43694014330759"</f>
        <v>43694014330759</v>
      </c>
      <c r="F7572" s="8">
        <v>493</v>
      </c>
      <c r="G7572" s="8">
        <v>17699</v>
      </c>
      <c r="H7572" s="8">
        <v>893</v>
      </c>
      <c r="I7572" s="8">
        <v>3702</v>
      </c>
    </row>
    <row r="7573" spans="1:9" x14ac:dyDescent="0.2">
      <c r="A7573" t="s">
        <v>1604</v>
      </c>
      <c r="B7573" t="s">
        <v>1619</v>
      </c>
      <c r="C7573" t="str">
        <f t="shared" si="377"/>
        <v>43694010000000</v>
      </c>
      <c r="D7573" t="s">
        <v>5072</v>
      </c>
      <c r="E7573" t="str">
        <f>"43694014331955"</f>
        <v>43694014331955</v>
      </c>
      <c r="F7573" s="8">
        <v>877</v>
      </c>
      <c r="G7573" s="8">
        <v>8886</v>
      </c>
      <c r="H7573" s="8">
        <v>893</v>
      </c>
      <c r="I7573" s="8">
        <v>3702</v>
      </c>
    </row>
    <row r="7574" spans="1:9" x14ac:dyDescent="0.2">
      <c r="A7574" t="s">
        <v>1604</v>
      </c>
      <c r="B7574" t="s">
        <v>1619</v>
      </c>
      <c r="C7574" t="str">
        <f t="shared" si="377"/>
        <v>43694010000000</v>
      </c>
      <c r="D7574" t="s">
        <v>8520</v>
      </c>
      <c r="E7574" t="str">
        <f>"43694014338505"</f>
        <v>43694014338505</v>
      </c>
      <c r="F7574" s="8">
        <v>335</v>
      </c>
      <c r="G7574" s="8">
        <v>8303</v>
      </c>
      <c r="H7574" s="8">
        <v>893</v>
      </c>
      <c r="I7574" s="8">
        <v>3702</v>
      </c>
    </row>
    <row r="7575" spans="1:9" x14ac:dyDescent="0.2">
      <c r="A7575" t="s">
        <v>1604</v>
      </c>
      <c r="B7575" t="s">
        <v>1619</v>
      </c>
      <c r="C7575" t="str">
        <f t="shared" si="377"/>
        <v>43694010000000</v>
      </c>
      <c r="D7575" t="s">
        <v>8521</v>
      </c>
      <c r="E7575" t="str">
        <f>"43694014336137"</f>
        <v>43694014336137</v>
      </c>
      <c r="F7575" s="8">
        <v>368</v>
      </c>
      <c r="G7575" s="8">
        <v>8254</v>
      </c>
      <c r="H7575" s="8">
        <v>893</v>
      </c>
      <c r="I7575" s="8">
        <v>3702</v>
      </c>
    </row>
    <row r="7576" spans="1:9" x14ac:dyDescent="0.2">
      <c r="A7576" t="s">
        <v>1604</v>
      </c>
      <c r="B7576" t="s">
        <v>1619</v>
      </c>
      <c r="C7576" t="str">
        <f t="shared" si="377"/>
        <v>43694010000000</v>
      </c>
      <c r="D7576" t="s">
        <v>8522</v>
      </c>
      <c r="E7576" t="str">
        <f>"43694014330239"</f>
        <v>43694014330239</v>
      </c>
      <c r="F7576" s="8">
        <v>433</v>
      </c>
      <c r="G7576" s="8">
        <v>8180</v>
      </c>
      <c r="H7576" s="8">
        <v>893</v>
      </c>
      <c r="I7576" s="8">
        <v>3702</v>
      </c>
    </row>
    <row r="7577" spans="1:9" x14ac:dyDescent="0.2">
      <c r="A7577" t="s">
        <v>1604</v>
      </c>
      <c r="B7577" t="s">
        <v>1619</v>
      </c>
      <c r="C7577" t="str">
        <f t="shared" si="377"/>
        <v>43694010000000</v>
      </c>
      <c r="D7577" t="s">
        <v>8523</v>
      </c>
      <c r="E7577" t="str">
        <f>"43694014330866"</f>
        <v>43694014330866</v>
      </c>
      <c r="F7577" s="8">
        <v>522</v>
      </c>
      <c r="G7577" s="8">
        <v>7924</v>
      </c>
      <c r="H7577" s="8">
        <v>893</v>
      </c>
      <c r="I7577" s="8">
        <v>3702</v>
      </c>
    </row>
    <row r="7578" spans="1:9" x14ac:dyDescent="0.2">
      <c r="A7578" t="s">
        <v>1604</v>
      </c>
      <c r="B7578" t="s">
        <v>1621</v>
      </c>
      <c r="C7578" t="str">
        <f t="shared" ref="C7578:C7602" si="378">"43694190000000"</f>
        <v>43694190000000</v>
      </c>
      <c r="D7578" t="s">
        <v>8524</v>
      </c>
      <c r="E7578" t="str">
        <f>"43694196046882"</f>
        <v>43694196046882</v>
      </c>
      <c r="F7578" s="8">
        <v>897</v>
      </c>
      <c r="G7578" s="8">
        <v>8542</v>
      </c>
      <c r="H7578" s="8">
        <v>578</v>
      </c>
      <c r="I7578" s="8">
        <v>5178</v>
      </c>
    </row>
    <row r="7579" spans="1:9" x14ac:dyDescent="0.2">
      <c r="A7579" t="s">
        <v>1604</v>
      </c>
      <c r="B7579" t="s">
        <v>1621</v>
      </c>
      <c r="C7579" t="str">
        <f t="shared" si="378"/>
        <v>43694190000000</v>
      </c>
      <c r="D7579" t="s">
        <v>2093</v>
      </c>
      <c r="E7579" t="str">
        <f>"43694196046908"</f>
        <v>43694196046908</v>
      </c>
      <c r="F7579" s="8">
        <v>897</v>
      </c>
      <c r="G7579" s="8">
        <v>8542</v>
      </c>
      <c r="H7579" s="8">
        <v>578</v>
      </c>
      <c r="I7579" s="8">
        <v>5178</v>
      </c>
    </row>
    <row r="7580" spans="1:9" x14ac:dyDescent="0.2">
      <c r="A7580" t="s">
        <v>1604</v>
      </c>
      <c r="B7580" t="s">
        <v>1621</v>
      </c>
      <c r="C7580" t="str">
        <f t="shared" si="378"/>
        <v>43694190000000</v>
      </c>
      <c r="D7580" t="s">
        <v>8525</v>
      </c>
      <c r="E7580" t="str">
        <f>"43694196047096"</f>
        <v>43694196047096</v>
      </c>
      <c r="F7580" s="8">
        <v>858</v>
      </c>
      <c r="G7580" s="8">
        <v>7627</v>
      </c>
      <c r="H7580" s="8">
        <v>578</v>
      </c>
      <c r="I7580" s="8">
        <v>5178</v>
      </c>
    </row>
    <row r="7581" spans="1:9" x14ac:dyDescent="0.2">
      <c r="A7581" t="s">
        <v>1604</v>
      </c>
      <c r="B7581" t="s">
        <v>1621</v>
      </c>
      <c r="C7581" t="str">
        <f t="shared" si="378"/>
        <v>43694190000000</v>
      </c>
      <c r="D7581" t="s">
        <v>8526</v>
      </c>
      <c r="E7581" t="str">
        <f>"43694196047054"</f>
        <v>43694196047054</v>
      </c>
      <c r="F7581" s="8">
        <v>3</v>
      </c>
      <c r="G7581" s="8">
        <v>8480</v>
      </c>
      <c r="H7581" s="8">
        <v>578</v>
      </c>
      <c r="I7581" s="8">
        <v>5178</v>
      </c>
    </row>
    <row r="7582" spans="1:9" x14ac:dyDescent="0.2">
      <c r="A7582" t="s">
        <v>1604</v>
      </c>
      <c r="B7582" t="s">
        <v>1621</v>
      </c>
      <c r="C7582" t="str">
        <f t="shared" si="378"/>
        <v>43694190000000</v>
      </c>
      <c r="D7582" t="s">
        <v>8527</v>
      </c>
      <c r="E7582" t="str">
        <f>"43694196046767"</f>
        <v>43694196046767</v>
      </c>
      <c r="F7582" s="8">
        <v>260</v>
      </c>
      <c r="G7582" s="8">
        <v>8053</v>
      </c>
      <c r="H7582" s="8">
        <v>578</v>
      </c>
      <c r="I7582" s="8">
        <v>5178</v>
      </c>
    </row>
    <row r="7583" spans="1:9" x14ac:dyDescent="0.2">
      <c r="A7583" t="s">
        <v>1604</v>
      </c>
      <c r="B7583" t="s">
        <v>1621</v>
      </c>
      <c r="C7583" t="str">
        <f t="shared" si="378"/>
        <v>43694190000000</v>
      </c>
      <c r="D7583" t="s">
        <v>8528</v>
      </c>
      <c r="E7583" t="str">
        <f>"43694196046981"</f>
        <v>43694196046981</v>
      </c>
      <c r="F7583" s="8">
        <v>3</v>
      </c>
      <c r="G7583" s="8">
        <v>8103</v>
      </c>
      <c r="H7583" s="8">
        <v>578</v>
      </c>
      <c r="I7583" s="8">
        <v>5178</v>
      </c>
    </row>
    <row r="7584" spans="1:9" x14ac:dyDescent="0.2">
      <c r="A7584" t="s">
        <v>1604</v>
      </c>
      <c r="B7584" t="s">
        <v>1621</v>
      </c>
      <c r="C7584" t="str">
        <f t="shared" si="378"/>
        <v>43694190000000</v>
      </c>
      <c r="D7584" t="s">
        <v>8529</v>
      </c>
      <c r="E7584" t="str">
        <f>"43694196046965"</f>
        <v>43694196046965</v>
      </c>
      <c r="F7584" s="8">
        <v>217</v>
      </c>
      <c r="G7584" s="8">
        <v>7861</v>
      </c>
      <c r="H7584" s="8">
        <v>578</v>
      </c>
      <c r="I7584" s="8">
        <v>5178</v>
      </c>
    </row>
    <row r="7585" spans="1:9" x14ac:dyDescent="0.2">
      <c r="A7585" t="s">
        <v>1604</v>
      </c>
      <c r="B7585" t="s">
        <v>1621</v>
      </c>
      <c r="C7585" t="str">
        <f t="shared" si="378"/>
        <v>43694190000000</v>
      </c>
      <c r="D7585" t="s">
        <v>8530</v>
      </c>
      <c r="E7585" t="str">
        <f>"43694196047088"</f>
        <v>43694196047088</v>
      </c>
      <c r="F7585" s="8">
        <v>3</v>
      </c>
      <c r="G7585" s="8">
        <v>7892</v>
      </c>
      <c r="H7585" s="8">
        <v>578</v>
      </c>
      <c r="I7585" s="8">
        <v>5178</v>
      </c>
    </row>
    <row r="7586" spans="1:9" x14ac:dyDescent="0.2">
      <c r="A7586" t="s">
        <v>1604</v>
      </c>
      <c r="B7586" t="s">
        <v>1621</v>
      </c>
      <c r="C7586" t="str">
        <f t="shared" si="378"/>
        <v>43694190000000</v>
      </c>
      <c r="D7586" t="s">
        <v>8531</v>
      </c>
      <c r="E7586" t="str">
        <f>"43694196047005"</f>
        <v>43694196047005</v>
      </c>
      <c r="F7586" s="8">
        <v>3</v>
      </c>
      <c r="G7586" s="8">
        <v>7776</v>
      </c>
      <c r="H7586" s="8">
        <v>578</v>
      </c>
      <c r="I7586" s="8">
        <v>5178</v>
      </c>
    </row>
    <row r="7587" spans="1:9" x14ac:dyDescent="0.2">
      <c r="A7587" t="s">
        <v>1604</v>
      </c>
      <c r="B7587" t="s">
        <v>1621</v>
      </c>
      <c r="C7587" t="str">
        <f t="shared" si="378"/>
        <v>43694190000000</v>
      </c>
      <c r="D7587" t="s">
        <v>8323</v>
      </c>
      <c r="E7587" t="str">
        <f>"43694196046890"</f>
        <v>43694196046890</v>
      </c>
      <c r="F7587" s="8">
        <v>252</v>
      </c>
      <c r="G7587" s="8">
        <v>7518</v>
      </c>
      <c r="H7587" s="8">
        <v>578</v>
      </c>
      <c r="I7587" s="8">
        <v>5178</v>
      </c>
    </row>
    <row r="7588" spans="1:9" x14ac:dyDescent="0.2">
      <c r="A7588" t="s">
        <v>1604</v>
      </c>
      <c r="B7588" t="s">
        <v>1621</v>
      </c>
      <c r="C7588" t="str">
        <f t="shared" si="378"/>
        <v>43694190000000</v>
      </c>
      <c r="D7588" t="s">
        <v>8532</v>
      </c>
      <c r="E7588" t="str">
        <f>"43694196046718"</f>
        <v>43694196046718</v>
      </c>
      <c r="F7588" s="8">
        <v>2</v>
      </c>
      <c r="G7588" s="8">
        <v>7704</v>
      </c>
      <c r="H7588" s="8">
        <v>578</v>
      </c>
      <c r="I7588" s="8">
        <v>5178</v>
      </c>
    </row>
    <row r="7589" spans="1:9" x14ac:dyDescent="0.2">
      <c r="A7589" t="s">
        <v>1604</v>
      </c>
      <c r="B7589" t="s">
        <v>1621</v>
      </c>
      <c r="C7589" t="str">
        <f t="shared" si="378"/>
        <v>43694190000000</v>
      </c>
      <c r="D7589" t="s">
        <v>8533</v>
      </c>
      <c r="E7589" t="str">
        <f>"43694190108126"</f>
        <v>43694190108126</v>
      </c>
      <c r="F7589" s="8">
        <v>293</v>
      </c>
      <c r="G7589" s="8">
        <v>7397</v>
      </c>
      <c r="H7589" s="8">
        <v>578</v>
      </c>
      <c r="I7589" s="8">
        <v>5178</v>
      </c>
    </row>
    <row r="7590" spans="1:9" x14ac:dyDescent="0.2">
      <c r="A7590" t="s">
        <v>1604</v>
      </c>
      <c r="B7590" t="s">
        <v>1621</v>
      </c>
      <c r="C7590" t="str">
        <f t="shared" si="378"/>
        <v>43694190000000</v>
      </c>
      <c r="D7590" t="s">
        <v>8534</v>
      </c>
      <c r="E7590" t="str">
        <f>"43694196046775"</f>
        <v>43694196046775</v>
      </c>
      <c r="F7590" s="8">
        <v>2</v>
      </c>
      <c r="G7590" s="8">
        <v>7541</v>
      </c>
      <c r="H7590" s="8">
        <v>578</v>
      </c>
      <c r="I7590" s="8">
        <v>5178</v>
      </c>
    </row>
    <row r="7591" spans="1:9" x14ac:dyDescent="0.2">
      <c r="A7591" t="s">
        <v>1604</v>
      </c>
      <c r="B7591" t="s">
        <v>1621</v>
      </c>
      <c r="C7591" t="str">
        <f t="shared" si="378"/>
        <v>43694190000000</v>
      </c>
      <c r="D7591" t="s">
        <v>5896</v>
      </c>
      <c r="E7591" t="str">
        <f>"43694196046809"</f>
        <v>43694196046809</v>
      </c>
      <c r="F7591" s="8">
        <v>3</v>
      </c>
      <c r="G7591" s="8">
        <v>7521</v>
      </c>
      <c r="H7591" s="8">
        <v>578</v>
      </c>
      <c r="I7591" s="8">
        <v>5178</v>
      </c>
    </row>
    <row r="7592" spans="1:9" x14ac:dyDescent="0.2">
      <c r="A7592" t="s">
        <v>1604</v>
      </c>
      <c r="B7592" t="s">
        <v>1621</v>
      </c>
      <c r="C7592" t="str">
        <f t="shared" si="378"/>
        <v>43694190000000</v>
      </c>
      <c r="D7592" t="s">
        <v>8535</v>
      </c>
      <c r="E7592" t="str">
        <f>"43694196067185"</f>
        <v>43694196067185</v>
      </c>
      <c r="F7592" s="8">
        <v>3</v>
      </c>
      <c r="G7592" s="8">
        <v>7500</v>
      </c>
      <c r="H7592" s="8">
        <v>578</v>
      </c>
      <c r="I7592" s="8">
        <v>5178</v>
      </c>
    </row>
    <row r="7593" spans="1:9" x14ac:dyDescent="0.2">
      <c r="A7593" t="s">
        <v>1604</v>
      </c>
      <c r="B7593" t="s">
        <v>1621</v>
      </c>
      <c r="C7593" t="str">
        <f t="shared" si="378"/>
        <v>43694190000000</v>
      </c>
      <c r="D7593" t="s">
        <v>3863</v>
      </c>
      <c r="E7593" t="str">
        <f>"43694196046940"</f>
        <v>43694196046940</v>
      </c>
      <c r="F7593" s="8">
        <v>2</v>
      </c>
      <c r="G7593" s="8">
        <v>7220</v>
      </c>
      <c r="H7593" s="8">
        <v>578</v>
      </c>
      <c r="I7593" s="8">
        <v>5178</v>
      </c>
    </row>
    <row r="7594" spans="1:9" x14ac:dyDescent="0.2">
      <c r="A7594" t="s">
        <v>1604</v>
      </c>
      <c r="B7594" t="s">
        <v>1621</v>
      </c>
      <c r="C7594" t="str">
        <f t="shared" si="378"/>
        <v>43694190000000</v>
      </c>
      <c r="D7594" t="s">
        <v>3368</v>
      </c>
      <c r="E7594" t="str">
        <f>"43694196046932"</f>
        <v>43694196046932</v>
      </c>
      <c r="F7594" s="8">
        <v>1</v>
      </c>
      <c r="G7594" s="8">
        <v>6894</v>
      </c>
      <c r="H7594" s="8">
        <v>578</v>
      </c>
      <c r="I7594" s="8">
        <v>5178</v>
      </c>
    </row>
    <row r="7595" spans="1:9" x14ac:dyDescent="0.2">
      <c r="A7595" t="s">
        <v>1604</v>
      </c>
      <c r="B7595" t="s">
        <v>1621</v>
      </c>
      <c r="C7595" t="str">
        <f t="shared" si="378"/>
        <v>43694190000000</v>
      </c>
      <c r="D7595" t="s">
        <v>8536</v>
      </c>
      <c r="E7595" t="str">
        <f>"43694196046742"</f>
        <v>43694196046742</v>
      </c>
      <c r="F7595" s="8">
        <v>249</v>
      </c>
      <c r="G7595" s="8">
        <v>6606</v>
      </c>
      <c r="H7595" s="8">
        <v>578</v>
      </c>
      <c r="I7595" s="8">
        <v>5178</v>
      </c>
    </row>
    <row r="7596" spans="1:9" x14ac:dyDescent="0.2">
      <c r="A7596" t="s">
        <v>1604</v>
      </c>
      <c r="B7596" t="s">
        <v>1621</v>
      </c>
      <c r="C7596" t="str">
        <f t="shared" si="378"/>
        <v>43694190000000</v>
      </c>
      <c r="D7596" t="s">
        <v>8537</v>
      </c>
      <c r="E7596" t="str">
        <f>"43694196046841"</f>
        <v>43694196046841</v>
      </c>
      <c r="F7596" s="8">
        <v>2</v>
      </c>
      <c r="G7596" s="8">
        <v>6833</v>
      </c>
      <c r="H7596" s="8">
        <v>578</v>
      </c>
      <c r="I7596" s="8">
        <v>5178</v>
      </c>
    </row>
    <row r="7597" spans="1:9" x14ac:dyDescent="0.2">
      <c r="A7597" t="s">
        <v>1604</v>
      </c>
      <c r="B7597" t="s">
        <v>1621</v>
      </c>
      <c r="C7597" t="str">
        <f t="shared" si="378"/>
        <v>43694190000000</v>
      </c>
      <c r="D7597" t="s">
        <v>8538</v>
      </c>
      <c r="E7597" t="str">
        <f>"43694196047047"</f>
        <v>43694196047047</v>
      </c>
      <c r="F7597" s="8">
        <v>1</v>
      </c>
      <c r="G7597" s="8">
        <v>6632</v>
      </c>
      <c r="H7597" s="8">
        <v>578</v>
      </c>
      <c r="I7597" s="8">
        <v>5178</v>
      </c>
    </row>
    <row r="7598" spans="1:9" x14ac:dyDescent="0.2">
      <c r="A7598" t="s">
        <v>1604</v>
      </c>
      <c r="B7598" t="s">
        <v>1621</v>
      </c>
      <c r="C7598" t="str">
        <f t="shared" si="378"/>
        <v>43694190000000</v>
      </c>
      <c r="D7598" t="s">
        <v>8539</v>
      </c>
      <c r="E7598" t="str">
        <f>"43694196046759"</f>
        <v>43694196046759</v>
      </c>
      <c r="F7598" s="8">
        <v>3</v>
      </c>
      <c r="G7598" s="8">
        <v>6453</v>
      </c>
      <c r="H7598" s="8">
        <v>578</v>
      </c>
      <c r="I7598" s="8">
        <v>5178</v>
      </c>
    </row>
    <row r="7599" spans="1:9" x14ac:dyDescent="0.2">
      <c r="A7599" t="s">
        <v>1604</v>
      </c>
      <c r="B7599" t="s">
        <v>1621</v>
      </c>
      <c r="C7599" t="str">
        <f t="shared" si="378"/>
        <v>43694190000000</v>
      </c>
      <c r="D7599" t="s">
        <v>8540</v>
      </c>
      <c r="E7599" t="str">
        <f>"43694196047039"</f>
        <v>43694196047039</v>
      </c>
      <c r="F7599" s="8">
        <v>2</v>
      </c>
      <c r="G7599" s="8">
        <v>6300</v>
      </c>
      <c r="H7599" s="8">
        <v>578</v>
      </c>
      <c r="I7599" s="8">
        <v>5178</v>
      </c>
    </row>
    <row r="7600" spans="1:9" x14ac:dyDescent="0.2">
      <c r="A7600" t="s">
        <v>1604</v>
      </c>
      <c r="B7600" t="s">
        <v>1621</v>
      </c>
      <c r="C7600" t="str">
        <f t="shared" si="378"/>
        <v>43694190000000</v>
      </c>
      <c r="D7600" t="s">
        <v>8541</v>
      </c>
      <c r="E7600" t="str">
        <f>"43694196047104"</f>
        <v>43694196047104</v>
      </c>
      <c r="F7600" s="8">
        <v>2</v>
      </c>
      <c r="G7600" s="8">
        <v>6198</v>
      </c>
      <c r="H7600" s="8">
        <v>578</v>
      </c>
      <c r="I7600" s="8">
        <v>5178</v>
      </c>
    </row>
    <row r="7601" spans="1:9" x14ac:dyDescent="0.2">
      <c r="A7601" t="s">
        <v>1604</v>
      </c>
      <c r="B7601" t="s">
        <v>1621</v>
      </c>
      <c r="C7601" t="str">
        <f t="shared" si="378"/>
        <v>43694190000000</v>
      </c>
      <c r="D7601" t="s">
        <v>8542</v>
      </c>
      <c r="E7601" t="str">
        <f>"43694196047112"</f>
        <v>43694196047112</v>
      </c>
      <c r="F7601" s="8">
        <v>2</v>
      </c>
      <c r="G7601" s="8">
        <v>5784</v>
      </c>
      <c r="H7601" s="8">
        <v>578</v>
      </c>
      <c r="I7601" s="8">
        <v>5178</v>
      </c>
    </row>
    <row r="7602" spans="1:9" x14ac:dyDescent="0.2">
      <c r="A7602" t="s">
        <v>1604</v>
      </c>
      <c r="B7602" t="s">
        <v>1621</v>
      </c>
      <c r="C7602" t="str">
        <f t="shared" si="378"/>
        <v>43694190000000</v>
      </c>
      <c r="D7602" t="s">
        <v>8543</v>
      </c>
      <c r="E7602" t="str">
        <f>"43694196046957"</f>
        <v>43694196046957</v>
      </c>
      <c r="F7602" s="8">
        <v>1</v>
      </c>
      <c r="G7602" s="8">
        <v>5379</v>
      </c>
      <c r="H7602" s="8">
        <v>578</v>
      </c>
      <c r="I7602" s="8">
        <v>5178</v>
      </c>
    </row>
    <row r="7603" spans="1:9" x14ac:dyDescent="0.2">
      <c r="A7603" t="s">
        <v>1604</v>
      </c>
      <c r="B7603" t="s">
        <v>1626</v>
      </c>
      <c r="C7603" t="str">
        <f t="shared" ref="C7603:C7618" si="379">"43694270000000"</f>
        <v>43694270000000</v>
      </c>
      <c r="D7603" t="s">
        <v>8544</v>
      </c>
      <c r="E7603" t="str">
        <f>"43694270125427"</f>
        <v>43694270125427</v>
      </c>
      <c r="F7603" s="8">
        <v>377</v>
      </c>
      <c r="G7603" s="8">
        <v>13247</v>
      </c>
      <c r="H7603" s="8">
        <v>963</v>
      </c>
      <c r="I7603" s="8">
        <v>2357</v>
      </c>
    </row>
    <row r="7604" spans="1:9" x14ac:dyDescent="0.2">
      <c r="A7604" t="s">
        <v>1604</v>
      </c>
      <c r="B7604" t="s">
        <v>1626</v>
      </c>
      <c r="C7604" t="str">
        <f t="shared" si="379"/>
        <v>43694270000000</v>
      </c>
      <c r="D7604" t="s">
        <v>2331</v>
      </c>
      <c r="E7604" t="str">
        <f>"43694274332318"</f>
        <v>43694274332318</v>
      </c>
      <c r="F7604" s="8">
        <v>341</v>
      </c>
      <c r="G7604" s="8">
        <v>12158</v>
      </c>
      <c r="H7604" s="8">
        <v>963</v>
      </c>
      <c r="I7604" s="8">
        <v>2357</v>
      </c>
    </row>
    <row r="7605" spans="1:9" x14ac:dyDescent="0.2">
      <c r="A7605" t="s">
        <v>1604</v>
      </c>
      <c r="B7605" t="s">
        <v>1626</v>
      </c>
      <c r="C7605" t="str">
        <f t="shared" si="379"/>
        <v>43694270000000</v>
      </c>
      <c r="D7605" t="s">
        <v>8545</v>
      </c>
      <c r="E7605" t="str">
        <f>"43694274333639"</f>
        <v>43694274333639</v>
      </c>
      <c r="F7605" s="8">
        <v>275</v>
      </c>
      <c r="G7605" s="8">
        <v>11569</v>
      </c>
      <c r="H7605" s="8">
        <v>963</v>
      </c>
      <c r="I7605" s="8">
        <v>2357</v>
      </c>
    </row>
    <row r="7606" spans="1:9" x14ac:dyDescent="0.2">
      <c r="A7606" t="s">
        <v>1604</v>
      </c>
      <c r="B7606" t="s">
        <v>1626</v>
      </c>
      <c r="C7606" t="str">
        <f t="shared" si="379"/>
        <v>43694270000000</v>
      </c>
      <c r="D7606" t="s">
        <v>8546</v>
      </c>
      <c r="E7606" t="str">
        <f>"43694274330312"</f>
        <v>43694274330312</v>
      </c>
      <c r="F7606" s="8">
        <v>37</v>
      </c>
      <c r="G7606" s="8">
        <v>10996</v>
      </c>
      <c r="H7606" s="8">
        <v>963</v>
      </c>
      <c r="I7606" s="8">
        <v>2357</v>
      </c>
    </row>
    <row r="7607" spans="1:9" x14ac:dyDescent="0.2">
      <c r="A7607" t="s">
        <v>1604</v>
      </c>
      <c r="B7607" t="s">
        <v>1626</v>
      </c>
      <c r="C7607" t="str">
        <f t="shared" si="379"/>
        <v>43694270000000</v>
      </c>
      <c r="D7607" t="s">
        <v>8547</v>
      </c>
      <c r="E7607" t="str">
        <f>"43694274335428"</f>
        <v>43694274335428</v>
      </c>
      <c r="F7607" s="8">
        <v>221</v>
      </c>
      <c r="G7607" s="8">
        <v>9550</v>
      </c>
      <c r="H7607" s="8">
        <v>963</v>
      </c>
      <c r="I7607" s="8">
        <v>2357</v>
      </c>
    </row>
    <row r="7608" spans="1:9" x14ac:dyDescent="0.2">
      <c r="A7608" t="s">
        <v>1604</v>
      </c>
      <c r="B7608" t="s">
        <v>1626</v>
      </c>
      <c r="C7608" t="str">
        <f t="shared" si="379"/>
        <v>43694270000000</v>
      </c>
      <c r="D7608" t="s">
        <v>8548</v>
      </c>
      <c r="E7608" t="str">
        <f>"43694274330361"</f>
        <v>43694274330361</v>
      </c>
      <c r="F7608" s="8">
        <v>162</v>
      </c>
      <c r="G7608" s="8">
        <v>9428</v>
      </c>
      <c r="H7608" s="8">
        <v>963</v>
      </c>
      <c r="I7608" s="8">
        <v>2357</v>
      </c>
    </row>
    <row r="7609" spans="1:9" x14ac:dyDescent="0.2">
      <c r="A7609" t="s">
        <v>1604</v>
      </c>
      <c r="B7609" t="s">
        <v>1626</v>
      </c>
      <c r="C7609" t="str">
        <f t="shared" si="379"/>
        <v>43694270000000</v>
      </c>
      <c r="D7609" t="s">
        <v>8549</v>
      </c>
      <c r="E7609" t="str">
        <f>"43694274334900"</f>
        <v>43694274334900</v>
      </c>
      <c r="F7609" s="8">
        <v>251</v>
      </c>
      <c r="G7609" s="8">
        <v>9142</v>
      </c>
      <c r="H7609" s="8">
        <v>963</v>
      </c>
      <c r="I7609" s="8">
        <v>2357</v>
      </c>
    </row>
    <row r="7610" spans="1:9" x14ac:dyDescent="0.2">
      <c r="A7610" t="s">
        <v>1604</v>
      </c>
      <c r="B7610" t="s">
        <v>1626</v>
      </c>
      <c r="C7610" t="str">
        <f t="shared" si="379"/>
        <v>43694270000000</v>
      </c>
      <c r="D7610" t="s">
        <v>8550</v>
      </c>
      <c r="E7610" t="str">
        <f>"43694274332995"</f>
        <v>43694274332995</v>
      </c>
      <c r="F7610" s="8">
        <v>268</v>
      </c>
      <c r="G7610" s="8">
        <v>8830</v>
      </c>
      <c r="H7610" s="8">
        <v>963</v>
      </c>
      <c r="I7610" s="8">
        <v>2357</v>
      </c>
    </row>
    <row r="7611" spans="1:9" x14ac:dyDescent="0.2">
      <c r="A7611" t="s">
        <v>1604</v>
      </c>
      <c r="B7611" t="s">
        <v>1626</v>
      </c>
      <c r="C7611" t="str">
        <f t="shared" si="379"/>
        <v>43694270000000</v>
      </c>
      <c r="D7611" t="s">
        <v>8551</v>
      </c>
      <c r="E7611" t="str">
        <f>"43694274330023"</f>
        <v>43694274330023</v>
      </c>
      <c r="F7611" s="8">
        <v>86</v>
      </c>
      <c r="G7611" s="8">
        <v>8869</v>
      </c>
      <c r="H7611" s="8">
        <v>963</v>
      </c>
      <c r="I7611" s="8">
        <v>2357</v>
      </c>
    </row>
    <row r="7612" spans="1:9" x14ac:dyDescent="0.2">
      <c r="A7612" t="s">
        <v>1604</v>
      </c>
      <c r="B7612" t="s">
        <v>1626</v>
      </c>
      <c r="C7612" t="str">
        <f t="shared" si="379"/>
        <v>43694270000000</v>
      </c>
      <c r="D7612" t="s">
        <v>8552</v>
      </c>
      <c r="E7612" t="str">
        <f>"43694274335204"</f>
        <v>43694274335204</v>
      </c>
      <c r="F7612" s="8">
        <v>197</v>
      </c>
      <c r="G7612" s="8">
        <v>8592</v>
      </c>
      <c r="H7612" s="8">
        <v>963</v>
      </c>
      <c r="I7612" s="8">
        <v>2357</v>
      </c>
    </row>
    <row r="7613" spans="1:9" x14ac:dyDescent="0.2">
      <c r="A7613" t="s">
        <v>1604</v>
      </c>
      <c r="B7613" t="s">
        <v>1626</v>
      </c>
      <c r="C7613" t="str">
        <f t="shared" si="379"/>
        <v>43694270000000</v>
      </c>
      <c r="D7613" t="s">
        <v>2545</v>
      </c>
      <c r="E7613" t="str">
        <f>"43694274330031"</f>
        <v>43694274330031</v>
      </c>
      <c r="F7613" s="8">
        <v>76</v>
      </c>
      <c r="G7613" s="8">
        <v>8485</v>
      </c>
      <c r="H7613" s="8">
        <v>963</v>
      </c>
      <c r="I7613" s="8">
        <v>2357</v>
      </c>
    </row>
    <row r="7614" spans="1:9" x14ac:dyDescent="0.2">
      <c r="A7614" t="s">
        <v>1604</v>
      </c>
      <c r="B7614" t="s">
        <v>1626</v>
      </c>
      <c r="C7614" t="str">
        <f t="shared" si="379"/>
        <v>43694270000000</v>
      </c>
      <c r="D7614" t="s">
        <v>8553</v>
      </c>
      <c r="E7614" t="str">
        <f>"43694274335907"</f>
        <v>43694274335907</v>
      </c>
      <c r="F7614" s="8">
        <v>115</v>
      </c>
      <c r="G7614" s="8">
        <v>8434</v>
      </c>
      <c r="H7614" s="8">
        <v>963</v>
      </c>
      <c r="I7614" s="8">
        <v>2357</v>
      </c>
    </row>
    <row r="7615" spans="1:9" x14ac:dyDescent="0.2">
      <c r="A7615" t="s">
        <v>1604</v>
      </c>
      <c r="B7615" t="s">
        <v>1626</v>
      </c>
      <c r="C7615" t="str">
        <f t="shared" si="379"/>
        <v>43694270000000</v>
      </c>
      <c r="D7615" t="s">
        <v>8554</v>
      </c>
      <c r="E7615" t="str">
        <f>"43694274330015"</f>
        <v>43694274330015</v>
      </c>
      <c r="F7615" s="8">
        <v>131</v>
      </c>
      <c r="G7615" s="8">
        <v>8070</v>
      </c>
      <c r="H7615" s="8">
        <v>963</v>
      </c>
      <c r="I7615" s="8">
        <v>2357</v>
      </c>
    </row>
    <row r="7616" spans="1:9" x14ac:dyDescent="0.2">
      <c r="A7616" t="s">
        <v>1604</v>
      </c>
      <c r="B7616" t="s">
        <v>1626</v>
      </c>
      <c r="C7616" t="str">
        <f t="shared" si="379"/>
        <v>43694270000000</v>
      </c>
      <c r="D7616" t="s">
        <v>8555</v>
      </c>
      <c r="E7616" t="str">
        <f>"43694274337903"</f>
        <v>43694274337903</v>
      </c>
      <c r="F7616" s="8">
        <v>143</v>
      </c>
      <c r="G7616" s="8">
        <v>7814</v>
      </c>
      <c r="H7616" s="8">
        <v>963</v>
      </c>
      <c r="I7616" s="8">
        <v>2357</v>
      </c>
    </row>
    <row r="7617" spans="1:9" x14ac:dyDescent="0.2">
      <c r="A7617" t="s">
        <v>1604</v>
      </c>
      <c r="B7617" t="s">
        <v>1626</v>
      </c>
      <c r="C7617" t="str">
        <f t="shared" si="379"/>
        <v>43694270000000</v>
      </c>
      <c r="D7617" t="s">
        <v>8556</v>
      </c>
      <c r="E7617" t="str">
        <f>"43694274330353"</f>
        <v>43694274330353</v>
      </c>
      <c r="F7617" s="8">
        <v>116</v>
      </c>
      <c r="G7617" s="8">
        <v>7654</v>
      </c>
      <c r="H7617" s="8">
        <v>963</v>
      </c>
      <c r="I7617" s="8">
        <v>2357</v>
      </c>
    </row>
    <row r="7618" spans="1:9" x14ac:dyDescent="0.2">
      <c r="A7618" t="s">
        <v>1604</v>
      </c>
      <c r="B7618" t="s">
        <v>1626</v>
      </c>
      <c r="C7618" t="str">
        <f t="shared" si="379"/>
        <v>43694270000000</v>
      </c>
      <c r="D7618" t="s">
        <v>8557</v>
      </c>
      <c r="E7618" t="str">
        <f>"43694274330692"</f>
        <v>43694274330692</v>
      </c>
      <c r="F7618" s="8">
        <v>141</v>
      </c>
      <c r="G7618" s="8">
        <v>7277</v>
      </c>
      <c r="H7618" s="8">
        <v>963</v>
      </c>
      <c r="I7618" s="8">
        <v>2357</v>
      </c>
    </row>
    <row r="7619" spans="1:9" x14ac:dyDescent="0.2">
      <c r="A7619" t="s">
        <v>1604</v>
      </c>
      <c r="B7619" t="s">
        <v>1629</v>
      </c>
      <c r="C7619" t="str">
        <f t="shared" ref="C7619:C7636" si="380">"43694350000000"</f>
        <v>43694350000000</v>
      </c>
      <c r="D7619" t="s">
        <v>8558</v>
      </c>
      <c r="E7619" t="str">
        <f>"43694356085690"</f>
        <v>43694356085690</v>
      </c>
      <c r="F7619" s="8">
        <v>422</v>
      </c>
      <c r="G7619" s="8">
        <v>8543</v>
      </c>
      <c r="H7619" s="8">
        <v>1268</v>
      </c>
      <c r="I7619" s="8">
        <v>4048</v>
      </c>
    </row>
    <row r="7620" spans="1:9" x14ac:dyDescent="0.2">
      <c r="A7620" t="s">
        <v>1604</v>
      </c>
      <c r="B7620" t="s">
        <v>1629</v>
      </c>
      <c r="C7620" t="str">
        <f t="shared" si="380"/>
        <v>43694350000000</v>
      </c>
      <c r="D7620" t="s">
        <v>8559</v>
      </c>
      <c r="E7620" t="str">
        <f>"43694356047161"</f>
        <v>43694356047161</v>
      </c>
      <c r="F7620" s="8">
        <v>280</v>
      </c>
      <c r="G7620" s="8">
        <v>7485</v>
      </c>
      <c r="H7620" s="8">
        <v>1268</v>
      </c>
      <c r="I7620" s="8">
        <v>4048</v>
      </c>
    </row>
    <row r="7621" spans="1:9" x14ac:dyDescent="0.2">
      <c r="A7621" t="s">
        <v>1604</v>
      </c>
      <c r="B7621" t="s">
        <v>1629</v>
      </c>
      <c r="C7621" t="str">
        <f t="shared" si="380"/>
        <v>43694350000000</v>
      </c>
      <c r="D7621" t="s">
        <v>8560</v>
      </c>
      <c r="E7621" t="str">
        <f>"43694356047120"</f>
        <v>43694356047120</v>
      </c>
      <c r="F7621" s="8">
        <v>194</v>
      </c>
      <c r="G7621" s="8">
        <v>7248</v>
      </c>
      <c r="H7621" s="8">
        <v>1268</v>
      </c>
      <c r="I7621" s="8">
        <v>4048</v>
      </c>
    </row>
    <row r="7622" spans="1:9" x14ac:dyDescent="0.2">
      <c r="A7622" t="s">
        <v>1604</v>
      </c>
      <c r="B7622" t="s">
        <v>1629</v>
      </c>
      <c r="C7622" t="str">
        <f t="shared" si="380"/>
        <v>43694350000000</v>
      </c>
      <c r="D7622" t="s">
        <v>8561</v>
      </c>
      <c r="E7622" t="str">
        <f>"43694356047153"</f>
        <v>43694356047153</v>
      </c>
      <c r="F7622" s="8">
        <v>523</v>
      </c>
      <c r="G7622" s="8">
        <v>6870</v>
      </c>
      <c r="H7622" s="8">
        <v>1268</v>
      </c>
      <c r="I7622" s="8">
        <v>4048</v>
      </c>
    </row>
    <row r="7623" spans="1:9" x14ac:dyDescent="0.2">
      <c r="A7623" t="s">
        <v>1604</v>
      </c>
      <c r="B7623" t="s">
        <v>1629</v>
      </c>
      <c r="C7623" t="str">
        <f t="shared" si="380"/>
        <v>43694350000000</v>
      </c>
      <c r="D7623" t="s">
        <v>8562</v>
      </c>
      <c r="E7623" t="str">
        <f>"43694356095988"</f>
        <v>43694356095988</v>
      </c>
      <c r="F7623" s="8">
        <v>189</v>
      </c>
      <c r="G7623" s="8">
        <v>7065</v>
      </c>
      <c r="H7623" s="8">
        <v>1268</v>
      </c>
      <c r="I7623" s="8">
        <v>4048</v>
      </c>
    </row>
    <row r="7624" spans="1:9" x14ac:dyDescent="0.2">
      <c r="A7624" t="s">
        <v>1604</v>
      </c>
      <c r="B7624" t="s">
        <v>1629</v>
      </c>
      <c r="C7624" t="str">
        <f t="shared" si="380"/>
        <v>43694350000000</v>
      </c>
      <c r="D7624" t="s">
        <v>8563</v>
      </c>
      <c r="E7624" t="str">
        <f>"43694356067193"</f>
        <v>43694356067193</v>
      </c>
      <c r="F7624" s="8">
        <v>181</v>
      </c>
      <c r="G7624" s="8">
        <v>7044</v>
      </c>
      <c r="H7624" s="8">
        <v>1268</v>
      </c>
      <c r="I7624" s="8">
        <v>4048</v>
      </c>
    </row>
    <row r="7625" spans="1:9" x14ac:dyDescent="0.2">
      <c r="A7625" t="s">
        <v>1604</v>
      </c>
      <c r="B7625" t="s">
        <v>1629</v>
      </c>
      <c r="C7625" t="str">
        <f t="shared" si="380"/>
        <v>43694350000000</v>
      </c>
      <c r="D7625" t="s">
        <v>8564</v>
      </c>
      <c r="E7625" t="str">
        <f>"43694356047146"</f>
        <v>43694356047146</v>
      </c>
      <c r="F7625" s="8">
        <v>308</v>
      </c>
      <c r="G7625" s="8">
        <v>6812</v>
      </c>
      <c r="H7625" s="8">
        <v>1268</v>
      </c>
      <c r="I7625" s="8">
        <v>4048</v>
      </c>
    </row>
    <row r="7626" spans="1:9" x14ac:dyDescent="0.2">
      <c r="A7626" t="s">
        <v>1604</v>
      </c>
      <c r="B7626" t="s">
        <v>1629</v>
      </c>
      <c r="C7626" t="str">
        <f t="shared" si="380"/>
        <v>43694350000000</v>
      </c>
      <c r="D7626" t="s">
        <v>8565</v>
      </c>
      <c r="E7626" t="str">
        <f>"43694356047179"</f>
        <v>43694356047179</v>
      </c>
      <c r="F7626" s="8">
        <v>102</v>
      </c>
      <c r="G7626" s="8">
        <v>6642</v>
      </c>
      <c r="H7626" s="8">
        <v>1268</v>
      </c>
      <c r="I7626" s="8">
        <v>4048</v>
      </c>
    </row>
    <row r="7627" spans="1:9" x14ac:dyDescent="0.2">
      <c r="A7627" t="s">
        <v>1604</v>
      </c>
      <c r="B7627" t="s">
        <v>1629</v>
      </c>
      <c r="C7627" t="str">
        <f t="shared" si="380"/>
        <v>43694350000000</v>
      </c>
      <c r="D7627" t="s">
        <v>8566</v>
      </c>
      <c r="E7627" t="str">
        <f>"43694356117956"</f>
        <v>43694356117956</v>
      </c>
      <c r="F7627" s="8">
        <v>75</v>
      </c>
      <c r="G7627" s="8">
        <v>6609</v>
      </c>
      <c r="H7627" s="8">
        <v>1268</v>
      </c>
      <c r="I7627" s="8">
        <v>4048</v>
      </c>
    </row>
    <row r="7628" spans="1:9" x14ac:dyDescent="0.2">
      <c r="A7628" t="s">
        <v>1604</v>
      </c>
      <c r="B7628" t="s">
        <v>1629</v>
      </c>
      <c r="C7628" t="str">
        <f t="shared" si="380"/>
        <v>43694350000000</v>
      </c>
      <c r="D7628" t="s">
        <v>1629</v>
      </c>
      <c r="E7628" t="str">
        <f>"43694356047138"</f>
        <v>43694356047138</v>
      </c>
      <c r="F7628" s="8">
        <v>81</v>
      </c>
      <c r="G7628" s="8">
        <v>6511</v>
      </c>
      <c r="H7628" s="8">
        <v>1268</v>
      </c>
      <c r="I7628" s="8">
        <v>4048</v>
      </c>
    </row>
    <row r="7629" spans="1:9" x14ac:dyDescent="0.2">
      <c r="A7629" t="s">
        <v>1604</v>
      </c>
      <c r="B7629" t="s">
        <v>1629</v>
      </c>
      <c r="C7629" t="str">
        <f t="shared" si="380"/>
        <v>43694350000000</v>
      </c>
      <c r="D7629" t="s">
        <v>8567</v>
      </c>
      <c r="E7629" t="str">
        <f>"43694356105787"</f>
        <v>43694356105787</v>
      </c>
      <c r="F7629" s="8">
        <v>88</v>
      </c>
      <c r="G7629" s="8">
        <v>6491</v>
      </c>
      <c r="H7629" s="8">
        <v>1268</v>
      </c>
      <c r="I7629" s="8">
        <v>4048</v>
      </c>
    </row>
    <row r="7630" spans="1:9" x14ac:dyDescent="0.2">
      <c r="A7630" t="s">
        <v>1604</v>
      </c>
      <c r="B7630" t="s">
        <v>1629</v>
      </c>
      <c r="C7630" t="str">
        <f t="shared" si="380"/>
        <v>43694350000000</v>
      </c>
      <c r="D7630" t="s">
        <v>8568</v>
      </c>
      <c r="E7630" t="str">
        <f>"43694356110159"</f>
        <v>43694356110159</v>
      </c>
      <c r="F7630" s="8">
        <v>78</v>
      </c>
      <c r="G7630" s="8">
        <v>6386</v>
      </c>
      <c r="H7630" s="8">
        <v>1268</v>
      </c>
      <c r="I7630" s="8">
        <v>4048</v>
      </c>
    </row>
    <row r="7631" spans="1:9" x14ac:dyDescent="0.2">
      <c r="A7631" t="s">
        <v>1604</v>
      </c>
      <c r="B7631" t="s">
        <v>1629</v>
      </c>
      <c r="C7631" t="str">
        <f t="shared" si="380"/>
        <v>43694350000000</v>
      </c>
      <c r="D7631" t="s">
        <v>8569</v>
      </c>
      <c r="E7631" t="str">
        <f>"43694356102081"</f>
        <v>43694356102081</v>
      </c>
      <c r="F7631" s="8">
        <v>75</v>
      </c>
      <c r="G7631" s="8">
        <v>6386</v>
      </c>
      <c r="H7631" s="8">
        <v>1268</v>
      </c>
      <c r="I7631" s="8">
        <v>4048</v>
      </c>
    </row>
    <row r="7632" spans="1:9" x14ac:dyDescent="0.2">
      <c r="A7632" t="s">
        <v>1604</v>
      </c>
      <c r="B7632" t="s">
        <v>1629</v>
      </c>
      <c r="C7632" t="str">
        <f t="shared" si="380"/>
        <v>43694350000000</v>
      </c>
      <c r="D7632" t="s">
        <v>8570</v>
      </c>
      <c r="E7632" t="str">
        <f>"43694356111942"</f>
        <v>43694356111942</v>
      </c>
      <c r="F7632" s="8">
        <v>88</v>
      </c>
      <c r="G7632" s="8">
        <v>6333</v>
      </c>
      <c r="H7632" s="8">
        <v>1268</v>
      </c>
      <c r="I7632" s="8">
        <v>4048</v>
      </c>
    </row>
    <row r="7633" spans="1:9" x14ac:dyDescent="0.2">
      <c r="A7633" t="s">
        <v>1604</v>
      </c>
      <c r="B7633" t="s">
        <v>1629</v>
      </c>
      <c r="C7633" t="str">
        <f t="shared" si="380"/>
        <v>43694350000000</v>
      </c>
      <c r="D7633" t="s">
        <v>8571</v>
      </c>
      <c r="E7633" t="str">
        <f>"43694356115851"</f>
        <v>43694356115851</v>
      </c>
      <c r="F7633" s="8">
        <v>63</v>
      </c>
      <c r="G7633" s="8">
        <v>6207</v>
      </c>
      <c r="H7633" s="8">
        <v>1268</v>
      </c>
      <c r="I7633" s="8">
        <v>4048</v>
      </c>
    </row>
    <row r="7634" spans="1:9" x14ac:dyDescent="0.2">
      <c r="A7634" t="s">
        <v>1604</v>
      </c>
      <c r="B7634" t="s">
        <v>1629</v>
      </c>
      <c r="C7634" t="str">
        <f t="shared" si="380"/>
        <v>43694350000000</v>
      </c>
      <c r="D7634" t="s">
        <v>8572</v>
      </c>
      <c r="E7634" t="str">
        <f>"43694350102616"</f>
        <v>43694350102616</v>
      </c>
      <c r="F7634" s="8">
        <v>81</v>
      </c>
      <c r="G7634" s="8">
        <v>6134</v>
      </c>
      <c r="H7634" s="8">
        <v>1268</v>
      </c>
      <c r="I7634" s="8">
        <v>4048</v>
      </c>
    </row>
    <row r="7635" spans="1:9" x14ac:dyDescent="0.2">
      <c r="A7635" t="s">
        <v>1604</v>
      </c>
      <c r="B7635" t="s">
        <v>1629</v>
      </c>
      <c r="C7635" t="str">
        <f t="shared" si="380"/>
        <v>43694350000000</v>
      </c>
      <c r="D7635" t="s">
        <v>8573</v>
      </c>
      <c r="E7635" t="str">
        <f>"43694356107593"</f>
        <v>43694356107593</v>
      </c>
      <c r="F7635" s="8" t="s">
        <v>30</v>
      </c>
      <c r="G7635" s="8" t="s">
        <v>30</v>
      </c>
      <c r="H7635" s="8" t="s">
        <v>30</v>
      </c>
      <c r="I7635" s="8" t="s">
        <v>30</v>
      </c>
    </row>
    <row r="7636" spans="1:9" x14ac:dyDescent="0.2">
      <c r="A7636" t="s">
        <v>1604</v>
      </c>
      <c r="B7636" t="s">
        <v>1629</v>
      </c>
      <c r="C7636" t="str">
        <f t="shared" si="380"/>
        <v>43694350000000</v>
      </c>
      <c r="D7636" t="s">
        <v>8574</v>
      </c>
      <c r="E7636" t="str">
        <f>"43694356071534"</f>
        <v>43694356071534</v>
      </c>
      <c r="F7636" s="8" t="s">
        <v>30</v>
      </c>
      <c r="G7636" s="8" t="s">
        <v>30</v>
      </c>
      <c r="H7636" s="8" t="s">
        <v>30</v>
      </c>
      <c r="I7636" s="8" t="s">
        <v>30</v>
      </c>
    </row>
    <row r="7637" spans="1:9" x14ac:dyDescent="0.2">
      <c r="A7637" t="s">
        <v>1604</v>
      </c>
      <c r="B7637" t="s">
        <v>1630</v>
      </c>
      <c r="C7637" t="str">
        <f t="shared" ref="C7637:C7652" si="381">"43694500000000"</f>
        <v>43694500000000</v>
      </c>
      <c r="D7637" t="s">
        <v>8575</v>
      </c>
      <c r="E7637" t="str">
        <f>"43694506105795"</f>
        <v>43694506105795</v>
      </c>
      <c r="F7637" s="8">
        <v>885</v>
      </c>
      <c r="G7637" s="8">
        <v>14273</v>
      </c>
      <c r="H7637" s="8">
        <v>2865</v>
      </c>
      <c r="I7637" s="8">
        <v>4514</v>
      </c>
    </row>
    <row r="7638" spans="1:9" x14ac:dyDescent="0.2">
      <c r="A7638" t="s">
        <v>1604</v>
      </c>
      <c r="B7638" t="s">
        <v>1630</v>
      </c>
      <c r="C7638" t="str">
        <f t="shared" si="381"/>
        <v>43694500000000</v>
      </c>
      <c r="D7638" t="s">
        <v>5942</v>
      </c>
      <c r="E7638" t="str">
        <f>"43694506071542"</f>
        <v>43694506071542</v>
      </c>
      <c r="F7638" s="8">
        <v>1059</v>
      </c>
      <c r="G7638" s="8">
        <v>13004</v>
      </c>
      <c r="H7638" s="8">
        <v>2865</v>
      </c>
      <c r="I7638" s="8">
        <v>4514</v>
      </c>
    </row>
    <row r="7639" spans="1:9" x14ac:dyDescent="0.2">
      <c r="A7639" t="s">
        <v>1604</v>
      </c>
      <c r="B7639" t="s">
        <v>1630</v>
      </c>
      <c r="C7639" t="str">
        <f t="shared" si="381"/>
        <v>43694500000000</v>
      </c>
      <c r="D7639" t="s">
        <v>2349</v>
      </c>
      <c r="E7639" t="str">
        <f>"43694506047245"</f>
        <v>43694506047245</v>
      </c>
      <c r="F7639" s="8">
        <v>1031</v>
      </c>
      <c r="G7639" s="8">
        <v>12428</v>
      </c>
      <c r="H7639" s="8">
        <v>2865</v>
      </c>
      <c r="I7639" s="8">
        <v>4514</v>
      </c>
    </row>
    <row r="7640" spans="1:9" x14ac:dyDescent="0.2">
      <c r="A7640" t="s">
        <v>1604</v>
      </c>
      <c r="B7640" t="s">
        <v>1630</v>
      </c>
      <c r="C7640" t="str">
        <f t="shared" si="381"/>
        <v>43694500000000</v>
      </c>
      <c r="D7640" t="s">
        <v>8576</v>
      </c>
      <c r="E7640" t="str">
        <f>"43694506047237"</f>
        <v>43694506047237</v>
      </c>
      <c r="F7640" s="8">
        <v>1645</v>
      </c>
      <c r="G7640" s="8">
        <v>10862</v>
      </c>
      <c r="H7640" s="8">
        <v>2865</v>
      </c>
      <c r="I7640" s="8">
        <v>4514</v>
      </c>
    </row>
    <row r="7641" spans="1:9" x14ac:dyDescent="0.2">
      <c r="A7641" t="s">
        <v>1604</v>
      </c>
      <c r="B7641" t="s">
        <v>1630</v>
      </c>
      <c r="C7641" t="str">
        <f t="shared" si="381"/>
        <v>43694500000000</v>
      </c>
      <c r="D7641" t="s">
        <v>8577</v>
      </c>
      <c r="E7641" t="str">
        <f>"43694506047278"</f>
        <v>43694506047278</v>
      </c>
      <c r="F7641" s="8">
        <v>752</v>
      </c>
      <c r="G7641" s="8">
        <v>11650</v>
      </c>
      <c r="H7641" s="8">
        <v>2865</v>
      </c>
      <c r="I7641" s="8">
        <v>4514</v>
      </c>
    </row>
    <row r="7642" spans="1:9" x14ac:dyDescent="0.2">
      <c r="A7642" t="s">
        <v>1604</v>
      </c>
      <c r="B7642" t="s">
        <v>1630</v>
      </c>
      <c r="C7642" t="str">
        <f t="shared" si="381"/>
        <v>43694500000000</v>
      </c>
      <c r="D7642" t="s">
        <v>3735</v>
      </c>
      <c r="E7642" t="str">
        <f>"43694506067201"</f>
        <v>43694506067201</v>
      </c>
      <c r="F7642" s="8">
        <v>1052</v>
      </c>
      <c r="G7642" s="8">
        <v>9655</v>
      </c>
      <c r="H7642" s="8">
        <v>2865</v>
      </c>
      <c r="I7642" s="8">
        <v>4514</v>
      </c>
    </row>
    <row r="7643" spans="1:9" x14ac:dyDescent="0.2">
      <c r="A7643" t="s">
        <v>1604</v>
      </c>
      <c r="B7643" t="s">
        <v>1630</v>
      </c>
      <c r="C7643" t="str">
        <f t="shared" si="381"/>
        <v>43694500000000</v>
      </c>
      <c r="D7643" t="s">
        <v>3465</v>
      </c>
      <c r="E7643" t="str">
        <f>"43694506047229"</f>
        <v>43694506047229</v>
      </c>
      <c r="F7643" s="8">
        <v>573</v>
      </c>
      <c r="G7643" s="8">
        <v>9069</v>
      </c>
      <c r="H7643" s="8">
        <v>2865</v>
      </c>
      <c r="I7643" s="8">
        <v>4514</v>
      </c>
    </row>
    <row r="7644" spans="1:9" x14ac:dyDescent="0.2">
      <c r="A7644" t="s">
        <v>1604</v>
      </c>
      <c r="B7644" t="s">
        <v>1630</v>
      </c>
      <c r="C7644" t="str">
        <f t="shared" si="381"/>
        <v>43694500000000</v>
      </c>
      <c r="D7644" t="s">
        <v>8578</v>
      </c>
      <c r="E7644" t="str">
        <f>"43694506047252"</f>
        <v>43694506047252</v>
      </c>
      <c r="F7644" s="8">
        <v>810</v>
      </c>
      <c r="G7644" s="8">
        <v>8714</v>
      </c>
      <c r="H7644" s="8">
        <v>2865</v>
      </c>
      <c r="I7644" s="8">
        <v>4514</v>
      </c>
    </row>
    <row r="7645" spans="1:9" x14ac:dyDescent="0.2">
      <c r="A7645" t="s">
        <v>1604</v>
      </c>
      <c r="B7645" t="s">
        <v>1630</v>
      </c>
      <c r="C7645" t="str">
        <f t="shared" si="381"/>
        <v>43694500000000</v>
      </c>
      <c r="D7645" t="s">
        <v>8579</v>
      </c>
      <c r="E7645" t="str">
        <f>"43694500108696"</f>
        <v>43694500108696</v>
      </c>
      <c r="F7645" s="8">
        <v>1154</v>
      </c>
      <c r="G7645" s="8">
        <v>8280</v>
      </c>
      <c r="H7645" s="8">
        <v>2865</v>
      </c>
      <c r="I7645" s="8">
        <v>4514</v>
      </c>
    </row>
    <row r="7646" spans="1:9" x14ac:dyDescent="0.2">
      <c r="A7646" t="s">
        <v>1604</v>
      </c>
      <c r="B7646" t="s">
        <v>1630</v>
      </c>
      <c r="C7646" t="str">
        <f t="shared" si="381"/>
        <v>43694500000000</v>
      </c>
      <c r="D7646" t="s">
        <v>8580</v>
      </c>
      <c r="E7646" t="str">
        <f>"43694506047260"</f>
        <v>43694506047260</v>
      </c>
      <c r="F7646" s="8">
        <v>566</v>
      </c>
      <c r="G7646" s="8">
        <v>8156</v>
      </c>
      <c r="H7646" s="8">
        <v>2865</v>
      </c>
      <c r="I7646" s="8">
        <v>4514</v>
      </c>
    </row>
    <row r="7647" spans="1:9" x14ac:dyDescent="0.2">
      <c r="A7647" t="s">
        <v>1604</v>
      </c>
      <c r="B7647" t="s">
        <v>1630</v>
      </c>
      <c r="C7647" t="str">
        <f t="shared" si="381"/>
        <v>43694500000000</v>
      </c>
      <c r="D7647" t="s">
        <v>8581</v>
      </c>
      <c r="E7647" t="str">
        <f>"43694500127225"</f>
        <v>43694500127225</v>
      </c>
      <c r="F7647" s="8">
        <v>540</v>
      </c>
      <c r="G7647" s="8">
        <v>8061</v>
      </c>
      <c r="H7647" s="8">
        <v>2865</v>
      </c>
      <c r="I7647" s="8">
        <v>4514</v>
      </c>
    </row>
    <row r="7648" spans="1:9" x14ac:dyDescent="0.2">
      <c r="A7648" t="s">
        <v>1604</v>
      </c>
      <c r="B7648" t="s">
        <v>1630</v>
      </c>
      <c r="C7648" t="str">
        <f t="shared" si="381"/>
        <v>43694500000000</v>
      </c>
      <c r="D7648" t="s">
        <v>1894</v>
      </c>
      <c r="E7648" t="str">
        <f>"43694506047195"</f>
        <v>43694506047195</v>
      </c>
      <c r="F7648" s="8">
        <v>677</v>
      </c>
      <c r="G7648" s="8">
        <v>7694</v>
      </c>
      <c r="H7648" s="8">
        <v>2865</v>
      </c>
      <c r="I7648" s="8">
        <v>4514</v>
      </c>
    </row>
    <row r="7649" spans="1:9" x14ac:dyDescent="0.2">
      <c r="A7649" t="s">
        <v>1604</v>
      </c>
      <c r="B7649" t="s">
        <v>1630</v>
      </c>
      <c r="C7649" t="str">
        <f t="shared" si="381"/>
        <v>43694500000000</v>
      </c>
      <c r="D7649" t="s">
        <v>8582</v>
      </c>
      <c r="E7649" t="str">
        <f>"43694506047203"</f>
        <v>43694506047203</v>
      </c>
      <c r="F7649" s="8">
        <v>612</v>
      </c>
      <c r="G7649" s="8">
        <v>7658</v>
      </c>
      <c r="H7649" s="8">
        <v>2865</v>
      </c>
      <c r="I7649" s="8">
        <v>4514</v>
      </c>
    </row>
    <row r="7650" spans="1:9" x14ac:dyDescent="0.2">
      <c r="A7650" t="s">
        <v>1604</v>
      </c>
      <c r="B7650" t="s">
        <v>1630</v>
      </c>
      <c r="C7650" t="str">
        <f t="shared" si="381"/>
        <v>43694500000000</v>
      </c>
      <c r="D7650" t="s">
        <v>8583</v>
      </c>
      <c r="E7650" t="str">
        <f>"43694506047211"</f>
        <v>43694506047211</v>
      </c>
      <c r="F7650" s="8">
        <v>1031</v>
      </c>
      <c r="G7650" s="8">
        <v>7199</v>
      </c>
      <c r="H7650" s="8">
        <v>2865</v>
      </c>
      <c r="I7650" s="8">
        <v>4514</v>
      </c>
    </row>
    <row r="7651" spans="1:9" x14ac:dyDescent="0.2">
      <c r="A7651" t="s">
        <v>1604</v>
      </c>
      <c r="B7651" t="s">
        <v>1630</v>
      </c>
      <c r="C7651" t="str">
        <f t="shared" si="381"/>
        <v>43694500000000</v>
      </c>
      <c r="D7651" t="s">
        <v>8584</v>
      </c>
      <c r="E7651" t="str">
        <f>"43694506115943"</f>
        <v>43694506115943</v>
      </c>
      <c r="F7651" s="8">
        <v>664</v>
      </c>
      <c r="G7651" s="8">
        <v>7438</v>
      </c>
      <c r="H7651" s="8">
        <v>2865</v>
      </c>
      <c r="I7651" s="8">
        <v>4514</v>
      </c>
    </row>
    <row r="7652" spans="1:9" x14ac:dyDescent="0.2">
      <c r="A7652" t="s">
        <v>1604</v>
      </c>
      <c r="B7652" t="s">
        <v>1630</v>
      </c>
      <c r="C7652" t="str">
        <f t="shared" si="381"/>
        <v>43694500000000</v>
      </c>
      <c r="D7652" t="s">
        <v>8585</v>
      </c>
      <c r="E7652" t="str">
        <f>"43694506109433"</f>
        <v>43694506109433</v>
      </c>
      <c r="F7652" s="8">
        <v>757</v>
      </c>
      <c r="G7652" s="8">
        <v>7317</v>
      </c>
      <c r="H7652" s="8">
        <v>2865</v>
      </c>
      <c r="I7652" s="8">
        <v>4514</v>
      </c>
    </row>
    <row r="7653" spans="1:9" x14ac:dyDescent="0.2">
      <c r="A7653" t="s">
        <v>1604</v>
      </c>
      <c r="B7653" t="s">
        <v>1631</v>
      </c>
      <c r="C7653" t="str">
        <f t="shared" ref="C7653:C7658" si="382">"43694680000000"</f>
        <v>43694680000000</v>
      </c>
      <c r="D7653" t="s">
        <v>2248</v>
      </c>
      <c r="E7653" t="str">
        <f>"43694684330569"</f>
        <v>43694684330569</v>
      </c>
      <c r="F7653" s="8">
        <v>293</v>
      </c>
      <c r="G7653" s="8">
        <v>83785</v>
      </c>
      <c r="H7653" s="8">
        <v>416</v>
      </c>
      <c r="I7653" s="8">
        <v>4379</v>
      </c>
    </row>
    <row r="7654" spans="1:9" x14ac:dyDescent="0.2">
      <c r="A7654" t="s">
        <v>1604</v>
      </c>
      <c r="B7654" t="s">
        <v>1631</v>
      </c>
      <c r="C7654" t="str">
        <f t="shared" si="382"/>
        <v>43694680000000</v>
      </c>
      <c r="D7654" t="s">
        <v>2272</v>
      </c>
      <c r="E7654" t="str">
        <f>"43694684332474"</f>
        <v>43694684332474</v>
      </c>
      <c r="F7654" s="8">
        <v>293</v>
      </c>
      <c r="G7654" s="8">
        <v>11865</v>
      </c>
      <c r="H7654" s="8">
        <v>416</v>
      </c>
      <c r="I7654" s="8">
        <v>4379</v>
      </c>
    </row>
    <row r="7655" spans="1:9" x14ac:dyDescent="0.2">
      <c r="A7655" t="s">
        <v>1604</v>
      </c>
      <c r="B7655" t="s">
        <v>1631</v>
      </c>
      <c r="C7655" t="str">
        <f t="shared" si="382"/>
        <v>43694680000000</v>
      </c>
      <c r="D7655" t="s">
        <v>8586</v>
      </c>
      <c r="E7655" t="str">
        <f>"43694684331799"</f>
        <v>43694684331799</v>
      </c>
      <c r="F7655" s="8">
        <v>182</v>
      </c>
      <c r="G7655" s="8">
        <v>11624</v>
      </c>
      <c r="H7655" s="8">
        <v>416</v>
      </c>
      <c r="I7655" s="8">
        <v>4379</v>
      </c>
    </row>
    <row r="7656" spans="1:9" x14ac:dyDescent="0.2">
      <c r="A7656" t="s">
        <v>1604</v>
      </c>
      <c r="B7656" t="s">
        <v>1631</v>
      </c>
      <c r="C7656" t="str">
        <f t="shared" si="382"/>
        <v>43694680000000</v>
      </c>
      <c r="D7656" t="s">
        <v>8587</v>
      </c>
      <c r="E7656" t="str">
        <f>"43694684334421"</f>
        <v>43694684334421</v>
      </c>
      <c r="F7656" s="8">
        <v>247</v>
      </c>
      <c r="G7656" s="8">
        <v>11325</v>
      </c>
      <c r="H7656" s="8">
        <v>416</v>
      </c>
      <c r="I7656" s="8">
        <v>4379</v>
      </c>
    </row>
    <row r="7657" spans="1:9" x14ac:dyDescent="0.2">
      <c r="A7657" t="s">
        <v>1604</v>
      </c>
      <c r="B7657" t="s">
        <v>1631</v>
      </c>
      <c r="C7657" t="str">
        <f t="shared" si="382"/>
        <v>43694680000000</v>
      </c>
      <c r="D7657" t="s">
        <v>8588</v>
      </c>
      <c r="E7657" t="str">
        <f>"43694684334462"</f>
        <v>43694684334462</v>
      </c>
      <c r="F7657" s="8">
        <v>206</v>
      </c>
      <c r="G7657" s="8">
        <v>11351</v>
      </c>
      <c r="H7657" s="8">
        <v>416</v>
      </c>
      <c r="I7657" s="8">
        <v>4379</v>
      </c>
    </row>
    <row r="7658" spans="1:9" x14ac:dyDescent="0.2">
      <c r="A7658" t="s">
        <v>1604</v>
      </c>
      <c r="B7658" t="s">
        <v>1631</v>
      </c>
      <c r="C7658" t="str">
        <f t="shared" si="382"/>
        <v>43694680000000</v>
      </c>
      <c r="D7658" t="s">
        <v>8589</v>
      </c>
      <c r="E7658" t="str">
        <f>"43694684333316"</f>
        <v>43694684333316</v>
      </c>
      <c r="F7658" s="8">
        <v>306</v>
      </c>
      <c r="G7658" s="8">
        <v>10878</v>
      </c>
      <c r="H7658" s="8">
        <v>416</v>
      </c>
      <c r="I7658" s="8">
        <v>4379</v>
      </c>
    </row>
    <row r="7659" spans="1:9" x14ac:dyDescent="0.2">
      <c r="A7659" t="s">
        <v>1604</v>
      </c>
      <c r="B7659" t="s">
        <v>1633</v>
      </c>
      <c r="C7659" t="str">
        <f t="shared" ref="C7659:C7672" si="383">"43694840000000"</f>
        <v>43694840000000</v>
      </c>
      <c r="D7659" t="s">
        <v>8590</v>
      </c>
      <c r="E7659" t="str">
        <f>"43694846098214"</f>
        <v>43694846098214</v>
      </c>
      <c r="F7659" s="8">
        <v>674</v>
      </c>
      <c r="G7659" s="8">
        <v>5294</v>
      </c>
      <c r="H7659" s="8">
        <v>1171</v>
      </c>
      <c r="I7659" s="8">
        <v>9752</v>
      </c>
    </row>
    <row r="7660" spans="1:9" x14ac:dyDescent="0.2">
      <c r="A7660" t="s">
        <v>1604</v>
      </c>
      <c r="B7660" t="s">
        <v>1633</v>
      </c>
      <c r="C7660" t="str">
        <f t="shared" si="383"/>
        <v>43694840000000</v>
      </c>
      <c r="D7660" t="s">
        <v>8591</v>
      </c>
      <c r="E7660" t="str">
        <f>"43694844334850"</f>
        <v>43694844334850</v>
      </c>
      <c r="F7660" s="8">
        <v>166</v>
      </c>
      <c r="G7660" s="8">
        <v>9833</v>
      </c>
      <c r="H7660" s="8">
        <v>1171</v>
      </c>
      <c r="I7660" s="8">
        <v>4522</v>
      </c>
    </row>
    <row r="7661" spans="1:9" x14ac:dyDescent="0.2">
      <c r="A7661" t="s">
        <v>1604</v>
      </c>
      <c r="B7661" t="s">
        <v>1633</v>
      </c>
      <c r="C7661" t="str">
        <f t="shared" si="383"/>
        <v>43694840000000</v>
      </c>
      <c r="D7661" t="s">
        <v>7546</v>
      </c>
      <c r="E7661" t="str">
        <f>"43694846047310"</f>
        <v>43694846047310</v>
      </c>
      <c r="F7661" s="8">
        <v>734</v>
      </c>
      <c r="G7661" s="8">
        <v>8340</v>
      </c>
      <c r="H7661" s="8">
        <v>1171</v>
      </c>
      <c r="I7661" s="8">
        <v>4522</v>
      </c>
    </row>
    <row r="7662" spans="1:9" x14ac:dyDescent="0.2">
      <c r="A7662" t="s">
        <v>1604</v>
      </c>
      <c r="B7662" t="s">
        <v>1633</v>
      </c>
      <c r="C7662" t="str">
        <f t="shared" si="383"/>
        <v>43694840000000</v>
      </c>
      <c r="D7662" t="s">
        <v>8592</v>
      </c>
      <c r="E7662" t="str">
        <f>"43694846047294"</f>
        <v>43694846047294</v>
      </c>
      <c r="F7662" s="8">
        <v>602</v>
      </c>
      <c r="G7662" s="8">
        <v>7795</v>
      </c>
      <c r="H7662" s="8">
        <v>1171</v>
      </c>
      <c r="I7662" s="8">
        <v>4522</v>
      </c>
    </row>
    <row r="7663" spans="1:9" x14ac:dyDescent="0.2">
      <c r="A7663" t="s">
        <v>1604</v>
      </c>
      <c r="B7663" t="s">
        <v>1633</v>
      </c>
      <c r="C7663" t="str">
        <f t="shared" si="383"/>
        <v>43694840000000</v>
      </c>
      <c r="D7663" t="s">
        <v>8593</v>
      </c>
      <c r="E7663" t="str">
        <f>"43694846106991"</f>
        <v>43694846106991</v>
      </c>
      <c r="F7663" s="8">
        <v>623</v>
      </c>
      <c r="G7663" s="8">
        <v>7054</v>
      </c>
      <c r="H7663" s="8">
        <v>1171</v>
      </c>
      <c r="I7663" s="8">
        <v>4522</v>
      </c>
    </row>
    <row r="7664" spans="1:9" x14ac:dyDescent="0.2">
      <c r="A7664" t="s">
        <v>1604</v>
      </c>
      <c r="B7664" t="s">
        <v>1633</v>
      </c>
      <c r="C7664" t="str">
        <f t="shared" si="383"/>
        <v>43694840000000</v>
      </c>
      <c r="D7664" t="s">
        <v>8594</v>
      </c>
      <c r="E7664" t="str">
        <f>"43694840118380"</f>
        <v>43694840118380</v>
      </c>
      <c r="F7664" s="8">
        <v>516</v>
      </c>
      <c r="G7664" s="8">
        <v>6982</v>
      </c>
      <c r="H7664" s="8">
        <v>1171</v>
      </c>
      <c r="I7664" s="8">
        <v>4522</v>
      </c>
    </row>
    <row r="7665" spans="1:9" x14ac:dyDescent="0.2">
      <c r="A7665" t="s">
        <v>1604</v>
      </c>
      <c r="B7665" t="s">
        <v>1633</v>
      </c>
      <c r="C7665" t="str">
        <f t="shared" si="383"/>
        <v>43694840000000</v>
      </c>
      <c r="D7665" t="s">
        <v>8595</v>
      </c>
      <c r="E7665" t="str">
        <f>"43694846111785"</f>
        <v>43694846111785</v>
      </c>
      <c r="F7665" s="8">
        <v>320</v>
      </c>
      <c r="G7665" s="8">
        <v>6726</v>
      </c>
      <c r="H7665" s="8">
        <v>1171</v>
      </c>
      <c r="I7665" s="8">
        <v>4522</v>
      </c>
    </row>
    <row r="7666" spans="1:9" x14ac:dyDescent="0.2">
      <c r="A7666" t="s">
        <v>1604</v>
      </c>
      <c r="B7666" t="s">
        <v>1633</v>
      </c>
      <c r="C7666" t="str">
        <f t="shared" si="383"/>
        <v>43694840000000</v>
      </c>
      <c r="D7666" t="s">
        <v>8596</v>
      </c>
      <c r="E7666" t="str">
        <f>"43694840100990"</f>
        <v>43694840100990</v>
      </c>
      <c r="F7666" s="8">
        <v>810</v>
      </c>
      <c r="G7666" s="8">
        <v>6065</v>
      </c>
      <c r="H7666" s="8">
        <v>1171</v>
      </c>
      <c r="I7666" s="8">
        <v>4522</v>
      </c>
    </row>
    <row r="7667" spans="1:9" x14ac:dyDescent="0.2">
      <c r="A7667" t="s">
        <v>1604</v>
      </c>
      <c r="B7667" t="s">
        <v>1633</v>
      </c>
      <c r="C7667" t="str">
        <f t="shared" si="383"/>
        <v>43694840000000</v>
      </c>
      <c r="D7667" t="s">
        <v>8597</v>
      </c>
      <c r="E7667" t="str">
        <f>"43694846047286"</f>
        <v>43694846047286</v>
      </c>
      <c r="F7667" s="8">
        <v>205</v>
      </c>
      <c r="G7667" s="8">
        <v>6603</v>
      </c>
      <c r="H7667" s="8">
        <v>1171</v>
      </c>
      <c r="I7667" s="8">
        <v>4522</v>
      </c>
    </row>
    <row r="7668" spans="1:9" x14ac:dyDescent="0.2">
      <c r="A7668" t="s">
        <v>1604</v>
      </c>
      <c r="B7668" t="s">
        <v>1633</v>
      </c>
      <c r="C7668" t="str">
        <f t="shared" si="383"/>
        <v>43694840000000</v>
      </c>
      <c r="D7668" t="s">
        <v>8598</v>
      </c>
      <c r="E7668" t="str">
        <f>"43694844332839"</f>
        <v>43694844332839</v>
      </c>
      <c r="F7668" s="8">
        <v>536</v>
      </c>
      <c r="G7668" s="8">
        <v>6117</v>
      </c>
      <c r="H7668" s="8">
        <v>1088</v>
      </c>
      <c r="I7668" s="8">
        <v>4606</v>
      </c>
    </row>
    <row r="7669" spans="1:9" x14ac:dyDescent="0.2">
      <c r="A7669" t="s">
        <v>1604</v>
      </c>
      <c r="B7669" t="s">
        <v>1633</v>
      </c>
      <c r="C7669" t="str">
        <f t="shared" si="383"/>
        <v>43694840000000</v>
      </c>
      <c r="D7669" t="s">
        <v>8599</v>
      </c>
      <c r="E7669" t="str">
        <f>"43694840114496"</f>
        <v>43694840114496</v>
      </c>
      <c r="F7669" s="8">
        <v>158</v>
      </c>
      <c r="G7669" s="8">
        <v>6473</v>
      </c>
      <c r="H7669" s="8">
        <v>1171</v>
      </c>
      <c r="I7669" s="8">
        <v>4522</v>
      </c>
    </row>
    <row r="7670" spans="1:9" x14ac:dyDescent="0.2">
      <c r="A7670" t="s">
        <v>1604</v>
      </c>
      <c r="B7670" t="s">
        <v>1633</v>
      </c>
      <c r="C7670" t="str">
        <f t="shared" si="383"/>
        <v>43694840000000</v>
      </c>
      <c r="D7670" t="s">
        <v>8600</v>
      </c>
      <c r="E7670" t="str">
        <f>"43694846047302"</f>
        <v>43694846047302</v>
      </c>
      <c r="F7670" s="8">
        <v>766</v>
      </c>
      <c r="G7670" s="8">
        <v>4184</v>
      </c>
      <c r="H7670" s="8">
        <v>1171</v>
      </c>
      <c r="I7670" s="8">
        <v>4522</v>
      </c>
    </row>
    <row r="7671" spans="1:9" x14ac:dyDescent="0.2">
      <c r="A7671" t="s">
        <v>1604</v>
      </c>
      <c r="B7671" t="s">
        <v>1633</v>
      </c>
      <c r="C7671" t="str">
        <f t="shared" si="383"/>
        <v>43694840000000</v>
      </c>
      <c r="D7671" t="s">
        <v>8601</v>
      </c>
      <c r="E7671" t="str">
        <f>"43694846047336"</f>
        <v>43694846047336</v>
      </c>
      <c r="F7671" s="8">
        <v>579</v>
      </c>
      <c r="G7671" s="8">
        <v>4203</v>
      </c>
      <c r="H7671" s="8">
        <v>1171</v>
      </c>
      <c r="I7671" s="8">
        <v>4522</v>
      </c>
    </row>
    <row r="7672" spans="1:9" x14ac:dyDescent="0.2">
      <c r="A7672" t="s">
        <v>1604</v>
      </c>
      <c r="B7672" t="s">
        <v>1633</v>
      </c>
      <c r="C7672" t="str">
        <f t="shared" si="383"/>
        <v>43694840000000</v>
      </c>
      <c r="D7672" t="s">
        <v>8602</v>
      </c>
      <c r="E7672" t="str">
        <f>"43694846047328"</f>
        <v>43694846047328</v>
      </c>
      <c r="F7672" s="8">
        <v>596</v>
      </c>
      <c r="G7672" s="8">
        <v>4012</v>
      </c>
      <c r="H7672" s="8">
        <v>1171</v>
      </c>
      <c r="I7672" s="8">
        <v>4522</v>
      </c>
    </row>
    <row r="7673" spans="1:9" x14ac:dyDescent="0.2">
      <c r="A7673" t="s">
        <v>1604</v>
      </c>
      <c r="B7673" t="s">
        <v>1639</v>
      </c>
      <c r="C7673" t="str">
        <f>"43694920000000"</f>
        <v>43694920000000</v>
      </c>
      <c r="D7673" t="s">
        <v>3464</v>
      </c>
      <c r="E7673" t="str">
        <f>"43694926047351"</f>
        <v>43694926047351</v>
      </c>
      <c r="F7673" s="8">
        <v>1247</v>
      </c>
      <c r="G7673" s="8">
        <v>29544</v>
      </c>
      <c r="H7673" s="8">
        <v>0</v>
      </c>
      <c r="I7673" s="8">
        <v>0</v>
      </c>
    </row>
    <row r="7674" spans="1:9" x14ac:dyDescent="0.2">
      <c r="A7674" t="s">
        <v>1604</v>
      </c>
      <c r="B7674" t="s">
        <v>1641</v>
      </c>
      <c r="C7674" t="str">
        <f>"43695000000000"</f>
        <v>43695000000000</v>
      </c>
      <c r="D7674" t="s">
        <v>8603</v>
      </c>
      <c r="E7674" t="str">
        <f>"43695006047369"</f>
        <v>43695006047369</v>
      </c>
      <c r="F7674" s="8">
        <v>189</v>
      </c>
      <c r="G7674" s="8">
        <v>8173</v>
      </c>
      <c r="H7674" s="8">
        <v>740</v>
      </c>
      <c r="I7674" s="8">
        <v>7584</v>
      </c>
    </row>
    <row r="7675" spans="1:9" x14ac:dyDescent="0.2">
      <c r="A7675" t="s">
        <v>1604</v>
      </c>
      <c r="B7675" t="s">
        <v>1641</v>
      </c>
      <c r="C7675" t="str">
        <f>"43695000000000"</f>
        <v>43695000000000</v>
      </c>
      <c r="D7675" t="s">
        <v>8604</v>
      </c>
      <c r="E7675" t="str">
        <f>"43695006093058"</f>
        <v>43695006093058</v>
      </c>
      <c r="F7675" s="8">
        <v>25</v>
      </c>
      <c r="G7675" s="8">
        <v>8158</v>
      </c>
      <c r="H7675" s="8">
        <v>740</v>
      </c>
      <c r="I7675" s="8">
        <v>7584</v>
      </c>
    </row>
    <row r="7676" spans="1:9" x14ac:dyDescent="0.2">
      <c r="A7676" t="s">
        <v>1604</v>
      </c>
      <c r="B7676" t="s">
        <v>1642</v>
      </c>
      <c r="C7676" t="str">
        <f t="shared" ref="C7676:C7685" si="384">"43695180000000"</f>
        <v>43695180000000</v>
      </c>
      <c r="D7676" t="s">
        <v>8605</v>
      </c>
      <c r="E7676" t="str">
        <f>"43695186047385"</f>
        <v>43695186047385</v>
      </c>
      <c r="F7676" s="8">
        <v>1032</v>
      </c>
      <c r="G7676" s="8">
        <v>11556</v>
      </c>
      <c r="H7676" s="8">
        <v>826</v>
      </c>
      <c r="I7676" s="8">
        <v>11074</v>
      </c>
    </row>
    <row r="7677" spans="1:9" x14ac:dyDescent="0.2">
      <c r="A7677" t="s">
        <v>1604</v>
      </c>
      <c r="B7677" t="s">
        <v>1642</v>
      </c>
      <c r="C7677" t="str">
        <f t="shared" si="384"/>
        <v>43695180000000</v>
      </c>
      <c r="D7677" t="s">
        <v>5611</v>
      </c>
      <c r="E7677" t="str">
        <f>"43695186047492"</f>
        <v>43695186047492</v>
      </c>
      <c r="F7677" s="8">
        <v>2404</v>
      </c>
      <c r="G7677" s="8">
        <v>11243</v>
      </c>
      <c r="H7677" s="8">
        <v>633</v>
      </c>
      <c r="I7677" s="8">
        <v>8478</v>
      </c>
    </row>
    <row r="7678" spans="1:9" x14ac:dyDescent="0.2">
      <c r="A7678" t="s">
        <v>1604</v>
      </c>
      <c r="B7678" t="s">
        <v>1642</v>
      </c>
      <c r="C7678" t="str">
        <f t="shared" si="384"/>
        <v>43695180000000</v>
      </c>
      <c r="D7678" t="s">
        <v>8606</v>
      </c>
      <c r="E7678" t="str">
        <f>"43695186047450"</f>
        <v>43695186047450</v>
      </c>
      <c r="F7678" s="8">
        <v>1993</v>
      </c>
      <c r="G7678" s="8">
        <v>10334</v>
      </c>
      <c r="H7678" s="8">
        <v>633</v>
      </c>
      <c r="I7678" s="8">
        <v>8478</v>
      </c>
    </row>
    <row r="7679" spans="1:9" x14ac:dyDescent="0.2">
      <c r="A7679" t="s">
        <v>1604</v>
      </c>
      <c r="B7679" t="s">
        <v>1642</v>
      </c>
      <c r="C7679" t="str">
        <f t="shared" si="384"/>
        <v>43695180000000</v>
      </c>
      <c r="D7679" t="s">
        <v>8607</v>
      </c>
      <c r="E7679" t="str">
        <f>"43695186047435"</f>
        <v>43695186047435</v>
      </c>
      <c r="F7679" s="8">
        <v>1358</v>
      </c>
      <c r="G7679" s="8">
        <v>10352</v>
      </c>
      <c r="H7679" s="8">
        <v>633</v>
      </c>
      <c r="I7679" s="8">
        <v>8478</v>
      </c>
    </row>
    <row r="7680" spans="1:9" x14ac:dyDescent="0.2">
      <c r="A7680" t="s">
        <v>1604</v>
      </c>
      <c r="B7680" t="s">
        <v>1642</v>
      </c>
      <c r="C7680" t="str">
        <f t="shared" si="384"/>
        <v>43695180000000</v>
      </c>
      <c r="D7680" t="s">
        <v>8608</v>
      </c>
      <c r="E7680" t="str">
        <f>"43695186047401"</f>
        <v>43695186047401</v>
      </c>
      <c r="F7680" s="8">
        <v>1618</v>
      </c>
      <c r="G7680" s="8">
        <v>9769</v>
      </c>
      <c r="H7680" s="8">
        <v>633</v>
      </c>
      <c r="I7680" s="8">
        <v>8478</v>
      </c>
    </row>
    <row r="7681" spans="1:9" x14ac:dyDescent="0.2">
      <c r="A7681" t="s">
        <v>1604</v>
      </c>
      <c r="B7681" t="s">
        <v>1642</v>
      </c>
      <c r="C7681" t="str">
        <f t="shared" si="384"/>
        <v>43695180000000</v>
      </c>
      <c r="D7681" t="s">
        <v>5548</v>
      </c>
      <c r="E7681" t="str">
        <f>"43695186047468"</f>
        <v>43695186047468</v>
      </c>
      <c r="F7681" s="8">
        <v>694</v>
      </c>
      <c r="G7681" s="8">
        <v>10483</v>
      </c>
      <c r="H7681" s="8">
        <v>633</v>
      </c>
      <c r="I7681" s="8">
        <v>8478</v>
      </c>
    </row>
    <row r="7682" spans="1:9" x14ac:dyDescent="0.2">
      <c r="A7682" t="s">
        <v>1604</v>
      </c>
      <c r="B7682" t="s">
        <v>1642</v>
      </c>
      <c r="C7682" t="str">
        <f t="shared" si="384"/>
        <v>43695180000000</v>
      </c>
      <c r="D7682" t="s">
        <v>8609</v>
      </c>
      <c r="E7682" t="str">
        <f>"43695186047500"</f>
        <v>43695186047500</v>
      </c>
      <c r="F7682" s="8">
        <v>853</v>
      </c>
      <c r="G7682" s="8">
        <v>10027</v>
      </c>
      <c r="H7682" s="8">
        <v>633</v>
      </c>
      <c r="I7682" s="8">
        <v>8478</v>
      </c>
    </row>
    <row r="7683" spans="1:9" x14ac:dyDescent="0.2">
      <c r="A7683" t="s">
        <v>1604</v>
      </c>
      <c r="B7683" t="s">
        <v>1642</v>
      </c>
      <c r="C7683" t="str">
        <f t="shared" si="384"/>
        <v>43695180000000</v>
      </c>
      <c r="D7683" t="s">
        <v>8610</v>
      </c>
      <c r="E7683" t="str">
        <f>"43695186047427"</f>
        <v>43695186047427</v>
      </c>
      <c r="F7683" s="8">
        <v>492</v>
      </c>
      <c r="G7683" s="8">
        <v>9968</v>
      </c>
      <c r="H7683" s="8">
        <v>633</v>
      </c>
      <c r="I7683" s="8">
        <v>8478</v>
      </c>
    </row>
    <row r="7684" spans="1:9" x14ac:dyDescent="0.2">
      <c r="A7684" t="s">
        <v>1604</v>
      </c>
      <c r="B7684" t="s">
        <v>1642</v>
      </c>
      <c r="C7684" t="str">
        <f t="shared" si="384"/>
        <v>43695180000000</v>
      </c>
      <c r="D7684" t="s">
        <v>7188</v>
      </c>
      <c r="E7684" t="str">
        <f>"43695186047377"</f>
        <v>43695186047377</v>
      </c>
      <c r="F7684" s="8">
        <v>677</v>
      </c>
      <c r="G7684" s="8">
        <v>9537</v>
      </c>
      <c r="H7684" s="8">
        <v>633</v>
      </c>
      <c r="I7684" s="8">
        <v>8478</v>
      </c>
    </row>
    <row r="7685" spans="1:9" x14ac:dyDescent="0.2">
      <c r="A7685" t="s">
        <v>1604</v>
      </c>
      <c r="B7685" t="s">
        <v>1642</v>
      </c>
      <c r="C7685" t="str">
        <f t="shared" si="384"/>
        <v>43695180000000</v>
      </c>
      <c r="D7685" t="s">
        <v>8611</v>
      </c>
      <c r="E7685" t="str">
        <f>"43695180140251"</f>
        <v>43695180140251</v>
      </c>
      <c r="F7685" s="8">
        <v>0</v>
      </c>
      <c r="G7685" s="8">
        <v>32</v>
      </c>
      <c r="H7685" s="8">
        <v>633</v>
      </c>
      <c r="I7685" s="8">
        <v>8478</v>
      </c>
    </row>
    <row r="7686" spans="1:9" x14ac:dyDescent="0.2">
      <c r="A7686" t="s">
        <v>1604</v>
      </c>
      <c r="B7686" t="s">
        <v>1643</v>
      </c>
      <c r="C7686" t="str">
        <f>"43695260000000"</f>
        <v>43695260000000</v>
      </c>
      <c r="D7686" t="s">
        <v>5021</v>
      </c>
      <c r="E7686" t="str">
        <f>"43695266047534"</f>
        <v>43695266047534</v>
      </c>
      <c r="F7686" s="8">
        <v>0</v>
      </c>
      <c r="G7686" s="8">
        <v>17535</v>
      </c>
      <c r="H7686" s="8">
        <v>217</v>
      </c>
      <c r="I7686" s="8">
        <v>4044</v>
      </c>
    </row>
    <row r="7687" spans="1:9" x14ac:dyDescent="0.2">
      <c r="A7687" t="s">
        <v>1604</v>
      </c>
      <c r="B7687" t="s">
        <v>1643</v>
      </c>
      <c r="C7687" t="str">
        <f>"43695260000000"</f>
        <v>43695260000000</v>
      </c>
      <c r="D7687" t="s">
        <v>8612</v>
      </c>
      <c r="E7687" t="str">
        <f>"43695266047542"</f>
        <v>43695266047542</v>
      </c>
      <c r="F7687" s="8">
        <v>0</v>
      </c>
      <c r="G7687" s="8">
        <v>14798</v>
      </c>
      <c r="H7687" s="8">
        <v>217</v>
      </c>
      <c r="I7687" s="8">
        <v>2492</v>
      </c>
    </row>
    <row r="7688" spans="1:9" x14ac:dyDescent="0.2">
      <c r="A7688" t="s">
        <v>1604</v>
      </c>
      <c r="B7688" t="s">
        <v>1643</v>
      </c>
      <c r="C7688" t="str">
        <f>"43695260000000"</f>
        <v>43695260000000</v>
      </c>
      <c r="D7688" t="s">
        <v>8613</v>
      </c>
      <c r="E7688" t="str">
        <f>"43695266047526"</f>
        <v>43695266047526</v>
      </c>
      <c r="F7688" s="8">
        <v>0</v>
      </c>
      <c r="G7688" s="8">
        <v>13022</v>
      </c>
      <c r="H7688" s="8">
        <v>217</v>
      </c>
      <c r="I7688" s="8">
        <v>3156</v>
      </c>
    </row>
    <row r="7689" spans="1:9" x14ac:dyDescent="0.2">
      <c r="A7689" t="s">
        <v>1604</v>
      </c>
      <c r="B7689" t="s">
        <v>1643</v>
      </c>
      <c r="C7689" t="str">
        <f>"43695260000000"</f>
        <v>43695260000000</v>
      </c>
      <c r="D7689" t="s">
        <v>8614</v>
      </c>
      <c r="E7689" t="str">
        <f>"43695266047518"</f>
        <v>43695266047518</v>
      </c>
      <c r="F7689" s="8">
        <v>0</v>
      </c>
      <c r="G7689" s="8">
        <v>12171</v>
      </c>
      <c r="H7689" s="8">
        <v>217</v>
      </c>
      <c r="I7689" s="8">
        <v>3096</v>
      </c>
    </row>
    <row r="7690" spans="1:9" x14ac:dyDescent="0.2">
      <c r="A7690" t="s">
        <v>1604</v>
      </c>
      <c r="B7690" t="s">
        <v>1643</v>
      </c>
      <c r="C7690" t="str">
        <f>"43695260000000"</f>
        <v>43695260000000</v>
      </c>
      <c r="D7690" t="s">
        <v>8615</v>
      </c>
      <c r="E7690" t="str">
        <f>"43695266047567"</f>
        <v>43695266047567</v>
      </c>
      <c r="F7690" s="8">
        <v>0</v>
      </c>
      <c r="G7690" s="8">
        <v>12240</v>
      </c>
      <c r="H7690" s="8">
        <v>217</v>
      </c>
      <c r="I7690" s="8">
        <v>2947</v>
      </c>
    </row>
    <row r="7691" spans="1:9" x14ac:dyDescent="0.2">
      <c r="A7691" t="s">
        <v>1604</v>
      </c>
      <c r="B7691" t="s">
        <v>1644</v>
      </c>
      <c r="C7691" t="str">
        <f>"43695340000000"</f>
        <v>43695340000000</v>
      </c>
      <c r="D7691" t="s">
        <v>8616</v>
      </c>
      <c r="E7691" t="str">
        <f>"43695344337762"</f>
        <v>43695344337762</v>
      </c>
      <c r="F7691" s="8">
        <v>481</v>
      </c>
      <c r="G7691" s="8">
        <v>14185</v>
      </c>
      <c r="H7691" s="8">
        <v>198</v>
      </c>
      <c r="I7691" s="8">
        <v>2826</v>
      </c>
    </row>
    <row r="7692" spans="1:9" x14ac:dyDescent="0.2">
      <c r="A7692" t="s">
        <v>1604</v>
      </c>
      <c r="B7692" t="s">
        <v>1644</v>
      </c>
      <c r="C7692" t="str">
        <f>"43695340000000"</f>
        <v>43695340000000</v>
      </c>
      <c r="D7692" t="s">
        <v>8617</v>
      </c>
      <c r="E7692" t="str">
        <f>"43695344334371"</f>
        <v>43695344334371</v>
      </c>
      <c r="F7692" s="8">
        <v>222</v>
      </c>
      <c r="G7692" s="8">
        <v>11021</v>
      </c>
      <c r="H7692" s="8">
        <v>198</v>
      </c>
      <c r="I7692" s="8">
        <v>2826</v>
      </c>
    </row>
    <row r="7693" spans="1:9" x14ac:dyDescent="0.2">
      <c r="A7693" t="s">
        <v>1604</v>
      </c>
      <c r="B7693" t="s">
        <v>1646</v>
      </c>
      <c r="C7693" t="str">
        <f>"43695420000000"</f>
        <v>43695420000000</v>
      </c>
      <c r="D7693" t="s">
        <v>5474</v>
      </c>
      <c r="E7693" t="str">
        <f>"43695426047575"</f>
        <v>43695426047575</v>
      </c>
      <c r="F7693" s="8">
        <v>3475</v>
      </c>
      <c r="G7693" s="8">
        <v>11547</v>
      </c>
      <c r="H7693" s="8">
        <v>0</v>
      </c>
      <c r="I7693" s="8">
        <v>0</v>
      </c>
    </row>
    <row r="7694" spans="1:9" x14ac:dyDescent="0.2">
      <c r="A7694" t="s">
        <v>1604</v>
      </c>
      <c r="B7694" t="s">
        <v>1647</v>
      </c>
      <c r="C7694" t="str">
        <f>"43742940000000"</f>
        <v>43742940000000</v>
      </c>
      <c r="D7694" t="s">
        <v>8618</v>
      </c>
      <c r="E7694" t="str">
        <f>"43742944395018"</f>
        <v>43742944395018</v>
      </c>
      <c r="F7694" s="8" t="s">
        <v>30</v>
      </c>
      <c r="G7694" s="8" t="s">
        <v>30</v>
      </c>
      <c r="H7694" s="8" t="s">
        <v>30</v>
      </c>
      <c r="I7694" s="8" t="s">
        <v>30</v>
      </c>
    </row>
    <row r="7695" spans="1:9" x14ac:dyDescent="0.2">
      <c r="A7695" t="s">
        <v>1604</v>
      </c>
      <c r="B7695" t="s">
        <v>1648</v>
      </c>
      <c r="C7695" t="str">
        <f t="shared" ref="C7695:C7708" si="385">"43733870000000"</f>
        <v>43733870000000</v>
      </c>
      <c r="D7695" t="s">
        <v>8619</v>
      </c>
      <c r="E7695" t="str">
        <f>"43733874331039"</f>
        <v>43733874331039</v>
      </c>
      <c r="F7695" s="8">
        <v>2442</v>
      </c>
      <c r="G7695" s="8">
        <v>22075</v>
      </c>
      <c r="H7695" s="8">
        <v>689</v>
      </c>
      <c r="I7695" s="8">
        <v>3102</v>
      </c>
    </row>
    <row r="7696" spans="1:9" x14ac:dyDescent="0.2">
      <c r="A7696" t="s">
        <v>1604</v>
      </c>
      <c r="B7696" t="s">
        <v>1648</v>
      </c>
      <c r="C7696" t="str">
        <f t="shared" si="385"/>
        <v>43733870000000</v>
      </c>
      <c r="D7696" t="s">
        <v>8620</v>
      </c>
      <c r="E7696" t="str">
        <f>"43733876047674"</f>
        <v>43733876047674</v>
      </c>
      <c r="F7696" s="8">
        <v>697</v>
      </c>
      <c r="G7696" s="8">
        <v>8903</v>
      </c>
      <c r="H7696" s="8">
        <v>689</v>
      </c>
      <c r="I7696" s="8">
        <v>3102</v>
      </c>
    </row>
    <row r="7697" spans="1:9" x14ac:dyDescent="0.2">
      <c r="A7697" t="s">
        <v>1604</v>
      </c>
      <c r="B7697" t="s">
        <v>1648</v>
      </c>
      <c r="C7697" t="str">
        <f t="shared" si="385"/>
        <v>43733870000000</v>
      </c>
      <c r="D7697" t="s">
        <v>8621</v>
      </c>
      <c r="E7697" t="str">
        <f>"43733876047690"</f>
        <v>43733876047690</v>
      </c>
      <c r="F7697" s="8">
        <v>822</v>
      </c>
      <c r="G7697" s="8">
        <v>8356</v>
      </c>
      <c r="H7697" s="8">
        <v>689</v>
      </c>
      <c r="I7697" s="8">
        <v>3102</v>
      </c>
    </row>
    <row r="7698" spans="1:9" x14ac:dyDescent="0.2">
      <c r="A7698" t="s">
        <v>1604</v>
      </c>
      <c r="B7698" t="s">
        <v>1648</v>
      </c>
      <c r="C7698" t="str">
        <f t="shared" si="385"/>
        <v>43733870000000</v>
      </c>
      <c r="D7698" t="s">
        <v>8622</v>
      </c>
      <c r="E7698" t="str">
        <f>"43733876047666"</f>
        <v>43733876047666</v>
      </c>
      <c r="F7698" s="8">
        <v>596</v>
      </c>
      <c r="G7698" s="8">
        <v>8532</v>
      </c>
      <c r="H7698" s="8">
        <v>689</v>
      </c>
      <c r="I7698" s="8">
        <v>3102</v>
      </c>
    </row>
    <row r="7699" spans="1:9" x14ac:dyDescent="0.2">
      <c r="A7699" t="s">
        <v>1604</v>
      </c>
      <c r="B7699" t="s">
        <v>1648</v>
      </c>
      <c r="C7699" t="str">
        <f t="shared" si="385"/>
        <v>43733870000000</v>
      </c>
      <c r="D7699" t="s">
        <v>8623</v>
      </c>
      <c r="E7699" t="str">
        <f>"43733876047633"</f>
        <v>43733876047633</v>
      </c>
      <c r="F7699" s="8">
        <v>814</v>
      </c>
      <c r="G7699" s="8">
        <v>7894</v>
      </c>
      <c r="H7699" s="8">
        <v>689</v>
      </c>
      <c r="I7699" s="8">
        <v>3102</v>
      </c>
    </row>
    <row r="7700" spans="1:9" x14ac:dyDescent="0.2">
      <c r="A7700" t="s">
        <v>1604</v>
      </c>
      <c r="B7700" t="s">
        <v>1648</v>
      </c>
      <c r="C7700" t="str">
        <f t="shared" si="385"/>
        <v>43733870000000</v>
      </c>
      <c r="D7700" t="s">
        <v>8624</v>
      </c>
      <c r="E7700" t="str">
        <f>"43733876047583"</f>
        <v>43733876047583</v>
      </c>
      <c r="F7700" s="8">
        <v>691</v>
      </c>
      <c r="G7700" s="8">
        <v>7605</v>
      </c>
      <c r="H7700" s="8">
        <v>689</v>
      </c>
      <c r="I7700" s="8">
        <v>3102</v>
      </c>
    </row>
    <row r="7701" spans="1:9" x14ac:dyDescent="0.2">
      <c r="A7701" t="s">
        <v>1604</v>
      </c>
      <c r="B7701" t="s">
        <v>1648</v>
      </c>
      <c r="C7701" t="str">
        <f t="shared" si="385"/>
        <v>43733870000000</v>
      </c>
      <c r="D7701" t="s">
        <v>8625</v>
      </c>
      <c r="E7701" t="str">
        <f>"43733874334470"</f>
        <v>43733874334470</v>
      </c>
      <c r="F7701" s="8">
        <v>305</v>
      </c>
      <c r="G7701" s="8">
        <v>7805</v>
      </c>
      <c r="H7701" s="8">
        <v>689</v>
      </c>
      <c r="I7701" s="8">
        <v>3102</v>
      </c>
    </row>
    <row r="7702" spans="1:9" x14ac:dyDescent="0.2">
      <c r="A7702" t="s">
        <v>1604</v>
      </c>
      <c r="B7702" t="s">
        <v>1648</v>
      </c>
      <c r="C7702" t="str">
        <f t="shared" si="385"/>
        <v>43733870000000</v>
      </c>
      <c r="D7702" t="s">
        <v>8626</v>
      </c>
      <c r="E7702" t="str">
        <f>"43733876047682"</f>
        <v>43733876047682</v>
      </c>
      <c r="F7702" s="8">
        <v>330</v>
      </c>
      <c r="G7702" s="8">
        <v>7350</v>
      </c>
      <c r="H7702" s="8">
        <v>689</v>
      </c>
      <c r="I7702" s="8">
        <v>3102</v>
      </c>
    </row>
    <row r="7703" spans="1:9" x14ac:dyDescent="0.2">
      <c r="A7703" t="s">
        <v>1604</v>
      </c>
      <c r="B7703" t="s">
        <v>1648</v>
      </c>
      <c r="C7703" t="str">
        <f t="shared" si="385"/>
        <v>43733870000000</v>
      </c>
      <c r="D7703" t="s">
        <v>8627</v>
      </c>
      <c r="E7703" t="str">
        <f>"43733876047641"</f>
        <v>43733876047641</v>
      </c>
      <c r="F7703" s="8">
        <v>438</v>
      </c>
      <c r="G7703" s="8">
        <v>6942</v>
      </c>
      <c r="H7703" s="8">
        <v>689</v>
      </c>
      <c r="I7703" s="8">
        <v>3102</v>
      </c>
    </row>
    <row r="7704" spans="1:9" x14ac:dyDescent="0.2">
      <c r="A7704" t="s">
        <v>1604</v>
      </c>
      <c r="B7704" t="s">
        <v>1648</v>
      </c>
      <c r="C7704" t="str">
        <f t="shared" si="385"/>
        <v>43733870000000</v>
      </c>
      <c r="D7704" t="s">
        <v>8628</v>
      </c>
      <c r="E7704" t="str">
        <f>"43733876047591"</f>
        <v>43733876047591</v>
      </c>
      <c r="F7704" s="8">
        <v>420</v>
      </c>
      <c r="G7704" s="8">
        <v>6846</v>
      </c>
      <c r="H7704" s="8">
        <v>689</v>
      </c>
      <c r="I7704" s="8">
        <v>3102</v>
      </c>
    </row>
    <row r="7705" spans="1:9" x14ac:dyDescent="0.2">
      <c r="A7705" t="s">
        <v>1604</v>
      </c>
      <c r="B7705" t="s">
        <v>1648</v>
      </c>
      <c r="C7705" t="str">
        <f t="shared" si="385"/>
        <v>43733870000000</v>
      </c>
      <c r="D7705" t="s">
        <v>8629</v>
      </c>
      <c r="E7705" t="str">
        <f>"43733876047625"</f>
        <v>43733876047625</v>
      </c>
      <c r="F7705" s="8">
        <v>414</v>
      </c>
      <c r="G7705" s="8">
        <v>6822</v>
      </c>
      <c r="H7705" s="8">
        <v>689</v>
      </c>
      <c r="I7705" s="8">
        <v>3102</v>
      </c>
    </row>
    <row r="7706" spans="1:9" x14ac:dyDescent="0.2">
      <c r="A7706" t="s">
        <v>1604</v>
      </c>
      <c r="B7706" t="s">
        <v>1648</v>
      </c>
      <c r="C7706" t="str">
        <f t="shared" si="385"/>
        <v>43733870000000</v>
      </c>
      <c r="D7706" t="s">
        <v>8630</v>
      </c>
      <c r="E7706" t="str">
        <f>"43733876067219"</f>
        <v>43733876067219</v>
      </c>
      <c r="F7706" s="8">
        <v>150</v>
      </c>
      <c r="G7706" s="8">
        <v>6987</v>
      </c>
      <c r="H7706" s="8">
        <v>689</v>
      </c>
      <c r="I7706" s="8">
        <v>3102</v>
      </c>
    </row>
    <row r="7707" spans="1:9" x14ac:dyDescent="0.2">
      <c r="A7707" t="s">
        <v>1604</v>
      </c>
      <c r="B7707" t="s">
        <v>1648</v>
      </c>
      <c r="C7707" t="str">
        <f t="shared" si="385"/>
        <v>43733870000000</v>
      </c>
      <c r="D7707" t="s">
        <v>8631</v>
      </c>
      <c r="E7707" t="str">
        <f>"43733870137505"</f>
        <v>43733870137505</v>
      </c>
      <c r="F7707" s="8">
        <v>220</v>
      </c>
      <c r="G7707" s="8">
        <v>6282</v>
      </c>
      <c r="H7707" s="8">
        <v>689</v>
      </c>
      <c r="I7707" s="8">
        <v>3102</v>
      </c>
    </row>
    <row r="7708" spans="1:9" x14ac:dyDescent="0.2">
      <c r="A7708" t="s">
        <v>1604</v>
      </c>
      <c r="B7708" t="s">
        <v>1648</v>
      </c>
      <c r="C7708" t="str">
        <f t="shared" si="385"/>
        <v>43733870000000</v>
      </c>
      <c r="D7708" t="s">
        <v>8632</v>
      </c>
      <c r="E7708" t="str">
        <f>"43733876047609"</f>
        <v>43733876047609</v>
      </c>
      <c r="F7708" s="8">
        <v>278</v>
      </c>
      <c r="G7708" s="8">
        <v>6137</v>
      </c>
      <c r="H7708" s="8">
        <v>689</v>
      </c>
      <c r="I7708" s="8">
        <v>3102</v>
      </c>
    </row>
    <row r="7709" spans="1:9" x14ac:dyDescent="0.2">
      <c r="A7709" t="s">
        <v>1604</v>
      </c>
      <c r="B7709" t="s">
        <v>1649</v>
      </c>
      <c r="C7709" t="str">
        <f t="shared" ref="C7709:C7715" si="386">"43695750000000"</f>
        <v>43695750000000</v>
      </c>
      <c r="D7709" t="s">
        <v>8633</v>
      </c>
      <c r="E7709" t="str">
        <f>"43695756047831"</f>
        <v>43695756047831</v>
      </c>
      <c r="F7709" s="8">
        <v>3227</v>
      </c>
      <c r="G7709" s="8">
        <v>8446</v>
      </c>
      <c r="H7709" s="8">
        <v>582</v>
      </c>
      <c r="I7709" s="8">
        <v>3742</v>
      </c>
    </row>
    <row r="7710" spans="1:9" x14ac:dyDescent="0.2">
      <c r="A7710" t="s">
        <v>1604</v>
      </c>
      <c r="B7710" t="s">
        <v>1649</v>
      </c>
      <c r="C7710" t="str">
        <f t="shared" si="386"/>
        <v>43695750000000</v>
      </c>
      <c r="D7710" t="s">
        <v>8634</v>
      </c>
      <c r="E7710" t="str">
        <f>"43695750129940"</f>
        <v>43695750129940</v>
      </c>
      <c r="F7710" s="8">
        <v>966</v>
      </c>
      <c r="G7710" s="8">
        <v>8029</v>
      </c>
      <c r="H7710" s="8">
        <v>582</v>
      </c>
      <c r="I7710" s="8">
        <v>3742</v>
      </c>
    </row>
    <row r="7711" spans="1:9" x14ac:dyDescent="0.2">
      <c r="A7711" t="s">
        <v>1604</v>
      </c>
      <c r="B7711" t="s">
        <v>1649</v>
      </c>
      <c r="C7711" t="str">
        <f t="shared" si="386"/>
        <v>43695750000000</v>
      </c>
      <c r="D7711" t="s">
        <v>8635</v>
      </c>
      <c r="E7711" t="str">
        <f>"43695756047799"</f>
        <v>43695756047799</v>
      </c>
      <c r="F7711" s="8">
        <v>906</v>
      </c>
      <c r="G7711" s="8">
        <v>7946</v>
      </c>
      <c r="H7711" s="8">
        <v>582</v>
      </c>
      <c r="I7711" s="8">
        <v>3742</v>
      </c>
    </row>
    <row r="7712" spans="1:9" x14ac:dyDescent="0.2">
      <c r="A7712" t="s">
        <v>1604</v>
      </c>
      <c r="B7712" t="s">
        <v>1649</v>
      </c>
      <c r="C7712" t="str">
        <f t="shared" si="386"/>
        <v>43695750000000</v>
      </c>
      <c r="D7712" t="s">
        <v>8636</v>
      </c>
      <c r="E7712" t="str">
        <f>"43695756047740"</f>
        <v>43695756047740</v>
      </c>
      <c r="F7712" s="8">
        <v>733</v>
      </c>
      <c r="G7712" s="8">
        <v>8073</v>
      </c>
      <c r="H7712" s="8">
        <v>582</v>
      </c>
      <c r="I7712" s="8">
        <v>3742</v>
      </c>
    </row>
    <row r="7713" spans="1:9" x14ac:dyDescent="0.2">
      <c r="A7713" t="s">
        <v>1604</v>
      </c>
      <c r="B7713" t="s">
        <v>1649</v>
      </c>
      <c r="C7713" t="str">
        <f t="shared" si="386"/>
        <v>43695750000000</v>
      </c>
      <c r="D7713" t="s">
        <v>8637</v>
      </c>
      <c r="E7713" t="str">
        <f>"43695756047807"</f>
        <v>43695756047807</v>
      </c>
      <c r="F7713" s="8">
        <v>613</v>
      </c>
      <c r="G7713" s="8">
        <v>7779</v>
      </c>
      <c r="H7713" s="8">
        <v>582</v>
      </c>
      <c r="I7713" s="8">
        <v>3742</v>
      </c>
    </row>
    <row r="7714" spans="1:9" x14ac:dyDescent="0.2">
      <c r="A7714" t="s">
        <v>1604</v>
      </c>
      <c r="B7714" t="s">
        <v>1649</v>
      </c>
      <c r="C7714" t="str">
        <f t="shared" si="386"/>
        <v>43695750000000</v>
      </c>
      <c r="D7714" t="s">
        <v>8638</v>
      </c>
      <c r="E7714" t="str">
        <f>"43695756047765"</f>
        <v>43695756047765</v>
      </c>
      <c r="F7714" s="8">
        <v>524</v>
      </c>
      <c r="G7714" s="8">
        <v>7543</v>
      </c>
      <c r="H7714" s="8">
        <v>582</v>
      </c>
      <c r="I7714" s="8">
        <v>3742</v>
      </c>
    </row>
    <row r="7715" spans="1:9" x14ac:dyDescent="0.2">
      <c r="A7715" t="s">
        <v>1604</v>
      </c>
      <c r="B7715" t="s">
        <v>1649</v>
      </c>
      <c r="C7715" t="str">
        <f t="shared" si="386"/>
        <v>43695750000000</v>
      </c>
      <c r="D7715" t="s">
        <v>8639</v>
      </c>
      <c r="E7715" t="str">
        <f>"43695756047781"</f>
        <v>43695756047781</v>
      </c>
      <c r="F7715" s="8">
        <v>658</v>
      </c>
      <c r="G7715" s="8">
        <v>7205</v>
      </c>
      <c r="H7715" s="8">
        <v>582</v>
      </c>
      <c r="I7715" s="8">
        <v>3742</v>
      </c>
    </row>
    <row r="7716" spans="1:9" x14ac:dyDescent="0.2">
      <c r="A7716" t="s">
        <v>1604</v>
      </c>
      <c r="B7716" t="s">
        <v>1650</v>
      </c>
      <c r="C7716" t="str">
        <f t="shared" ref="C7716:C7728" si="387">"43695830000000"</f>
        <v>43695830000000</v>
      </c>
      <c r="D7716" t="s">
        <v>7053</v>
      </c>
      <c r="E7716" t="str">
        <f>"43695834334488"</f>
        <v>43695834334488</v>
      </c>
      <c r="F7716" s="8">
        <v>0</v>
      </c>
      <c r="G7716" s="8">
        <v>8326</v>
      </c>
      <c r="H7716" s="8">
        <v>223</v>
      </c>
      <c r="I7716" s="8">
        <v>4624</v>
      </c>
    </row>
    <row r="7717" spans="1:9" x14ac:dyDescent="0.2">
      <c r="A7717" t="s">
        <v>1604</v>
      </c>
      <c r="B7717" t="s">
        <v>1650</v>
      </c>
      <c r="C7717" t="str">
        <f t="shared" si="387"/>
        <v>43695830000000</v>
      </c>
      <c r="D7717" t="s">
        <v>8640</v>
      </c>
      <c r="E7717" t="str">
        <f>"43695834333951"</f>
        <v>43695834333951</v>
      </c>
      <c r="F7717" s="8">
        <v>0</v>
      </c>
      <c r="G7717" s="8">
        <v>6030</v>
      </c>
      <c r="H7717" s="8">
        <v>223</v>
      </c>
      <c r="I7717" s="8">
        <v>4624</v>
      </c>
    </row>
    <row r="7718" spans="1:9" x14ac:dyDescent="0.2">
      <c r="A7718" t="s">
        <v>1604</v>
      </c>
      <c r="B7718" t="s">
        <v>1650</v>
      </c>
      <c r="C7718" t="str">
        <f t="shared" si="387"/>
        <v>43695830000000</v>
      </c>
      <c r="D7718" t="s">
        <v>8641</v>
      </c>
      <c r="E7718" t="str">
        <f>"43695836109375"</f>
        <v>43695836109375</v>
      </c>
      <c r="F7718" s="8">
        <v>0</v>
      </c>
      <c r="G7718" s="8">
        <v>5678</v>
      </c>
      <c r="H7718" s="8">
        <v>223</v>
      </c>
      <c r="I7718" s="8">
        <v>4624</v>
      </c>
    </row>
    <row r="7719" spans="1:9" x14ac:dyDescent="0.2">
      <c r="A7719" t="s">
        <v>1604</v>
      </c>
      <c r="B7719" t="s">
        <v>1650</v>
      </c>
      <c r="C7719" t="str">
        <f t="shared" si="387"/>
        <v>43695830000000</v>
      </c>
      <c r="D7719" t="s">
        <v>8642</v>
      </c>
      <c r="E7719" t="str">
        <f>"43695830102368"</f>
        <v>43695830102368</v>
      </c>
      <c r="F7719" s="8">
        <v>0</v>
      </c>
      <c r="G7719" s="8">
        <v>5613</v>
      </c>
      <c r="H7719" s="8">
        <v>223</v>
      </c>
      <c r="I7719" s="8">
        <v>4624</v>
      </c>
    </row>
    <row r="7720" spans="1:9" x14ac:dyDescent="0.2">
      <c r="A7720" t="s">
        <v>1604</v>
      </c>
      <c r="B7720" t="s">
        <v>1650</v>
      </c>
      <c r="C7720" t="str">
        <f t="shared" si="387"/>
        <v>43695830000000</v>
      </c>
      <c r="D7720" t="s">
        <v>8643</v>
      </c>
      <c r="E7720" t="str">
        <f>"43695836098271"</f>
        <v>43695836098271</v>
      </c>
      <c r="F7720" s="8">
        <v>0</v>
      </c>
      <c r="G7720" s="8">
        <v>5599</v>
      </c>
      <c r="H7720" s="8">
        <v>223</v>
      </c>
      <c r="I7720" s="8">
        <v>4624</v>
      </c>
    </row>
    <row r="7721" spans="1:9" x14ac:dyDescent="0.2">
      <c r="A7721" t="s">
        <v>1604</v>
      </c>
      <c r="B7721" t="s">
        <v>1650</v>
      </c>
      <c r="C7721" t="str">
        <f t="shared" si="387"/>
        <v>43695830000000</v>
      </c>
      <c r="D7721" t="s">
        <v>8644</v>
      </c>
      <c r="E7721" t="str">
        <f>"43695836047922"</f>
        <v>43695836047922</v>
      </c>
      <c r="F7721" s="8">
        <v>0</v>
      </c>
      <c r="G7721" s="8">
        <v>5420</v>
      </c>
      <c r="H7721" s="8">
        <v>223</v>
      </c>
      <c r="I7721" s="8">
        <v>4624</v>
      </c>
    </row>
    <row r="7722" spans="1:9" x14ac:dyDescent="0.2">
      <c r="A7722" t="s">
        <v>1604</v>
      </c>
      <c r="B7722" t="s">
        <v>1650</v>
      </c>
      <c r="C7722" t="str">
        <f t="shared" si="387"/>
        <v>43695830000000</v>
      </c>
      <c r="D7722" t="s">
        <v>8645</v>
      </c>
      <c r="E7722" t="str">
        <f>"43695836118376"</f>
        <v>43695836118376</v>
      </c>
      <c r="F7722" s="8">
        <v>0</v>
      </c>
      <c r="G7722" s="8">
        <v>5302</v>
      </c>
      <c r="H7722" s="8">
        <v>223</v>
      </c>
      <c r="I7722" s="8">
        <v>4624</v>
      </c>
    </row>
    <row r="7723" spans="1:9" x14ac:dyDescent="0.2">
      <c r="A7723" t="s">
        <v>1604</v>
      </c>
      <c r="B7723" t="s">
        <v>1650</v>
      </c>
      <c r="C7723" t="str">
        <f t="shared" si="387"/>
        <v>43695830000000</v>
      </c>
      <c r="D7723" t="s">
        <v>8646</v>
      </c>
      <c r="E7723" t="str">
        <f>"43695836047914"</f>
        <v>43695836047914</v>
      </c>
      <c r="F7723" s="8">
        <v>0</v>
      </c>
      <c r="G7723" s="8">
        <v>5085</v>
      </c>
      <c r="H7723" s="8">
        <v>223</v>
      </c>
      <c r="I7723" s="8">
        <v>4624</v>
      </c>
    </row>
    <row r="7724" spans="1:9" x14ac:dyDescent="0.2">
      <c r="A7724" t="s">
        <v>1604</v>
      </c>
      <c r="B7724" t="s">
        <v>1650</v>
      </c>
      <c r="C7724" t="str">
        <f t="shared" si="387"/>
        <v>43695830000000</v>
      </c>
      <c r="D7724" t="s">
        <v>8647</v>
      </c>
      <c r="E7724" t="str">
        <f>"43695836095392"</f>
        <v>43695836095392</v>
      </c>
      <c r="F7724" s="8">
        <v>0</v>
      </c>
      <c r="G7724" s="8">
        <v>5010</v>
      </c>
      <c r="H7724" s="8">
        <v>223</v>
      </c>
      <c r="I7724" s="8">
        <v>4624</v>
      </c>
    </row>
    <row r="7725" spans="1:9" x14ac:dyDescent="0.2">
      <c r="A7725" t="s">
        <v>1604</v>
      </c>
      <c r="B7725" t="s">
        <v>1650</v>
      </c>
      <c r="C7725" t="str">
        <f t="shared" si="387"/>
        <v>43695830000000</v>
      </c>
      <c r="D7725" t="s">
        <v>8648</v>
      </c>
      <c r="E7725" t="str">
        <f>"43695836047948"</f>
        <v>43695836047948</v>
      </c>
      <c r="F7725" s="8">
        <v>0</v>
      </c>
      <c r="G7725" s="8">
        <v>4913</v>
      </c>
      <c r="H7725" s="8">
        <v>223</v>
      </c>
      <c r="I7725" s="8">
        <v>4624</v>
      </c>
    </row>
    <row r="7726" spans="1:9" x14ac:dyDescent="0.2">
      <c r="A7726" t="s">
        <v>1604</v>
      </c>
      <c r="B7726" t="s">
        <v>1650</v>
      </c>
      <c r="C7726" t="str">
        <f t="shared" si="387"/>
        <v>43695830000000</v>
      </c>
      <c r="D7726" t="s">
        <v>8649</v>
      </c>
      <c r="E7726" t="str">
        <f>"43695836098263"</f>
        <v>43695836098263</v>
      </c>
      <c r="F7726" s="8">
        <v>0</v>
      </c>
      <c r="G7726" s="8">
        <v>4660</v>
      </c>
      <c r="H7726" s="8">
        <v>223</v>
      </c>
      <c r="I7726" s="8">
        <v>4624</v>
      </c>
    </row>
    <row r="7727" spans="1:9" x14ac:dyDescent="0.2">
      <c r="A7727" t="s">
        <v>1604</v>
      </c>
      <c r="B7727" t="s">
        <v>1650</v>
      </c>
      <c r="C7727" t="str">
        <f t="shared" si="387"/>
        <v>43695830000000</v>
      </c>
      <c r="D7727" t="s">
        <v>8650</v>
      </c>
      <c r="E7727" t="str">
        <f>"43695836095384"</f>
        <v>43695836095384</v>
      </c>
      <c r="F7727" s="8">
        <v>0</v>
      </c>
      <c r="G7727" s="8">
        <v>4219</v>
      </c>
      <c r="H7727" s="8">
        <v>223</v>
      </c>
      <c r="I7727" s="8">
        <v>4624</v>
      </c>
    </row>
    <row r="7728" spans="1:9" x14ac:dyDescent="0.2">
      <c r="A7728" t="s">
        <v>1604</v>
      </c>
      <c r="B7728" t="s">
        <v>1650</v>
      </c>
      <c r="C7728" t="str">
        <f t="shared" si="387"/>
        <v>43695830000000</v>
      </c>
      <c r="D7728" t="s">
        <v>8651</v>
      </c>
      <c r="E7728" t="str">
        <f>"43695836100325"</f>
        <v>43695836100325</v>
      </c>
      <c r="F7728" s="8">
        <v>0</v>
      </c>
      <c r="G7728" s="8">
        <v>4066</v>
      </c>
      <c r="H7728" s="8">
        <v>223</v>
      </c>
      <c r="I7728" s="8">
        <v>4624</v>
      </c>
    </row>
    <row r="7729" spans="1:9" x14ac:dyDescent="0.2">
      <c r="A7729" t="s">
        <v>1604</v>
      </c>
      <c r="B7729" t="s">
        <v>1651</v>
      </c>
      <c r="C7729" t="str">
        <f>"43696170000000"</f>
        <v>43696170000000</v>
      </c>
      <c r="D7729" t="s">
        <v>8652</v>
      </c>
      <c r="E7729" t="str">
        <f>"43696176048045"</f>
        <v>43696176048045</v>
      </c>
      <c r="F7729" s="8">
        <v>837</v>
      </c>
      <c r="G7729" s="8">
        <v>10382</v>
      </c>
      <c r="H7729" s="8">
        <v>1326</v>
      </c>
      <c r="I7729" s="8">
        <v>3778</v>
      </c>
    </row>
    <row r="7730" spans="1:9" x14ac:dyDescent="0.2">
      <c r="A7730" t="s">
        <v>1604</v>
      </c>
      <c r="B7730" t="s">
        <v>1651</v>
      </c>
      <c r="C7730" t="str">
        <f>"43696170000000"</f>
        <v>43696170000000</v>
      </c>
      <c r="D7730" t="s">
        <v>6432</v>
      </c>
      <c r="E7730" t="str">
        <f>"43696176067227"</f>
        <v>43696176067227</v>
      </c>
      <c r="F7730" s="8">
        <v>1498</v>
      </c>
      <c r="G7730" s="8">
        <v>9539</v>
      </c>
      <c r="H7730" s="8">
        <v>1326</v>
      </c>
      <c r="I7730" s="8">
        <v>3778</v>
      </c>
    </row>
    <row r="7731" spans="1:9" x14ac:dyDescent="0.2">
      <c r="A7731" t="s">
        <v>1604</v>
      </c>
      <c r="B7731" t="s">
        <v>1651</v>
      </c>
      <c r="C7731" t="str">
        <f>"43696170000000"</f>
        <v>43696170000000</v>
      </c>
      <c r="D7731" t="s">
        <v>8653</v>
      </c>
      <c r="E7731" t="str">
        <f>"43696176048060"</f>
        <v>43696176048060</v>
      </c>
      <c r="F7731" s="8">
        <v>733</v>
      </c>
      <c r="G7731" s="8">
        <v>8204</v>
      </c>
      <c r="H7731" s="8">
        <v>1326</v>
      </c>
      <c r="I7731" s="8">
        <v>3778</v>
      </c>
    </row>
    <row r="7732" spans="1:9" x14ac:dyDescent="0.2">
      <c r="A7732" t="s">
        <v>1604</v>
      </c>
      <c r="B7732" t="s">
        <v>1651</v>
      </c>
      <c r="C7732" t="str">
        <f>"43696170000000"</f>
        <v>43696170000000</v>
      </c>
      <c r="D7732" t="s">
        <v>8654</v>
      </c>
      <c r="E7732" t="str">
        <f>"43696176048037"</f>
        <v>43696176048037</v>
      </c>
      <c r="F7732" s="8">
        <v>1204</v>
      </c>
      <c r="G7732" s="8">
        <v>7582</v>
      </c>
      <c r="H7732" s="8">
        <v>1326</v>
      </c>
      <c r="I7732" s="8">
        <v>3778</v>
      </c>
    </row>
    <row r="7733" spans="1:9" x14ac:dyDescent="0.2">
      <c r="A7733" t="s">
        <v>1604</v>
      </c>
      <c r="B7733" t="s">
        <v>1651</v>
      </c>
      <c r="C7733" t="str">
        <f>"43696170000000"</f>
        <v>43696170000000</v>
      </c>
      <c r="D7733" t="s">
        <v>8655</v>
      </c>
      <c r="E7733" t="str">
        <f>"43696176048078"</f>
        <v>43696176048078</v>
      </c>
      <c r="F7733" s="8">
        <v>949</v>
      </c>
      <c r="G7733" s="8">
        <v>7687</v>
      </c>
      <c r="H7733" s="8">
        <v>1326</v>
      </c>
      <c r="I7733" s="8">
        <v>3778</v>
      </c>
    </row>
    <row r="7734" spans="1:9" x14ac:dyDescent="0.2">
      <c r="A7734" t="s">
        <v>1604</v>
      </c>
      <c r="B7734" t="s">
        <v>1652</v>
      </c>
      <c r="C7734" t="str">
        <f t="shared" ref="C7734:C7744" si="388">"43695910000000"</f>
        <v>43695910000000</v>
      </c>
      <c r="D7734" t="s">
        <v>8656</v>
      </c>
      <c r="E7734" t="str">
        <f>"43695916049514"</f>
        <v>43695916049514</v>
      </c>
      <c r="F7734" s="8">
        <v>0</v>
      </c>
      <c r="G7734" s="8">
        <v>10150</v>
      </c>
      <c r="H7734" s="8">
        <v>730</v>
      </c>
      <c r="I7734" s="8">
        <v>8537</v>
      </c>
    </row>
    <row r="7735" spans="1:9" x14ac:dyDescent="0.2">
      <c r="A7735" t="s">
        <v>1604</v>
      </c>
      <c r="B7735" t="s">
        <v>1652</v>
      </c>
      <c r="C7735" t="str">
        <f t="shared" si="388"/>
        <v>43695910000000</v>
      </c>
      <c r="D7735" t="s">
        <v>8657</v>
      </c>
      <c r="E7735" t="str">
        <f>"43695916048003"</f>
        <v>43695916048003</v>
      </c>
      <c r="F7735" s="8">
        <v>1094</v>
      </c>
      <c r="G7735" s="8">
        <v>8201</v>
      </c>
      <c r="H7735" s="8">
        <v>797</v>
      </c>
      <c r="I7735" s="8">
        <v>8537</v>
      </c>
    </row>
    <row r="7736" spans="1:9" x14ac:dyDescent="0.2">
      <c r="A7736" t="s">
        <v>1604</v>
      </c>
      <c r="B7736" t="s">
        <v>1652</v>
      </c>
      <c r="C7736" t="str">
        <f t="shared" si="388"/>
        <v>43695910000000</v>
      </c>
      <c r="D7736" t="s">
        <v>8658</v>
      </c>
      <c r="E7736" t="str">
        <f>"43695916049480"</f>
        <v>43695916049480</v>
      </c>
      <c r="F7736" s="8">
        <v>0</v>
      </c>
      <c r="G7736" s="8">
        <v>8927</v>
      </c>
      <c r="H7736" s="8">
        <v>821</v>
      </c>
      <c r="I7736" s="8">
        <v>8537</v>
      </c>
    </row>
    <row r="7737" spans="1:9" x14ac:dyDescent="0.2">
      <c r="A7737" t="s">
        <v>1604</v>
      </c>
      <c r="B7737" t="s">
        <v>1652</v>
      </c>
      <c r="C7737" t="str">
        <f t="shared" si="388"/>
        <v>43695910000000</v>
      </c>
      <c r="D7737" t="s">
        <v>8659</v>
      </c>
      <c r="E7737" t="str">
        <f>"43695916049472"</f>
        <v>43695916049472</v>
      </c>
      <c r="F7737" s="8">
        <v>0</v>
      </c>
      <c r="G7737" s="8">
        <v>8638</v>
      </c>
      <c r="H7737" s="8">
        <v>804</v>
      </c>
      <c r="I7737" s="8">
        <v>8537</v>
      </c>
    </row>
    <row r="7738" spans="1:9" x14ac:dyDescent="0.2">
      <c r="A7738" t="s">
        <v>1604</v>
      </c>
      <c r="B7738" t="s">
        <v>1652</v>
      </c>
      <c r="C7738" t="str">
        <f t="shared" si="388"/>
        <v>43695910000000</v>
      </c>
      <c r="D7738" t="s">
        <v>8660</v>
      </c>
      <c r="E7738" t="str">
        <f>"43695916047955"</f>
        <v>43695916047955</v>
      </c>
      <c r="F7738" s="8">
        <v>0</v>
      </c>
      <c r="G7738" s="8">
        <v>8648</v>
      </c>
      <c r="H7738" s="8">
        <v>748</v>
      </c>
      <c r="I7738" s="8">
        <v>8537</v>
      </c>
    </row>
    <row r="7739" spans="1:9" x14ac:dyDescent="0.2">
      <c r="A7739" t="s">
        <v>1604</v>
      </c>
      <c r="B7739" t="s">
        <v>1652</v>
      </c>
      <c r="C7739" t="str">
        <f t="shared" si="388"/>
        <v>43695910000000</v>
      </c>
      <c r="D7739" t="s">
        <v>8661</v>
      </c>
      <c r="E7739" t="str">
        <f>"43695910138750"</f>
        <v>43695910138750</v>
      </c>
      <c r="F7739" s="8">
        <v>0</v>
      </c>
      <c r="G7739" s="8">
        <v>8428</v>
      </c>
      <c r="H7739" s="8">
        <v>656</v>
      </c>
      <c r="I7739" s="8">
        <v>8537</v>
      </c>
    </row>
    <row r="7740" spans="1:9" x14ac:dyDescent="0.2">
      <c r="A7740" t="s">
        <v>1604</v>
      </c>
      <c r="B7740" t="s">
        <v>1652</v>
      </c>
      <c r="C7740" t="str">
        <f t="shared" si="388"/>
        <v>43695910000000</v>
      </c>
      <c r="D7740" t="s">
        <v>8662</v>
      </c>
      <c r="E7740" t="str">
        <f>"43695910132373"</f>
        <v>43695910132373</v>
      </c>
      <c r="F7740" s="8">
        <v>0</v>
      </c>
      <c r="G7740" s="8">
        <v>8128</v>
      </c>
      <c r="H7740" s="8">
        <v>664</v>
      </c>
      <c r="I7740" s="8">
        <v>8537</v>
      </c>
    </row>
    <row r="7741" spans="1:9" x14ac:dyDescent="0.2">
      <c r="A7741" t="s">
        <v>1604</v>
      </c>
      <c r="B7741" t="s">
        <v>1652</v>
      </c>
      <c r="C7741" t="str">
        <f t="shared" si="388"/>
        <v>43695910000000</v>
      </c>
      <c r="D7741" t="s">
        <v>8663</v>
      </c>
      <c r="E7741" t="str">
        <f>"43695916047989"</f>
        <v>43695916047989</v>
      </c>
      <c r="F7741" s="8">
        <v>0</v>
      </c>
      <c r="G7741" s="8">
        <v>7604</v>
      </c>
      <c r="H7741" s="8">
        <v>735</v>
      </c>
      <c r="I7741" s="8">
        <v>8537</v>
      </c>
    </row>
    <row r="7742" spans="1:9" x14ac:dyDescent="0.2">
      <c r="A7742" t="s">
        <v>1604</v>
      </c>
      <c r="B7742" t="s">
        <v>1652</v>
      </c>
      <c r="C7742" t="str">
        <f t="shared" si="388"/>
        <v>43695910000000</v>
      </c>
      <c r="D7742" t="s">
        <v>8664</v>
      </c>
      <c r="E7742" t="str">
        <f>"43695916047963"</f>
        <v>43695916047963</v>
      </c>
      <c r="F7742" s="8">
        <v>0</v>
      </c>
      <c r="G7742" s="8">
        <v>7511</v>
      </c>
      <c r="H7742" s="8">
        <v>750</v>
      </c>
      <c r="I7742" s="8">
        <v>8537</v>
      </c>
    </row>
    <row r="7743" spans="1:9" x14ac:dyDescent="0.2">
      <c r="A7743" t="s">
        <v>1604</v>
      </c>
      <c r="B7743" t="s">
        <v>1652</v>
      </c>
      <c r="C7743" t="str">
        <f t="shared" si="388"/>
        <v>43695910000000</v>
      </c>
      <c r="D7743" t="s">
        <v>8665</v>
      </c>
      <c r="E7743" t="str">
        <f>"43695916047971"</f>
        <v>43695916047971</v>
      </c>
      <c r="F7743" s="8">
        <v>0</v>
      </c>
      <c r="G7743" s="8">
        <v>7192</v>
      </c>
      <c r="H7743" s="8">
        <v>646</v>
      </c>
      <c r="I7743" s="8">
        <v>8537</v>
      </c>
    </row>
    <row r="7744" spans="1:9" x14ac:dyDescent="0.2">
      <c r="A7744" t="s">
        <v>1604</v>
      </c>
      <c r="B7744" t="s">
        <v>1652</v>
      </c>
      <c r="C7744" t="str">
        <f t="shared" si="388"/>
        <v>43695910000000</v>
      </c>
      <c r="D7744" t="s">
        <v>4037</v>
      </c>
      <c r="E7744" t="str">
        <f>"43695916049464"</f>
        <v>43695916049464</v>
      </c>
      <c r="F7744" s="8">
        <v>0</v>
      </c>
      <c r="G7744" s="8">
        <v>7061</v>
      </c>
      <c r="H7744" s="8">
        <v>607</v>
      </c>
      <c r="I7744" s="8">
        <v>8537</v>
      </c>
    </row>
    <row r="7745" spans="1:9" x14ac:dyDescent="0.2">
      <c r="A7745" t="s">
        <v>1604</v>
      </c>
      <c r="B7745" t="s">
        <v>1653</v>
      </c>
      <c r="C7745" t="str">
        <f>"43696090000000"</f>
        <v>43696090000000</v>
      </c>
      <c r="D7745" t="s">
        <v>8666</v>
      </c>
      <c r="E7745" t="str">
        <f>"43696094334736"</f>
        <v>43696094334736</v>
      </c>
      <c r="F7745" s="8">
        <v>9706</v>
      </c>
      <c r="G7745" s="8">
        <v>24103</v>
      </c>
      <c r="H7745" s="8">
        <v>3624</v>
      </c>
      <c r="I7745" s="8">
        <v>4206</v>
      </c>
    </row>
    <row r="7746" spans="1:9" x14ac:dyDescent="0.2">
      <c r="A7746" t="s">
        <v>1604</v>
      </c>
      <c r="B7746" t="s">
        <v>1653</v>
      </c>
      <c r="C7746" t="str">
        <f>"43696090000000"</f>
        <v>43696090000000</v>
      </c>
      <c r="D7746" t="s">
        <v>3823</v>
      </c>
      <c r="E7746" t="str">
        <f>"43696094334728"</f>
        <v>43696094334728</v>
      </c>
      <c r="F7746" s="8">
        <v>3667</v>
      </c>
      <c r="G7746" s="8">
        <v>12947</v>
      </c>
      <c r="H7746" s="8">
        <v>4206</v>
      </c>
      <c r="I7746" s="8">
        <v>3624</v>
      </c>
    </row>
    <row r="7747" spans="1:9" x14ac:dyDescent="0.2">
      <c r="A7747" t="s">
        <v>1604</v>
      </c>
      <c r="B7747" t="s">
        <v>1653</v>
      </c>
      <c r="C7747" t="str">
        <f>"43696090000000"</f>
        <v>43696090000000</v>
      </c>
      <c r="D7747" t="s">
        <v>3910</v>
      </c>
      <c r="E7747" t="str">
        <f>"43696094334116"</f>
        <v>43696094334116</v>
      </c>
      <c r="F7747" s="8">
        <v>3276</v>
      </c>
      <c r="G7747" s="8">
        <v>12633</v>
      </c>
      <c r="H7747" s="8">
        <v>4206</v>
      </c>
      <c r="I7747" s="8">
        <v>3624</v>
      </c>
    </row>
    <row r="7748" spans="1:9" x14ac:dyDescent="0.2">
      <c r="A7748" t="s">
        <v>1604</v>
      </c>
      <c r="B7748" t="s">
        <v>1654</v>
      </c>
      <c r="C7748" t="str">
        <f>"43766200000000"</f>
        <v>43766200000000</v>
      </c>
      <c r="D7748" t="s">
        <v>8667</v>
      </c>
      <c r="E7748" t="str">
        <f>"43766200119941"</f>
        <v>43766200119941</v>
      </c>
      <c r="F7748" s="8" t="s">
        <v>30</v>
      </c>
      <c r="G7748" s="8" t="s">
        <v>30</v>
      </c>
      <c r="H7748" s="8" t="s">
        <v>30</v>
      </c>
      <c r="I7748" s="8" t="s">
        <v>30</v>
      </c>
    </row>
    <row r="7749" spans="1:9" x14ac:dyDescent="0.2">
      <c r="A7749" t="s">
        <v>1604</v>
      </c>
      <c r="B7749" t="s">
        <v>1655</v>
      </c>
      <c r="C7749" t="str">
        <f t="shared" ref="C7749:C7766" si="389">"43696250000000"</f>
        <v>43696250000000</v>
      </c>
      <c r="D7749" t="s">
        <v>8668</v>
      </c>
      <c r="E7749" t="str">
        <f>"43696256048177"</f>
        <v>43696256048177</v>
      </c>
      <c r="F7749" s="8">
        <v>924</v>
      </c>
      <c r="G7749" s="8">
        <v>8624</v>
      </c>
      <c r="H7749" s="8">
        <v>496</v>
      </c>
      <c r="I7749" s="8">
        <v>3822</v>
      </c>
    </row>
    <row r="7750" spans="1:9" x14ac:dyDescent="0.2">
      <c r="A7750" t="s">
        <v>1604</v>
      </c>
      <c r="B7750" t="s">
        <v>1655</v>
      </c>
      <c r="C7750" t="str">
        <f t="shared" si="389"/>
        <v>43696250000000</v>
      </c>
      <c r="D7750" t="s">
        <v>8669</v>
      </c>
      <c r="E7750" t="str">
        <f>"43696256095400"</f>
        <v>43696256095400</v>
      </c>
      <c r="F7750" s="8">
        <v>680</v>
      </c>
      <c r="G7750" s="8">
        <v>8123</v>
      </c>
      <c r="H7750" s="8">
        <v>496</v>
      </c>
      <c r="I7750" s="8">
        <v>3822</v>
      </c>
    </row>
    <row r="7751" spans="1:9" x14ac:dyDescent="0.2">
      <c r="A7751" t="s">
        <v>1604</v>
      </c>
      <c r="B7751" t="s">
        <v>1655</v>
      </c>
      <c r="C7751" t="str">
        <f t="shared" si="389"/>
        <v>43696250000000</v>
      </c>
      <c r="D7751" t="s">
        <v>8670</v>
      </c>
      <c r="E7751" t="str">
        <f>"43696256068167"</f>
        <v>43696256068167</v>
      </c>
      <c r="F7751" s="8">
        <v>352</v>
      </c>
      <c r="G7751" s="8">
        <v>8090</v>
      </c>
      <c r="H7751" s="8">
        <v>496</v>
      </c>
      <c r="I7751" s="8">
        <v>3822</v>
      </c>
    </row>
    <row r="7752" spans="1:9" x14ac:dyDescent="0.2">
      <c r="A7752" t="s">
        <v>1604</v>
      </c>
      <c r="B7752" t="s">
        <v>1655</v>
      </c>
      <c r="C7752" t="str">
        <f t="shared" si="389"/>
        <v>43696250000000</v>
      </c>
      <c r="D7752" t="s">
        <v>8671</v>
      </c>
      <c r="E7752" t="str">
        <f>"43696256072177"</f>
        <v>43696256072177</v>
      </c>
      <c r="F7752" s="8">
        <v>287</v>
      </c>
      <c r="G7752" s="8">
        <v>8148</v>
      </c>
      <c r="H7752" s="8">
        <v>496</v>
      </c>
      <c r="I7752" s="8">
        <v>3822</v>
      </c>
    </row>
    <row r="7753" spans="1:9" x14ac:dyDescent="0.2">
      <c r="A7753" t="s">
        <v>1604</v>
      </c>
      <c r="B7753" t="s">
        <v>1655</v>
      </c>
      <c r="C7753" t="str">
        <f t="shared" si="389"/>
        <v>43696250000000</v>
      </c>
      <c r="D7753" t="s">
        <v>8672</v>
      </c>
      <c r="E7753" t="str">
        <f>"43696256048110"</f>
        <v>43696256048110</v>
      </c>
      <c r="F7753" s="8">
        <v>471</v>
      </c>
      <c r="G7753" s="8">
        <v>7944</v>
      </c>
      <c r="H7753" s="8">
        <v>496</v>
      </c>
      <c r="I7753" s="8">
        <v>3822</v>
      </c>
    </row>
    <row r="7754" spans="1:9" x14ac:dyDescent="0.2">
      <c r="A7754" t="s">
        <v>1604</v>
      </c>
      <c r="B7754" t="s">
        <v>1655</v>
      </c>
      <c r="C7754" t="str">
        <f t="shared" si="389"/>
        <v>43696250000000</v>
      </c>
      <c r="D7754" t="s">
        <v>2402</v>
      </c>
      <c r="E7754" t="str">
        <f>"43696256093066"</f>
        <v>43696256093066</v>
      </c>
      <c r="F7754" s="8">
        <v>258</v>
      </c>
      <c r="G7754" s="8">
        <v>7615</v>
      </c>
      <c r="H7754" s="8">
        <v>496</v>
      </c>
      <c r="I7754" s="8">
        <v>3822</v>
      </c>
    </row>
    <row r="7755" spans="1:9" x14ac:dyDescent="0.2">
      <c r="A7755" t="s">
        <v>1604</v>
      </c>
      <c r="B7755" t="s">
        <v>1655</v>
      </c>
      <c r="C7755" t="str">
        <f t="shared" si="389"/>
        <v>43696250000000</v>
      </c>
      <c r="D7755" t="s">
        <v>6878</v>
      </c>
      <c r="E7755" t="str">
        <f>"43696256088306"</f>
        <v>43696256088306</v>
      </c>
      <c r="F7755" s="8">
        <v>327</v>
      </c>
      <c r="G7755" s="8">
        <v>7385</v>
      </c>
      <c r="H7755" s="8">
        <v>496</v>
      </c>
      <c r="I7755" s="8">
        <v>3822</v>
      </c>
    </row>
    <row r="7756" spans="1:9" x14ac:dyDescent="0.2">
      <c r="A7756" t="s">
        <v>1604</v>
      </c>
      <c r="B7756" t="s">
        <v>1655</v>
      </c>
      <c r="C7756" t="str">
        <f t="shared" si="389"/>
        <v>43696250000000</v>
      </c>
      <c r="D7756" t="s">
        <v>8673</v>
      </c>
      <c r="E7756" t="str">
        <f>"43696256048086"</f>
        <v>43696256048086</v>
      </c>
      <c r="F7756" s="8">
        <v>628</v>
      </c>
      <c r="G7756" s="8">
        <v>7068</v>
      </c>
      <c r="H7756" s="8">
        <v>496</v>
      </c>
      <c r="I7756" s="8">
        <v>3822</v>
      </c>
    </row>
    <row r="7757" spans="1:9" x14ac:dyDescent="0.2">
      <c r="A7757" t="s">
        <v>1604</v>
      </c>
      <c r="B7757" t="s">
        <v>1655</v>
      </c>
      <c r="C7757" t="str">
        <f t="shared" si="389"/>
        <v>43696250000000</v>
      </c>
      <c r="D7757" t="s">
        <v>8674</v>
      </c>
      <c r="E7757" t="str">
        <f>"43696256072144"</f>
        <v>43696256072144</v>
      </c>
      <c r="F7757" s="8">
        <v>409</v>
      </c>
      <c r="G7757" s="8">
        <v>7168</v>
      </c>
      <c r="H7757" s="8">
        <v>496</v>
      </c>
      <c r="I7757" s="8">
        <v>3822</v>
      </c>
    </row>
    <row r="7758" spans="1:9" x14ac:dyDescent="0.2">
      <c r="A7758" t="s">
        <v>1604</v>
      </c>
      <c r="B7758" t="s">
        <v>1655</v>
      </c>
      <c r="C7758" t="str">
        <f t="shared" si="389"/>
        <v>43696250000000</v>
      </c>
      <c r="D7758" t="s">
        <v>8675</v>
      </c>
      <c r="E7758" t="str">
        <f>"43696256067243"</f>
        <v>43696256067243</v>
      </c>
      <c r="F7758" s="8">
        <v>447</v>
      </c>
      <c r="G7758" s="8">
        <v>6910</v>
      </c>
      <c r="H7758" s="8">
        <v>496</v>
      </c>
      <c r="I7758" s="8">
        <v>3822</v>
      </c>
    </row>
    <row r="7759" spans="1:9" x14ac:dyDescent="0.2">
      <c r="A7759" t="s">
        <v>1604</v>
      </c>
      <c r="B7759" t="s">
        <v>1655</v>
      </c>
      <c r="C7759" t="str">
        <f t="shared" si="389"/>
        <v>43696250000000</v>
      </c>
      <c r="D7759" t="s">
        <v>8676</v>
      </c>
      <c r="E7759" t="str">
        <f>"43696256048102"</f>
        <v>43696256048102</v>
      </c>
      <c r="F7759" s="8">
        <v>780</v>
      </c>
      <c r="G7759" s="8">
        <v>6550</v>
      </c>
      <c r="H7759" s="8">
        <v>496</v>
      </c>
      <c r="I7759" s="8">
        <v>3822</v>
      </c>
    </row>
    <row r="7760" spans="1:9" x14ac:dyDescent="0.2">
      <c r="A7760" t="s">
        <v>1604</v>
      </c>
      <c r="B7760" t="s">
        <v>1655</v>
      </c>
      <c r="C7760" t="str">
        <f t="shared" si="389"/>
        <v>43696250000000</v>
      </c>
      <c r="D7760" t="s">
        <v>8677</v>
      </c>
      <c r="E7760" t="str">
        <f>"43696256097430"</f>
        <v>43696256097430</v>
      </c>
      <c r="F7760" s="8">
        <v>454</v>
      </c>
      <c r="G7760" s="8">
        <v>6641</v>
      </c>
      <c r="H7760" s="8">
        <v>496</v>
      </c>
      <c r="I7760" s="8">
        <v>3822</v>
      </c>
    </row>
    <row r="7761" spans="1:9" x14ac:dyDescent="0.2">
      <c r="A7761" t="s">
        <v>1604</v>
      </c>
      <c r="B7761" t="s">
        <v>1655</v>
      </c>
      <c r="C7761" t="str">
        <f t="shared" si="389"/>
        <v>43696250000000</v>
      </c>
      <c r="D7761" t="s">
        <v>8678</v>
      </c>
      <c r="E7761" t="str">
        <f>"43696256048128"</f>
        <v>43696256048128</v>
      </c>
      <c r="F7761" s="8">
        <v>904</v>
      </c>
      <c r="G7761" s="8">
        <v>6180</v>
      </c>
      <c r="H7761" s="8">
        <v>496</v>
      </c>
      <c r="I7761" s="8">
        <v>3822</v>
      </c>
    </row>
    <row r="7762" spans="1:9" x14ac:dyDescent="0.2">
      <c r="A7762" t="s">
        <v>1604</v>
      </c>
      <c r="B7762" t="s">
        <v>1655</v>
      </c>
      <c r="C7762" t="str">
        <f t="shared" si="389"/>
        <v>43696250000000</v>
      </c>
      <c r="D7762" t="s">
        <v>8679</v>
      </c>
      <c r="E7762" t="str">
        <f>"43696256072151"</f>
        <v>43696256072151</v>
      </c>
      <c r="F7762" s="8">
        <v>334</v>
      </c>
      <c r="G7762" s="8">
        <v>6713</v>
      </c>
      <c r="H7762" s="8">
        <v>496</v>
      </c>
      <c r="I7762" s="8">
        <v>3822</v>
      </c>
    </row>
    <row r="7763" spans="1:9" x14ac:dyDescent="0.2">
      <c r="A7763" t="s">
        <v>1604</v>
      </c>
      <c r="B7763" t="s">
        <v>1655</v>
      </c>
      <c r="C7763" t="str">
        <f t="shared" si="389"/>
        <v>43696250000000</v>
      </c>
      <c r="D7763" t="s">
        <v>8680</v>
      </c>
      <c r="E7763" t="str">
        <f>"43696256116081"</f>
        <v>43696256116081</v>
      </c>
      <c r="F7763" s="8">
        <v>359</v>
      </c>
      <c r="G7763" s="8">
        <v>6622</v>
      </c>
      <c r="H7763" s="8">
        <v>496</v>
      </c>
      <c r="I7763" s="8">
        <v>3822</v>
      </c>
    </row>
    <row r="7764" spans="1:9" x14ac:dyDescent="0.2">
      <c r="A7764" t="s">
        <v>1604</v>
      </c>
      <c r="B7764" t="s">
        <v>1655</v>
      </c>
      <c r="C7764" t="str">
        <f t="shared" si="389"/>
        <v>43696250000000</v>
      </c>
      <c r="D7764" t="s">
        <v>8681</v>
      </c>
      <c r="E7764" t="str">
        <f>"43696256099451"</f>
        <v>43696256099451</v>
      </c>
      <c r="F7764" s="8">
        <v>414</v>
      </c>
      <c r="G7764" s="8">
        <v>6322</v>
      </c>
      <c r="H7764" s="8">
        <v>496</v>
      </c>
      <c r="I7764" s="8">
        <v>3822</v>
      </c>
    </row>
    <row r="7765" spans="1:9" x14ac:dyDescent="0.2">
      <c r="A7765" t="s">
        <v>1604</v>
      </c>
      <c r="B7765" t="s">
        <v>1655</v>
      </c>
      <c r="C7765" t="str">
        <f t="shared" si="389"/>
        <v>43696250000000</v>
      </c>
      <c r="D7765" t="s">
        <v>8682</v>
      </c>
      <c r="E7765" t="str">
        <f>"43696250140590"</f>
        <v>43696250140590</v>
      </c>
      <c r="F7765" s="8">
        <v>115</v>
      </c>
      <c r="G7765" s="8">
        <v>6464</v>
      </c>
      <c r="H7765" s="8">
        <v>496</v>
      </c>
      <c r="I7765" s="8">
        <v>3822</v>
      </c>
    </row>
    <row r="7766" spans="1:9" x14ac:dyDescent="0.2">
      <c r="A7766" t="s">
        <v>1604</v>
      </c>
      <c r="B7766" t="s">
        <v>1655</v>
      </c>
      <c r="C7766" t="str">
        <f t="shared" si="389"/>
        <v>43696250000000</v>
      </c>
      <c r="D7766" t="s">
        <v>8683</v>
      </c>
      <c r="E7766" t="str">
        <f>"43696256048094"</f>
        <v>43696256048094</v>
      </c>
      <c r="F7766" s="8">
        <v>403</v>
      </c>
      <c r="G7766" s="8">
        <v>5411</v>
      </c>
      <c r="H7766" s="8">
        <v>496</v>
      </c>
      <c r="I7766" s="8">
        <v>3822</v>
      </c>
    </row>
    <row r="7767" spans="1:9" x14ac:dyDescent="0.2">
      <c r="A7767" t="s">
        <v>1604</v>
      </c>
      <c r="B7767" t="s">
        <v>1656</v>
      </c>
      <c r="C7767" t="str">
        <f>"43696330000000"</f>
        <v>43696330000000</v>
      </c>
      <c r="D7767" t="s">
        <v>1656</v>
      </c>
      <c r="E7767" t="str">
        <f>"43696336048185"</f>
        <v>43696336048185</v>
      </c>
      <c r="F7767" s="8">
        <v>1718</v>
      </c>
      <c r="G7767" s="8">
        <v>4104</v>
      </c>
      <c r="H7767" s="8">
        <v>0</v>
      </c>
      <c r="I7767" s="8">
        <v>0</v>
      </c>
    </row>
    <row r="7768" spans="1:9" x14ac:dyDescent="0.2">
      <c r="A7768" t="s">
        <v>1604</v>
      </c>
      <c r="B7768" t="s">
        <v>1657</v>
      </c>
      <c r="C7768" t="str">
        <f t="shared" ref="C7768:C7786" si="390">"43696410000000"</f>
        <v>43696410000000</v>
      </c>
      <c r="D7768" t="s">
        <v>8684</v>
      </c>
      <c r="E7768" t="str">
        <f>"43696416048375"</f>
        <v>43696416048375</v>
      </c>
      <c r="F7768" s="8">
        <v>0</v>
      </c>
      <c r="G7768" s="8">
        <v>188873</v>
      </c>
      <c r="H7768" s="8">
        <v>770</v>
      </c>
      <c r="I7768" s="8">
        <v>6437</v>
      </c>
    </row>
    <row r="7769" spans="1:9" x14ac:dyDescent="0.2">
      <c r="A7769" t="s">
        <v>1604</v>
      </c>
      <c r="B7769" t="s">
        <v>1657</v>
      </c>
      <c r="C7769" t="str">
        <f t="shared" si="390"/>
        <v>43696410000000</v>
      </c>
      <c r="D7769" t="s">
        <v>8685</v>
      </c>
      <c r="E7769" t="str">
        <f>"43696416115562"</f>
        <v>43696416115562</v>
      </c>
      <c r="F7769" s="8">
        <v>26</v>
      </c>
      <c r="G7769" s="8">
        <v>23968</v>
      </c>
      <c r="H7769" s="8">
        <v>770</v>
      </c>
      <c r="I7769" s="8">
        <v>6437</v>
      </c>
    </row>
    <row r="7770" spans="1:9" x14ac:dyDescent="0.2">
      <c r="A7770" t="s">
        <v>1604</v>
      </c>
      <c r="B7770" t="s">
        <v>1657</v>
      </c>
      <c r="C7770" t="str">
        <f t="shared" si="390"/>
        <v>43696410000000</v>
      </c>
      <c r="D7770" t="s">
        <v>8686</v>
      </c>
      <c r="E7770" t="str">
        <f>"43696416048409"</f>
        <v>43696416048409</v>
      </c>
      <c r="F7770" s="8">
        <v>12</v>
      </c>
      <c r="G7770" s="8">
        <v>21815</v>
      </c>
      <c r="H7770" s="8">
        <v>770</v>
      </c>
      <c r="I7770" s="8">
        <v>6437</v>
      </c>
    </row>
    <row r="7771" spans="1:9" x14ac:dyDescent="0.2">
      <c r="A7771" t="s">
        <v>1604</v>
      </c>
      <c r="B7771" t="s">
        <v>1657</v>
      </c>
      <c r="C7771" t="str">
        <f t="shared" si="390"/>
        <v>43696410000000</v>
      </c>
      <c r="D7771" t="s">
        <v>8687</v>
      </c>
      <c r="E7771" t="str">
        <f>"43696416118707"</f>
        <v>43696416118707</v>
      </c>
      <c r="F7771" s="8">
        <v>217</v>
      </c>
      <c r="G7771" s="8">
        <v>18963</v>
      </c>
      <c r="H7771" s="8">
        <v>770</v>
      </c>
      <c r="I7771" s="8">
        <v>6437</v>
      </c>
    </row>
    <row r="7772" spans="1:9" x14ac:dyDescent="0.2">
      <c r="A7772" t="s">
        <v>1604</v>
      </c>
      <c r="B7772" t="s">
        <v>1657</v>
      </c>
      <c r="C7772" t="str">
        <f t="shared" si="390"/>
        <v>43696410000000</v>
      </c>
      <c r="D7772" t="s">
        <v>8688</v>
      </c>
      <c r="E7772" t="str">
        <f>"43696416060065"</f>
        <v>43696416060065</v>
      </c>
      <c r="F7772" s="8">
        <v>137</v>
      </c>
      <c r="G7772" s="8">
        <v>18967</v>
      </c>
      <c r="H7772" s="8">
        <v>770</v>
      </c>
      <c r="I7772" s="8">
        <v>6437</v>
      </c>
    </row>
    <row r="7773" spans="1:9" x14ac:dyDescent="0.2">
      <c r="A7773" t="s">
        <v>1604</v>
      </c>
      <c r="B7773" t="s">
        <v>1657</v>
      </c>
      <c r="C7773" t="str">
        <f t="shared" si="390"/>
        <v>43696410000000</v>
      </c>
      <c r="D7773" t="s">
        <v>8689</v>
      </c>
      <c r="E7773" t="str">
        <f>"43696416048326"</f>
        <v>43696416048326</v>
      </c>
      <c r="F7773" s="8">
        <v>0</v>
      </c>
      <c r="G7773" s="8">
        <v>18224</v>
      </c>
      <c r="H7773" s="8">
        <v>770</v>
      </c>
      <c r="I7773" s="8">
        <v>6437</v>
      </c>
    </row>
    <row r="7774" spans="1:9" x14ac:dyDescent="0.2">
      <c r="A7774" t="s">
        <v>1604</v>
      </c>
      <c r="B7774" t="s">
        <v>1657</v>
      </c>
      <c r="C7774" t="str">
        <f t="shared" si="390"/>
        <v>43696410000000</v>
      </c>
      <c r="D7774" t="s">
        <v>8690</v>
      </c>
      <c r="E7774" t="str">
        <f>"43696416060081"</f>
        <v>43696416060081</v>
      </c>
      <c r="F7774" s="8">
        <v>393</v>
      </c>
      <c r="G7774" s="8">
        <v>17254</v>
      </c>
      <c r="H7774" s="8">
        <v>770</v>
      </c>
      <c r="I7774" s="8">
        <v>6437</v>
      </c>
    </row>
    <row r="7775" spans="1:9" x14ac:dyDescent="0.2">
      <c r="A7775" t="s">
        <v>1604</v>
      </c>
      <c r="B7775" t="s">
        <v>1657</v>
      </c>
      <c r="C7775" t="str">
        <f t="shared" si="390"/>
        <v>43696410000000</v>
      </c>
      <c r="D7775" t="s">
        <v>8691</v>
      </c>
      <c r="E7775" t="str">
        <f>"43696416048292"</f>
        <v>43696416048292</v>
      </c>
      <c r="F7775" s="8">
        <v>0</v>
      </c>
      <c r="G7775" s="8">
        <v>17208</v>
      </c>
      <c r="H7775" s="8">
        <v>770</v>
      </c>
      <c r="I7775" s="8">
        <v>6437</v>
      </c>
    </row>
    <row r="7776" spans="1:9" x14ac:dyDescent="0.2">
      <c r="A7776" t="s">
        <v>1604</v>
      </c>
      <c r="B7776" t="s">
        <v>1657</v>
      </c>
      <c r="C7776" t="str">
        <f t="shared" si="390"/>
        <v>43696410000000</v>
      </c>
      <c r="D7776" t="s">
        <v>8692</v>
      </c>
      <c r="E7776" t="str">
        <f>"43696416068241"</f>
        <v>43696416068241</v>
      </c>
      <c r="F7776" s="8">
        <v>0</v>
      </c>
      <c r="G7776" s="8">
        <v>17186</v>
      </c>
      <c r="H7776" s="8">
        <v>770</v>
      </c>
      <c r="I7776" s="8">
        <v>6437</v>
      </c>
    </row>
    <row r="7777" spans="1:9" x14ac:dyDescent="0.2">
      <c r="A7777" t="s">
        <v>1604</v>
      </c>
      <c r="B7777" t="s">
        <v>1657</v>
      </c>
      <c r="C7777" t="str">
        <f t="shared" si="390"/>
        <v>43696410000000</v>
      </c>
      <c r="D7777" t="s">
        <v>8693</v>
      </c>
      <c r="E7777" t="str">
        <f>"43696416048193"</f>
        <v>43696416048193</v>
      </c>
      <c r="F7777" s="8">
        <v>144</v>
      </c>
      <c r="G7777" s="8">
        <v>16601</v>
      </c>
      <c r="H7777" s="8">
        <v>770</v>
      </c>
      <c r="I7777" s="8">
        <v>6437</v>
      </c>
    </row>
    <row r="7778" spans="1:9" x14ac:dyDescent="0.2">
      <c r="A7778" t="s">
        <v>1604</v>
      </c>
      <c r="B7778" t="s">
        <v>1657</v>
      </c>
      <c r="C7778" t="str">
        <f t="shared" si="390"/>
        <v>43696410000000</v>
      </c>
      <c r="D7778" t="s">
        <v>8694</v>
      </c>
      <c r="E7778" t="str">
        <f>"43696416048235"</f>
        <v>43696416048235</v>
      </c>
      <c r="F7778" s="8">
        <v>8</v>
      </c>
      <c r="G7778" s="8">
        <v>16725</v>
      </c>
      <c r="H7778" s="8">
        <v>770</v>
      </c>
      <c r="I7778" s="8">
        <v>6437</v>
      </c>
    </row>
    <row r="7779" spans="1:9" x14ac:dyDescent="0.2">
      <c r="A7779" t="s">
        <v>1604</v>
      </c>
      <c r="B7779" t="s">
        <v>1657</v>
      </c>
      <c r="C7779" t="str">
        <f t="shared" si="390"/>
        <v>43696410000000</v>
      </c>
      <c r="D7779" t="s">
        <v>8695</v>
      </c>
      <c r="E7779" t="str">
        <f>"43696416048250"</f>
        <v>43696416048250</v>
      </c>
      <c r="F7779" s="8">
        <v>146</v>
      </c>
      <c r="G7779" s="8">
        <v>16405</v>
      </c>
      <c r="H7779" s="8">
        <v>770</v>
      </c>
      <c r="I7779" s="8">
        <v>6437</v>
      </c>
    </row>
    <row r="7780" spans="1:9" x14ac:dyDescent="0.2">
      <c r="A7780" t="s">
        <v>1604</v>
      </c>
      <c r="B7780" t="s">
        <v>1657</v>
      </c>
      <c r="C7780" t="str">
        <f t="shared" si="390"/>
        <v>43696410000000</v>
      </c>
      <c r="D7780" t="s">
        <v>8696</v>
      </c>
      <c r="E7780" t="str">
        <f>"43696416048268"</f>
        <v>43696416048268</v>
      </c>
      <c r="F7780" s="8">
        <v>0</v>
      </c>
      <c r="G7780" s="8">
        <v>15846</v>
      </c>
      <c r="H7780" s="8">
        <v>770</v>
      </c>
      <c r="I7780" s="8">
        <v>6437</v>
      </c>
    </row>
    <row r="7781" spans="1:9" x14ac:dyDescent="0.2">
      <c r="A7781" t="s">
        <v>1604</v>
      </c>
      <c r="B7781" t="s">
        <v>1657</v>
      </c>
      <c r="C7781" t="str">
        <f t="shared" si="390"/>
        <v>43696410000000</v>
      </c>
      <c r="D7781" t="s">
        <v>8697</v>
      </c>
      <c r="E7781" t="str">
        <f>"43696414335782"</f>
        <v>43696414335782</v>
      </c>
      <c r="F7781" s="8">
        <v>120</v>
      </c>
      <c r="G7781" s="8">
        <v>15627</v>
      </c>
      <c r="H7781" s="8">
        <v>770</v>
      </c>
      <c r="I7781" s="8">
        <v>6437</v>
      </c>
    </row>
    <row r="7782" spans="1:9" x14ac:dyDescent="0.2">
      <c r="A7782" t="s">
        <v>1604</v>
      </c>
      <c r="B7782" t="s">
        <v>1657</v>
      </c>
      <c r="C7782" t="str">
        <f t="shared" si="390"/>
        <v>43696410000000</v>
      </c>
      <c r="D7782" t="s">
        <v>8698</v>
      </c>
      <c r="E7782" t="str">
        <f>"43696414332904"</f>
        <v>43696414332904</v>
      </c>
      <c r="F7782" s="8">
        <v>152</v>
      </c>
      <c r="G7782" s="8">
        <v>15230</v>
      </c>
      <c r="H7782" s="8">
        <v>770</v>
      </c>
      <c r="I7782" s="8">
        <v>6437</v>
      </c>
    </row>
    <row r="7783" spans="1:9" x14ac:dyDescent="0.2">
      <c r="A7783" t="s">
        <v>1604</v>
      </c>
      <c r="B7783" t="s">
        <v>1657</v>
      </c>
      <c r="C7783" t="str">
        <f t="shared" si="390"/>
        <v>43696410000000</v>
      </c>
      <c r="D7783" t="s">
        <v>2706</v>
      </c>
      <c r="E7783" t="str">
        <f>"43696416048243"</f>
        <v>43696416048243</v>
      </c>
      <c r="F7783" s="8">
        <v>0</v>
      </c>
      <c r="G7783" s="8">
        <v>14862</v>
      </c>
      <c r="H7783" s="8">
        <v>770</v>
      </c>
      <c r="I7783" s="8">
        <v>6437</v>
      </c>
    </row>
    <row r="7784" spans="1:9" x14ac:dyDescent="0.2">
      <c r="A7784" t="s">
        <v>1604</v>
      </c>
      <c r="B7784" t="s">
        <v>1657</v>
      </c>
      <c r="C7784" t="str">
        <f t="shared" si="390"/>
        <v>43696410000000</v>
      </c>
      <c r="D7784" t="s">
        <v>8699</v>
      </c>
      <c r="E7784" t="str">
        <f>"43696416048359"</f>
        <v>43696416048359</v>
      </c>
      <c r="F7784" s="8">
        <v>0</v>
      </c>
      <c r="G7784" s="8">
        <v>14277</v>
      </c>
      <c r="H7784" s="8">
        <v>770</v>
      </c>
      <c r="I7784" s="8">
        <v>6437</v>
      </c>
    </row>
    <row r="7785" spans="1:9" x14ac:dyDescent="0.2">
      <c r="A7785" t="s">
        <v>1604</v>
      </c>
      <c r="B7785" t="s">
        <v>1657</v>
      </c>
      <c r="C7785" t="str">
        <f t="shared" si="390"/>
        <v>43696410000000</v>
      </c>
      <c r="D7785" t="s">
        <v>6407</v>
      </c>
      <c r="E7785" t="str">
        <f>"43696416048201"</f>
        <v>43696416048201</v>
      </c>
      <c r="F7785" s="8">
        <v>81</v>
      </c>
      <c r="G7785" s="8">
        <v>11958</v>
      </c>
      <c r="H7785" s="8">
        <v>770</v>
      </c>
      <c r="I7785" s="8">
        <v>6437</v>
      </c>
    </row>
    <row r="7786" spans="1:9" x14ac:dyDescent="0.2">
      <c r="A7786" t="s">
        <v>1604</v>
      </c>
      <c r="B7786" t="s">
        <v>1657</v>
      </c>
      <c r="C7786" t="str">
        <f t="shared" si="390"/>
        <v>43696410000000</v>
      </c>
      <c r="D7786" t="s">
        <v>8700</v>
      </c>
      <c r="E7786" t="str">
        <f>"43696416048300"</f>
        <v>43696416048300</v>
      </c>
      <c r="F7786" s="8">
        <v>0</v>
      </c>
      <c r="G7786" s="8">
        <v>10085</v>
      </c>
      <c r="H7786" s="8">
        <v>770</v>
      </c>
      <c r="I7786" s="8">
        <v>6437</v>
      </c>
    </row>
    <row r="7787" spans="1:9" x14ac:dyDescent="0.2">
      <c r="A7787" t="s">
        <v>1604</v>
      </c>
      <c r="B7787" t="s">
        <v>1670</v>
      </c>
      <c r="C7787" t="str">
        <f t="shared" ref="C7787:C7828" si="391">"43696660000000"</f>
        <v>43696660000000</v>
      </c>
      <c r="D7787" t="s">
        <v>8701</v>
      </c>
      <c r="E7787" t="str">
        <f>"43696664332110"</f>
        <v>43696664332110</v>
      </c>
      <c r="F7787" s="8">
        <v>1204</v>
      </c>
      <c r="G7787" s="8">
        <v>19088</v>
      </c>
      <c r="H7787" s="8">
        <v>755</v>
      </c>
      <c r="I7787" s="8">
        <v>7562</v>
      </c>
    </row>
    <row r="7788" spans="1:9" x14ac:dyDescent="0.2">
      <c r="A7788" t="s">
        <v>1604</v>
      </c>
      <c r="B7788" t="s">
        <v>1670</v>
      </c>
      <c r="C7788" t="str">
        <f t="shared" si="391"/>
        <v>43696660000000</v>
      </c>
      <c r="D7788" t="s">
        <v>8702</v>
      </c>
      <c r="E7788" t="str">
        <f>"43696666048490"</f>
        <v>43696666048490</v>
      </c>
      <c r="F7788" s="8">
        <v>4782</v>
      </c>
      <c r="G7788" s="8">
        <v>8996</v>
      </c>
      <c r="H7788" s="8">
        <v>755</v>
      </c>
      <c r="I7788" s="8">
        <v>7562</v>
      </c>
    </row>
    <row r="7789" spans="1:9" x14ac:dyDescent="0.2">
      <c r="A7789" t="s">
        <v>1604</v>
      </c>
      <c r="B7789" t="s">
        <v>1670</v>
      </c>
      <c r="C7789" t="str">
        <f t="shared" si="391"/>
        <v>43696660000000</v>
      </c>
      <c r="D7789" t="s">
        <v>8703</v>
      </c>
      <c r="E7789" t="str">
        <f>"43696664330502"</f>
        <v>43696664330502</v>
      </c>
      <c r="F7789" s="8">
        <v>402</v>
      </c>
      <c r="G7789" s="8">
        <v>12717</v>
      </c>
      <c r="H7789" s="8">
        <v>755</v>
      </c>
      <c r="I7789" s="8">
        <v>7562</v>
      </c>
    </row>
    <row r="7790" spans="1:9" x14ac:dyDescent="0.2">
      <c r="A7790" t="s">
        <v>1604</v>
      </c>
      <c r="B7790" t="s">
        <v>1670</v>
      </c>
      <c r="C7790" t="str">
        <f t="shared" si="391"/>
        <v>43696660000000</v>
      </c>
      <c r="D7790" t="s">
        <v>2716</v>
      </c>
      <c r="E7790" t="str">
        <f>"43696664330593"</f>
        <v>43696664330593</v>
      </c>
      <c r="F7790" s="8">
        <v>402</v>
      </c>
      <c r="G7790" s="8">
        <v>12717</v>
      </c>
      <c r="H7790" s="8">
        <v>755</v>
      </c>
      <c r="I7790" s="8">
        <v>7562</v>
      </c>
    </row>
    <row r="7791" spans="1:9" x14ac:dyDescent="0.2">
      <c r="A7791" t="s">
        <v>1604</v>
      </c>
      <c r="B7791" t="s">
        <v>1670</v>
      </c>
      <c r="C7791" t="str">
        <f t="shared" si="391"/>
        <v>43696660000000</v>
      </c>
      <c r="D7791" t="s">
        <v>8704</v>
      </c>
      <c r="E7791" t="str">
        <f>"43696666048714"</f>
        <v>43696666048714</v>
      </c>
      <c r="F7791" s="8">
        <v>3702</v>
      </c>
      <c r="G7791" s="8">
        <v>8649</v>
      </c>
      <c r="H7791" s="8">
        <v>755</v>
      </c>
      <c r="I7791" s="8">
        <v>7562</v>
      </c>
    </row>
    <row r="7792" spans="1:9" x14ac:dyDescent="0.2">
      <c r="A7792" t="s">
        <v>1604</v>
      </c>
      <c r="B7792" t="s">
        <v>1670</v>
      </c>
      <c r="C7792" t="str">
        <f t="shared" si="391"/>
        <v>43696660000000</v>
      </c>
      <c r="D7792" t="s">
        <v>2921</v>
      </c>
      <c r="E7792" t="str">
        <f>"43696666048649"</f>
        <v>43696666048649</v>
      </c>
      <c r="F7792" s="8">
        <v>918</v>
      </c>
      <c r="G7792" s="8">
        <v>8884</v>
      </c>
      <c r="H7792" s="8">
        <v>755</v>
      </c>
      <c r="I7792" s="8">
        <v>7562</v>
      </c>
    </row>
    <row r="7793" spans="1:9" x14ac:dyDescent="0.2">
      <c r="A7793" t="s">
        <v>1604</v>
      </c>
      <c r="B7793" t="s">
        <v>1670</v>
      </c>
      <c r="C7793" t="str">
        <f t="shared" si="391"/>
        <v>43696660000000</v>
      </c>
      <c r="D7793" t="s">
        <v>8705</v>
      </c>
      <c r="E7793" t="str">
        <f>"43696666093090"</f>
        <v>43696666093090</v>
      </c>
      <c r="F7793" s="8">
        <v>1003</v>
      </c>
      <c r="G7793" s="8">
        <v>8670</v>
      </c>
      <c r="H7793" s="8">
        <v>755</v>
      </c>
      <c r="I7793" s="8">
        <v>7562</v>
      </c>
    </row>
    <row r="7794" spans="1:9" x14ac:dyDescent="0.2">
      <c r="A7794" t="s">
        <v>1604</v>
      </c>
      <c r="B7794" t="s">
        <v>1670</v>
      </c>
      <c r="C7794" t="str">
        <f t="shared" si="391"/>
        <v>43696660000000</v>
      </c>
      <c r="D7794" t="s">
        <v>8706</v>
      </c>
      <c r="E7794" t="str">
        <f>"43696666048425"</f>
        <v>43696666048425</v>
      </c>
      <c r="F7794" s="8">
        <v>567</v>
      </c>
      <c r="G7794" s="8">
        <v>8794</v>
      </c>
      <c r="H7794" s="8">
        <v>755</v>
      </c>
      <c r="I7794" s="8">
        <v>7562</v>
      </c>
    </row>
    <row r="7795" spans="1:9" x14ac:dyDescent="0.2">
      <c r="A7795" t="s">
        <v>1604</v>
      </c>
      <c r="B7795" t="s">
        <v>1670</v>
      </c>
      <c r="C7795" t="str">
        <f t="shared" si="391"/>
        <v>43696660000000</v>
      </c>
      <c r="D7795" t="s">
        <v>1715</v>
      </c>
      <c r="E7795" t="str">
        <f>"43696666048540"</f>
        <v>43696666048540</v>
      </c>
      <c r="F7795" s="8">
        <v>680</v>
      </c>
      <c r="G7795" s="8">
        <v>8457</v>
      </c>
      <c r="H7795" s="8">
        <v>755</v>
      </c>
      <c r="I7795" s="8">
        <v>7562</v>
      </c>
    </row>
    <row r="7796" spans="1:9" x14ac:dyDescent="0.2">
      <c r="A7796" t="s">
        <v>1604</v>
      </c>
      <c r="B7796" t="s">
        <v>1670</v>
      </c>
      <c r="C7796" t="str">
        <f t="shared" si="391"/>
        <v>43696660000000</v>
      </c>
      <c r="D7796" t="s">
        <v>8707</v>
      </c>
      <c r="E7796" t="str">
        <f>"43696666048516"</f>
        <v>43696666048516</v>
      </c>
      <c r="F7796" s="8">
        <v>1201</v>
      </c>
      <c r="G7796" s="8">
        <v>7932</v>
      </c>
      <c r="H7796" s="8">
        <v>755</v>
      </c>
      <c r="I7796" s="8">
        <v>7562</v>
      </c>
    </row>
    <row r="7797" spans="1:9" x14ac:dyDescent="0.2">
      <c r="A7797" t="s">
        <v>1604</v>
      </c>
      <c r="B7797" t="s">
        <v>1670</v>
      </c>
      <c r="C7797" t="str">
        <f t="shared" si="391"/>
        <v>43696660000000</v>
      </c>
      <c r="D7797" t="s">
        <v>8708</v>
      </c>
      <c r="E7797" t="str">
        <f>"43696666062103"</f>
        <v>43696666062103</v>
      </c>
      <c r="F7797" s="8">
        <v>590</v>
      </c>
      <c r="G7797" s="8">
        <v>8430</v>
      </c>
      <c r="H7797" s="8">
        <v>755</v>
      </c>
      <c r="I7797" s="8">
        <v>7562</v>
      </c>
    </row>
    <row r="7798" spans="1:9" x14ac:dyDescent="0.2">
      <c r="A7798" t="s">
        <v>1604</v>
      </c>
      <c r="B7798" t="s">
        <v>1670</v>
      </c>
      <c r="C7798" t="str">
        <f t="shared" si="391"/>
        <v>43696660000000</v>
      </c>
      <c r="D7798" t="s">
        <v>2094</v>
      </c>
      <c r="E7798" t="str">
        <f>"43696666048748"</f>
        <v>43696666048748</v>
      </c>
      <c r="F7798" s="8">
        <v>664</v>
      </c>
      <c r="G7798" s="8">
        <v>8290</v>
      </c>
      <c r="H7798" s="8">
        <v>755</v>
      </c>
      <c r="I7798" s="8">
        <v>7562</v>
      </c>
    </row>
    <row r="7799" spans="1:9" x14ac:dyDescent="0.2">
      <c r="A7799" t="s">
        <v>1604</v>
      </c>
      <c r="B7799" t="s">
        <v>1670</v>
      </c>
      <c r="C7799" t="str">
        <f t="shared" si="391"/>
        <v>43696660000000</v>
      </c>
      <c r="D7799" t="s">
        <v>8709</v>
      </c>
      <c r="E7799" t="str">
        <f>"43696666048698"</f>
        <v>43696666048698</v>
      </c>
      <c r="F7799" s="8">
        <v>1122</v>
      </c>
      <c r="G7799" s="8">
        <v>7820</v>
      </c>
      <c r="H7799" s="8">
        <v>755</v>
      </c>
      <c r="I7799" s="8">
        <v>7562</v>
      </c>
    </row>
    <row r="7800" spans="1:9" x14ac:dyDescent="0.2">
      <c r="A7800" t="s">
        <v>1604</v>
      </c>
      <c r="B7800" t="s">
        <v>1670</v>
      </c>
      <c r="C7800" t="str">
        <f t="shared" si="391"/>
        <v>43696660000000</v>
      </c>
      <c r="D7800" t="s">
        <v>8710</v>
      </c>
      <c r="E7800" t="str">
        <f>"43696666048417"</f>
        <v>43696666048417</v>
      </c>
      <c r="F7800" s="8">
        <v>659</v>
      </c>
      <c r="G7800" s="8">
        <v>8257</v>
      </c>
      <c r="H7800" s="8">
        <v>755</v>
      </c>
      <c r="I7800" s="8">
        <v>7562</v>
      </c>
    </row>
    <row r="7801" spans="1:9" x14ac:dyDescent="0.2">
      <c r="A7801" t="s">
        <v>1604</v>
      </c>
      <c r="B7801" t="s">
        <v>1670</v>
      </c>
      <c r="C7801" t="str">
        <f t="shared" si="391"/>
        <v>43696660000000</v>
      </c>
      <c r="D7801" t="s">
        <v>8711</v>
      </c>
      <c r="E7801" t="str">
        <f>"43696666119010"</f>
        <v>43696666119010</v>
      </c>
      <c r="F7801" s="8">
        <v>713</v>
      </c>
      <c r="G7801" s="8">
        <v>8004</v>
      </c>
      <c r="H7801" s="8">
        <v>755</v>
      </c>
      <c r="I7801" s="8">
        <v>7562</v>
      </c>
    </row>
    <row r="7802" spans="1:9" x14ac:dyDescent="0.2">
      <c r="A7802" t="s">
        <v>1604</v>
      </c>
      <c r="B7802" t="s">
        <v>1670</v>
      </c>
      <c r="C7802" t="str">
        <f t="shared" si="391"/>
        <v>43696660000000</v>
      </c>
      <c r="D7802" t="s">
        <v>2343</v>
      </c>
      <c r="E7802" t="str">
        <f>"43696666060115"</f>
        <v>43696666060115</v>
      </c>
      <c r="F7802" s="8">
        <v>478</v>
      </c>
      <c r="G7802" s="8">
        <v>8104</v>
      </c>
      <c r="H7802" s="8">
        <v>755</v>
      </c>
      <c r="I7802" s="8">
        <v>7562</v>
      </c>
    </row>
    <row r="7803" spans="1:9" x14ac:dyDescent="0.2">
      <c r="A7803" t="s">
        <v>1604</v>
      </c>
      <c r="B7803" t="s">
        <v>1670</v>
      </c>
      <c r="C7803" t="str">
        <f t="shared" si="391"/>
        <v>43696660000000</v>
      </c>
      <c r="D7803" t="s">
        <v>8712</v>
      </c>
      <c r="E7803" t="str">
        <f>"43696666048433"</f>
        <v>43696666048433</v>
      </c>
      <c r="F7803" s="8">
        <v>485</v>
      </c>
      <c r="G7803" s="8">
        <v>7948</v>
      </c>
      <c r="H7803" s="8">
        <v>755</v>
      </c>
      <c r="I7803" s="8">
        <v>7562</v>
      </c>
    </row>
    <row r="7804" spans="1:9" x14ac:dyDescent="0.2">
      <c r="A7804" t="s">
        <v>1604</v>
      </c>
      <c r="B7804" t="s">
        <v>1670</v>
      </c>
      <c r="C7804" t="str">
        <f t="shared" si="391"/>
        <v>43696660000000</v>
      </c>
      <c r="D7804" t="s">
        <v>8713</v>
      </c>
      <c r="E7804" t="str">
        <f>"43696664330080"</f>
        <v>43696664330080</v>
      </c>
      <c r="F7804" s="8">
        <v>561</v>
      </c>
      <c r="G7804" s="8">
        <v>7830</v>
      </c>
      <c r="H7804" s="8">
        <v>755</v>
      </c>
      <c r="I7804" s="8">
        <v>7562</v>
      </c>
    </row>
    <row r="7805" spans="1:9" x14ac:dyDescent="0.2">
      <c r="A7805" t="s">
        <v>1604</v>
      </c>
      <c r="B7805" t="s">
        <v>1670</v>
      </c>
      <c r="C7805" t="str">
        <f t="shared" si="391"/>
        <v>43696660000000</v>
      </c>
      <c r="D7805" t="s">
        <v>8714</v>
      </c>
      <c r="E7805" t="str">
        <f>"43696666048532"</f>
        <v>43696666048532</v>
      </c>
      <c r="F7805" s="8">
        <v>562</v>
      </c>
      <c r="G7805" s="8">
        <v>7667</v>
      </c>
      <c r="H7805" s="8">
        <v>755</v>
      </c>
      <c r="I7805" s="8">
        <v>7562</v>
      </c>
    </row>
    <row r="7806" spans="1:9" x14ac:dyDescent="0.2">
      <c r="A7806" t="s">
        <v>1604</v>
      </c>
      <c r="B7806" t="s">
        <v>1670</v>
      </c>
      <c r="C7806" t="str">
        <f t="shared" si="391"/>
        <v>43696660000000</v>
      </c>
      <c r="D7806" t="s">
        <v>5471</v>
      </c>
      <c r="E7806" t="str">
        <f>"43696666062111"</f>
        <v>43696666062111</v>
      </c>
      <c r="F7806" s="8">
        <v>307</v>
      </c>
      <c r="G7806" s="8">
        <v>7559</v>
      </c>
      <c r="H7806" s="8">
        <v>755</v>
      </c>
      <c r="I7806" s="8">
        <v>7562</v>
      </c>
    </row>
    <row r="7807" spans="1:9" x14ac:dyDescent="0.2">
      <c r="A7807" t="s">
        <v>1604</v>
      </c>
      <c r="B7807" t="s">
        <v>1670</v>
      </c>
      <c r="C7807" t="str">
        <f t="shared" si="391"/>
        <v>43696660000000</v>
      </c>
      <c r="D7807" t="s">
        <v>5318</v>
      </c>
      <c r="E7807" t="str">
        <f>"43696666048664"</f>
        <v>43696666048664</v>
      </c>
      <c r="F7807" s="8">
        <v>409</v>
      </c>
      <c r="G7807" s="8">
        <v>7216</v>
      </c>
      <c r="H7807" s="8">
        <v>755</v>
      </c>
      <c r="I7807" s="8">
        <v>7562</v>
      </c>
    </row>
    <row r="7808" spans="1:9" x14ac:dyDescent="0.2">
      <c r="A7808" t="s">
        <v>1604</v>
      </c>
      <c r="B7808" t="s">
        <v>1670</v>
      </c>
      <c r="C7808" t="str">
        <f t="shared" si="391"/>
        <v>43696660000000</v>
      </c>
      <c r="D7808" t="s">
        <v>8715</v>
      </c>
      <c r="E7808" t="str">
        <f>"43696666060107"</f>
        <v>43696666060107</v>
      </c>
      <c r="F7808" s="8">
        <v>423</v>
      </c>
      <c r="G7808" s="8">
        <v>7036</v>
      </c>
      <c r="H7808" s="8">
        <v>755</v>
      </c>
      <c r="I7808" s="8">
        <v>7562</v>
      </c>
    </row>
    <row r="7809" spans="1:9" x14ac:dyDescent="0.2">
      <c r="A7809" t="s">
        <v>1604</v>
      </c>
      <c r="B7809" t="s">
        <v>1670</v>
      </c>
      <c r="C7809" t="str">
        <f t="shared" si="391"/>
        <v>43696660000000</v>
      </c>
      <c r="D7809" t="s">
        <v>2200</v>
      </c>
      <c r="E7809" t="str">
        <f>"43696666060099"</f>
        <v>43696666060099</v>
      </c>
      <c r="F7809" s="8">
        <v>389</v>
      </c>
      <c r="G7809" s="8">
        <v>7030</v>
      </c>
      <c r="H7809" s="8">
        <v>755</v>
      </c>
      <c r="I7809" s="8">
        <v>7562</v>
      </c>
    </row>
    <row r="7810" spans="1:9" x14ac:dyDescent="0.2">
      <c r="A7810" t="s">
        <v>1604</v>
      </c>
      <c r="B7810" t="s">
        <v>1670</v>
      </c>
      <c r="C7810" t="str">
        <f t="shared" si="391"/>
        <v>43696660000000</v>
      </c>
      <c r="D7810" t="s">
        <v>8716</v>
      </c>
      <c r="E7810" t="str">
        <f>"43696664337200"</f>
        <v>43696664337200</v>
      </c>
      <c r="F7810" s="8">
        <v>286</v>
      </c>
      <c r="G7810" s="8">
        <v>7133</v>
      </c>
      <c r="H7810" s="8">
        <v>755</v>
      </c>
      <c r="I7810" s="8">
        <v>7562</v>
      </c>
    </row>
    <row r="7811" spans="1:9" x14ac:dyDescent="0.2">
      <c r="A7811" t="s">
        <v>1604</v>
      </c>
      <c r="B7811" t="s">
        <v>1670</v>
      </c>
      <c r="C7811" t="str">
        <f t="shared" si="391"/>
        <v>43696660000000</v>
      </c>
      <c r="D7811" t="s">
        <v>2288</v>
      </c>
      <c r="E7811" t="str">
        <f>"43696666048599"</f>
        <v>43696666048599</v>
      </c>
      <c r="F7811" s="8">
        <v>374</v>
      </c>
      <c r="G7811" s="8">
        <v>6909</v>
      </c>
      <c r="H7811" s="8">
        <v>755</v>
      </c>
      <c r="I7811" s="8">
        <v>7562</v>
      </c>
    </row>
    <row r="7812" spans="1:9" x14ac:dyDescent="0.2">
      <c r="A7812" t="s">
        <v>1604</v>
      </c>
      <c r="B7812" t="s">
        <v>1670</v>
      </c>
      <c r="C7812" t="str">
        <f t="shared" si="391"/>
        <v>43696660000000</v>
      </c>
      <c r="D7812" t="s">
        <v>8717</v>
      </c>
      <c r="E7812" t="str">
        <f>"43696664338950"</f>
        <v>43696664338950</v>
      </c>
      <c r="F7812" s="8">
        <v>340</v>
      </c>
      <c r="G7812" s="8">
        <v>6927</v>
      </c>
      <c r="H7812" s="8">
        <v>755</v>
      </c>
      <c r="I7812" s="8">
        <v>7562</v>
      </c>
    </row>
    <row r="7813" spans="1:9" x14ac:dyDescent="0.2">
      <c r="A7813" t="s">
        <v>1604</v>
      </c>
      <c r="B7813" t="s">
        <v>1670</v>
      </c>
      <c r="C7813" t="str">
        <f t="shared" si="391"/>
        <v>43696660000000</v>
      </c>
      <c r="D7813" t="s">
        <v>8718</v>
      </c>
      <c r="E7813" t="str">
        <f>"43696666048672"</f>
        <v>43696666048672</v>
      </c>
      <c r="F7813" s="8">
        <v>253</v>
      </c>
      <c r="G7813" s="8">
        <v>6942</v>
      </c>
      <c r="H7813" s="8">
        <v>755</v>
      </c>
      <c r="I7813" s="8">
        <v>7562</v>
      </c>
    </row>
    <row r="7814" spans="1:9" x14ac:dyDescent="0.2">
      <c r="A7814" t="s">
        <v>1604</v>
      </c>
      <c r="B7814" t="s">
        <v>1670</v>
      </c>
      <c r="C7814" t="str">
        <f t="shared" si="391"/>
        <v>43696660000000</v>
      </c>
      <c r="D7814" t="s">
        <v>8719</v>
      </c>
      <c r="E7814" t="str">
        <f>"43696664333795"</f>
        <v>43696664333795</v>
      </c>
      <c r="F7814" s="8">
        <v>261</v>
      </c>
      <c r="G7814" s="8">
        <v>6846</v>
      </c>
      <c r="H7814" s="8">
        <v>755</v>
      </c>
      <c r="I7814" s="8">
        <v>7562</v>
      </c>
    </row>
    <row r="7815" spans="1:9" x14ac:dyDescent="0.2">
      <c r="A7815" t="s">
        <v>1604</v>
      </c>
      <c r="B7815" t="s">
        <v>1670</v>
      </c>
      <c r="C7815" t="str">
        <f t="shared" si="391"/>
        <v>43696660000000</v>
      </c>
      <c r="D7815" t="s">
        <v>8720</v>
      </c>
      <c r="E7815" t="str">
        <f>"43696666095418"</f>
        <v>43696666095418</v>
      </c>
      <c r="F7815" s="8">
        <v>208</v>
      </c>
      <c r="G7815" s="8">
        <v>6801</v>
      </c>
      <c r="H7815" s="8">
        <v>755</v>
      </c>
      <c r="I7815" s="8">
        <v>7562</v>
      </c>
    </row>
    <row r="7816" spans="1:9" x14ac:dyDescent="0.2">
      <c r="A7816" t="s">
        <v>1604</v>
      </c>
      <c r="B7816" t="s">
        <v>1670</v>
      </c>
      <c r="C7816" t="str">
        <f t="shared" si="391"/>
        <v>43696660000000</v>
      </c>
      <c r="D7816" t="s">
        <v>8721</v>
      </c>
      <c r="E7816" t="str">
        <f>"43696666048730"</f>
        <v>43696666048730</v>
      </c>
      <c r="F7816" s="8">
        <v>235</v>
      </c>
      <c r="G7816" s="8">
        <v>6769</v>
      </c>
      <c r="H7816" s="8">
        <v>755</v>
      </c>
      <c r="I7816" s="8">
        <v>7562</v>
      </c>
    </row>
    <row r="7817" spans="1:9" x14ac:dyDescent="0.2">
      <c r="A7817" t="s">
        <v>1604</v>
      </c>
      <c r="B7817" t="s">
        <v>1670</v>
      </c>
      <c r="C7817" t="str">
        <f t="shared" si="391"/>
        <v>43696660000000</v>
      </c>
      <c r="D7817" t="s">
        <v>8722</v>
      </c>
      <c r="E7817" t="str">
        <f>"43696666048763"</f>
        <v>43696666048763</v>
      </c>
      <c r="F7817" s="8">
        <v>350</v>
      </c>
      <c r="G7817" s="8">
        <v>6636</v>
      </c>
      <c r="H7817" s="8">
        <v>755</v>
      </c>
      <c r="I7817" s="8">
        <v>7562</v>
      </c>
    </row>
    <row r="7818" spans="1:9" x14ac:dyDescent="0.2">
      <c r="A7818" t="s">
        <v>1604</v>
      </c>
      <c r="B7818" t="s">
        <v>1670</v>
      </c>
      <c r="C7818" t="str">
        <f t="shared" si="391"/>
        <v>43696660000000</v>
      </c>
      <c r="D7818" t="s">
        <v>8723</v>
      </c>
      <c r="E7818" t="str">
        <f>"43696666048680"</f>
        <v>43696666048680</v>
      </c>
      <c r="F7818" s="8">
        <v>362</v>
      </c>
      <c r="G7818" s="8">
        <v>6446</v>
      </c>
      <c r="H7818" s="8">
        <v>755</v>
      </c>
      <c r="I7818" s="8">
        <v>7562</v>
      </c>
    </row>
    <row r="7819" spans="1:9" x14ac:dyDescent="0.2">
      <c r="A7819" t="s">
        <v>1604</v>
      </c>
      <c r="B7819" t="s">
        <v>1670</v>
      </c>
      <c r="C7819" t="str">
        <f t="shared" si="391"/>
        <v>43696660000000</v>
      </c>
      <c r="D7819" t="s">
        <v>8724</v>
      </c>
      <c r="E7819" t="str">
        <f>"43696664333522"</f>
        <v>43696664333522</v>
      </c>
      <c r="F7819" s="8">
        <v>348</v>
      </c>
      <c r="G7819" s="8">
        <v>6354</v>
      </c>
      <c r="H7819" s="8">
        <v>755</v>
      </c>
      <c r="I7819" s="8">
        <v>7562</v>
      </c>
    </row>
    <row r="7820" spans="1:9" x14ac:dyDescent="0.2">
      <c r="A7820" t="s">
        <v>1604</v>
      </c>
      <c r="B7820" t="s">
        <v>1670</v>
      </c>
      <c r="C7820" t="str">
        <f t="shared" si="391"/>
        <v>43696660000000</v>
      </c>
      <c r="D7820" t="s">
        <v>8725</v>
      </c>
      <c r="E7820" t="str">
        <f>"43696666048706"</f>
        <v>43696666048706</v>
      </c>
      <c r="F7820" s="8">
        <v>440</v>
      </c>
      <c r="G7820" s="8">
        <v>6232</v>
      </c>
      <c r="H7820" s="8">
        <v>755</v>
      </c>
      <c r="I7820" s="8">
        <v>7562</v>
      </c>
    </row>
    <row r="7821" spans="1:9" x14ac:dyDescent="0.2">
      <c r="A7821" t="s">
        <v>1604</v>
      </c>
      <c r="B7821" t="s">
        <v>1670</v>
      </c>
      <c r="C7821" t="str">
        <f t="shared" si="391"/>
        <v>43696660000000</v>
      </c>
      <c r="D7821" t="s">
        <v>5194</v>
      </c>
      <c r="E7821" t="str">
        <f>"43696664335949"</f>
        <v>43696664335949</v>
      </c>
      <c r="F7821" s="8">
        <v>161</v>
      </c>
      <c r="G7821" s="8">
        <v>6478</v>
      </c>
      <c r="H7821" s="8">
        <v>755</v>
      </c>
      <c r="I7821" s="8">
        <v>7562</v>
      </c>
    </row>
    <row r="7822" spans="1:9" x14ac:dyDescent="0.2">
      <c r="A7822" t="s">
        <v>1604</v>
      </c>
      <c r="B7822" t="s">
        <v>1670</v>
      </c>
      <c r="C7822" t="str">
        <f t="shared" si="391"/>
        <v>43696660000000</v>
      </c>
      <c r="D7822" t="s">
        <v>8726</v>
      </c>
      <c r="E7822" t="str">
        <f>"43696666093082"</f>
        <v>43696666093082</v>
      </c>
      <c r="F7822" s="8">
        <v>488</v>
      </c>
      <c r="G7822" s="8">
        <v>5963</v>
      </c>
      <c r="H7822" s="8">
        <v>755</v>
      </c>
      <c r="I7822" s="8">
        <v>7562</v>
      </c>
    </row>
    <row r="7823" spans="1:9" x14ac:dyDescent="0.2">
      <c r="A7823" t="s">
        <v>1604</v>
      </c>
      <c r="B7823" t="s">
        <v>1670</v>
      </c>
      <c r="C7823" t="str">
        <f t="shared" si="391"/>
        <v>43696660000000</v>
      </c>
      <c r="D7823" t="s">
        <v>8727</v>
      </c>
      <c r="E7823" t="str">
        <f>"43696666048656"</f>
        <v>43696666048656</v>
      </c>
      <c r="F7823" s="8">
        <v>186</v>
      </c>
      <c r="G7823" s="8">
        <v>6121</v>
      </c>
      <c r="H7823" s="8">
        <v>755</v>
      </c>
      <c r="I7823" s="8">
        <v>7562</v>
      </c>
    </row>
    <row r="7824" spans="1:9" x14ac:dyDescent="0.2">
      <c r="A7824" t="s">
        <v>1604</v>
      </c>
      <c r="B7824" t="s">
        <v>1670</v>
      </c>
      <c r="C7824" t="str">
        <f t="shared" si="391"/>
        <v>43696660000000</v>
      </c>
      <c r="D7824" t="s">
        <v>8728</v>
      </c>
      <c r="E7824" t="str">
        <f>"43696666048565"</f>
        <v>43696666048565</v>
      </c>
      <c r="F7824" s="8">
        <v>133</v>
      </c>
      <c r="G7824" s="8">
        <v>6120</v>
      </c>
      <c r="H7824" s="8">
        <v>755</v>
      </c>
      <c r="I7824" s="8">
        <v>7562</v>
      </c>
    </row>
    <row r="7825" spans="1:9" x14ac:dyDescent="0.2">
      <c r="A7825" t="s">
        <v>1604</v>
      </c>
      <c r="B7825" t="s">
        <v>1670</v>
      </c>
      <c r="C7825" t="str">
        <f t="shared" si="391"/>
        <v>43696660000000</v>
      </c>
      <c r="D7825" t="s">
        <v>5968</v>
      </c>
      <c r="E7825" t="str">
        <f>"43696666093074"</f>
        <v>43696666093074</v>
      </c>
      <c r="F7825" s="8">
        <v>128</v>
      </c>
      <c r="G7825" s="8">
        <v>6109</v>
      </c>
      <c r="H7825" s="8">
        <v>755</v>
      </c>
      <c r="I7825" s="8">
        <v>7562</v>
      </c>
    </row>
    <row r="7826" spans="1:9" x14ac:dyDescent="0.2">
      <c r="A7826" t="s">
        <v>1604</v>
      </c>
      <c r="B7826" t="s">
        <v>1670</v>
      </c>
      <c r="C7826" t="str">
        <f t="shared" si="391"/>
        <v>43696660000000</v>
      </c>
      <c r="D7826" t="s">
        <v>8729</v>
      </c>
      <c r="E7826" t="str">
        <f>"43696666048722"</f>
        <v>43696666048722</v>
      </c>
      <c r="F7826" s="8">
        <v>302</v>
      </c>
      <c r="G7826" s="8">
        <v>5799</v>
      </c>
      <c r="H7826" s="8">
        <v>755</v>
      </c>
      <c r="I7826" s="8">
        <v>7562</v>
      </c>
    </row>
    <row r="7827" spans="1:9" x14ac:dyDescent="0.2">
      <c r="A7827" t="s">
        <v>1604</v>
      </c>
      <c r="B7827" t="s">
        <v>1670</v>
      </c>
      <c r="C7827" t="str">
        <f t="shared" si="391"/>
        <v>43696660000000</v>
      </c>
      <c r="D7827" t="s">
        <v>8730</v>
      </c>
      <c r="E7827" t="str">
        <f>"43696666048474"</f>
        <v>43696666048474</v>
      </c>
      <c r="F7827" s="8">
        <v>74</v>
      </c>
      <c r="G7827" s="8">
        <v>5846</v>
      </c>
      <c r="H7827" s="8">
        <v>755</v>
      </c>
      <c r="I7827" s="8">
        <v>7562</v>
      </c>
    </row>
    <row r="7828" spans="1:9" x14ac:dyDescent="0.2">
      <c r="A7828" t="s">
        <v>1604</v>
      </c>
      <c r="B7828" t="s">
        <v>1670</v>
      </c>
      <c r="C7828" t="str">
        <f t="shared" si="391"/>
        <v>43696660000000</v>
      </c>
      <c r="D7828" t="s">
        <v>3238</v>
      </c>
      <c r="E7828" t="str">
        <f>"43696666048755"</f>
        <v>43696666048755</v>
      </c>
      <c r="F7828" s="8">
        <v>68</v>
      </c>
      <c r="G7828" s="8">
        <v>5788</v>
      </c>
      <c r="H7828" s="8">
        <v>755</v>
      </c>
      <c r="I7828" s="8">
        <v>7562</v>
      </c>
    </row>
    <row r="7829" spans="1:9" x14ac:dyDescent="0.2">
      <c r="A7829" t="s">
        <v>1604</v>
      </c>
      <c r="B7829" t="s">
        <v>1671</v>
      </c>
      <c r="C7829" t="str">
        <f>"43104390000000"</f>
        <v>43104390000000</v>
      </c>
      <c r="D7829" t="s">
        <v>8731</v>
      </c>
      <c r="E7829" t="str">
        <f>"43104396069371"</f>
        <v>43104396069371</v>
      </c>
      <c r="F7829" s="8">
        <v>3818</v>
      </c>
      <c r="G7829" s="8">
        <v>91357</v>
      </c>
      <c r="H7829" s="8">
        <v>0</v>
      </c>
      <c r="I7829" s="8">
        <v>14606</v>
      </c>
    </row>
    <row r="7830" spans="1:9" x14ac:dyDescent="0.2">
      <c r="A7830" t="s">
        <v>1604</v>
      </c>
      <c r="B7830" t="s">
        <v>1671</v>
      </c>
      <c r="C7830" t="str">
        <f>"43104390000000"</f>
        <v>43104390000000</v>
      </c>
      <c r="D7830" t="s">
        <v>8732</v>
      </c>
      <c r="E7830" t="str">
        <f>"43104394330254"</f>
        <v>43104394330254</v>
      </c>
      <c r="F7830" s="8">
        <v>7921</v>
      </c>
      <c r="G7830" s="8">
        <v>81046</v>
      </c>
      <c r="H7830" s="8">
        <v>0</v>
      </c>
      <c r="I7830" s="8">
        <v>11256</v>
      </c>
    </row>
    <row r="7831" spans="1:9" x14ac:dyDescent="0.2">
      <c r="A7831" t="s">
        <v>1604</v>
      </c>
      <c r="B7831" t="s">
        <v>1671</v>
      </c>
      <c r="C7831" t="str">
        <f>"43104390000000"</f>
        <v>43104390000000</v>
      </c>
      <c r="D7831" t="s">
        <v>8733</v>
      </c>
      <c r="E7831" t="str">
        <f>"43104394330320"</f>
        <v>43104394330320</v>
      </c>
      <c r="F7831" s="8">
        <v>3750</v>
      </c>
      <c r="G7831" s="8">
        <v>37516</v>
      </c>
      <c r="H7831" s="8">
        <v>0</v>
      </c>
      <c r="I7831" s="8">
        <v>5858</v>
      </c>
    </row>
    <row r="7832" spans="1:9" x14ac:dyDescent="0.2">
      <c r="A7832" t="s">
        <v>1604</v>
      </c>
      <c r="B7832" t="s">
        <v>1671</v>
      </c>
      <c r="C7832" t="str">
        <f>"43104390000000"</f>
        <v>43104390000000</v>
      </c>
      <c r="D7832" t="s">
        <v>8734</v>
      </c>
      <c r="E7832" t="str">
        <f>"43104390135087"</f>
        <v>43104390135087</v>
      </c>
      <c r="F7832" s="8">
        <v>2825</v>
      </c>
      <c r="G7832" s="8">
        <v>15500</v>
      </c>
      <c r="H7832" s="8">
        <v>0</v>
      </c>
      <c r="I7832" s="8">
        <v>1086</v>
      </c>
    </row>
    <row r="7833" spans="1:9" x14ac:dyDescent="0.2">
      <c r="A7833" t="s">
        <v>1604</v>
      </c>
      <c r="B7833" t="s">
        <v>1672</v>
      </c>
      <c r="C7833" t="str">
        <f t="shared" ref="C7833:C7859" si="392">"43696740000000"</f>
        <v>43696740000000</v>
      </c>
      <c r="D7833" t="s">
        <v>8735</v>
      </c>
      <c r="E7833" t="str">
        <f>"43696740125443"</f>
        <v>43696740125443</v>
      </c>
      <c r="F7833" s="8">
        <v>505</v>
      </c>
      <c r="G7833" s="8">
        <v>133596</v>
      </c>
      <c r="H7833" s="8">
        <v>568</v>
      </c>
      <c r="I7833" s="8">
        <v>7089</v>
      </c>
    </row>
    <row r="7834" spans="1:9" x14ac:dyDescent="0.2">
      <c r="A7834" t="s">
        <v>1604</v>
      </c>
      <c r="B7834" t="s">
        <v>1672</v>
      </c>
      <c r="C7834" t="str">
        <f t="shared" si="392"/>
        <v>43696740000000</v>
      </c>
      <c r="D7834" t="s">
        <v>8736</v>
      </c>
      <c r="E7834" t="str">
        <f>"43696744330247"</f>
        <v>43696744330247</v>
      </c>
      <c r="F7834" s="8">
        <v>0</v>
      </c>
      <c r="G7834" s="8">
        <v>27220</v>
      </c>
      <c r="H7834" s="8">
        <v>568</v>
      </c>
      <c r="I7834" s="8">
        <v>7089</v>
      </c>
    </row>
    <row r="7835" spans="1:9" x14ac:dyDescent="0.2">
      <c r="A7835" t="s">
        <v>1604</v>
      </c>
      <c r="B7835" t="s">
        <v>1672</v>
      </c>
      <c r="C7835" t="str">
        <f t="shared" si="392"/>
        <v>43696740000000</v>
      </c>
      <c r="D7835" t="s">
        <v>8737</v>
      </c>
      <c r="E7835" t="str">
        <f>"43696744338406"</f>
        <v>43696744338406</v>
      </c>
      <c r="F7835" s="8">
        <v>266</v>
      </c>
      <c r="G7835" s="8">
        <v>22910</v>
      </c>
      <c r="H7835" s="8">
        <v>568</v>
      </c>
      <c r="I7835" s="8">
        <v>7089</v>
      </c>
    </row>
    <row r="7836" spans="1:9" x14ac:dyDescent="0.2">
      <c r="A7836" t="s">
        <v>1604</v>
      </c>
      <c r="B7836" t="s">
        <v>1672</v>
      </c>
      <c r="C7836" t="str">
        <f t="shared" si="392"/>
        <v>43696740000000</v>
      </c>
      <c r="D7836" t="s">
        <v>8738</v>
      </c>
      <c r="E7836" t="str">
        <f>"43696746048805"</f>
        <v>43696746048805</v>
      </c>
      <c r="F7836" s="8">
        <v>915</v>
      </c>
      <c r="G7836" s="8">
        <v>19472</v>
      </c>
      <c r="H7836" s="8">
        <v>568</v>
      </c>
      <c r="I7836" s="8">
        <v>7089</v>
      </c>
    </row>
    <row r="7837" spans="1:9" x14ac:dyDescent="0.2">
      <c r="A7837" t="s">
        <v>1604</v>
      </c>
      <c r="B7837" t="s">
        <v>1672</v>
      </c>
      <c r="C7837" t="str">
        <f t="shared" si="392"/>
        <v>43696740000000</v>
      </c>
      <c r="D7837" t="s">
        <v>8739</v>
      </c>
      <c r="E7837" t="str">
        <f>"43696746048797"</f>
        <v>43696746048797</v>
      </c>
      <c r="F7837" s="8">
        <v>1705</v>
      </c>
      <c r="G7837" s="8">
        <v>18031</v>
      </c>
      <c r="H7837" s="8">
        <v>568</v>
      </c>
      <c r="I7837" s="8">
        <v>7089</v>
      </c>
    </row>
    <row r="7838" spans="1:9" x14ac:dyDescent="0.2">
      <c r="A7838" t="s">
        <v>1604</v>
      </c>
      <c r="B7838" t="s">
        <v>1672</v>
      </c>
      <c r="C7838" t="str">
        <f t="shared" si="392"/>
        <v>43696740000000</v>
      </c>
      <c r="D7838" t="s">
        <v>2565</v>
      </c>
      <c r="E7838" t="str">
        <f>"43696746049043"</f>
        <v>43696746049043</v>
      </c>
      <c r="F7838" s="8">
        <v>605</v>
      </c>
      <c r="G7838" s="8">
        <v>17565</v>
      </c>
      <c r="H7838" s="8">
        <v>568</v>
      </c>
      <c r="I7838" s="8">
        <v>7089</v>
      </c>
    </row>
    <row r="7839" spans="1:9" x14ac:dyDescent="0.2">
      <c r="A7839" t="s">
        <v>1604</v>
      </c>
      <c r="B7839" t="s">
        <v>1672</v>
      </c>
      <c r="C7839" t="str">
        <f t="shared" si="392"/>
        <v>43696740000000</v>
      </c>
      <c r="D7839" t="s">
        <v>8740</v>
      </c>
      <c r="E7839" t="str">
        <f>"43696746048821"</f>
        <v>43696746048821</v>
      </c>
      <c r="F7839" s="8">
        <v>1059</v>
      </c>
      <c r="G7839" s="8">
        <v>16860</v>
      </c>
      <c r="H7839" s="8">
        <v>568</v>
      </c>
      <c r="I7839" s="8">
        <v>7089</v>
      </c>
    </row>
    <row r="7840" spans="1:9" x14ac:dyDescent="0.2">
      <c r="A7840" t="s">
        <v>1604</v>
      </c>
      <c r="B7840" t="s">
        <v>1672</v>
      </c>
      <c r="C7840" t="str">
        <f t="shared" si="392"/>
        <v>43696740000000</v>
      </c>
      <c r="D7840" t="s">
        <v>8741</v>
      </c>
      <c r="E7840" t="str">
        <f>"43696746048896"</f>
        <v>43696746048896</v>
      </c>
      <c r="F7840" s="8">
        <v>1035</v>
      </c>
      <c r="G7840" s="8">
        <v>13293</v>
      </c>
      <c r="H7840" s="8">
        <v>568</v>
      </c>
      <c r="I7840" s="8">
        <v>7089</v>
      </c>
    </row>
    <row r="7841" spans="1:9" x14ac:dyDescent="0.2">
      <c r="A7841" t="s">
        <v>1604</v>
      </c>
      <c r="B7841" t="s">
        <v>1672</v>
      </c>
      <c r="C7841" t="str">
        <f t="shared" si="392"/>
        <v>43696740000000</v>
      </c>
      <c r="D7841" t="s">
        <v>8742</v>
      </c>
      <c r="E7841" t="str">
        <f>"43696746048987"</f>
        <v>43696746048987</v>
      </c>
      <c r="F7841" s="8">
        <v>382</v>
      </c>
      <c r="G7841" s="8">
        <v>13871</v>
      </c>
      <c r="H7841" s="8">
        <v>568</v>
      </c>
      <c r="I7841" s="8">
        <v>7089</v>
      </c>
    </row>
    <row r="7842" spans="1:9" x14ac:dyDescent="0.2">
      <c r="A7842" t="s">
        <v>1604</v>
      </c>
      <c r="B7842" t="s">
        <v>1672</v>
      </c>
      <c r="C7842" t="str">
        <f t="shared" si="392"/>
        <v>43696740000000</v>
      </c>
      <c r="D7842" t="s">
        <v>8743</v>
      </c>
      <c r="E7842" t="str">
        <f>"43696746049019"</f>
        <v>43696746049019</v>
      </c>
      <c r="F7842" s="8">
        <v>1135</v>
      </c>
      <c r="G7842" s="8">
        <v>12583</v>
      </c>
      <c r="H7842" s="8">
        <v>568</v>
      </c>
      <c r="I7842" s="8">
        <v>7089</v>
      </c>
    </row>
    <row r="7843" spans="1:9" x14ac:dyDescent="0.2">
      <c r="A7843" t="s">
        <v>1604</v>
      </c>
      <c r="B7843" t="s">
        <v>1672</v>
      </c>
      <c r="C7843" t="str">
        <f t="shared" si="392"/>
        <v>43696740000000</v>
      </c>
      <c r="D7843" t="s">
        <v>8744</v>
      </c>
      <c r="E7843" t="str">
        <f>"43696746048847"</f>
        <v>43696746048847</v>
      </c>
      <c r="F7843" s="8">
        <v>1573</v>
      </c>
      <c r="G7843" s="8">
        <v>12107</v>
      </c>
      <c r="H7843" s="8">
        <v>568</v>
      </c>
      <c r="I7843" s="8">
        <v>7089</v>
      </c>
    </row>
    <row r="7844" spans="1:9" x14ac:dyDescent="0.2">
      <c r="A7844" t="s">
        <v>1604</v>
      </c>
      <c r="B7844" t="s">
        <v>1672</v>
      </c>
      <c r="C7844" t="str">
        <f t="shared" si="392"/>
        <v>43696740000000</v>
      </c>
      <c r="D7844" t="s">
        <v>1761</v>
      </c>
      <c r="E7844" t="str">
        <f>"43696746048938"</f>
        <v>43696746048938</v>
      </c>
      <c r="F7844" s="8">
        <v>776</v>
      </c>
      <c r="G7844" s="8">
        <v>12828</v>
      </c>
      <c r="H7844" s="8">
        <v>568</v>
      </c>
      <c r="I7844" s="8">
        <v>7089</v>
      </c>
    </row>
    <row r="7845" spans="1:9" x14ac:dyDescent="0.2">
      <c r="A7845" t="s">
        <v>1604</v>
      </c>
      <c r="B7845" t="s">
        <v>1672</v>
      </c>
      <c r="C7845" t="str">
        <f t="shared" si="392"/>
        <v>43696740000000</v>
      </c>
      <c r="D7845" t="s">
        <v>8745</v>
      </c>
      <c r="E7845" t="str">
        <f>"43696746048870"</f>
        <v>43696746048870</v>
      </c>
      <c r="F7845" s="8">
        <v>627</v>
      </c>
      <c r="G7845" s="8">
        <v>12807</v>
      </c>
      <c r="H7845" s="8">
        <v>568</v>
      </c>
      <c r="I7845" s="8">
        <v>7089</v>
      </c>
    </row>
    <row r="7846" spans="1:9" x14ac:dyDescent="0.2">
      <c r="A7846" t="s">
        <v>1604</v>
      </c>
      <c r="B7846" t="s">
        <v>1672</v>
      </c>
      <c r="C7846" t="str">
        <f t="shared" si="392"/>
        <v>43696740000000</v>
      </c>
      <c r="D7846" t="s">
        <v>8746</v>
      </c>
      <c r="E7846" t="str">
        <f>"43696746048813"</f>
        <v>43696746048813</v>
      </c>
      <c r="F7846" s="8">
        <v>572</v>
      </c>
      <c r="G7846" s="8">
        <v>12591</v>
      </c>
      <c r="H7846" s="8">
        <v>568</v>
      </c>
      <c r="I7846" s="8">
        <v>7089</v>
      </c>
    </row>
    <row r="7847" spans="1:9" x14ac:dyDescent="0.2">
      <c r="A7847" t="s">
        <v>1604</v>
      </c>
      <c r="B7847" t="s">
        <v>1672</v>
      </c>
      <c r="C7847" t="str">
        <f t="shared" si="392"/>
        <v>43696740000000</v>
      </c>
      <c r="D7847" t="s">
        <v>8747</v>
      </c>
      <c r="E7847" t="str">
        <f>"43696746101752"</f>
        <v>43696746101752</v>
      </c>
      <c r="F7847" s="8">
        <v>496</v>
      </c>
      <c r="G7847" s="8">
        <v>12350</v>
      </c>
      <c r="H7847" s="8">
        <v>568</v>
      </c>
      <c r="I7847" s="8">
        <v>7089</v>
      </c>
    </row>
    <row r="7848" spans="1:9" x14ac:dyDescent="0.2">
      <c r="A7848" t="s">
        <v>1604</v>
      </c>
      <c r="B7848" t="s">
        <v>1672</v>
      </c>
      <c r="C7848" t="str">
        <f t="shared" si="392"/>
        <v>43696740000000</v>
      </c>
      <c r="D7848" t="s">
        <v>2508</v>
      </c>
      <c r="E7848" t="str">
        <f>"43696746049027"</f>
        <v>43696746049027</v>
      </c>
      <c r="F7848" s="8">
        <v>575</v>
      </c>
      <c r="G7848" s="8">
        <v>12013</v>
      </c>
      <c r="H7848" s="8">
        <v>568</v>
      </c>
      <c r="I7848" s="8">
        <v>7089</v>
      </c>
    </row>
    <row r="7849" spans="1:9" x14ac:dyDescent="0.2">
      <c r="A7849" t="s">
        <v>1604</v>
      </c>
      <c r="B7849" t="s">
        <v>1672</v>
      </c>
      <c r="C7849" t="str">
        <f t="shared" si="392"/>
        <v>43696740000000</v>
      </c>
      <c r="D7849" t="s">
        <v>5713</v>
      </c>
      <c r="E7849" t="str">
        <f>"43696746048995"</f>
        <v>43696746048995</v>
      </c>
      <c r="F7849" s="8">
        <v>110</v>
      </c>
      <c r="G7849" s="8">
        <v>12364</v>
      </c>
      <c r="H7849" s="8">
        <v>568</v>
      </c>
      <c r="I7849" s="8">
        <v>7089</v>
      </c>
    </row>
    <row r="7850" spans="1:9" x14ac:dyDescent="0.2">
      <c r="A7850" t="s">
        <v>1604</v>
      </c>
      <c r="B7850" t="s">
        <v>1672</v>
      </c>
      <c r="C7850" t="str">
        <f t="shared" si="392"/>
        <v>43696740000000</v>
      </c>
      <c r="D7850" t="s">
        <v>8748</v>
      </c>
      <c r="E7850" t="str">
        <f>"43696746049035"</f>
        <v>43696746049035</v>
      </c>
      <c r="F7850" s="8">
        <v>325</v>
      </c>
      <c r="G7850" s="8">
        <v>11903</v>
      </c>
      <c r="H7850" s="8">
        <v>568</v>
      </c>
      <c r="I7850" s="8">
        <v>7089</v>
      </c>
    </row>
    <row r="7851" spans="1:9" x14ac:dyDescent="0.2">
      <c r="A7851" t="s">
        <v>1604</v>
      </c>
      <c r="B7851" t="s">
        <v>1672</v>
      </c>
      <c r="C7851" t="str">
        <f t="shared" si="392"/>
        <v>43696740000000</v>
      </c>
      <c r="D7851" t="s">
        <v>8749</v>
      </c>
      <c r="E7851" t="str">
        <f>"43696746048854"</f>
        <v>43696746048854</v>
      </c>
      <c r="F7851" s="8">
        <v>431</v>
      </c>
      <c r="G7851" s="8">
        <v>11623</v>
      </c>
      <c r="H7851" s="8">
        <v>568</v>
      </c>
      <c r="I7851" s="8">
        <v>7089</v>
      </c>
    </row>
    <row r="7852" spans="1:9" x14ac:dyDescent="0.2">
      <c r="A7852" t="s">
        <v>1604</v>
      </c>
      <c r="B7852" t="s">
        <v>1672</v>
      </c>
      <c r="C7852" t="str">
        <f t="shared" si="392"/>
        <v>43696740000000</v>
      </c>
      <c r="D7852" t="s">
        <v>8750</v>
      </c>
      <c r="E7852" t="str">
        <f>"43696740110700"</f>
        <v>43696740110700</v>
      </c>
      <c r="F7852" s="8">
        <v>259</v>
      </c>
      <c r="G7852" s="8">
        <v>11779</v>
      </c>
      <c r="H7852" s="8">
        <v>568</v>
      </c>
      <c r="I7852" s="8">
        <v>7089</v>
      </c>
    </row>
    <row r="7853" spans="1:9" x14ac:dyDescent="0.2">
      <c r="A7853" t="s">
        <v>1604</v>
      </c>
      <c r="B7853" t="s">
        <v>1672</v>
      </c>
      <c r="C7853" t="str">
        <f t="shared" si="392"/>
        <v>43696740000000</v>
      </c>
      <c r="D7853" t="s">
        <v>8751</v>
      </c>
      <c r="E7853" t="str">
        <f>"43696744330122"</f>
        <v>43696744330122</v>
      </c>
      <c r="F7853" s="8">
        <v>177</v>
      </c>
      <c r="G7853" s="8">
        <v>11407</v>
      </c>
      <c r="H7853" s="8">
        <v>568</v>
      </c>
      <c r="I7853" s="8">
        <v>7089</v>
      </c>
    </row>
    <row r="7854" spans="1:9" x14ac:dyDescent="0.2">
      <c r="A7854" t="s">
        <v>1604</v>
      </c>
      <c r="B7854" t="s">
        <v>1672</v>
      </c>
      <c r="C7854" t="str">
        <f t="shared" si="392"/>
        <v>43696740000000</v>
      </c>
      <c r="D7854" t="s">
        <v>8752</v>
      </c>
      <c r="E7854" t="str">
        <f>"43696744338802"</f>
        <v>43696744338802</v>
      </c>
      <c r="F7854" s="8">
        <v>223</v>
      </c>
      <c r="G7854" s="8">
        <v>11332</v>
      </c>
      <c r="H7854" s="8">
        <v>568</v>
      </c>
      <c r="I7854" s="8">
        <v>7089</v>
      </c>
    </row>
    <row r="7855" spans="1:9" x14ac:dyDescent="0.2">
      <c r="A7855" t="s">
        <v>1604</v>
      </c>
      <c r="B7855" t="s">
        <v>1672</v>
      </c>
      <c r="C7855" t="str">
        <f t="shared" si="392"/>
        <v>43696740000000</v>
      </c>
      <c r="D7855" t="s">
        <v>8753</v>
      </c>
      <c r="E7855" t="str">
        <f>"43696746101760"</f>
        <v>43696746101760</v>
      </c>
      <c r="F7855" s="8">
        <v>340</v>
      </c>
      <c r="G7855" s="8">
        <v>11171</v>
      </c>
      <c r="H7855" s="8">
        <v>568</v>
      </c>
      <c r="I7855" s="8">
        <v>7089</v>
      </c>
    </row>
    <row r="7856" spans="1:9" x14ac:dyDescent="0.2">
      <c r="A7856" t="s">
        <v>1604</v>
      </c>
      <c r="B7856" t="s">
        <v>1672</v>
      </c>
      <c r="C7856" t="str">
        <f t="shared" si="392"/>
        <v>43696740000000</v>
      </c>
      <c r="D7856" t="s">
        <v>8754</v>
      </c>
      <c r="E7856" t="str">
        <f>"43696740135970"</f>
        <v>43696740135970</v>
      </c>
      <c r="F7856" s="8">
        <v>0</v>
      </c>
      <c r="G7856" s="8">
        <v>11334</v>
      </c>
      <c r="H7856" s="8">
        <v>568</v>
      </c>
      <c r="I7856" s="8">
        <v>7089</v>
      </c>
    </row>
    <row r="7857" spans="1:9" x14ac:dyDescent="0.2">
      <c r="A7857" t="s">
        <v>1604</v>
      </c>
      <c r="B7857" t="s">
        <v>1672</v>
      </c>
      <c r="C7857" t="str">
        <f t="shared" si="392"/>
        <v>43696740000000</v>
      </c>
      <c r="D7857" t="s">
        <v>8755</v>
      </c>
      <c r="E7857" t="str">
        <f>"43696740133363"</f>
        <v>43696740133363</v>
      </c>
      <c r="F7857" s="8">
        <v>453</v>
      </c>
      <c r="G7857" s="8">
        <v>10492</v>
      </c>
      <c r="H7857" s="8">
        <v>568</v>
      </c>
      <c r="I7857" s="8">
        <v>7089</v>
      </c>
    </row>
    <row r="7858" spans="1:9" x14ac:dyDescent="0.2">
      <c r="A7858" t="s">
        <v>1604</v>
      </c>
      <c r="B7858" t="s">
        <v>1672</v>
      </c>
      <c r="C7858" t="str">
        <f t="shared" si="392"/>
        <v>43696740000000</v>
      </c>
      <c r="D7858" t="s">
        <v>8574</v>
      </c>
      <c r="E7858" t="str">
        <f>"43696746048904"</f>
        <v>43696746048904</v>
      </c>
      <c r="F7858" s="8">
        <v>368</v>
      </c>
      <c r="G7858" s="8">
        <v>10204</v>
      </c>
      <c r="H7858" s="8">
        <v>568</v>
      </c>
      <c r="I7858" s="8">
        <v>7089</v>
      </c>
    </row>
    <row r="7859" spans="1:9" x14ac:dyDescent="0.2">
      <c r="A7859" t="s">
        <v>1604</v>
      </c>
      <c r="B7859" t="s">
        <v>1672</v>
      </c>
      <c r="C7859" t="str">
        <f t="shared" si="392"/>
        <v>43696740000000</v>
      </c>
      <c r="D7859" t="s">
        <v>8756</v>
      </c>
      <c r="E7859" t="str">
        <f>"43696746048920"</f>
        <v>43696746048920</v>
      </c>
      <c r="F7859" s="8">
        <v>76</v>
      </c>
      <c r="G7859" s="8">
        <v>9019</v>
      </c>
      <c r="H7859" s="8">
        <v>568</v>
      </c>
      <c r="I7859" s="8">
        <v>7089</v>
      </c>
    </row>
    <row r="7860" spans="1:9" x14ac:dyDescent="0.2">
      <c r="A7860" t="s">
        <v>1604</v>
      </c>
      <c r="B7860" t="s">
        <v>1673</v>
      </c>
      <c r="C7860" t="str">
        <f>"43696820000000"</f>
        <v>43696820000000</v>
      </c>
      <c r="D7860" t="s">
        <v>2621</v>
      </c>
      <c r="E7860" t="str">
        <f>"43696826049084"</f>
        <v>43696826049084</v>
      </c>
      <c r="F7860" s="8">
        <v>32</v>
      </c>
      <c r="G7860" s="8">
        <v>10774</v>
      </c>
      <c r="H7860" s="8">
        <v>639</v>
      </c>
      <c r="I7860" s="8">
        <v>8984</v>
      </c>
    </row>
    <row r="7861" spans="1:9" x14ac:dyDescent="0.2">
      <c r="A7861" t="s">
        <v>1604</v>
      </c>
      <c r="B7861" t="s">
        <v>1673</v>
      </c>
      <c r="C7861" t="str">
        <f>"43696820000000"</f>
        <v>43696820000000</v>
      </c>
      <c r="D7861" t="s">
        <v>8757</v>
      </c>
      <c r="E7861" t="str">
        <f>"43696826049100"</f>
        <v>43696826049100</v>
      </c>
      <c r="F7861" s="8">
        <v>15</v>
      </c>
      <c r="G7861" s="8">
        <v>10110</v>
      </c>
      <c r="H7861" s="8">
        <v>639</v>
      </c>
      <c r="I7861" s="8">
        <v>8984</v>
      </c>
    </row>
    <row r="7862" spans="1:9" x14ac:dyDescent="0.2">
      <c r="A7862" t="s">
        <v>1604</v>
      </c>
      <c r="B7862" t="s">
        <v>1673</v>
      </c>
      <c r="C7862" t="str">
        <f>"43696820000000"</f>
        <v>43696820000000</v>
      </c>
      <c r="D7862" t="s">
        <v>5652</v>
      </c>
      <c r="E7862" t="str">
        <f>"43696826049092"</f>
        <v>43696826049092</v>
      </c>
      <c r="F7862" s="8">
        <v>62</v>
      </c>
      <c r="G7862" s="8">
        <v>8978</v>
      </c>
      <c r="H7862" s="8">
        <v>639</v>
      </c>
      <c r="I7862" s="8">
        <v>8984</v>
      </c>
    </row>
    <row r="7863" spans="1:9" x14ac:dyDescent="0.2">
      <c r="A7863" t="s">
        <v>1604</v>
      </c>
      <c r="B7863" t="s">
        <v>1673</v>
      </c>
      <c r="C7863" t="str">
        <f>"43696820000000"</f>
        <v>43696820000000</v>
      </c>
      <c r="D7863" t="s">
        <v>8758</v>
      </c>
      <c r="E7863" t="str">
        <f>"43696826049068"</f>
        <v>43696826049068</v>
      </c>
      <c r="F7863" s="8">
        <v>9</v>
      </c>
      <c r="G7863" s="8">
        <v>8200</v>
      </c>
      <c r="H7863" s="8">
        <v>639</v>
      </c>
      <c r="I7863" s="8">
        <v>8984</v>
      </c>
    </row>
    <row r="7864" spans="1:9" x14ac:dyDescent="0.2">
      <c r="A7864" t="s">
        <v>1604</v>
      </c>
      <c r="B7864" t="s">
        <v>1676</v>
      </c>
      <c r="C7864" t="str">
        <f t="shared" ref="C7864:C7873" si="393">"43696900000000"</f>
        <v>43696900000000</v>
      </c>
      <c r="D7864" t="s">
        <v>8078</v>
      </c>
      <c r="E7864" t="str">
        <f>"43696906049233"</f>
        <v>43696906049233</v>
      </c>
      <c r="F7864" s="8">
        <v>1131</v>
      </c>
      <c r="G7864" s="8">
        <v>12403</v>
      </c>
      <c r="H7864" s="8">
        <v>51</v>
      </c>
      <c r="I7864" s="8">
        <v>341</v>
      </c>
    </row>
    <row r="7865" spans="1:9" x14ac:dyDescent="0.2">
      <c r="A7865" t="s">
        <v>1604</v>
      </c>
      <c r="B7865" t="s">
        <v>1676</v>
      </c>
      <c r="C7865" t="str">
        <f t="shared" si="393"/>
        <v>43696900000000</v>
      </c>
      <c r="D7865" t="s">
        <v>4499</v>
      </c>
      <c r="E7865" t="str">
        <f>"43696906049282"</f>
        <v>43696906049282</v>
      </c>
      <c r="F7865" s="8">
        <v>1250</v>
      </c>
      <c r="G7865" s="8">
        <v>11742</v>
      </c>
      <c r="H7865" s="8">
        <v>52</v>
      </c>
      <c r="I7865" s="8">
        <v>343</v>
      </c>
    </row>
    <row r="7866" spans="1:9" x14ac:dyDescent="0.2">
      <c r="A7866" t="s">
        <v>1604</v>
      </c>
      <c r="B7866" t="s">
        <v>1676</v>
      </c>
      <c r="C7866" t="str">
        <f t="shared" si="393"/>
        <v>43696900000000</v>
      </c>
      <c r="D7866" t="s">
        <v>7024</v>
      </c>
      <c r="E7866" t="str">
        <f>"43696906049241"</f>
        <v>43696906049241</v>
      </c>
      <c r="F7866" s="8">
        <v>280</v>
      </c>
      <c r="G7866" s="8">
        <v>11401</v>
      </c>
      <c r="H7866" s="8">
        <v>82</v>
      </c>
      <c r="I7866" s="8">
        <v>543</v>
      </c>
    </row>
    <row r="7867" spans="1:9" x14ac:dyDescent="0.2">
      <c r="A7867" t="s">
        <v>1604</v>
      </c>
      <c r="B7867" t="s">
        <v>1676</v>
      </c>
      <c r="C7867" t="str">
        <f t="shared" si="393"/>
        <v>43696900000000</v>
      </c>
      <c r="D7867" t="s">
        <v>3210</v>
      </c>
      <c r="E7867" t="str">
        <f>"43696906049142"</f>
        <v>43696906049142</v>
      </c>
      <c r="F7867" s="8">
        <v>822</v>
      </c>
      <c r="G7867" s="8">
        <v>10511</v>
      </c>
      <c r="H7867" s="8">
        <v>53</v>
      </c>
      <c r="I7867" s="8">
        <v>348</v>
      </c>
    </row>
    <row r="7868" spans="1:9" x14ac:dyDescent="0.2">
      <c r="A7868" t="s">
        <v>1604</v>
      </c>
      <c r="B7868" t="s">
        <v>1676</v>
      </c>
      <c r="C7868" t="str">
        <f t="shared" si="393"/>
        <v>43696900000000</v>
      </c>
      <c r="D7868" t="s">
        <v>8759</v>
      </c>
      <c r="E7868" t="str">
        <f>"43696906049159"</f>
        <v>43696906049159</v>
      </c>
      <c r="F7868" s="8">
        <v>565</v>
      </c>
      <c r="G7868" s="8">
        <v>10519</v>
      </c>
      <c r="H7868" s="8">
        <v>54</v>
      </c>
      <c r="I7868" s="8">
        <v>359</v>
      </c>
    </row>
    <row r="7869" spans="1:9" x14ac:dyDescent="0.2">
      <c r="A7869" t="s">
        <v>1604</v>
      </c>
      <c r="B7869" t="s">
        <v>1676</v>
      </c>
      <c r="C7869" t="str">
        <f t="shared" si="393"/>
        <v>43696900000000</v>
      </c>
      <c r="D7869" t="s">
        <v>8760</v>
      </c>
      <c r="E7869" t="str">
        <f>"43696906049217"</f>
        <v>43696906049217</v>
      </c>
      <c r="F7869" s="8">
        <v>335</v>
      </c>
      <c r="G7869" s="8">
        <v>9670</v>
      </c>
      <c r="H7869" s="8">
        <v>50</v>
      </c>
      <c r="I7869" s="8">
        <v>330</v>
      </c>
    </row>
    <row r="7870" spans="1:9" x14ac:dyDescent="0.2">
      <c r="A7870" t="s">
        <v>1604</v>
      </c>
      <c r="B7870" t="s">
        <v>1676</v>
      </c>
      <c r="C7870" t="str">
        <f t="shared" si="393"/>
        <v>43696900000000</v>
      </c>
      <c r="D7870" t="s">
        <v>8761</v>
      </c>
      <c r="E7870" t="str">
        <f>"43696906049258"</f>
        <v>43696906049258</v>
      </c>
      <c r="F7870" s="8">
        <v>303</v>
      </c>
      <c r="G7870" s="8">
        <v>8975</v>
      </c>
      <c r="H7870" s="8">
        <v>139</v>
      </c>
      <c r="I7870" s="8">
        <v>922</v>
      </c>
    </row>
    <row r="7871" spans="1:9" x14ac:dyDescent="0.2">
      <c r="A7871" t="s">
        <v>1604</v>
      </c>
      <c r="B7871" t="s">
        <v>1676</v>
      </c>
      <c r="C7871" t="str">
        <f t="shared" si="393"/>
        <v>43696900000000</v>
      </c>
      <c r="D7871" t="s">
        <v>8762</v>
      </c>
      <c r="E7871" t="str">
        <f>"43696906049167"</f>
        <v>43696906049167</v>
      </c>
      <c r="F7871" s="8">
        <v>1759</v>
      </c>
      <c r="G7871" s="8">
        <v>6731</v>
      </c>
      <c r="H7871" s="8">
        <v>86</v>
      </c>
      <c r="I7871" s="8">
        <v>570</v>
      </c>
    </row>
    <row r="7872" spans="1:9" x14ac:dyDescent="0.2">
      <c r="A7872" t="s">
        <v>1604</v>
      </c>
      <c r="B7872" t="s">
        <v>1676</v>
      </c>
      <c r="C7872" t="str">
        <f t="shared" si="393"/>
        <v>43696900000000</v>
      </c>
      <c r="D7872" t="s">
        <v>8763</v>
      </c>
      <c r="E7872" t="str">
        <f>"43696906049191"</f>
        <v>43696906049191</v>
      </c>
      <c r="F7872" s="8">
        <v>99</v>
      </c>
      <c r="G7872" s="8">
        <v>8239</v>
      </c>
      <c r="H7872" s="8">
        <v>94</v>
      </c>
      <c r="I7872" s="8">
        <v>622</v>
      </c>
    </row>
    <row r="7873" spans="1:9" x14ac:dyDescent="0.2">
      <c r="A7873" t="s">
        <v>1604</v>
      </c>
      <c r="B7873" t="s">
        <v>1676</v>
      </c>
      <c r="C7873" t="str">
        <f t="shared" si="393"/>
        <v>43696900000000</v>
      </c>
      <c r="D7873" t="s">
        <v>8764</v>
      </c>
      <c r="E7873" t="str">
        <f>"43696906049175"</f>
        <v>43696906049175</v>
      </c>
      <c r="F7873" s="8">
        <v>84</v>
      </c>
      <c r="G7873" s="8">
        <v>8071</v>
      </c>
      <c r="H7873" s="8">
        <v>95</v>
      </c>
      <c r="I7873" s="8">
        <v>626</v>
      </c>
    </row>
    <row r="7874" spans="1:9" x14ac:dyDescent="0.2">
      <c r="A7874" t="s">
        <v>1604</v>
      </c>
      <c r="B7874" t="s">
        <v>1678</v>
      </c>
      <c r="C7874" t="str">
        <f t="shared" ref="C7874:C7881" si="394">"43697080000000"</f>
        <v>43697080000000</v>
      </c>
      <c r="D7874" t="s">
        <v>8765</v>
      </c>
      <c r="E7874" t="str">
        <f>"43697086049373"</f>
        <v>43697086049373</v>
      </c>
      <c r="F7874" s="8">
        <v>1673</v>
      </c>
      <c r="G7874" s="8">
        <v>8648</v>
      </c>
      <c r="H7874" s="8">
        <v>465</v>
      </c>
      <c r="I7874" s="8">
        <v>2579</v>
      </c>
    </row>
    <row r="7875" spans="1:9" x14ac:dyDescent="0.2">
      <c r="A7875" t="s">
        <v>1604</v>
      </c>
      <c r="B7875" t="s">
        <v>1678</v>
      </c>
      <c r="C7875" t="str">
        <f t="shared" si="394"/>
        <v>43697080000000</v>
      </c>
      <c r="D7875" t="s">
        <v>7996</v>
      </c>
      <c r="E7875" t="str">
        <f>"43697086049357"</f>
        <v>43697086049357</v>
      </c>
      <c r="F7875" s="8">
        <v>1344</v>
      </c>
      <c r="G7875" s="8">
        <v>8813</v>
      </c>
      <c r="H7875" s="8">
        <v>465</v>
      </c>
      <c r="I7875" s="8">
        <v>2579</v>
      </c>
    </row>
    <row r="7876" spans="1:9" x14ac:dyDescent="0.2">
      <c r="A7876" t="s">
        <v>1604</v>
      </c>
      <c r="B7876" t="s">
        <v>1678</v>
      </c>
      <c r="C7876" t="str">
        <f t="shared" si="394"/>
        <v>43697080000000</v>
      </c>
      <c r="D7876" t="s">
        <v>6442</v>
      </c>
      <c r="E7876" t="str">
        <f>"43697086049332"</f>
        <v>43697086049332</v>
      </c>
      <c r="F7876" s="8">
        <v>935</v>
      </c>
      <c r="G7876" s="8">
        <v>8151</v>
      </c>
      <c r="H7876" s="8">
        <v>465</v>
      </c>
      <c r="I7876" s="8">
        <v>2579</v>
      </c>
    </row>
    <row r="7877" spans="1:9" x14ac:dyDescent="0.2">
      <c r="A7877" t="s">
        <v>1604</v>
      </c>
      <c r="B7877" t="s">
        <v>1678</v>
      </c>
      <c r="C7877" t="str">
        <f t="shared" si="394"/>
        <v>43697080000000</v>
      </c>
      <c r="D7877" t="s">
        <v>1940</v>
      </c>
      <c r="E7877" t="str">
        <f>"43697086049290"</f>
        <v>43697086049290</v>
      </c>
      <c r="F7877" s="8">
        <v>857</v>
      </c>
      <c r="G7877" s="8">
        <v>7916</v>
      </c>
      <c r="H7877" s="8">
        <v>465</v>
      </c>
      <c r="I7877" s="8">
        <v>2579</v>
      </c>
    </row>
    <row r="7878" spans="1:9" x14ac:dyDescent="0.2">
      <c r="A7878" t="s">
        <v>1604</v>
      </c>
      <c r="B7878" t="s">
        <v>1678</v>
      </c>
      <c r="C7878" t="str">
        <f t="shared" si="394"/>
        <v>43697080000000</v>
      </c>
      <c r="D7878" t="s">
        <v>8766</v>
      </c>
      <c r="E7878" t="str">
        <f>"43697086049449"</f>
        <v>43697086049449</v>
      </c>
      <c r="F7878" s="8">
        <v>468</v>
      </c>
      <c r="G7878" s="8">
        <v>7789</v>
      </c>
      <c r="H7878" s="8">
        <v>465</v>
      </c>
      <c r="I7878" s="8">
        <v>2579</v>
      </c>
    </row>
    <row r="7879" spans="1:9" x14ac:dyDescent="0.2">
      <c r="A7879" t="s">
        <v>1604</v>
      </c>
      <c r="B7879" t="s">
        <v>1678</v>
      </c>
      <c r="C7879" t="str">
        <f t="shared" si="394"/>
        <v>43697080000000</v>
      </c>
      <c r="D7879" t="s">
        <v>8767</v>
      </c>
      <c r="E7879" t="str">
        <f>"43697086049415"</f>
        <v>43697086049415</v>
      </c>
      <c r="F7879" s="8">
        <v>447</v>
      </c>
      <c r="G7879" s="8">
        <v>7673</v>
      </c>
      <c r="H7879" s="8">
        <v>465</v>
      </c>
      <c r="I7879" s="8">
        <v>2579</v>
      </c>
    </row>
    <row r="7880" spans="1:9" x14ac:dyDescent="0.2">
      <c r="A7880" t="s">
        <v>1604</v>
      </c>
      <c r="B7880" t="s">
        <v>1678</v>
      </c>
      <c r="C7880" t="str">
        <f t="shared" si="394"/>
        <v>43697080000000</v>
      </c>
      <c r="D7880" t="s">
        <v>8768</v>
      </c>
      <c r="E7880" t="str">
        <f>"43697086049407"</f>
        <v>43697086049407</v>
      </c>
      <c r="F7880" s="8">
        <v>670</v>
      </c>
      <c r="G7880" s="8">
        <v>7190</v>
      </c>
      <c r="H7880" s="8">
        <v>465</v>
      </c>
      <c r="I7880" s="8">
        <v>2579</v>
      </c>
    </row>
    <row r="7881" spans="1:9" x14ac:dyDescent="0.2">
      <c r="A7881" t="s">
        <v>1604</v>
      </c>
      <c r="B7881" t="s">
        <v>1678</v>
      </c>
      <c r="C7881" t="str">
        <f t="shared" si="394"/>
        <v>43697080000000</v>
      </c>
      <c r="D7881" t="s">
        <v>8769</v>
      </c>
      <c r="E7881" t="str">
        <f>"43697086049316"</f>
        <v>43697086049316</v>
      </c>
      <c r="F7881" s="8">
        <v>389</v>
      </c>
      <c r="G7881" s="8">
        <v>6959</v>
      </c>
      <c r="H7881" s="8">
        <v>465</v>
      </c>
      <c r="I7881" s="8">
        <v>2579</v>
      </c>
    </row>
    <row r="7882" spans="1:9" x14ac:dyDescent="0.2">
      <c r="A7882" t="s">
        <v>1683</v>
      </c>
      <c r="B7882" t="s">
        <v>1684</v>
      </c>
      <c r="C7882" t="str">
        <f>"44697320000000"</f>
        <v>44697320000000</v>
      </c>
      <c r="D7882" t="s">
        <v>8770</v>
      </c>
      <c r="E7882" t="str">
        <f>"44697326049563"</f>
        <v>44697326049563</v>
      </c>
      <c r="F7882" s="8">
        <v>2399</v>
      </c>
      <c r="G7882" s="8">
        <v>18250</v>
      </c>
      <c r="H7882" s="8">
        <v>0</v>
      </c>
      <c r="I7882" s="8">
        <v>0</v>
      </c>
    </row>
    <row r="7883" spans="1:9" x14ac:dyDescent="0.2">
      <c r="A7883" t="s">
        <v>1683</v>
      </c>
      <c r="B7883" t="s">
        <v>1687</v>
      </c>
      <c r="C7883" t="str">
        <f>"44697570000000"</f>
        <v>44697570000000</v>
      </c>
      <c r="D7883" t="s">
        <v>1687</v>
      </c>
      <c r="E7883" t="str">
        <f>"44697576049571"</f>
        <v>44697576049571</v>
      </c>
      <c r="F7883" s="8">
        <v>888</v>
      </c>
      <c r="G7883" s="8">
        <v>12789</v>
      </c>
      <c r="H7883" s="8">
        <v>0</v>
      </c>
      <c r="I7883" s="8">
        <v>0</v>
      </c>
    </row>
    <row r="7884" spans="1:9" x14ac:dyDescent="0.2">
      <c r="A7884" t="s">
        <v>1683</v>
      </c>
      <c r="B7884" t="s">
        <v>1688</v>
      </c>
      <c r="C7884" t="str">
        <f t="shared" ref="C7884:C7889" si="395">"44697650000000"</f>
        <v>44697650000000</v>
      </c>
      <c r="D7884" t="s">
        <v>2930</v>
      </c>
      <c r="E7884" t="str">
        <f>"44697656114102"</f>
        <v>44697656114102</v>
      </c>
      <c r="F7884" s="8">
        <v>756</v>
      </c>
      <c r="G7884" s="8">
        <v>7709</v>
      </c>
      <c r="H7884" s="8">
        <v>1221</v>
      </c>
      <c r="I7884" s="8">
        <v>5251</v>
      </c>
    </row>
    <row r="7885" spans="1:9" x14ac:dyDescent="0.2">
      <c r="A7885" t="s">
        <v>1683</v>
      </c>
      <c r="B7885" t="s">
        <v>1688</v>
      </c>
      <c r="C7885" t="str">
        <f t="shared" si="395"/>
        <v>44697650000000</v>
      </c>
      <c r="D7885" t="s">
        <v>8771</v>
      </c>
      <c r="E7885" t="str">
        <f>"44697656113559"</f>
        <v>44697656113559</v>
      </c>
      <c r="F7885" s="8">
        <v>231</v>
      </c>
      <c r="G7885" s="8">
        <v>8045</v>
      </c>
      <c r="H7885" s="8">
        <v>1221</v>
      </c>
      <c r="I7885" s="8">
        <v>5251</v>
      </c>
    </row>
    <row r="7886" spans="1:9" x14ac:dyDescent="0.2">
      <c r="A7886" t="s">
        <v>1683</v>
      </c>
      <c r="B7886" t="s">
        <v>1688</v>
      </c>
      <c r="C7886" t="str">
        <f t="shared" si="395"/>
        <v>44697650000000</v>
      </c>
      <c r="D7886" t="s">
        <v>8772</v>
      </c>
      <c r="E7886" t="str">
        <f>"44697656049597"</f>
        <v>44697656049597</v>
      </c>
      <c r="F7886" s="8">
        <v>545</v>
      </c>
      <c r="G7886" s="8">
        <v>7394</v>
      </c>
      <c r="H7886" s="8">
        <v>1221</v>
      </c>
      <c r="I7886" s="8">
        <v>5251</v>
      </c>
    </row>
    <row r="7887" spans="1:9" x14ac:dyDescent="0.2">
      <c r="A7887" t="s">
        <v>1683</v>
      </c>
      <c r="B7887" t="s">
        <v>1688</v>
      </c>
      <c r="C7887" t="str">
        <f t="shared" si="395"/>
        <v>44697650000000</v>
      </c>
      <c r="D7887" t="s">
        <v>1688</v>
      </c>
      <c r="E7887" t="str">
        <f>"44697656049605"</f>
        <v>44697656049605</v>
      </c>
      <c r="F7887" s="8">
        <v>429</v>
      </c>
      <c r="G7887" s="8">
        <v>7288</v>
      </c>
      <c r="H7887" s="8">
        <v>1221</v>
      </c>
      <c r="I7887" s="8">
        <v>5251</v>
      </c>
    </row>
    <row r="7888" spans="1:9" x14ac:dyDescent="0.2">
      <c r="A7888" t="s">
        <v>1683</v>
      </c>
      <c r="B7888" t="s">
        <v>1688</v>
      </c>
      <c r="C7888" t="str">
        <f t="shared" si="395"/>
        <v>44697650000000</v>
      </c>
      <c r="D7888" t="s">
        <v>8773</v>
      </c>
      <c r="E7888" t="str">
        <f>"44697656118673"</f>
        <v>44697656118673</v>
      </c>
      <c r="F7888" s="8">
        <v>3</v>
      </c>
      <c r="G7888" s="8">
        <v>5375</v>
      </c>
      <c r="H7888" s="8">
        <v>1221</v>
      </c>
      <c r="I7888" s="8">
        <v>5251</v>
      </c>
    </row>
    <row r="7889" spans="1:9" x14ac:dyDescent="0.2">
      <c r="A7889" t="s">
        <v>1683</v>
      </c>
      <c r="B7889" t="s">
        <v>1688</v>
      </c>
      <c r="C7889" t="str">
        <f t="shared" si="395"/>
        <v>44697650000000</v>
      </c>
      <c r="D7889" t="s">
        <v>8774</v>
      </c>
      <c r="E7889" t="str">
        <f>"44697650100388"</f>
        <v>44697650100388</v>
      </c>
      <c r="F7889" s="8">
        <v>489</v>
      </c>
      <c r="G7889" s="8">
        <v>8606</v>
      </c>
      <c r="H7889" s="8">
        <v>0</v>
      </c>
      <c r="I7889" s="8">
        <v>0</v>
      </c>
    </row>
    <row r="7890" spans="1:9" x14ac:dyDescent="0.2">
      <c r="A7890" t="s">
        <v>1683</v>
      </c>
      <c r="B7890" t="s">
        <v>1689</v>
      </c>
      <c r="C7890" t="str">
        <f>"44697730000000"</f>
        <v>44697730000000</v>
      </c>
      <c r="D7890" t="s">
        <v>1689</v>
      </c>
      <c r="E7890" t="str">
        <f>"44697736049613"</f>
        <v>44697736049613</v>
      </c>
      <c r="F7890" s="8">
        <v>567</v>
      </c>
      <c r="G7890" s="8">
        <v>12920</v>
      </c>
      <c r="H7890" s="8">
        <v>0</v>
      </c>
      <c r="I7890" s="8">
        <v>0</v>
      </c>
    </row>
    <row r="7891" spans="1:9" x14ac:dyDescent="0.2">
      <c r="A7891" t="s">
        <v>1683</v>
      </c>
      <c r="B7891" t="s">
        <v>1692</v>
      </c>
      <c r="C7891" t="str">
        <f>"44697810000000"</f>
        <v>44697810000000</v>
      </c>
      <c r="D7891" t="s">
        <v>1692</v>
      </c>
      <c r="E7891" t="str">
        <f>"44697816049621"</f>
        <v>44697816049621</v>
      </c>
      <c r="F7891" s="8">
        <v>1766</v>
      </c>
      <c r="G7891" s="8">
        <v>8235</v>
      </c>
      <c r="H7891" s="8">
        <v>0</v>
      </c>
      <c r="I7891" s="8">
        <v>0</v>
      </c>
    </row>
    <row r="7892" spans="1:9" x14ac:dyDescent="0.2">
      <c r="A7892" t="s">
        <v>1683</v>
      </c>
      <c r="B7892" t="s">
        <v>1693</v>
      </c>
      <c r="C7892" t="str">
        <f t="shared" ref="C7892:C7924" si="396">"44697990000000"</f>
        <v>44697990000000</v>
      </c>
      <c r="D7892" t="s">
        <v>8775</v>
      </c>
      <c r="E7892" t="str">
        <f>"44697994430203"</f>
        <v>44697994430203</v>
      </c>
      <c r="F7892" s="8">
        <v>1125</v>
      </c>
      <c r="G7892" s="8">
        <v>24080</v>
      </c>
      <c r="H7892" s="8">
        <v>2244</v>
      </c>
      <c r="I7892" s="8">
        <v>5578</v>
      </c>
    </row>
    <row r="7893" spans="1:9" x14ac:dyDescent="0.2">
      <c r="A7893" t="s">
        <v>1683</v>
      </c>
      <c r="B7893" t="s">
        <v>1693</v>
      </c>
      <c r="C7893" t="str">
        <f t="shared" si="396"/>
        <v>44697990000000</v>
      </c>
      <c r="D7893" t="s">
        <v>8776</v>
      </c>
      <c r="E7893" t="str">
        <f>"44697994430245"</f>
        <v>44697994430245</v>
      </c>
      <c r="F7893" s="8">
        <v>2126</v>
      </c>
      <c r="G7893" s="8">
        <v>18778</v>
      </c>
      <c r="H7893" s="8">
        <v>2244</v>
      </c>
      <c r="I7893" s="8">
        <v>5578</v>
      </c>
    </row>
    <row r="7894" spans="1:9" x14ac:dyDescent="0.2">
      <c r="A7894" t="s">
        <v>1683</v>
      </c>
      <c r="B7894" t="s">
        <v>1693</v>
      </c>
      <c r="C7894" t="str">
        <f t="shared" si="396"/>
        <v>44697990000000</v>
      </c>
      <c r="D7894" t="s">
        <v>8777</v>
      </c>
      <c r="E7894" t="str">
        <f>"44697990105858"</f>
        <v>44697990105858</v>
      </c>
      <c r="F7894" s="8">
        <v>625</v>
      </c>
      <c r="G7894" s="8">
        <v>13351</v>
      </c>
      <c r="H7894" s="8">
        <v>2244</v>
      </c>
      <c r="I7894" s="8">
        <v>5578</v>
      </c>
    </row>
    <row r="7895" spans="1:9" x14ac:dyDescent="0.2">
      <c r="A7895" t="s">
        <v>1683</v>
      </c>
      <c r="B7895" t="s">
        <v>1693</v>
      </c>
      <c r="C7895" t="str">
        <f t="shared" si="396"/>
        <v>44697990000000</v>
      </c>
      <c r="D7895" t="s">
        <v>8778</v>
      </c>
      <c r="E7895" t="str">
        <f>"44697994437794"</f>
        <v>44697994437794</v>
      </c>
      <c r="F7895" s="8">
        <v>642</v>
      </c>
      <c r="G7895" s="8">
        <v>12751</v>
      </c>
      <c r="H7895" s="8">
        <v>2244</v>
      </c>
      <c r="I7895" s="8">
        <v>5578</v>
      </c>
    </row>
    <row r="7896" spans="1:9" x14ac:dyDescent="0.2">
      <c r="A7896" t="s">
        <v>1683</v>
      </c>
      <c r="B7896" t="s">
        <v>1693</v>
      </c>
      <c r="C7896" t="str">
        <f t="shared" si="396"/>
        <v>44697990000000</v>
      </c>
      <c r="D7896" t="s">
        <v>8779</v>
      </c>
      <c r="E7896" t="str">
        <f>"44697996049829"</f>
        <v>44697996049829</v>
      </c>
      <c r="F7896" s="8">
        <v>1428</v>
      </c>
      <c r="G7896" s="8">
        <v>9989</v>
      </c>
      <c r="H7896" s="8">
        <v>2244</v>
      </c>
      <c r="I7896" s="8">
        <v>5578</v>
      </c>
    </row>
    <row r="7897" spans="1:9" x14ac:dyDescent="0.2">
      <c r="A7897" t="s">
        <v>1683</v>
      </c>
      <c r="B7897" t="s">
        <v>1693</v>
      </c>
      <c r="C7897" t="str">
        <f t="shared" si="396"/>
        <v>44697990000000</v>
      </c>
      <c r="D7897" t="s">
        <v>8780</v>
      </c>
      <c r="E7897" t="str">
        <f>"44697996119077"</f>
        <v>44697996119077</v>
      </c>
      <c r="F7897" s="8">
        <v>787</v>
      </c>
      <c r="G7897" s="8">
        <v>10099</v>
      </c>
      <c r="H7897" s="8">
        <v>2244</v>
      </c>
      <c r="I7897" s="8">
        <v>5578</v>
      </c>
    </row>
    <row r="7898" spans="1:9" x14ac:dyDescent="0.2">
      <c r="A7898" t="s">
        <v>1683</v>
      </c>
      <c r="B7898" t="s">
        <v>1693</v>
      </c>
      <c r="C7898" t="str">
        <f t="shared" si="396"/>
        <v>44697990000000</v>
      </c>
      <c r="D7898" t="s">
        <v>8781</v>
      </c>
      <c r="E7898" t="str">
        <f>"44697996049704"</f>
        <v>44697996049704</v>
      </c>
      <c r="F7898" s="8">
        <v>1387</v>
      </c>
      <c r="G7898" s="8">
        <v>9403</v>
      </c>
      <c r="H7898" s="8">
        <v>2244</v>
      </c>
      <c r="I7898" s="8">
        <v>5578</v>
      </c>
    </row>
    <row r="7899" spans="1:9" x14ac:dyDescent="0.2">
      <c r="A7899" t="s">
        <v>1683</v>
      </c>
      <c r="B7899" t="s">
        <v>1693</v>
      </c>
      <c r="C7899" t="str">
        <f t="shared" si="396"/>
        <v>44697990000000</v>
      </c>
      <c r="D7899" t="s">
        <v>2821</v>
      </c>
      <c r="E7899" t="str">
        <f>"44697996049696"</f>
        <v>44697996049696</v>
      </c>
      <c r="F7899" s="8">
        <v>983</v>
      </c>
      <c r="G7899" s="8">
        <v>9720</v>
      </c>
      <c r="H7899" s="8">
        <v>2244</v>
      </c>
      <c r="I7899" s="8">
        <v>5578</v>
      </c>
    </row>
    <row r="7900" spans="1:9" x14ac:dyDescent="0.2">
      <c r="A7900" t="s">
        <v>1683</v>
      </c>
      <c r="B7900" t="s">
        <v>1693</v>
      </c>
      <c r="C7900" t="str">
        <f t="shared" si="396"/>
        <v>44697990000000</v>
      </c>
      <c r="D7900" t="s">
        <v>8782</v>
      </c>
      <c r="E7900" t="str">
        <f>"44697994430229"</f>
        <v>44697994430229</v>
      </c>
      <c r="F7900" s="8">
        <v>81</v>
      </c>
      <c r="G7900" s="8">
        <v>10533</v>
      </c>
      <c r="H7900" s="8">
        <v>2244</v>
      </c>
      <c r="I7900" s="8">
        <v>5578</v>
      </c>
    </row>
    <row r="7901" spans="1:9" x14ac:dyDescent="0.2">
      <c r="A7901" t="s">
        <v>1683</v>
      </c>
      <c r="B7901" t="s">
        <v>1693</v>
      </c>
      <c r="C7901" t="str">
        <f t="shared" si="396"/>
        <v>44697990000000</v>
      </c>
      <c r="D7901" t="s">
        <v>8783</v>
      </c>
      <c r="E7901" t="str">
        <f>"44697996117253"</f>
        <v>44697996117253</v>
      </c>
      <c r="F7901" s="8">
        <v>1004</v>
      </c>
      <c r="G7901" s="8">
        <v>8826</v>
      </c>
      <c r="H7901" s="8">
        <v>2244</v>
      </c>
      <c r="I7901" s="8">
        <v>5578</v>
      </c>
    </row>
    <row r="7902" spans="1:9" x14ac:dyDescent="0.2">
      <c r="A7902" t="s">
        <v>1683</v>
      </c>
      <c r="B7902" t="s">
        <v>1693</v>
      </c>
      <c r="C7902" t="str">
        <f t="shared" si="396"/>
        <v>44697990000000</v>
      </c>
      <c r="D7902" t="s">
        <v>2706</v>
      </c>
      <c r="E7902" t="str">
        <f>"44697996108138"</f>
        <v>44697996108138</v>
      </c>
      <c r="F7902" s="8">
        <v>1318</v>
      </c>
      <c r="G7902" s="8">
        <v>8335</v>
      </c>
      <c r="H7902" s="8">
        <v>2244</v>
      </c>
      <c r="I7902" s="8">
        <v>5578</v>
      </c>
    </row>
    <row r="7903" spans="1:9" x14ac:dyDescent="0.2">
      <c r="A7903" t="s">
        <v>1683</v>
      </c>
      <c r="B7903" t="s">
        <v>1693</v>
      </c>
      <c r="C7903" t="str">
        <f t="shared" si="396"/>
        <v>44697990000000</v>
      </c>
      <c r="D7903" t="s">
        <v>8784</v>
      </c>
      <c r="E7903" t="str">
        <f>"44697996049670"</f>
        <v>44697996049670</v>
      </c>
      <c r="F7903" s="8">
        <v>1190</v>
      </c>
      <c r="G7903" s="8">
        <v>8426</v>
      </c>
      <c r="H7903" s="8">
        <v>2244</v>
      </c>
      <c r="I7903" s="8">
        <v>5578</v>
      </c>
    </row>
    <row r="7904" spans="1:9" x14ac:dyDescent="0.2">
      <c r="A7904" t="s">
        <v>1683</v>
      </c>
      <c r="B7904" t="s">
        <v>1693</v>
      </c>
      <c r="C7904" t="str">
        <f t="shared" si="396"/>
        <v>44697990000000</v>
      </c>
      <c r="D7904" t="s">
        <v>8785</v>
      </c>
      <c r="E7904" t="str">
        <f>"44697996049746"</f>
        <v>44697996049746</v>
      </c>
      <c r="F7904" s="8">
        <v>1155</v>
      </c>
      <c r="G7904" s="8">
        <v>8332</v>
      </c>
      <c r="H7904" s="8">
        <v>2244</v>
      </c>
      <c r="I7904" s="8">
        <v>5578</v>
      </c>
    </row>
    <row r="7905" spans="1:9" x14ac:dyDescent="0.2">
      <c r="A7905" t="s">
        <v>1683</v>
      </c>
      <c r="B7905" t="s">
        <v>1693</v>
      </c>
      <c r="C7905" t="str">
        <f t="shared" si="396"/>
        <v>44697990000000</v>
      </c>
      <c r="D7905" t="s">
        <v>6346</v>
      </c>
      <c r="E7905" t="str">
        <f>"44697996108146"</f>
        <v>44697996108146</v>
      </c>
      <c r="F7905" s="8">
        <v>698</v>
      </c>
      <c r="G7905" s="8">
        <v>8701</v>
      </c>
      <c r="H7905" s="8">
        <v>2244</v>
      </c>
      <c r="I7905" s="8">
        <v>5578</v>
      </c>
    </row>
    <row r="7906" spans="1:9" x14ac:dyDescent="0.2">
      <c r="A7906" t="s">
        <v>1683</v>
      </c>
      <c r="B7906" t="s">
        <v>1693</v>
      </c>
      <c r="C7906" t="str">
        <f t="shared" si="396"/>
        <v>44697990000000</v>
      </c>
      <c r="D7906" t="s">
        <v>4772</v>
      </c>
      <c r="E7906" t="str">
        <f>"44697996049738"</f>
        <v>44697996049738</v>
      </c>
      <c r="F7906" s="8">
        <v>505</v>
      </c>
      <c r="G7906" s="8">
        <v>8817</v>
      </c>
      <c r="H7906" s="8">
        <v>2244</v>
      </c>
      <c r="I7906" s="8">
        <v>5578</v>
      </c>
    </row>
    <row r="7907" spans="1:9" x14ac:dyDescent="0.2">
      <c r="A7907" t="s">
        <v>1683</v>
      </c>
      <c r="B7907" t="s">
        <v>1693</v>
      </c>
      <c r="C7907" t="str">
        <f t="shared" si="396"/>
        <v>44697990000000</v>
      </c>
      <c r="D7907" t="s">
        <v>8786</v>
      </c>
      <c r="E7907" t="str">
        <f>"44697996049688"</f>
        <v>44697996049688</v>
      </c>
      <c r="F7907" s="8">
        <v>428</v>
      </c>
      <c r="G7907" s="8">
        <v>8852</v>
      </c>
      <c r="H7907" s="8">
        <v>2244</v>
      </c>
      <c r="I7907" s="8">
        <v>5578</v>
      </c>
    </row>
    <row r="7908" spans="1:9" x14ac:dyDescent="0.2">
      <c r="A7908" t="s">
        <v>1683</v>
      </c>
      <c r="B7908" t="s">
        <v>1693</v>
      </c>
      <c r="C7908" t="str">
        <f t="shared" si="396"/>
        <v>44697990000000</v>
      </c>
      <c r="D7908" t="s">
        <v>5533</v>
      </c>
      <c r="E7908" t="str">
        <f>"44697996049662"</f>
        <v>44697996049662</v>
      </c>
      <c r="F7908" s="8">
        <v>461</v>
      </c>
      <c r="G7908" s="8">
        <v>8762</v>
      </c>
      <c r="H7908" s="8">
        <v>2244</v>
      </c>
      <c r="I7908" s="8">
        <v>5578</v>
      </c>
    </row>
    <row r="7909" spans="1:9" x14ac:dyDescent="0.2">
      <c r="A7909" t="s">
        <v>1683</v>
      </c>
      <c r="B7909" t="s">
        <v>1693</v>
      </c>
      <c r="C7909" t="str">
        <f t="shared" si="396"/>
        <v>44697990000000</v>
      </c>
      <c r="D7909" t="s">
        <v>6105</v>
      </c>
      <c r="E7909" t="str">
        <f>"44697996049811"</f>
        <v>44697996049811</v>
      </c>
      <c r="F7909" s="8">
        <v>144</v>
      </c>
      <c r="G7909" s="8">
        <v>8906</v>
      </c>
      <c r="H7909" s="8">
        <v>2244</v>
      </c>
      <c r="I7909" s="8">
        <v>5578</v>
      </c>
    </row>
    <row r="7910" spans="1:9" x14ac:dyDescent="0.2">
      <c r="A7910" t="s">
        <v>1683</v>
      </c>
      <c r="B7910" t="s">
        <v>1693</v>
      </c>
      <c r="C7910" t="str">
        <f t="shared" si="396"/>
        <v>44697990000000</v>
      </c>
      <c r="D7910" t="s">
        <v>8787</v>
      </c>
      <c r="E7910" t="str">
        <f>"44697996049779"</f>
        <v>44697996049779</v>
      </c>
      <c r="F7910" s="8">
        <v>503</v>
      </c>
      <c r="G7910" s="8">
        <v>8525</v>
      </c>
      <c r="H7910" s="8">
        <v>2244</v>
      </c>
      <c r="I7910" s="8">
        <v>5578</v>
      </c>
    </row>
    <row r="7911" spans="1:9" x14ac:dyDescent="0.2">
      <c r="A7911" t="s">
        <v>1683</v>
      </c>
      <c r="B7911" t="s">
        <v>1693</v>
      </c>
      <c r="C7911" t="str">
        <f t="shared" si="396"/>
        <v>44697990000000</v>
      </c>
      <c r="D7911" t="s">
        <v>8788</v>
      </c>
      <c r="E7911" t="str">
        <f>"44697994430518"</f>
        <v>44697994430518</v>
      </c>
      <c r="F7911" s="8">
        <v>203</v>
      </c>
      <c r="G7911" s="8">
        <v>8726</v>
      </c>
      <c r="H7911" s="8">
        <v>2244</v>
      </c>
      <c r="I7911" s="8">
        <v>5578</v>
      </c>
    </row>
    <row r="7912" spans="1:9" x14ac:dyDescent="0.2">
      <c r="A7912" t="s">
        <v>1683</v>
      </c>
      <c r="B7912" t="s">
        <v>1693</v>
      </c>
      <c r="C7912" t="str">
        <f t="shared" si="396"/>
        <v>44697990000000</v>
      </c>
      <c r="D7912" t="s">
        <v>8789</v>
      </c>
      <c r="E7912" t="str">
        <f>"44697996049803"</f>
        <v>44697996049803</v>
      </c>
      <c r="F7912" s="8">
        <v>957</v>
      </c>
      <c r="G7912" s="8">
        <v>7950</v>
      </c>
      <c r="H7912" s="8">
        <v>2244</v>
      </c>
      <c r="I7912" s="8">
        <v>5578</v>
      </c>
    </row>
    <row r="7913" spans="1:9" x14ac:dyDescent="0.2">
      <c r="A7913" t="s">
        <v>1683</v>
      </c>
      <c r="B7913" t="s">
        <v>1693</v>
      </c>
      <c r="C7913" t="str">
        <f t="shared" si="396"/>
        <v>44697990000000</v>
      </c>
      <c r="D7913" t="s">
        <v>8790</v>
      </c>
      <c r="E7913" t="str">
        <f>"44697996049753"</f>
        <v>44697996049753</v>
      </c>
      <c r="F7913" s="8">
        <v>598</v>
      </c>
      <c r="G7913" s="8">
        <v>8288</v>
      </c>
      <c r="H7913" s="8">
        <v>2244</v>
      </c>
      <c r="I7913" s="8">
        <v>5578</v>
      </c>
    </row>
    <row r="7914" spans="1:9" x14ac:dyDescent="0.2">
      <c r="A7914" t="s">
        <v>1683</v>
      </c>
      <c r="B7914" t="s">
        <v>1693</v>
      </c>
      <c r="C7914" t="str">
        <f t="shared" si="396"/>
        <v>44697990000000</v>
      </c>
      <c r="D7914" t="s">
        <v>8791</v>
      </c>
      <c r="E7914" t="str">
        <f>"44697994437901"</f>
        <v>44697994437901</v>
      </c>
      <c r="F7914" s="8">
        <v>609</v>
      </c>
      <c r="G7914" s="8">
        <v>8195</v>
      </c>
      <c r="H7914" s="8">
        <v>2244</v>
      </c>
      <c r="I7914" s="8">
        <v>5578</v>
      </c>
    </row>
    <row r="7915" spans="1:9" x14ac:dyDescent="0.2">
      <c r="A7915" t="s">
        <v>1683</v>
      </c>
      <c r="B7915" t="s">
        <v>1693</v>
      </c>
      <c r="C7915" t="str">
        <f t="shared" si="396"/>
        <v>44697990000000</v>
      </c>
      <c r="D7915" t="s">
        <v>8792</v>
      </c>
      <c r="E7915" t="str">
        <f>"44697996049712"</f>
        <v>44697996049712</v>
      </c>
      <c r="F7915" s="8">
        <v>835</v>
      </c>
      <c r="G7915" s="8">
        <v>7824</v>
      </c>
      <c r="H7915" s="8">
        <v>2244</v>
      </c>
      <c r="I7915" s="8">
        <v>5578</v>
      </c>
    </row>
    <row r="7916" spans="1:9" x14ac:dyDescent="0.2">
      <c r="A7916" t="s">
        <v>1683</v>
      </c>
      <c r="B7916" t="s">
        <v>1693</v>
      </c>
      <c r="C7916" t="str">
        <f t="shared" si="396"/>
        <v>44697990000000</v>
      </c>
      <c r="D7916" t="s">
        <v>8793</v>
      </c>
      <c r="E7916" t="str">
        <f>"44697996049639"</f>
        <v>44697996049639</v>
      </c>
      <c r="F7916" s="8">
        <v>848</v>
      </c>
      <c r="G7916" s="8">
        <v>7791</v>
      </c>
      <c r="H7916" s="8">
        <v>2244</v>
      </c>
      <c r="I7916" s="8">
        <v>5578</v>
      </c>
    </row>
    <row r="7917" spans="1:9" x14ac:dyDescent="0.2">
      <c r="A7917" t="s">
        <v>1683</v>
      </c>
      <c r="B7917" t="s">
        <v>1693</v>
      </c>
      <c r="C7917" t="str">
        <f t="shared" si="396"/>
        <v>44697990000000</v>
      </c>
      <c r="D7917" t="s">
        <v>5493</v>
      </c>
      <c r="E7917" t="str">
        <f>"44697990109595"</f>
        <v>44697990109595</v>
      </c>
      <c r="F7917" s="8">
        <v>903</v>
      </c>
      <c r="G7917" s="8">
        <v>7464</v>
      </c>
      <c r="H7917" s="8">
        <v>2244</v>
      </c>
      <c r="I7917" s="8">
        <v>5578</v>
      </c>
    </row>
    <row r="7918" spans="1:9" x14ac:dyDescent="0.2">
      <c r="A7918" t="s">
        <v>1683</v>
      </c>
      <c r="B7918" t="s">
        <v>1693</v>
      </c>
      <c r="C7918" t="str">
        <f t="shared" si="396"/>
        <v>44697990000000</v>
      </c>
      <c r="D7918" t="s">
        <v>2739</v>
      </c>
      <c r="E7918" t="str">
        <f>"44697996049787"</f>
        <v>44697996049787</v>
      </c>
      <c r="F7918" s="8">
        <v>646</v>
      </c>
      <c r="G7918" s="8">
        <v>7684</v>
      </c>
      <c r="H7918" s="8">
        <v>2244</v>
      </c>
      <c r="I7918" s="8">
        <v>5578</v>
      </c>
    </row>
    <row r="7919" spans="1:9" x14ac:dyDescent="0.2">
      <c r="A7919" t="s">
        <v>1683</v>
      </c>
      <c r="B7919" t="s">
        <v>1693</v>
      </c>
      <c r="C7919" t="str">
        <f t="shared" si="396"/>
        <v>44697990000000</v>
      </c>
      <c r="D7919" t="s">
        <v>8794</v>
      </c>
      <c r="E7919" t="str">
        <f>"44697996049647"</f>
        <v>44697996049647</v>
      </c>
      <c r="F7919" s="8">
        <v>297</v>
      </c>
      <c r="G7919" s="8">
        <v>7987</v>
      </c>
      <c r="H7919" s="8">
        <v>2244</v>
      </c>
      <c r="I7919" s="8">
        <v>5578</v>
      </c>
    </row>
    <row r="7920" spans="1:9" x14ac:dyDescent="0.2">
      <c r="A7920" t="s">
        <v>1683</v>
      </c>
      <c r="B7920" t="s">
        <v>1693</v>
      </c>
      <c r="C7920" t="str">
        <f t="shared" si="396"/>
        <v>44697990000000</v>
      </c>
      <c r="D7920" t="s">
        <v>8795</v>
      </c>
      <c r="E7920" t="str">
        <f>"44697996112841"</f>
        <v>44697996112841</v>
      </c>
      <c r="F7920" s="8">
        <v>871</v>
      </c>
      <c r="G7920" s="8">
        <v>7227</v>
      </c>
      <c r="H7920" s="8">
        <v>2244</v>
      </c>
      <c r="I7920" s="8">
        <v>5578</v>
      </c>
    </row>
    <row r="7921" spans="1:9" x14ac:dyDescent="0.2">
      <c r="A7921" t="s">
        <v>1683</v>
      </c>
      <c r="B7921" t="s">
        <v>1693</v>
      </c>
      <c r="C7921" t="str">
        <f t="shared" si="396"/>
        <v>44697990000000</v>
      </c>
      <c r="D7921" t="s">
        <v>8796</v>
      </c>
      <c r="E7921" t="str">
        <f>"44697990102665"</f>
        <v>44697990102665</v>
      </c>
      <c r="F7921" s="8">
        <v>821</v>
      </c>
      <c r="G7921" s="8">
        <v>7222</v>
      </c>
      <c r="H7921" s="8">
        <v>2244</v>
      </c>
      <c r="I7921" s="8">
        <v>5578</v>
      </c>
    </row>
    <row r="7922" spans="1:9" x14ac:dyDescent="0.2">
      <c r="A7922" t="s">
        <v>1683</v>
      </c>
      <c r="B7922" t="s">
        <v>1693</v>
      </c>
      <c r="C7922" t="str">
        <f t="shared" si="396"/>
        <v>44697990000000</v>
      </c>
      <c r="D7922" t="s">
        <v>8797</v>
      </c>
      <c r="E7922" t="str">
        <f>"44697990102673"</f>
        <v>44697990102673</v>
      </c>
      <c r="F7922" s="8">
        <v>458</v>
      </c>
      <c r="G7922" s="8">
        <v>7354</v>
      </c>
      <c r="H7922" s="8">
        <v>2244</v>
      </c>
      <c r="I7922" s="8">
        <v>5578</v>
      </c>
    </row>
    <row r="7923" spans="1:9" x14ac:dyDescent="0.2">
      <c r="A7923" t="s">
        <v>1683</v>
      </c>
      <c r="B7923" t="s">
        <v>1693</v>
      </c>
      <c r="C7923" t="str">
        <f t="shared" si="396"/>
        <v>44697990000000</v>
      </c>
      <c r="D7923" t="s">
        <v>8798</v>
      </c>
      <c r="E7923" t="str">
        <f>"44697990140335"</f>
        <v>44697990140335</v>
      </c>
      <c r="F7923" s="8">
        <v>6503</v>
      </c>
      <c r="G7923" s="8">
        <v>808</v>
      </c>
      <c r="H7923" s="8">
        <v>2244</v>
      </c>
      <c r="I7923" s="8">
        <v>5578</v>
      </c>
    </row>
    <row r="7924" spans="1:9" x14ac:dyDescent="0.2">
      <c r="A7924" t="s">
        <v>1683</v>
      </c>
      <c r="B7924" t="s">
        <v>1693</v>
      </c>
      <c r="C7924" t="str">
        <f t="shared" si="396"/>
        <v>44697990000000</v>
      </c>
      <c r="D7924" t="s">
        <v>8799</v>
      </c>
      <c r="E7924" t="str">
        <f>"44697996049720"</f>
        <v>44697996049720</v>
      </c>
      <c r="F7924" s="8">
        <v>510</v>
      </c>
      <c r="G7924" s="8">
        <v>9237</v>
      </c>
      <c r="H7924" s="8">
        <v>0</v>
      </c>
      <c r="I7924" s="8">
        <v>0</v>
      </c>
    </row>
    <row r="7925" spans="1:9" x14ac:dyDescent="0.2">
      <c r="A7925" t="s">
        <v>1683</v>
      </c>
      <c r="B7925" t="s">
        <v>1694</v>
      </c>
      <c r="C7925" t="str">
        <f>"44698070000000"</f>
        <v>44698070000000</v>
      </c>
      <c r="D7925" t="s">
        <v>8800</v>
      </c>
      <c r="E7925" t="str">
        <f>"44698074436754"</f>
        <v>44698074436754</v>
      </c>
      <c r="F7925" s="8">
        <v>520</v>
      </c>
      <c r="G7925" s="8">
        <v>8156</v>
      </c>
      <c r="H7925" s="8">
        <v>410</v>
      </c>
      <c r="I7925" s="8">
        <v>4510</v>
      </c>
    </row>
    <row r="7926" spans="1:9" x14ac:dyDescent="0.2">
      <c r="A7926" t="s">
        <v>1683</v>
      </c>
      <c r="B7926" t="s">
        <v>1694</v>
      </c>
      <c r="C7926" t="str">
        <f>"44698070000000"</f>
        <v>44698070000000</v>
      </c>
      <c r="D7926" t="s">
        <v>8801</v>
      </c>
      <c r="E7926" t="str">
        <f>"44698076049837"</f>
        <v>44698076049837</v>
      </c>
      <c r="F7926" s="8">
        <v>650</v>
      </c>
      <c r="G7926" s="8">
        <v>7858</v>
      </c>
      <c r="H7926" s="8">
        <v>410</v>
      </c>
      <c r="I7926" s="8">
        <v>4510</v>
      </c>
    </row>
    <row r="7927" spans="1:9" x14ac:dyDescent="0.2">
      <c r="A7927" t="s">
        <v>1683</v>
      </c>
      <c r="B7927" t="s">
        <v>1694</v>
      </c>
      <c r="C7927" t="str">
        <f>"44698070000000"</f>
        <v>44698070000000</v>
      </c>
      <c r="D7927" t="s">
        <v>8802</v>
      </c>
      <c r="E7927" t="str">
        <f>"44698074430179"</f>
        <v>44698074430179</v>
      </c>
      <c r="F7927" s="8">
        <v>83</v>
      </c>
      <c r="G7927" s="8">
        <v>8039</v>
      </c>
      <c r="H7927" s="8">
        <v>410</v>
      </c>
      <c r="I7927" s="8">
        <v>4510</v>
      </c>
    </row>
    <row r="7928" spans="1:9" x14ac:dyDescent="0.2">
      <c r="A7928" t="s">
        <v>1683</v>
      </c>
      <c r="B7928" t="s">
        <v>1694</v>
      </c>
      <c r="C7928" t="str">
        <f>"44698070000000"</f>
        <v>44698070000000</v>
      </c>
      <c r="D7928" t="s">
        <v>8803</v>
      </c>
      <c r="E7928" t="str">
        <f>"44698076060644"</f>
        <v>44698076060644</v>
      </c>
      <c r="F7928" s="8">
        <v>969</v>
      </c>
      <c r="G7928" s="8">
        <v>6726</v>
      </c>
      <c r="H7928" s="8">
        <v>410</v>
      </c>
      <c r="I7928" s="8">
        <v>4510</v>
      </c>
    </row>
    <row r="7929" spans="1:9" x14ac:dyDescent="0.2">
      <c r="A7929" t="s">
        <v>1683</v>
      </c>
      <c r="B7929" t="s">
        <v>1694</v>
      </c>
      <c r="C7929" t="str">
        <f>"44698070000000"</f>
        <v>44698070000000</v>
      </c>
      <c r="D7929" t="s">
        <v>8804</v>
      </c>
      <c r="E7929" t="str">
        <f>"44698076049852"</f>
        <v>44698076049852</v>
      </c>
      <c r="F7929" s="8">
        <v>621</v>
      </c>
      <c r="G7929" s="8">
        <v>6771</v>
      </c>
      <c r="H7929" s="8">
        <v>410</v>
      </c>
      <c r="I7929" s="8">
        <v>4510</v>
      </c>
    </row>
    <row r="7930" spans="1:9" x14ac:dyDescent="0.2">
      <c r="A7930" t="s">
        <v>1683</v>
      </c>
      <c r="B7930" t="s">
        <v>1695</v>
      </c>
      <c r="C7930" t="str">
        <f>"44698150000000"</f>
        <v>44698150000000</v>
      </c>
      <c r="D7930" t="s">
        <v>8805</v>
      </c>
      <c r="E7930" t="str">
        <f>"44698156049860"</f>
        <v>44698156049860</v>
      </c>
      <c r="F7930" s="8">
        <v>918</v>
      </c>
      <c r="G7930" s="8">
        <v>4695</v>
      </c>
      <c r="H7930" s="8">
        <v>1038</v>
      </c>
      <c r="I7930" s="8">
        <v>3437</v>
      </c>
    </row>
    <row r="7931" spans="1:9" x14ac:dyDescent="0.2">
      <c r="A7931" t="s">
        <v>1683</v>
      </c>
      <c r="B7931" t="s">
        <v>1695</v>
      </c>
      <c r="C7931" t="str">
        <f>"44698150000000"</f>
        <v>44698150000000</v>
      </c>
      <c r="D7931" t="s">
        <v>8806</v>
      </c>
      <c r="E7931" t="str">
        <f>"44698156049894"</f>
        <v>44698156049894</v>
      </c>
      <c r="F7931" s="8">
        <v>673</v>
      </c>
      <c r="G7931" s="8">
        <v>2367</v>
      </c>
      <c r="H7931" s="8">
        <v>1038</v>
      </c>
      <c r="I7931" s="8">
        <v>3437</v>
      </c>
    </row>
    <row r="7932" spans="1:9" x14ac:dyDescent="0.2">
      <c r="A7932" t="s">
        <v>1683</v>
      </c>
      <c r="B7932" t="s">
        <v>1695</v>
      </c>
      <c r="C7932" t="str">
        <f>"44698150000000"</f>
        <v>44698150000000</v>
      </c>
      <c r="D7932" t="s">
        <v>8291</v>
      </c>
      <c r="E7932" t="str">
        <f>"44698156049928"</f>
        <v>44698156049928</v>
      </c>
      <c r="F7932" s="8">
        <v>635</v>
      </c>
      <c r="G7932" s="8">
        <v>1715</v>
      </c>
      <c r="H7932" s="8">
        <v>1038</v>
      </c>
      <c r="I7932" s="8">
        <v>3437</v>
      </c>
    </row>
    <row r="7933" spans="1:9" x14ac:dyDescent="0.2">
      <c r="A7933" t="s">
        <v>1683</v>
      </c>
      <c r="B7933" t="s">
        <v>1695</v>
      </c>
      <c r="C7933" t="str">
        <f>"44698150000000"</f>
        <v>44698150000000</v>
      </c>
      <c r="D7933" t="s">
        <v>8807</v>
      </c>
      <c r="E7933" t="str">
        <f>"44698156108203"</f>
        <v>44698156108203</v>
      </c>
      <c r="F7933" s="8">
        <v>289</v>
      </c>
      <c r="G7933" s="8">
        <v>1539</v>
      </c>
      <c r="H7933" s="8">
        <v>1038</v>
      </c>
      <c r="I7933" s="8">
        <v>3437</v>
      </c>
    </row>
    <row r="7934" spans="1:9" x14ac:dyDescent="0.2">
      <c r="A7934" t="s">
        <v>1683</v>
      </c>
      <c r="B7934" t="s">
        <v>1695</v>
      </c>
      <c r="C7934" t="str">
        <f>"44698150000000"</f>
        <v>44698150000000</v>
      </c>
      <c r="D7934" t="s">
        <v>8808</v>
      </c>
      <c r="E7934" t="str">
        <f>"44698156049886"</f>
        <v>44698156049886</v>
      </c>
      <c r="F7934" s="8">
        <v>197</v>
      </c>
      <c r="G7934" s="8">
        <v>1069</v>
      </c>
      <c r="H7934" s="8">
        <v>1038</v>
      </c>
      <c r="I7934" s="8">
        <v>3437</v>
      </c>
    </row>
    <row r="7935" spans="1:9" x14ac:dyDescent="0.2">
      <c r="A7935" t="s">
        <v>1683</v>
      </c>
      <c r="B7935" t="s">
        <v>1696</v>
      </c>
      <c r="C7935" t="str">
        <f t="shared" ref="C7935:C7943" si="397">"44698230000000"</f>
        <v>44698230000000</v>
      </c>
      <c r="D7935" t="s">
        <v>8809</v>
      </c>
      <c r="E7935" t="str">
        <f>"44698234436960"</f>
        <v>44698234436960</v>
      </c>
      <c r="F7935" s="8">
        <v>2753</v>
      </c>
      <c r="G7935" s="8">
        <v>82</v>
      </c>
      <c r="H7935" s="8">
        <v>738</v>
      </c>
      <c r="I7935" s="8">
        <v>2069</v>
      </c>
    </row>
    <row r="7936" spans="1:9" x14ac:dyDescent="0.2">
      <c r="A7936" t="s">
        <v>1683</v>
      </c>
      <c r="B7936" t="s">
        <v>1696</v>
      </c>
      <c r="C7936" t="str">
        <f t="shared" si="397"/>
        <v>44698230000000</v>
      </c>
      <c r="D7936" t="s">
        <v>8810</v>
      </c>
      <c r="E7936" t="str">
        <f>"44698236060149"</f>
        <v>44698236060149</v>
      </c>
      <c r="F7936" s="8">
        <v>413</v>
      </c>
      <c r="G7936" s="8">
        <v>2270</v>
      </c>
      <c r="H7936" s="8">
        <v>738</v>
      </c>
      <c r="I7936" s="8">
        <v>2069</v>
      </c>
    </row>
    <row r="7937" spans="1:9" x14ac:dyDescent="0.2">
      <c r="A7937" t="s">
        <v>1683</v>
      </c>
      <c r="B7937" t="s">
        <v>1696</v>
      </c>
      <c r="C7937" t="str">
        <f t="shared" si="397"/>
        <v>44698230000000</v>
      </c>
      <c r="D7937" t="s">
        <v>8811</v>
      </c>
      <c r="E7937" t="str">
        <f>"44698234432340"</f>
        <v>44698234432340</v>
      </c>
      <c r="F7937" s="8">
        <v>464</v>
      </c>
      <c r="G7937" s="8">
        <v>1810</v>
      </c>
      <c r="H7937" s="8">
        <v>738</v>
      </c>
      <c r="I7937" s="8">
        <v>2069</v>
      </c>
    </row>
    <row r="7938" spans="1:9" x14ac:dyDescent="0.2">
      <c r="A7938" t="s">
        <v>1683</v>
      </c>
      <c r="B7938" t="s">
        <v>1696</v>
      </c>
      <c r="C7938" t="str">
        <f t="shared" si="397"/>
        <v>44698230000000</v>
      </c>
      <c r="D7938" t="s">
        <v>8812</v>
      </c>
      <c r="E7938" t="str">
        <f>"44698234430096"</f>
        <v>44698234430096</v>
      </c>
      <c r="F7938" s="8">
        <v>53</v>
      </c>
      <c r="G7938" s="8">
        <v>1783</v>
      </c>
      <c r="H7938" s="8">
        <v>738</v>
      </c>
      <c r="I7938" s="8">
        <v>2069</v>
      </c>
    </row>
    <row r="7939" spans="1:9" x14ac:dyDescent="0.2">
      <c r="A7939" t="s">
        <v>1683</v>
      </c>
      <c r="B7939" t="s">
        <v>1696</v>
      </c>
      <c r="C7939" t="str">
        <f t="shared" si="397"/>
        <v>44698230000000</v>
      </c>
      <c r="D7939" t="s">
        <v>8813</v>
      </c>
      <c r="E7939" t="str">
        <f>"44698236060156"</f>
        <v>44698236060156</v>
      </c>
      <c r="F7939" s="8">
        <v>491</v>
      </c>
      <c r="G7939" s="8">
        <v>1133</v>
      </c>
      <c r="H7939" s="8">
        <v>738</v>
      </c>
      <c r="I7939" s="8">
        <v>2069</v>
      </c>
    </row>
    <row r="7940" spans="1:9" x14ac:dyDescent="0.2">
      <c r="A7940" t="s">
        <v>1683</v>
      </c>
      <c r="B7940" t="s">
        <v>1696</v>
      </c>
      <c r="C7940" t="str">
        <f t="shared" si="397"/>
        <v>44698230000000</v>
      </c>
      <c r="D7940" t="s">
        <v>8814</v>
      </c>
      <c r="E7940" t="str">
        <f>"44698234437109"</f>
        <v>44698234437109</v>
      </c>
      <c r="F7940" s="8">
        <v>74</v>
      </c>
      <c r="G7940" s="8">
        <v>1122</v>
      </c>
      <c r="H7940" s="8">
        <v>738</v>
      </c>
      <c r="I7940" s="8">
        <v>2069</v>
      </c>
    </row>
    <row r="7941" spans="1:9" x14ac:dyDescent="0.2">
      <c r="A7941" t="s">
        <v>1683</v>
      </c>
      <c r="B7941" t="s">
        <v>1696</v>
      </c>
      <c r="C7941" t="str">
        <f t="shared" si="397"/>
        <v>44698230000000</v>
      </c>
      <c r="D7941" t="s">
        <v>8815</v>
      </c>
      <c r="E7941" t="str">
        <f>"44698234437406"</f>
        <v>44698234437406</v>
      </c>
      <c r="F7941" s="8">
        <v>92</v>
      </c>
      <c r="G7941" s="8">
        <v>1096</v>
      </c>
      <c r="H7941" s="8">
        <v>738</v>
      </c>
      <c r="I7941" s="8">
        <v>2069</v>
      </c>
    </row>
    <row r="7942" spans="1:9" x14ac:dyDescent="0.2">
      <c r="A7942" t="s">
        <v>1683</v>
      </c>
      <c r="B7942" t="s">
        <v>1696</v>
      </c>
      <c r="C7942" t="str">
        <f t="shared" si="397"/>
        <v>44698230000000</v>
      </c>
      <c r="D7942" t="s">
        <v>8816</v>
      </c>
      <c r="E7942" t="str">
        <f>"44698234430195"</f>
        <v>44698234430195</v>
      </c>
      <c r="F7942" s="8">
        <v>15</v>
      </c>
      <c r="G7942" s="8">
        <v>310</v>
      </c>
      <c r="H7942" s="8">
        <v>738</v>
      </c>
      <c r="I7942" s="8">
        <v>2069</v>
      </c>
    </row>
    <row r="7943" spans="1:9" x14ac:dyDescent="0.2">
      <c r="A7943" t="s">
        <v>1683</v>
      </c>
      <c r="B7943" t="s">
        <v>1696</v>
      </c>
      <c r="C7943" t="str">
        <f t="shared" si="397"/>
        <v>44698230000000</v>
      </c>
      <c r="D7943" t="s">
        <v>8128</v>
      </c>
      <c r="E7943" t="str">
        <f>"44698234430187"</f>
        <v>44698234430187</v>
      </c>
      <c r="F7943" s="8">
        <v>874</v>
      </c>
      <c r="G7943" s="8">
        <v>1846</v>
      </c>
      <c r="H7943" s="8">
        <v>0</v>
      </c>
      <c r="I7943" s="8">
        <v>0</v>
      </c>
    </row>
    <row r="7944" spans="1:9" x14ac:dyDescent="0.2">
      <c r="A7944" t="s">
        <v>1683</v>
      </c>
      <c r="B7944" t="s">
        <v>1697</v>
      </c>
      <c r="C7944" t="str">
        <f>"44104470000000"</f>
        <v>44104470000000</v>
      </c>
      <c r="D7944" t="s">
        <v>8817</v>
      </c>
      <c r="E7944" t="str">
        <f>"44104476069397"</f>
        <v>44104476069397</v>
      </c>
      <c r="F7944" s="8">
        <v>6145</v>
      </c>
      <c r="G7944" s="8">
        <v>101987</v>
      </c>
      <c r="H7944" s="8">
        <v>274</v>
      </c>
      <c r="I7944" s="8">
        <v>6932</v>
      </c>
    </row>
    <row r="7945" spans="1:9" x14ac:dyDescent="0.2">
      <c r="A7945" t="s">
        <v>1683</v>
      </c>
      <c r="B7945" t="s">
        <v>1697</v>
      </c>
      <c r="C7945" t="str">
        <f>"44104470000000"</f>
        <v>44104470000000</v>
      </c>
      <c r="D7945" t="s">
        <v>8818</v>
      </c>
      <c r="E7945" t="str">
        <f>"44104474430146"</f>
        <v>44104474430146</v>
      </c>
      <c r="F7945" s="8">
        <v>2263</v>
      </c>
      <c r="G7945" s="8">
        <v>14267</v>
      </c>
      <c r="H7945" s="8">
        <v>274</v>
      </c>
      <c r="I7945" s="8">
        <v>6932</v>
      </c>
    </row>
    <row r="7946" spans="1:9" x14ac:dyDescent="0.2">
      <c r="A7946" t="s">
        <v>1683</v>
      </c>
      <c r="B7946" t="s">
        <v>1697</v>
      </c>
      <c r="C7946" t="str">
        <f>"44104470000000"</f>
        <v>44104470000000</v>
      </c>
      <c r="D7946" t="s">
        <v>8819</v>
      </c>
      <c r="E7946" t="str">
        <f>"44104474430278"</f>
        <v>44104474430278</v>
      </c>
      <c r="F7946" s="8">
        <v>1706</v>
      </c>
      <c r="G7946" s="8">
        <v>14104</v>
      </c>
      <c r="H7946" s="8">
        <v>274</v>
      </c>
      <c r="I7946" s="8">
        <v>6932</v>
      </c>
    </row>
    <row r="7947" spans="1:9" x14ac:dyDescent="0.2">
      <c r="A7947" t="s">
        <v>1683</v>
      </c>
      <c r="B7947" t="s">
        <v>1697</v>
      </c>
      <c r="C7947" t="str">
        <f>"44104470000000"</f>
        <v>44104470000000</v>
      </c>
      <c r="D7947" t="s">
        <v>8820</v>
      </c>
      <c r="E7947" t="str">
        <f>"44104470136572"</f>
        <v>44104470136572</v>
      </c>
      <c r="F7947" s="8">
        <v>1325</v>
      </c>
      <c r="G7947" s="8">
        <v>12191</v>
      </c>
      <c r="H7947" s="8">
        <v>274</v>
      </c>
      <c r="I7947" s="8">
        <v>6932</v>
      </c>
    </row>
    <row r="7948" spans="1:9" x14ac:dyDescent="0.2">
      <c r="A7948" t="s">
        <v>1683</v>
      </c>
      <c r="B7948" t="s">
        <v>1698</v>
      </c>
      <c r="C7948" t="str">
        <f>"44754320000000"</f>
        <v>44754320000000</v>
      </c>
      <c r="D7948" t="s">
        <v>8821</v>
      </c>
      <c r="E7948" t="str">
        <f>"44754326049936"</f>
        <v>44754326049936</v>
      </c>
      <c r="F7948" s="8">
        <v>470</v>
      </c>
      <c r="G7948" s="8">
        <v>6322</v>
      </c>
      <c r="H7948" s="8">
        <v>385</v>
      </c>
      <c r="I7948" s="8">
        <v>3486</v>
      </c>
    </row>
    <row r="7949" spans="1:9" x14ac:dyDescent="0.2">
      <c r="A7949" t="s">
        <v>1683</v>
      </c>
      <c r="B7949" t="s">
        <v>1698</v>
      </c>
      <c r="C7949" t="str">
        <f>"44754320000000"</f>
        <v>44754320000000</v>
      </c>
      <c r="D7949" t="s">
        <v>8822</v>
      </c>
      <c r="E7949" t="str">
        <f>"44754324430211"</f>
        <v>44754324430211</v>
      </c>
      <c r="F7949" s="8">
        <v>238</v>
      </c>
      <c r="G7949" s="8">
        <v>6511</v>
      </c>
      <c r="H7949" s="8">
        <v>336</v>
      </c>
      <c r="I7949" s="8">
        <v>3120</v>
      </c>
    </row>
    <row r="7950" spans="1:9" x14ac:dyDescent="0.2">
      <c r="A7950" t="s">
        <v>1683</v>
      </c>
      <c r="B7950" t="s">
        <v>1698</v>
      </c>
      <c r="C7950" t="str">
        <f>"44754320000000"</f>
        <v>44754320000000</v>
      </c>
      <c r="D7950" t="s">
        <v>8823</v>
      </c>
      <c r="E7950" t="str">
        <f>"44754326049944"</f>
        <v>44754326049944</v>
      </c>
      <c r="F7950" s="8">
        <v>291</v>
      </c>
      <c r="G7950" s="8">
        <v>6339</v>
      </c>
      <c r="H7950" s="8">
        <v>339</v>
      </c>
      <c r="I7950" s="8">
        <v>3069</v>
      </c>
    </row>
    <row r="7951" spans="1:9" x14ac:dyDescent="0.2">
      <c r="A7951" t="s">
        <v>1683</v>
      </c>
      <c r="B7951" t="s">
        <v>1698</v>
      </c>
      <c r="C7951" t="str">
        <f>"44754320000000"</f>
        <v>44754320000000</v>
      </c>
      <c r="D7951" t="s">
        <v>8824</v>
      </c>
      <c r="E7951" t="str">
        <f>"44754326049951"</f>
        <v>44754326049951</v>
      </c>
      <c r="F7951" s="8">
        <v>169</v>
      </c>
      <c r="G7951" s="8">
        <v>5859</v>
      </c>
      <c r="H7951" s="8">
        <v>372</v>
      </c>
      <c r="I7951" s="8">
        <v>3262</v>
      </c>
    </row>
    <row r="7952" spans="1:9" x14ac:dyDescent="0.2">
      <c r="A7952" t="s">
        <v>1683</v>
      </c>
      <c r="B7952" t="s">
        <v>1699</v>
      </c>
      <c r="C7952" t="str">
        <f>"44698490000000"</f>
        <v>44698490000000</v>
      </c>
      <c r="D7952" t="s">
        <v>8825</v>
      </c>
      <c r="E7952" t="str">
        <f>"44698496049977"</f>
        <v>44698496049977</v>
      </c>
      <c r="F7952" s="8">
        <v>207</v>
      </c>
      <c r="G7952" s="8">
        <v>7427</v>
      </c>
      <c r="H7952" s="8">
        <v>792</v>
      </c>
      <c r="I7952" s="8">
        <v>4572</v>
      </c>
    </row>
    <row r="7953" spans="1:9" x14ac:dyDescent="0.2">
      <c r="A7953" t="s">
        <v>1683</v>
      </c>
      <c r="B7953" t="s">
        <v>1699</v>
      </c>
      <c r="C7953" t="str">
        <f>"44698490000000"</f>
        <v>44698490000000</v>
      </c>
      <c r="D7953" t="s">
        <v>4630</v>
      </c>
      <c r="E7953" t="str">
        <f>"44698496111421"</f>
        <v>44698496111421</v>
      </c>
      <c r="F7953" s="8">
        <v>438</v>
      </c>
      <c r="G7953" s="8">
        <v>5792</v>
      </c>
      <c r="H7953" s="8">
        <v>792</v>
      </c>
      <c r="I7953" s="8">
        <v>4572</v>
      </c>
    </row>
    <row r="7954" spans="1:9" x14ac:dyDescent="0.2">
      <c r="A7954" t="s">
        <v>1683</v>
      </c>
      <c r="B7954" t="s">
        <v>1699</v>
      </c>
      <c r="C7954" t="str">
        <f>"44698490000000"</f>
        <v>44698490000000</v>
      </c>
      <c r="D7954" t="s">
        <v>8826</v>
      </c>
      <c r="E7954" t="str">
        <f>"44698496049985"</f>
        <v>44698496049985</v>
      </c>
      <c r="F7954" s="8">
        <v>783</v>
      </c>
      <c r="G7954" s="8">
        <v>5310</v>
      </c>
      <c r="H7954" s="8">
        <v>792</v>
      </c>
      <c r="I7954" s="8">
        <v>4572</v>
      </c>
    </row>
    <row r="7955" spans="1:9" x14ac:dyDescent="0.2">
      <c r="A7955" t="s">
        <v>1683</v>
      </c>
      <c r="B7955" t="s">
        <v>1699</v>
      </c>
      <c r="C7955" t="str">
        <f>"44698490000000"</f>
        <v>44698490000000</v>
      </c>
      <c r="D7955" t="s">
        <v>8827</v>
      </c>
      <c r="E7955" t="str">
        <f>"44698496066542"</f>
        <v>44698496066542</v>
      </c>
      <c r="F7955" s="8">
        <v>76</v>
      </c>
      <c r="G7955" s="8">
        <v>5786</v>
      </c>
      <c r="H7955" s="8">
        <v>792</v>
      </c>
      <c r="I7955" s="8">
        <v>4572</v>
      </c>
    </row>
    <row r="7956" spans="1:9" x14ac:dyDescent="0.2">
      <c r="A7956" t="s">
        <v>1683</v>
      </c>
      <c r="B7956" t="s">
        <v>1699</v>
      </c>
      <c r="C7956" t="str">
        <f>"44698490000000"</f>
        <v>44698490000000</v>
      </c>
      <c r="D7956" t="s">
        <v>8828</v>
      </c>
      <c r="E7956" t="str">
        <f>"44698490126920"</f>
        <v>44698490126920</v>
      </c>
      <c r="F7956" s="8">
        <v>0</v>
      </c>
      <c r="G7956" s="8">
        <v>135</v>
      </c>
      <c r="H7956" s="8">
        <v>792</v>
      </c>
      <c r="I7956" s="8">
        <v>4572</v>
      </c>
    </row>
    <row r="7957" spans="1:9" x14ac:dyDescent="0.2">
      <c r="A7957" t="s">
        <v>1701</v>
      </c>
      <c r="B7957" t="s">
        <v>1702</v>
      </c>
      <c r="C7957" t="str">
        <f t="shared" ref="C7957:C7962" si="398">"45698560000000"</f>
        <v>45698560000000</v>
      </c>
      <c r="D7957" t="s">
        <v>8829</v>
      </c>
      <c r="E7957" t="str">
        <f>"45698564530762"</f>
        <v>45698564530762</v>
      </c>
      <c r="F7957" s="8">
        <v>5380</v>
      </c>
      <c r="G7957" s="8">
        <v>9928</v>
      </c>
      <c r="H7957" s="8">
        <v>528</v>
      </c>
      <c r="I7957" s="8">
        <v>4174</v>
      </c>
    </row>
    <row r="7958" spans="1:9" x14ac:dyDescent="0.2">
      <c r="A7958" t="s">
        <v>1701</v>
      </c>
      <c r="B7958" t="s">
        <v>1702</v>
      </c>
      <c r="C7958" t="str">
        <f t="shared" si="398"/>
        <v>45698560000000</v>
      </c>
      <c r="D7958" t="s">
        <v>8830</v>
      </c>
      <c r="E7958" t="str">
        <f>"45698564530333"</f>
        <v>45698564530333</v>
      </c>
      <c r="F7958" s="8">
        <v>906</v>
      </c>
      <c r="G7958" s="8">
        <v>11818</v>
      </c>
      <c r="H7958" s="8">
        <v>536</v>
      </c>
      <c r="I7958" s="8">
        <v>4236</v>
      </c>
    </row>
    <row r="7959" spans="1:9" x14ac:dyDescent="0.2">
      <c r="A7959" t="s">
        <v>1701</v>
      </c>
      <c r="B7959" t="s">
        <v>1702</v>
      </c>
      <c r="C7959" t="str">
        <f t="shared" si="398"/>
        <v>45698560000000</v>
      </c>
      <c r="D7959" t="s">
        <v>8831</v>
      </c>
      <c r="E7959" t="str">
        <f>"45698564530804"</f>
        <v>45698564530804</v>
      </c>
      <c r="F7959" s="8">
        <v>963</v>
      </c>
      <c r="G7959" s="8">
        <v>10612</v>
      </c>
      <c r="H7959" s="8">
        <v>533</v>
      </c>
      <c r="I7959" s="8">
        <v>4209</v>
      </c>
    </row>
    <row r="7960" spans="1:9" x14ac:dyDescent="0.2">
      <c r="A7960" t="s">
        <v>1701</v>
      </c>
      <c r="B7960" t="s">
        <v>1702</v>
      </c>
      <c r="C7960" t="str">
        <f t="shared" si="398"/>
        <v>45698560000000</v>
      </c>
      <c r="D7960" t="s">
        <v>6433</v>
      </c>
      <c r="E7960" t="str">
        <f>"45698564530028"</f>
        <v>45698564530028</v>
      </c>
      <c r="F7960" s="8">
        <v>645</v>
      </c>
      <c r="G7960" s="8">
        <v>8400</v>
      </c>
      <c r="H7960" s="8">
        <v>533</v>
      </c>
      <c r="I7960" s="8">
        <v>4212</v>
      </c>
    </row>
    <row r="7961" spans="1:9" x14ac:dyDescent="0.2">
      <c r="A7961" t="s">
        <v>1701</v>
      </c>
      <c r="B7961" t="s">
        <v>1702</v>
      </c>
      <c r="C7961" t="str">
        <f t="shared" si="398"/>
        <v>45698560000000</v>
      </c>
      <c r="D7961" t="s">
        <v>8832</v>
      </c>
      <c r="E7961" t="str">
        <f>"45698564530192"</f>
        <v>45698564530192</v>
      </c>
      <c r="F7961" s="8">
        <v>2248</v>
      </c>
      <c r="G7961" s="8">
        <v>5645</v>
      </c>
      <c r="H7961" s="8">
        <v>558</v>
      </c>
      <c r="I7961" s="8">
        <v>4406</v>
      </c>
    </row>
    <row r="7962" spans="1:9" x14ac:dyDescent="0.2">
      <c r="A7962" t="s">
        <v>1701</v>
      </c>
      <c r="B7962" t="s">
        <v>1702</v>
      </c>
      <c r="C7962" t="str">
        <f t="shared" si="398"/>
        <v>45698560000000</v>
      </c>
      <c r="D7962" t="s">
        <v>8833</v>
      </c>
      <c r="E7962" t="str">
        <f>"45698564530051"</f>
        <v>45698564530051</v>
      </c>
      <c r="F7962" s="8">
        <v>1857</v>
      </c>
      <c r="G7962" s="8">
        <v>1482</v>
      </c>
      <c r="H7962" s="8">
        <v>533</v>
      </c>
      <c r="I7962" s="8">
        <v>4216</v>
      </c>
    </row>
    <row r="7963" spans="1:9" x14ac:dyDescent="0.2">
      <c r="A7963" t="s">
        <v>1701</v>
      </c>
      <c r="B7963" t="s">
        <v>1703</v>
      </c>
      <c r="C7963" t="str">
        <f>"45698720000000"</f>
        <v>45698720000000</v>
      </c>
      <c r="D7963" t="s">
        <v>1703</v>
      </c>
      <c r="E7963" t="str">
        <f>"45698726050074"</f>
        <v>45698726050074</v>
      </c>
      <c r="F7963" s="8">
        <v>1763</v>
      </c>
      <c r="G7963" s="8">
        <v>10971</v>
      </c>
      <c r="H7963" s="8">
        <v>0</v>
      </c>
      <c r="I7963" s="8">
        <v>0</v>
      </c>
    </row>
    <row r="7964" spans="1:9" x14ac:dyDescent="0.2">
      <c r="A7964" t="s">
        <v>1701</v>
      </c>
      <c r="B7964" t="s">
        <v>1704</v>
      </c>
      <c r="C7964" t="str">
        <f>"45698800000000"</f>
        <v>45698800000000</v>
      </c>
      <c r="D7964" t="s">
        <v>8834</v>
      </c>
      <c r="E7964" t="str">
        <f>"45698806050082"</f>
        <v>45698806050082</v>
      </c>
      <c r="F7964" s="8">
        <v>355</v>
      </c>
      <c r="G7964" s="8">
        <v>4644</v>
      </c>
      <c r="H7964" s="8">
        <v>1646</v>
      </c>
      <c r="I7964" s="8">
        <v>2160</v>
      </c>
    </row>
    <row r="7965" spans="1:9" x14ac:dyDescent="0.2">
      <c r="A7965" t="s">
        <v>1701</v>
      </c>
      <c r="B7965" t="s">
        <v>1704</v>
      </c>
      <c r="C7965" t="str">
        <f>"45698800000000"</f>
        <v>45698800000000</v>
      </c>
      <c r="D7965" t="s">
        <v>8835</v>
      </c>
      <c r="E7965" t="str">
        <f>"45698806113260"</f>
        <v>45698806113260</v>
      </c>
      <c r="F7965" s="8" t="s">
        <v>30</v>
      </c>
      <c r="G7965" s="8" t="s">
        <v>30</v>
      </c>
      <c r="H7965" s="8" t="s">
        <v>30</v>
      </c>
      <c r="I7965" s="8" t="s">
        <v>30</v>
      </c>
    </row>
    <row r="7966" spans="1:9" x14ac:dyDescent="0.2">
      <c r="A7966" t="s">
        <v>1701</v>
      </c>
      <c r="B7966" t="s">
        <v>1705</v>
      </c>
      <c r="C7966" t="str">
        <f>"45699140000000"</f>
        <v>45699140000000</v>
      </c>
      <c r="D7966" t="s">
        <v>8836</v>
      </c>
      <c r="E7966" t="str">
        <f>"45699146114144"</f>
        <v>45699146114144</v>
      </c>
      <c r="F7966" s="8">
        <v>3607</v>
      </c>
      <c r="G7966" s="8">
        <v>24032</v>
      </c>
      <c r="H7966" s="8">
        <v>2156</v>
      </c>
      <c r="I7966" s="8">
        <v>5168</v>
      </c>
    </row>
    <row r="7967" spans="1:9" x14ac:dyDescent="0.2">
      <c r="A7967" t="s">
        <v>1701</v>
      </c>
      <c r="B7967" t="s">
        <v>1705</v>
      </c>
      <c r="C7967" t="str">
        <f>"45699140000000"</f>
        <v>45699140000000</v>
      </c>
      <c r="D7967" t="s">
        <v>8837</v>
      </c>
      <c r="E7967" t="str">
        <f>"45699146050124"</f>
        <v>45699146050124</v>
      </c>
      <c r="F7967" s="8">
        <v>1763</v>
      </c>
      <c r="G7967" s="8">
        <v>7367</v>
      </c>
      <c r="H7967" s="8">
        <v>2156</v>
      </c>
      <c r="I7967" s="8">
        <v>5168</v>
      </c>
    </row>
    <row r="7968" spans="1:9" x14ac:dyDescent="0.2">
      <c r="A7968" t="s">
        <v>1701</v>
      </c>
      <c r="B7968" t="s">
        <v>1705</v>
      </c>
      <c r="C7968" t="str">
        <f>"45699140000000"</f>
        <v>45699140000000</v>
      </c>
      <c r="D7968" t="s">
        <v>3468</v>
      </c>
      <c r="E7968" t="str">
        <f>"45699146050140"</f>
        <v>45699146050140</v>
      </c>
      <c r="F7968" s="8">
        <v>2193</v>
      </c>
      <c r="G7968" s="8">
        <v>5878</v>
      </c>
      <c r="H7968" s="8">
        <v>2156</v>
      </c>
      <c r="I7968" s="8">
        <v>5168</v>
      </c>
    </row>
    <row r="7969" spans="1:9" x14ac:dyDescent="0.2">
      <c r="A7969" t="s">
        <v>1701</v>
      </c>
      <c r="B7969" t="s">
        <v>1705</v>
      </c>
      <c r="C7969" t="str">
        <f>"45699140000000"</f>
        <v>45699140000000</v>
      </c>
      <c r="D7969" t="s">
        <v>8838</v>
      </c>
      <c r="E7969" t="str">
        <f>"45699146050132"</f>
        <v>45699146050132</v>
      </c>
      <c r="F7969" s="8">
        <v>2346</v>
      </c>
      <c r="G7969" s="8">
        <v>5703</v>
      </c>
      <c r="H7969" s="8">
        <v>2156</v>
      </c>
      <c r="I7969" s="8">
        <v>5168</v>
      </c>
    </row>
    <row r="7970" spans="1:9" x14ac:dyDescent="0.2">
      <c r="A7970" t="s">
        <v>1701</v>
      </c>
      <c r="B7970" t="s">
        <v>1706</v>
      </c>
      <c r="C7970" t="str">
        <f>"45699220000000"</f>
        <v>45699220000000</v>
      </c>
      <c r="D7970" t="s">
        <v>5155</v>
      </c>
      <c r="E7970" t="str">
        <f>"45699226050165"</f>
        <v>45699226050165</v>
      </c>
      <c r="F7970" s="8">
        <v>2829</v>
      </c>
      <c r="G7970" s="8">
        <v>16477</v>
      </c>
      <c r="H7970" s="8">
        <v>0</v>
      </c>
      <c r="I7970" s="8">
        <v>0</v>
      </c>
    </row>
    <row r="7971" spans="1:9" x14ac:dyDescent="0.2">
      <c r="A7971" t="s">
        <v>1701</v>
      </c>
      <c r="B7971" t="s">
        <v>1708</v>
      </c>
      <c r="C7971" t="str">
        <f>"45699480000000"</f>
        <v>45699480000000</v>
      </c>
      <c r="D7971" t="s">
        <v>8839</v>
      </c>
      <c r="E7971" t="str">
        <f>"45699480101113"</f>
        <v>45699480101113</v>
      </c>
      <c r="F7971" s="8">
        <v>0</v>
      </c>
      <c r="G7971" s="8">
        <v>16731</v>
      </c>
      <c r="H7971" s="8">
        <v>11</v>
      </c>
      <c r="I7971" s="8">
        <v>62</v>
      </c>
    </row>
    <row r="7972" spans="1:9" x14ac:dyDescent="0.2">
      <c r="A7972" t="s">
        <v>1701</v>
      </c>
      <c r="B7972" t="s">
        <v>1708</v>
      </c>
      <c r="C7972" t="str">
        <f>"45699480000000"</f>
        <v>45699480000000</v>
      </c>
      <c r="D7972" t="s">
        <v>1708</v>
      </c>
      <c r="E7972" t="str">
        <f>"45699486050181"</f>
        <v>45699486050181</v>
      </c>
      <c r="F7972" s="8">
        <v>226</v>
      </c>
      <c r="G7972" s="8">
        <v>6539</v>
      </c>
      <c r="H7972" s="8">
        <v>640</v>
      </c>
      <c r="I7972" s="8">
        <v>3571</v>
      </c>
    </row>
    <row r="7973" spans="1:9" x14ac:dyDescent="0.2">
      <c r="A7973" t="s">
        <v>1701</v>
      </c>
      <c r="B7973" t="s">
        <v>1708</v>
      </c>
      <c r="C7973" t="str">
        <f>"45699480000000"</f>
        <v>45699480000000</v>
      </c>
      <c r="D7973" t="s">
        <v>3335</v>
      </c>
      <c r="E7973" t="str">
        <f>"45699486117857"</f>
        <v>45699486117857</v>
      </c>
      <c r="F7973" s="8">
        <v>260</v>
      </c>
      <c r="G7973" s="8">
        <v>6843</v>
      </c>
      <c r="H7973" s="8">
        <v>452</v>
      </c>
      <c r="I7973" s="8">
        <v>2524</v>
      </c>
    </row>
    <row r="7974" spans="1:9" x14ac:dyDescent="0.2">
      <c r="A7974" t="s">
        <v>1701</v>
      </c>
      <c r="B7974" t="s">
        <v>1710</v>
      </c>
      <c r="C7974" t="str">
        <f>"45699550000000"</f>
        <v>45699550000000</v>
      </c>
      <c r="D7974" t="s">
        <v>8840</v>
      </c>
      <c r="E7974" t="str">
        <f>"45699556050207"</f>
        <v>45699556050207</v>
      </c>
      <c r="F7974" s="8">
        <v>1211</v>
      </c>
      <c r="G7974" s="8">
        <v>7070</v>
      </c>
      <c r="H7974" s="8">
        <v>172</v>
      </c>
      <c r="I7974" s="8">
        <v>3187</v>
      </c>
    </row>
    <row r="7975" spans="1:9" x14ac:dyDescent="0.2">
      <c r="A7975" t="s">
        <v>1701</v>
      </c>
      <c r="B7975" t="s">
        <v>1710</v>
      </c>
      <c r="C7975" t="str">
        <f>"45699550000000"</f>
        <v>45699550000000</v>
      </c>
      <c r="D7975" t="s">
        <v>8841</v>
      </c>
      <c r="E7975" t="str">
        <f>"45699550111393"</f>
        <v>45699550111393</v>
      </c>
      <c r="F7975" s="8">
        <v>907</v>
      </c>
      <c r="G7975" s="8">
        <v>6581</v>
      </c>
      <c r="H7975" s="8">
        <v>172</v>
      </c>
      <c r="I7975" s="8">
        <v>3187</v>
      </c>
    </row>
    <row r="7976" spans="1:9" x14ac:dyDescent="0.2">
      <c r="A7976" t="s">
        <v>1701</v>
      </c>
      <c r="B7976" t="s">
        <v>1711</v>
      </c>
      <c r="C7976" t="str">
        <f t="shared" ref="C7976:C7984" si="399">"45699710000000"</f>
        <v>45699710000000</v>
      </c>
      <c r="D7976" t="s">
        <v>8842</v>
      </c>
      <c r="E7976" t="str">
        <f>"45699710135830"</f>
        <v>45699710135830</v>
      </c>
      <c r="F7976" s="8">
        <v>3632</v>
      </c>
      <c r="G7976" s="8">
        <v>16002</v>
      </c>
      <c r="H7976" s="8">
        <v>886</v>
      </c>
      <c r="I7976" s="8">
        <v>3903</v>
      </c>
    </row>
    <row r="7977" spans="1:9" x14ac:dyDescent="0.2">
      <c r="A7977" t="s">
        <v>1701</v>
      </c>
      <c r="B7977" t="s">
        <v>1711</v>
      </c>
      <c r="C7977" t="str">
        <f t="shared" si="399"/>
        <v>45699710000000</v>
      </c>
      <c r="D7977" t="s">
        <v>8843</v>
      </c>
      <c r="E7977" t="str">
        <f>"45699710135848"</f>
        <v>45699710135848</v>
      </c>
      <c r="F7977" s="8">
        <v>1687</v>
      </c>
      <c r="G7977" s="8">
        <v>7434</v>
      </c>
      <c r="H7977" s="8">
        <v>886</v>
      </c>
      <c r="I7977" s="8">
        <v>3903</v>
      </c>
    </row>
    <row r="7978" spans="1:9" x14ac:dyDescent="0.2">
      <c r="A7978" t="s">
        <v>1701</v>
      </c>
      <c r="B7978" t="s">
        <v>1711</v>
      </c>
      <c r="C7978" t="str">
        <f t="shared" si="399"/>
        <v>45699710000000</v>
      </c>
      <c r="D7978" t="s">
        <v>8844</v>
      </c>
      <c r="E7978" t="str">
        <f>"45699716050223"</f>
        <v>45699716050223</v>
      </c>
      <c r="F7978" s="8">
        <v>1599</v>
      </c>
      <c r="G7978" s="8">
        <v>7047</v>
      </c>
      <c r="H7978" s="8">
        <v>886</v>
      </c>
      <c r="I7978" s="8">
        <v>3903</v>
      </c>
    </row>
    <row r="7979" spans="1:9" x14ac:dyDescent="0.2">
      <c r="A7979" t="s">
        <v>1701</v>
      </c>
      <c r="B7979" t="s">
        <v>1711</v>
      </c>
      <c r="C7979" t="str">
        <f t="shared" si="399"/>
        <v>45699710000000</v>
      </c>
      <c r="D7979" t="s">
        <v>8845</v>
      </c>
      <c r="E7979" t="str">
        <f>"45699716050215"</f>
        <v>45699716050215</v>
      </c>
      <c r="F7979" s="8">
        <v>1529</v>
      </c>
      <c r="G7979" s="8">
        <v>6739</v>
      </c>
      <c r="H7979" s="8">
        <v>886</v>
      </c>
      <c r="I7979" s="8">
        <v>3903</v>
      </c>
    </row>
    <row r="7980" spans="1:9" x14ac:dyDescent="0.2">
      <c r="A7980" t="s">
        <v>1701</v>
      </c>
      <c r="B7980" t="s">
        <v>1711</v>
      </c>
      <c r="C7980" t="str">
        <f t="shared" si="399"/>
        <v>45699710000000</v>
      </c>
      <c r="D7980" t="s">
        <v>8846</v>
      </c>
      <c r="E7980" t="str">
        <f>"45699716050264"</f>
        <v>45699716050264</v>
      </c>
      <c r="F7980" s="8">
        <v>1490</v>
      </c>
      <c r="G7980" s="8">
        <v>6568</v>
      </c>
      <c r="H7980" s="8">
        <v>886</v>
      </c>
      <c r="I7980" s="8">
        <v>3903</v>
      </c>
    </row>
    <row r="7981" spans="1:9" x14ac:dyDescent="0.2">
      <c r="A7981" t="s">
        <v>1701</v>
      </c>
      <c r="B7981" t="s">
        <v>1711</v>
      </c>
      <c r="C7981" t="str">
        <f t="shared" si="399"/>
        <v>45699710000000</v>
      </c>
      <c r="D7981" t="s">
        <v>8847</v>
      </c>
      <c r="E7981" t="str">
        <f>"45699716050249"</f>
        <v>45699716050249</v>
      </c>
      <c r="F7981" s="8">
        <v>1476</v>
      </c>
      <c r="G7981" s="8">
        <v>6506</v>
      </c>
      <c r="H7981" s="8">
        <v>886</v>
      </c>
      <c r="I7981" s="8">
        <v>3903</v>
      </c>
    </row>
    <row r="7982" spans="1:9" x14ac:dyDescent="0.2">
      <c r="A7982" t="s">
        <v>1701</v>
      </c>
      <c r="B7982" t="s">
        <v>1711</v>
      </c>
      <c r="C7982" t="str">
        <f t="shared" si="399"/>
        <v>45699710000000</v>
      </c>
      <c r="D7982" t="s">
        <v>8848</v>
      </c>
      <c r="E7982" t="str">
        <f>"45699716050256"</f>
        <v>45699716050256</v>
      </c>
      <c r="F7982" s="8">
        <v>1429</v>
      </c>
      <c r="G7982" s="8">
        <v>6297</v>
      </c>
      <c r="H7982" s="8">
        <v>886</v>
      </c>
      <c r="I7982" s="8">
        <v>3903</v>
      </c>
    </row>
    <row r="7983" spans="1:9" x14ac:dyDescent="0.2">
      <c r="A7983" t="s">
        <v>1701</v>
      </c>
      <c r="B7983" t="s">
        <v>1711</v>
      </c>
      <c r="C7983" t="str">
        <f t="shared" si="399"/>
        <v>45699710000000</v>
      </c>
      <c r="D7983" t="s">
        <v>8849</v>
      </c>
      <c r="E7983" t="str">
        <f>"45699716050231"</f>
        <v>45699716050231</v>
      </c>
      <c r="F7983" s="8">
        <v>1304</v>
      </c>
      <c r="G7983" s="8">
        <v>5747</v>
      </c>
      <c r="H7983" s="8">
        <v>886</v>
      </c>
      <c r="I7983" s="8">
        <v>3903</v>
      </c>
    </row>
    <row r="7984" spans="1:9" x14ac:dyDescent="0.2">
      <c r="A7984" t="s">
        <v>1701</v>
      </c>
      <c r="B7984" t="s">
        <v>1711</v>
      </c>
      <c r="C7984" t="str">
        <f t="shared" si="399"/>
        <v>45699710000000</v>
      </c>
      <c r="D7984" t="s">
        <v>8801</v>
      </c>
      <c r="E7984" t="str">
        <f>"45699716111470"</f>
        <v>45699716111470</v>
      </c>
      <c r="F7984" s="8">
        <v>1258</v>
      </c>
      <c r="G7984" s="8">
        <v>5542</v>
      </c>
      <c r="H7984" s="8">
        <v>886</v>
      </c>
      <c r="I7984" s="8">
        <v>3903</v>
      </c>
    </row>
    <row r="7985" spans="1:9" x14ac:dyDescent="0.2">
      <c r="A7985" t="s">
        <v>1701</v>
      </c>
      <c r="B7985" t="s">
        <v>1712</v>
      </c>
      <c r="C7985" t="str">
        <f t="shared" ref="C7985:C7995" si="400">"45699890000000"</f>
        <v>45699890000000</v>
      </c>
      <c r="D7985" t="s">
        <v>8850</v>
      </c>
      <c r="E7985" t="str">
        <f>"45699896050314"</f>
        <v>45699896050314</v>
      </c>
      <c r="F7985" s="8">
        <v>17557</v>
      </c>
      <c r="G7985" s="8">
        <v>39227</v>
      </c>
      <c r="H7985" s="8">
        <v>0</v>
      </c>
      <c r="I7985" s="8">
        <v>372</v>
      </c>
    </row>
    <row r="7986" spans="1:9" x14ac:dyDescent="0.2">
      <c r="A7986" t="s">
        <v>1701</v>
      </c>
      <c r="B7986" t="s">
        <v>1712</v>
      </c>
      <c r="C7986" t="str">
        <f t="shared" si="400"/>
        <v>45699890000000</v>
      </c>
      <c r="D7986" t="s">
        <v>8851</v>
      </c>
      <c r="E7986" t="str">
        <f>"45699894531000"</f>
        <v>45699894531000</v>
      </c>
      <c r="F7986" s="8">
        <v>600</v>
      </c>
      <c r="G7986" s="8">
        <v>9585</v>
      </c>
      <c r="H7986" s="8">
        <v>7</v>
      </c>
      <c r="I7986" s="8">
        <v>124</v>
      </c>
    </row>
    <row r="7987" spans="1:9" x14ac:dyDescent="0.2">
      <c r="A7987" t="s">
        <v>1701</v>
      </c>
      <c r="B7987" t="s">
        <v>1712</v>
      </c>
      <c r="C7987" t="str">
        <f t="shared" si="400"/>
        <v>45699890000000</v>
      </c>
      <c r="D7987" t="s">
        <v>8852</v>
      </c>
      <c r="E7987" t="str">
        <f>"45699894530234"</f>
        <v>45699894530234</v>
      </c>
      <c r="F7987" s="8">
        <v>253</v>
      </c>
      <c r="G7987" s="8">
        <v>9823</v>
      </c>
      <c r="H7987" s="8">
        <v>0</v>
      </c>
      <c r="I7987" s="8">
        <v>0</v>
      </c>
    </row>
    <row r="7988" spans="1:9" x14ac:dyDescent="0.2">
      <c r="A7988" t="s">
        <v>1701</v>
      </c>
      <c r="B7988" t="s">
        <v>1712</v>
      </c>
      <c r="C7988" t="str">
        <f t="shared" si="400"/>
        <v>45699890000000</v>
      </c>
      <c r="D7988" t="s">
        <v>8853</v>
      </c>
      <c r="E7988" t="str">
        <f>"45699894533600"</f>
        <v>45699894533600</v>
      </c>
      <c r="F7988" s="8">
        <v>33</v>
      </c>
      <c r="G7988" s="8">
        <v>9723</v>
      </c>
      <c r="H7988" s="8">
        <v>60</v>
      </c>
      <c r="I7988" s="8">
        <v>169</v>
      </c>
    </row>
    <row r="7989" spans="1:9" x14ac:dyDescent="0.2">
      <c r="A7989" t="s">
        <v>1701</v>
      </c>
      <c r="B7989" t="s">
        <v>1712</v>
      </c>
      <c r="C7989" t="str">
        <f t="shared" si="400"/>
        <v>45699890000000</v>
      </c>
      <c r="D7989" t="s">
        <v>8854</v>
      </c>
      <c r="E7989" t="str">
        <f>"45699894530010"</f>
        <v>45699894530010</v>
      </c>
      <c r="F7989" s="8">
        <v>204</v>
      </c>
      <c r="G7989" s="8">
        <v>7250</v>
      </c>
      <c r="H7989" s="8">
        <v>125</v>
      </c>
      <c r="I7989" s="8">
        <v>2119</v>
      </c>
    </row>
    <row r="7990" spans="1:9" x14ac:dyDescent="0.2">
      <c r="A7990" t="s">
        <v>1701</v>
      </c>
      <c r="B7990" t="s">
        <v>1712</v>
      </c>
      <c r="C7990" t="str">
        <f t="shared" si="400"/>
        <v>45699890000000</v>
      </c>
      <c r="D7990" t="s">
        <v>8855</v>
      </c>
      <c r="E7990" t="str">
        <f>"45699896050280"</f>
        <v>45699896050280</v>
      </c>
      <c r="F7990" s="8">
        <v>471</v>
      </c>
      <c r="G7990" s="8">
        <v>6778</v>
      </c>
      <c r="H7990" s="8">
        <v>0</v>
      </c>
      <c r="I7990" s="8">
        <v>1229</v>
      </c>
    </row>
    <row r="7991" spans="1:9" x14ac:dyDescent="0.2">
      <c r="A7991" t="s">
        <v>1701</v>
      </c>
      <c r="B7991" t="s">
        <v>1712</v>
      </c>
      <c r="C7991" t="str">
        <f t="shared" si="400"/>
        <v>45699890000000</v>
      </c>
      <c r="D7991" t="s">
        <v>8856</v>
      </c>
      <c r="E7991" t="str">
        <f>"45699894530226"</f>
        <v>45699894530226</v>
      </c>
      <c r="F7991" s="8">
        <v>0</v>
      </c>
      <c r="G7991" s="8">
        <v>7755</v>
      </c>
      <c r="H7991" s="8">
        <v>0</v>
      </c>
      <c r="I7991" s="8">
        <v>110</v>
      </c>
    </row>
    <row r="7992" spans="1:9" x14ac:dyDescent="0.2">
      <c r="A7992" t="s">
        <v>1701</v>
      </c>
      <c r="B7992" t="s">
        <v>1712</v>
      </c>
      <c r="C7992" t="str">
        <f t="shared" si="400"/>
        <v>45699890000000</v>
      </c>
      <c r="D7992" t="s">
        <v>8857</v>
      </c>
      <c r="E7992" t="str">
        <f>"45699896050272"</f>
        <v>45699896050272</v>
      </c>
      <c r="F7992" s="8">
        <v>775</v>
      </c>
      <c r="G7992" s="8">
        <v>6071</v>
      </c>
      <c r="H7992" s="8">
        <v>213</v>
      </c>
      <c r="I7992" s="8">
        <v>745</v>
      </c>
    </row>
    <row r="7993" spans="1:9" x14ac:dyDescent="0.2">
      <c r="A7993" t="s">
        <v>1701</v>
      </c>
      <c r="B7993" t="s">
        <v>1712</v>
      </c>
      <c r="C7993" t="str">
        <f t="shared" si="400"/>
        <v>45699890000000</v>
      </c>
      <c r="D7993" t="s">
        <v>8858</v>
      </c>
      <c r="E7993" t="str">
        <f>"45699894530242"</f>
        <v>45699894530242</v>
      </c>
      <c r="F7993" s="8" t="s">
        <v>30</v>
      </c>
      <c r="G7993" s="8" t="s">
        <v>30</v>
      </c>
      <c r="H7993" s="8" t="s">
        <v>30</v>
      </c>
      <c r="I7993" s="8" t="s">
        <v>30</v>
      </c>
    </row>
    <row r="7994" spans="1:9" x14ac:dyDescent="0.2">
      <c r="A7994" t="s">
        <v>1701</v>
      </c>
      <c r="B7994" t="s">
        <v>1712</v>
      </c>
      <c r="C7994" t="str">
        <f t="shared" si="400"/>
        <v>45699890000000</v>
      </c>
      <c r="D7994" t="s">
        <v>8859</v>
      </c>
      <c r="E7994" t="str">
        <f>"45699896119382"</f>
        <v>45699896119382</v>
      </c>
      <c r="F7994" s="8" t="s">
        <v>30</v>
      </c>
      <c r="G7994" s="8" t="s">
        <v>30</v>
      </c>
      <c r="H7994" s="8" t="s">
        <v>30</v>
      </c>
      <c r="I7994" s="8" t="s">
        <v>30</v>
      </c>
    </row>
    <row r="7995" spans="1:9" x14ac:dyDescent="0.2">
      <c r="A7995" t="s">
        <v>1701</v>
      </c>
      <c r="B7995" t="s">
        <v>1712</v>
      </c>
      <c r="C7995" t="str">
        <f t="shared" si="400"/>
        <v>45699890000000</v>
      </c>
      <c r="D7995" t="s">
        <v>8860</v>
      </c>
      <c r="E7995" t="str">
        <f>"45699896119390"</f>
        <v>45699896119390</v>
      </c>
      <c r="F7995" s="8" t="s">
        <v>30</v>
      </c>
      <c r="G7995" s="8" t="s">
        <v>30</v>
      </c>
      <c r="H7995" s="8" t="s">
        <v>30</v>
      </c>
      <c r="I7995" s="8" t="s">
        <v>30</v>
      </c>
    </row>
    <row r="7996" spans="1:9" x14ac:dyDescent="0.2">
      <c r="A7996" t="s">
        <v>1701</v>
      </c>
      <c r="B7996" t="s">
        <v>1713</v>
      </c>
      <c r="C7996" t="str">
        <f>"45699970000000"</f>
        <v>45699970000000</v>
      </c>
      <c r="D7996" t="s">
        <v>1713</v>
      </c>
      <c r="E7996" t="str">
        <f>"45699976050322"</f>
        <v>45699976050322</v>
      </c>
      <c r="F7996" s="8">
        <v>1673</v>
      </c>
      <c r="G7996" s="8">
        <v>15032</v>
      </c>
      <c r="H7996" s="8">
        <v>0</v>
      </c>
      <c r="I7996" s="8">
        <v>0</v>
      </c>
    </row>
    <row r="7997" spans="1:9" x14ac:dyDescent="0.2">
      <c r="A7997" t="s">
        <v>1701</v>
      </c>
      <c r="B7997" t="s">
        <v>1714</v>
      </c>
      <c r="C7997" t="str">
        <f t="shared" ref="C7997:C8004" si="401">"45752670000000"</f>
        <v>45752670000000</v>
      </c>
      <c r="D7997" t="s">
        <v>8861</v>
      </c>
      <c r="E7997" t="str">
        <f>"45752674530077"</f>
        <v>45752674530077</v>
      </c>
      <c r="F7997" s="8">
        <v>3922</v>
      </c>
      <c r="G7997" s="8">
        <v>16642</v>
      </c>
      <c r="H7997" s="8">
        <v>1797</v>
      </c>
      <c r="I7997" s="8">
        <v>3403</v>
      </c>
    </row>
    <row r="7998" spans="1:9" x14ac:dyDescent="0.2">
      <c r="A7998" t="s">
        <v>1701</v>
      </c>
      <c r="B7998" t="s">
        <v>1714</v>
      </c>
      <c r="C7998" t="str">
        <f t="shared" si="401"/>
        <v>45752670000000</v>
      </c>
      <c r="D7998" t="s">
        <v>8862</v>
      </c>
      <c r="E7998" t="str">
        <f>"45752670115568"</f>
        <v>45752670115568</v>
      </c>
      <c r="F7998" s="8">
        <v>606</v>
      </c>
      <c r="G7998" s="8">
        <v>19494</v>
      </c>
      <c r="H7998" s="8">
        <v>180</v>
      </c>
      <c r="I7998" s="8">
        <v>4183</v>
      </c>
    </row>
    <row r="7999" spans="1:9" x14ac:dyDescent="0.2">
      <c r="A7999" t="s">
        <v>1701</v>
      </c>
      <c r="B7999" t="s">
        <v>1714</v>
      </c>
      <c r="C7999" t="str">
        <f t="shared" si="401"/>
        <v>45752670000000</v>
      </c>
      <c r="D7999" t="s">
        <v>8863</v>
      </c>
      <c r="E7999" t="str">
        <f>"45752674530176"</f>
        <v>45752674530176</v>
      </c>
      <c r="F7999" s="8">
        <v>2753</v>
      </c>
      <c r="G7999" s="8">
        <v>12346</v>
      </c>
      <c r="H7999" s="8">
        <v>1797</v>
      </c>
      <c r="I7999" s="8">
        <v>3403</v>
      </c>
    </row>
    <row r="8000" spans="1:9" x14ac:dyDescent="0.2">
      <c r="A8000" t="s">
        <v>1701</v>
      </c>
      <c r="B8000" t="s">
        <v>1714</v>
      </c>
      <c r="C8000" t="str">
        <f t="shared" si="401"/>
        <v>45752670000000</v>
      </c>
      <c r="D8000" t="s">
        <v>6905</v>
      </c>
      <c r="E8000" t="str">
        <f>"45752676050579"</f>
        <v>45752676050579</v>
      </c>
      <c r="F8000" s="8">
        <v>1584</v>
      </c>
      <c r="G8000" s="8">
        <v>8923</v>
      </c>
      <c r="H8000" s="8">
        <v>1831</v>
      </c>
      <c r="I8000" s="8">
        <v>3420</v>
      </c>
    </row>
    <row r="8001" spans="1:9" x14ac:dyDescent="0.2">
      <c r="A8001" t="s">
        <v>1701</v>
      </c>
      <c r="B8001" t="s">
        <v>1714</v>
      </c>
      <c r="C8001" t="str">
        <f t="shared" si="401"/>
        <v>45752670000000</v>
      </c>
      <c r="D8001" t="s">
        <v>8864</v>
      </c>
      <c r="E8001" t="str">
        <f>"45752674531901"</f>
        <v>45752674531901</v>
      </c>
      <c r="F8001" s="8">
        <v>726</v>
      </c>
      <c r="G8001" s="8">
        <v>7713</v>
      </c>
      <c r="H8001" s="8">
        <v>2039</v>
      </c>
      <c r="I8001" s="8">
        <v>4170</v>
      </c>
    </row>
    <row r="8002" spans="1:9" x14ac:dyDescent="0.2">
      <c r="A8002" t="s">
        <v>1701</v>
      </c>
      <c r="B8002" t="s">
        <v>1714</v>
      </c>
      <c r="C8002" t="str">
        <f t="shared" si="401"/>
        <v>45752670000000</v>
      </c>
      <c r="D8002" t="s">
        <v>8865</v>
      </c>
      <c r="E8002" t="str">
        <f>"45752676050090"</f>
        <v>45752676050090</v>
      </c>
      <c r="F8002" s="8">
        <v>1649</v>
      </c>
      <c r="G8002" s="8">
        <v>7482</v>
      </c>
      <c r="H8002" s="8">
        <v>1864</v>
      </c>
      <c r="I8002" s="8">
        <v>3420</v>
      </c>
    </row>
    <row r="8003" spans="1:9" x14ac:dyDescent="0.2">
      <c r="A8003" t="s">
        <v>1701</v>
      </c>
      <c r="B8003" t="s">
        <v>1714</v>
      </c>
      <c r="C8003" t="str">
        <f t="shared" si="401"/>
        <v>45752670000000</v>
      </c>
      <c r="D8003" t="s">
        <v>8866</v>
      </c>
      <c r="E8003" t="str">
        <f>"45752670110221"</f>
        <v>45752670110221</v>
      </c>
      <c r="F8003" s="8">
        <v>1669</v>
      </c>
      <c r="G8003" s="8">
        <v>7289</v>
      </c>
      <c r="H8003" s="8">
        <v>1864</v>
      </c>
      <c r="I8003" s="8">
        <v>3420</v>
      </c>
    </row>
    <row r="8004" spans="1:9" x14ac:dyDescent="0.2">
      <c r="A8004" t="s">
        <v>1701</v>
      </c>
      <c r="B8004" t="s">
        <v>1714</v>
      </c>
      <c r="C8004" t="str">
        <f t="shared" si="401"/>
        <v>45752670000000</v>
      </c>
      <c r="D8004" t="s">
        <v>8867</v>
      </c>
      <c r="E8004" t="str">
        <f>"45752674530101"</f>
        <v>45752674530101</v>
      </c>
      <c r="F8004" s="8">
        <v>1613</v>
      </c>
      <c r="G8004" s="8">
        <v>7642</v>
      </c>
      <c r="H8004" s="8">
        <v>1257</v>
      </c>
      <c r="I8004" s="8">
        <v>2853</v>
      </c>
    </row>
    <row r="8005" spans="1:9" x14ac:dyDescent="0.2">
      <c r="A8005" t="s">
        <v>1701</v>
      </c>
      <c r="B8005" t="s">
        <v>1715</v>
      </c>
      <c r="C8005" t="str">
        <f>"45700030000000"</f>
        <v>45700030000000</v>
      </c>
      <c r="D8005" t="s">
        <v>1715</v>
      </c>
      <c r="E8005" t="str">
        <f>"45700036050330"</f>
        <v>45700036050330</v>
      </c>
      <c r="F8005" s="8">
        <v>2819</v>
      </c>
      <c r="G8005" s="8">
        <v>9267</v>
      </c>
      <c r="H8005" s="8">
        <v>0</v>
      </c>
      <c r="I8005" s="8">
        <v>0</v>
      </c>
    </row>
    <row r="8006" spans="1:9" x14ac:dyDescent="0.2">
      <c r="A8006" t="s">
        <v>1701</v>
      </c>
      <c r="B8006" t="s">
        <v>1716</v>
      </c>
      <c r="C8006" t="str">
        <f>"45700110000000"</f>
        <v>45700110000000</v>
      </c>
      <c r="D8006" t="s">
        <v>8868</v>
      </c>
      <c r="E8006" t="str">
        <f>"45700110112656"</f>
        <v>45700110112656</v>
      </c>
      <c r="F8006" s="8">
        <v>0</v>
      </c>
      <c r="G8006" s="8">
        <v>32707</v>
      </c>
      <c r="H8006" s="8">
        <v>2582</v>
      </c>
      <c r="I8006" s="8">
        <v>3286</v>
      </c>
    </row>
    <row r="8007" spans="1:9" x14ac:dyDescent="0.2">
      <c r="A8007" t="s">
        <v>1701</v>
      </c>
      <c r="B8007" t="s">
        <v>1716</v>
      </c>
      <c r="C8007" t="str">
        <f>"45700110000000"</f>
        <v>45700110000000</v>
      </c>
      <c r="D8007" t="s">
        <v>8869</v>
      </c>
      <c r="E8007" t="str">
        <f>"45700116097703"</f>
        <v>45700116097703</v>
      </c>
      <c r="F8007" s="8">
        <v>4302</v>
      </c>
      <c r="G8007" s="8">
        <v>7928</v>
      </c>
      <c r="H8007" s="8">
        <v>2582</v>
      </c>
      <c r="I8007" s="8">
        <v>3286</v>
      </c>
    </row>
    <row r="8008" spans="1:9" x14ac:dyDescent="0.2">
      <c r="A8008" t="s">
        <v>1701</v>
      </c>
      <c r="B8008" t="s">
        <v>1716</v>
      </c>
      <c r="C8008" t="str">
        <f>"45700110000000"</f>
        <v>45700110000000</v>
      </c>
      <c r="D8008" t="s">
        <v>1687</v>
      </c>
      <c r="E8008" t="str">
        <f>"45700116050348"</f>
        <v>45700116050348</v>
      </c>
      <c r="F8008" s="8">
        <v>2740</v>
      </c>
      <c r="G8008" s="8">
        <v>7416</v>
      </c>
      <c r="H8008" s="8">
        <v>2582</v>
      </c>
      <c r="I8008" s="8">
        <v>3286</v>
      </c>
    </row>
    <row r="8009" spans="1:9" x14ac:dyDescent="0.2">
      <c r="A8009" t="s">
        <v>1701</v>
      </c>
      <c r="B8009" t="s">
        <v>1717</v>
      </c>
      <c r="C8009" t="str">
        <f>"45700290000000"</f>
        <v>45700290000000</v>
      </c>
      <c r="D8009" t="s">
        <v>8870</v>
      </c>
      <c r="E8009" t="str">
        <f>"45700296050355"</f>
        <v>45700296050355</v>
      </c>
      <c r="F8009" s="8">
        <v>3388</v>
      </c>
      <c r="G8009" s="8">
        <v>24052</v>
      </c>
      <c r="H8009" s="8">
        <v>0</v>
      </c>
      <c r="I8009" s="8">
        <v>0</v>
      </c>
    </row>
    <row r="8010" spans="1:9" x14ac:dyDescent="0.2">
      <c r="A8010" t="s">
        <v>1701</v>
      </c>
      <c r="B8010" t="s">
        <v>1718</v>
      </c>
      <c r="C8010" t="str">
        <f>"45700370000000"</f>
        <v>45700370000000</v>
      </c>
      <c r="D8010" t="s">
        <v>1718</v>
      </c>
      <c r="E8010" t="str">
        <f>"45700376050389"</f>
        <v>45700376050389</v>
      </c>
      <c r="F8010" s="8">
        <v>4850</v>
      </c>
      <c r="G8010" s="8">
        <v>28310</v>
      </c>
      <c r="H8010" s="8">
        <v>0</v>
      </c>
      <c r="I8010" s="8">
        <v>0</v>
      </c>
    </row>
    <row r="8011" spans="1:9" x14ac:dyDescent="0.2">
      <c r="A8011" t="s">
        <v>1701</v>
      </c>
      <c r="B8011" t="s">
        <v>1719</v>
      </c>
      <c r="C8011" t="str">
        <f>"45700450000000"</f>
        <v>45700450000000</v>
      </c>
      <c r="D8011" t="s">
        <v>1719</v>
      </c>
      <c r="E8011" t="str">
        <f>"45700456050397"</f>
        <v>45700456050397</v>
      </c>
      <c r="F8011" s="8">
        <v>215</v>
      </c>
      <c r="G8011" s="8">
        <v>335</v>
      </c>
      <c r="H8011" s="8">
        <v>917</v>
      </c>
      <c r="I8011" s="8">
        <v>2827</v>
      </c>
    </row>
    <row r="8012" spans="1:9" x14ac:dyDescent="0.2">
      <c r="A8012" t="s">
        <v>1701</v>
      </c>
      <c r="B8012" t="s">
        <v>1720</v>
      </c>
      <c r="C8012" t="str">
        <f>"45700520000000"</f>
        <v>45700520000000</v>
      </c>
      <c r="D8012" t="s">
        <v>1720</v>
      </c>
      <c r="E8012" t="str">
        <f>"45700526050405"</f>
        <v>45700526050405</v>
      </c>
      <c r="F8012" s="8">
        <v>1436</v>
      </c>
      <c r="G8012" s="8">
        <v>10535</v>
      </c>
      <c r="H8012" s="8">
        <v>0</v>
      </c>
      <c r="I8012" s="8">
        <v>0</v>
      </c>
    </row>
    <row r="8013" spans="1:9" x14ac:dyDescent="0.2">
      <c r="A8013" t="s">
        <v>1701</v>
      </c>
      <c r="B8013" t="s">
        <v>1722</v>
      </c>
      <c r="C8013" t="str">
        <f>"45737000000000"</f>
        <v>45737000000000</v>
      </c>
      <c r="D8013" t="s">
        <v>8871</v>
      </c>
      <c r="E8013" t="str">
        <f>"45737006050413"</f>
        <v>45737006050413</v>
      </c>
      <c r="F8013" s="8">
        <v>3549</v>
      </c>
      <c r="G8013" s="8">
        <v>15857</v>
      </c>
      <c r="H8013" s="8">
        <v>0</v>
      </c>
      <c r="I8013" s="8">
        <v>0</v>
      </c>
    </row>
    <row r="8014" spans="1:9" x14ac:dyDescent="0.2">
      <c r="A8014" t="s">
        <v>1701</v>
      </c>
      <c r="B8014" t="s">
        <v>1724</v>
      </c>
      <c r="C8014" t="str">
        <f>"45700780000000"</f>
        <v>45700780000000</v>
      </c>
      <c r="D8014" t="s">
        <v>1724</v>
      </c>
      <c r="E8014" t="str">
        <f>"45700786050421"</f>
        <v>45700786050421</v>
      </c>
      <c r="F8014" s="8">
        <v>853</v>
      </c>
      <c r="G8014" s="8">
        <v>9795</v>
      </c>
      <c r="H8014" s="8">
        <v>0</v>
      </c>
      <c r="I8014" s="8">
        <v>0</v>
      </c>
    </row>
    <row r="8015" spans="1:9" x14ac:dyDescent="0.2">
      <c r="A8015" t="s">
        <v>1701</v>
      </c>
      <c r="B8015" t="s">
        <v>1726</v>
      </c>
      <c r="C8015" t="str">
        <f>"45700860000000"</f>
        <v>45700860000000</v>
      </c>
      <c r="D8015" t="s">
        <v>1726</v>
      </c>
      <c r="E8015" t="str">
        <f>"45700866050439"</f>
        <v>45700866050439</v>
      </c>
      <c r="F8015" s="8">
        <v>1243</v>
      </c>
      <c r="G8015" s="8">
        <v>11187</v>
      </c>
      <c r="H8015" s="8">
        <v>0</v>
      </c>
      <c r="I8015" s="8">
        <v>0</v>
      </c>
    </row>
    <row r="8016" spans="1:9" x14ac:dyDescent="0.2">
      <c r="A8016" t="s">
        <v>1701</v>
      </c>
      <c r="B8016" t="s">
        <v>1727</v>
      </c>
      <c r="C8016" t="str">
        <f>"45700940000000"</f>
        <v>45700940000000</v>
      </c>
      <c r="D8016" t="s">
        <v>6737</v>
      </c>
      <c r="E8016" t="str">
        <f>"45700946050454"</f>
        <v>45700946050454</v>
      </c>
      <c r="F8016" s="8">
        <v>2275</v>
      </c>
      <c r="G8016" s="8">
        <v>8320</v>
      </c>
      <c r="H8016" s="8">
        <v>176</v>
      </c>
      <c r="I8016" s="8">
        <v>3100</v>
      </c>
    </row>
    <row r="8017" spans="1:9" x14ac:dyDescent="0.2">
      <c r="A8017" t="s">
        <v>1701</v>
      </c>
      <c r="B8017" t="s">
        <v>1727</v>
      </c>
      <c r="C8017" t="str">
        <f>"45700940000000"</f>
        <v>45700940000000</v>
      </c>
      <c r="D8017" t="s">
        <v>8250</v>
      </c>
      <c r="E8017" t="str">
        <f>"45700946050447"</f>
        <v>45700946050447</v>
      </c>
      <c r="F8017" s="8">
        <v>1695</v>
      </c>
      <c r="G8017" s="8">
        <v>7655</v>
      </c>
      <c r="H8017" s="8">
        <v>176</v>
      </c>
      <c r="I8017" s="8">
        <v>3100</v>
      </c>
    </row>
    <row r="8018" spans="1:9" x14ac:dyDescent="0.2">
      <c r="A8018" t="s">
        <v>1701</v>
      </c>
      <c r="B8018" t="s">
        <v>1729</v>
      </c>
      <c r="C8018" t="str">
        <f t="shared" ref="C8018:C8026" si="402">"45701100000000"</f>
        <v>45701100000000</v>
      </c>
      <c r="D8018" t="s">
        <v>8872</v>
      </c>
      <c r="E8018" t="str">
        <f>"45701106117147"</f>
        <v>45701106117147</v>
      </c>
      <c r="F8018" s="8">
        <v>6399</v>
      </c>
      <c r="G8018" s="8">
        <v>49826</v>
      </c>
      <c r="H8018" s="8">
        <v>1441</v>
      </c>
      <c r="I8018" s="8">
        <v>3852</v>
      </c>
    </row>
    <row r="8019" spans="1:9" x14ac:dyDescent="0.2">
      <c r="A8019" t="s">
        <v>1701</v>
      </c>
      <c r="B8019" t="s">
        <v>1729</v>
      </c>
      <c r="C8019" t="str">
        <f t="shared" si="402"/>
        <v>45701100000000</v>
      </c>
      <c r="D8019" t="s">
        <v>2605</v>
      </c>
      <c r="E8019" t="str">
        <f>"45701106050520"</f>
        <v>45701106050520</v>
      </c>
      <c r="F8019" s="8">
        <v>679</v>
      </c>
      <c r="G8019" s="8">
        <v>10974</v>
      </c>
      <c r="H8019" s="8">
        <v>1441</v>
      </c>
      <c r="I8019" s="8">
        <v>3852</v>
      </c>
    </row>
    <row r="8020" spans="1:9" x14ac:dyDescent="0.2">
      <c r="A8020" t="s">
        <v>1701</v>
      </c>
      <c r="B8020" t="s">
        <v>1729</v>
      </c>
      <c r="C8020" t="str">
        <f t="shared" si="402"/>
        <v>45701100000000</v>
      </c>
      <c r="D8020" t="s">
        <v>3717</v>
      </c>
      <c r="E8020" t="str">
        <f>"45701106050538"</f>
        <v>45701106050538</v>
      </c>
      <c r="F8020" s="8">
        <v>707</v>
      </c>
      <c r="G8020" s="8">
        <v>10088</v>
      </c>
      <c r="H8020" s="8">
        <v>1441</v>
      </c>
      <c r="I8020" s="8">
        <v>3852</v>
      </c>
    </row>
    <row r="8021" spans="1:9" x14ac:dyDescent="0.2">
      <c r="A8021" t="s">
        <v>1701</v>
      </c>
      <c r="B8021" t="s">
        <v>1729</v>
      </c>
      <c r="C8021" t="str">
        <f t="shared" si="402"/>
        <v>45701100000000</v>
      </c>
      <c r="D8021" t="s">
        <v>1006</v>
      </c>
      <c r="E8021" t="str">
        <f>"45701106050470"</f>
        <v>45701106050470</v>
      </c>
      <c r="F8021" s="8">
        <v>906</v>
      </c>
      <c r="G8021" s="8">
        <v>9844</v>
      </c>
      <c r="H8021" s="8">
        <v>1441</v>
      </c>
      <c r="I8021" s="8">
        <v>3852</v>
      </c>
    </row>
    <row r="8022" spans="1:9" x14ac:dyDescent="0.2">
      <c r="A8022" t="s">
        <v>1701</v>
      </c>
      <c r="B8022" t="s">
        <v>1729</v>
      </c>
      <c r="C8022" t="str">
        <f t="shared" si="402"/>
        <v>45701100000000</v>
      </c>
      <c r="D8022" t="s">
        <v>8873</v>
      </c>
      <c r="E8022" t="str">
        <f>"45701106050488"</f>
        <v>45701106050488</v>
      </c>
      <c r="F8022" s="8">
        <v>2648</v>
      </c>
      <c r="G8022" s="8">
        <v>7553</v>
      </c>
      <c r="H8022" s="8">
        <v>1441</v>
      </c>
      <c r="I8022" s="8">
        <v>3852</v>
      </c>
    </row>
    <row r="8023" spans="1:9" x14ac:dyDescent="0.2">
      <c r="A8023" t="s">
        <v>1701</v>
      </c>
      <c r="B8023" t="s">
        <v>1729</v>
      </c>
      <c r="C8023" t="str">
        <f t="shared" si="402"/>
        <v>45701100000000</v>
      </c>
      <c r="D8023" t="s">
        <v>8874</v>
      </c>
      <c r="E8023" t="str">
        <f>"45701106050462"</f>
        <v>45701106050462</v>
      </c>
      <c r="F8023" s="8">
        <v>710</v>
      </c>
      <c r="G8023" s="8">
        <v>8960</v>
      </c>
      <c r="H8023" s="8">
        <v>1441</v>
      </c>
      <c r="I8023" s="8">
        <v>3852</v>
      </c>
    </row>
    <row r="8024" spans="1:9" x14ac:dyDescent="0.2">
      <c r="A8024" t="s">
        <v>1701</v>
      </c>
      <c r="B8024" t="s">
        <v>1729</v>
      </c>
      <c r="C8024" t="str">
        <f t="shared" si="402"/>
        <v>45701100000000</v>
      </c>
      <c r="D8024" t="s">
        <v>106</v>
      </c>
      <c r="E8024" t="str">
        <f>"45701106050512"</f>
        <v>45701106050512</v>
      </c>
      <c r="F8024" s="8">
        <v>726</v>
      </c>
      <c r="G8024" s="8">
        <v>6117</v>
      </c>
      <c r="H8024" s="8">
        <v>1441</v>
      </c>
      <c r="I8024" s="8">
        <v>3852</v>
      </c>
    </row>
    <row r="8025" spans="1:9" x14ac:dyDescent="0.2">
      <c r="A8025" t="s">
        <v>1701</v>
      </c>
      <c r="B8025" t="s">
        <v>1729</v>
      </c>
      <c r="C8025" t="str">
        <f t="shared" si="402"/>
        <v>45701100000000</v>
      </c>
      <c r="D8025" t="s">
        <v>8875</v>
      </c>
      <c r="E8025" t="str">
        <f>"45701106101612"</f>
        <v>45701106101612</v>
      </c>
      <c r="F8025" s="8">
        <v>255</v>
      </c>
      <c r="G8025" s="8">
        <v>5733</v>
      </c>
      <c r="H8025" s="8">
        <v>1441</v>
      </c>
      <c r="I8025" s="8">
        <v>3852</v>
      </c>
    </row>
    <row r="8026" spans="1:9" x14ac:dyDescent="0.2">
      <c r="A8026" t="s">
        <v>1701</v>
      </c>
      <c r="B8026" t="s">
        <v>1729</v>
      </c>
      <c r="C8026" t="str">
        <f t="shared" si="402"/>
        <v>45701100000000</v>
      </c>
      <c r="D8026" t="s">
        <v>8876</v>
      </c>
      <c r="E8026" t="str">
        <f>"45701100135889"</f>
        <v>45701100135889</v>
      </c>
      <c r="F8026" s="8">
        <v>63</v>
      </c>
      <c r="G8026" s="8">
        <v>10035</v>
      </c>
      <c r="H8026" s="8">
        <v>0</v>
      </c>
      <c r="I8026" s="8">
        <v>0</v>
      </c>
    </row>
    <row r="8027" spans="1:9" x14ac:dyDescent="0.2">
      <c r="A8027" t="s">
        <v>1701</v>
      </c>
      <c r="B8027" t="s">
        <v>1734</v>
      </c>
      <c r="C8027" t="str">
        <f>"45104540000000"</f>
        <v>45104540000000</v>
      </c>
      <c r="D8027" t="s">
        <v>8877</v>
      </c>
      <c r="E8027" t="str">
        <f>"45104546069389"</f>
        <v>45104546069389</v>
      </c>
      <c r="F8027" s="8">
        <v>7593</v>
      </c>
      <c r="G8027" s="8">
        <v>40887</v>
      </c>
      <c r="H8027" s="8">
        <v>1843</v>
      </c>
      <c r="I8027" s="8">
        <v>3571</v>
      </c>
    </row>
    <row r="8028" spans="1:9" x14ac:dyDescent="0.2">
      <c r="A8028" t="s">
        <v>1701</v>
      </c>
      <c r="B8028" t="s">
        <v>1734</v>
      </c>
      <c r="C8028" t="str">
        <f>"45104540000000"</f>
        <v>45104540000000</v>
      </c>
      <c r="D8028" t="s">
        <v>8878</v>
      </c>
      <c r="E8028" t="str">
        <f>"45104544530150"</f>
        <v>45104544530150</v>
      </c>
      <c r="F8028" s="8">
        <v>10396</v>
      </c>
      <c r="G8028" s="8">
        <v>24518</v>
      </c>
      <c r="H8028" s="8">
        <v>1729</v>
      </c>
      <c r="I8028" s="8">
        <v>9100</v>
      </c>
    </row>
    <row r="8029" spans="1:9" x14ac:dyDescent="0.2">
      <c r="A8029" t="s">
        <v>1701</v>
      </c>
      <c r="B8029" t="s">
        <v>1734</v>
      </c>
      <c r="C8029" t="str">
        <f>"45104540000000"</f>
        <v>45104540000000</v>
      </c>
      <c r="D8029" t="s">
        <v>8879</v>
      </c>
      <c r="E8029" t="str">
        <f>"45104540132647"</f>
        <v>45104540132647</v>
      </c>
      <c r="F8029" s="8">
        <v>2948</v>
      </c>
      <c r="G8029" s="8">
        <v>7712</v>
      </c>
      <c r="H8029" s="8">
        <v>575</v>
      </c>
      <c r="I8029" s="8">
        <v>1481</v>
      </c>
    </row>
    <row r="8030" spans="1:9" x14ac:dyDescent="0.2">
      <c r="A8030" t="s">
        <v>1701</v>
      </c>
      <c r="B8030" t="s">
        <v>1735</v>
      </c>
      <c r="C8030" t="str">
        <f>"45701280000000"</f>
        <v>45701280000000</v>
      </c>
      <c r="D8030" t="s">
        <v>2409</v>
      </c>
      <c r="E8030" t="str">
        <f>"45701286050546"</f>
        <v>45701286050546</v>
      </c>
      <c r="F8030" s="8">
        <v>1756</v>
      </c>
      <c r="G8030" s="8">
        <v>11648</v>
      </c>
      <c r="H8030" s="8">
        <v>0</v>
      </c>
      <c r="I8030" s="8">
        <v>565</v>
      </c>
    </row>
    <row r="8031" spans="1:9" x14ac:dyDescent="0.2">
      <c r="A8031" t="s">
        <v>1701</v>
      </c>
      <c r="B8031" t="s">
        <v>1736</v>
      </c>
      <c r="C8031" t="str">
        <f>"45701360000000"</f>
        <v>45701360000000</v>
      </c>
      <c r="D8031" t="s">
        <v>8880</v>
      </c>
      <c r="E8031" t="str">
        <f>"45701364530200"</f>
        <v>45701364530200</v>
      </c>
      <c r="F8031" s="8">
        <v>945</v>
      </c>
      <c r="G8031" s="8">
        <v>18298</v>
      </c>
      <c r="H8031" s="8">
        <v>1253</v>
      </c>
      <c r="I8031" s="8">
        <v>6221</v>
      </c>
    </row>
    <row r="8032" spans="1:9" x14ac:dyDescent="0.2">
      <c r="A8032" t="s">
        <v>1701</v>
      </c>
      <c r="B8032" t="s">
        <v>1736</v>
      </c>
      <c r="C8032" t="str">
        <f>"45701360000000"</f>
        <v>45701360000000</v>
      </c>
      <c r="D8032" t="s">
        <v>2978</v>
      </c>
      <c r="E8032" t="str">
        <f>"45701364532750"</f>
        <v>45701364532750</v>
      </c>
      <c r="F8032" s="8">
        <v>1139</v>
      </c>
      <c r="G8032" s="8">
        <v>10701</v>
      </c>
      <c r="H8032" s="8">
        <v>771</v>
      </c>
      <c r="I8032" s="8">
        <v>3827</v>
      </c>
    </row>
    <row r="8033" spans="1:9" x14ac:dyDescent="0.2">
      <c r="A8033" t="s">
        <v>1701</v>
      </c>
      <c r="B8033" t="s">
        <v>1736</v>
      </c>
      <c r="C8033" t="str">
        <f>"45701360000000"</f>
        <v>45701360000000</v>
      </c>
      <c r="D8033" t="s">
        <v>8881</v>
      </c>
      <c r="E8033" t="str">
        <f>"45701364537304"</f>
        <v>45701364537304</v>
      </c>
      <c r="F8033" s="8">
        <v>542</v>
      </c>
      <c r="G8033" s="8">
        <v>8224</v>
      </c>
      <c r="H8033" s="8">
        <v>571</v>
      </c>
      <c r="I8033" s="8">
        <v>2834</v>
      </c>
    </row>
    <row r="8034" spans="1:9" x14ac:dyDescent="0.2">
      <c r="A8034" t="s">
        <v>1701</v>
      </c>
      <c r="B8034" t="s">
        <v>1736</v>
      </c>
      <c r="C8034" t="str">
        <f>"45701360000000"</f>
        <v>45701360000000</v>
      </c>
      <c r="D8034" t="s">
        <v>2331</v>
      </c>
      <c r="E8034" t="str">
        <f>"45701364530044"</f>
        <v>45701364530044</v>
      </c>
      <c r="F8034" s="8">
        <v>379</v>
      </c>
      <c r="G8034" s="8">
        <v>8340</v>
      </c>
      <c r="H8034" s="8">
        <v>568</v>
      </c>
      <c r="I8034" s="8">
        <v>2819</v>
      </c>
    </row>
    <row r="8035" spans="1:9" x14ac:dyDescent="0.2">
      <c r="A8035" t="s">
        <v>1701</v>
      </c>
      <c r="B8035" t="s">
        <v>1736</v>
      </c>
      <c r="C8035" t="str">
        <f>"45701360000000"</f>
        <v>45701360000000</v>
      </c>
      <c r="D8035" t="s">
        <v>8882</v>
      </c>
      <c r="E8035" t="str">
        <f>"45701364530309"</f>
        <v>45701364530309</v>
      </c>
      <c r="F8035" s="8">
        <v>558</v>
      </c>
      <c r="G8035" s="8">
        <v>4550</v>
      </c>
      <c r="H8035" s="8">
        <v>333</v>
      </c>
      <c r="I8035" s="8">
        <v>1651</v>
      </c>
    </row>
    <row r="8036" spans="1:9" x14ac:dyDescent="0.2">
      <c r="A8036" t="s">
        <v>1701</v>
      </c>
      <c r="B8036" t="s">
        <v>1740</v>
      </c>
      <c r="C8036" t="str">
        <f>"45701690000000"</f>
        <v>45701690000000</v>
      </c>
      <c r="D8036" t="s">
        <v>8883</v>
      </c>
      <c r="E8036" t="str">
        <f>"45701696050595"</f>
        <v>45701696050595</v>
      </c>
      <c r="F8036" s="8">
        <v>1524</v>
      </c>
      <c r="G8036" s="8">
        <v>9486</v>
      </c>
      <c r="H8036" s="8">
        <v>0</v>
      </c>
      <c r="I8036" s="8">
        <v>0</v>
      </c>
    </row>
    <row r="8037" spans="1:9" x14ac:dyDescent="0.2">
      <c r="A8037" t="s">
        <v>1741</v>
      </c>
      <c r="B8037" t="s">
        <v>1742</v>
      </c>
      <c r="C8037" t="str">
        <f>"46104620000000"</f>
        <v>46104620000000</v>
      </c>
      <c r="D8037" t="s">
        <v>8884</v>
      </c>
      <c r="E8037" t="str">
        <f>"46104626077267"</f>
        <v>46104626077267</v>
      </c>
      <c r="F8037" s="8">
        <v>148552</v>
      </c>
      <c r="G8037" s="8">
        <v>212698</v>
      </c>
      <c r="H8037" s="8">
        <v>3465</v>
      </c>
      <c r="I8037" s="8">
        <v>0</v>
      </c>
    </row>
    <row r="8038" spans="1:9" x14ac:dyDescent="0.2">
      <c r="A8038" t="s">
        <v>1741</v>
      </c>
      <c r="B8038" t="s">
        <v>1743</v>
      </c>
      <c r="C8038" t="str">
        <f>"46701770000000"</f>
        <v>46701770000000</v>
      </c>
      <c r="D8038" t="s">
        <v>8885</v>
      </c>
      <c r="E8038" t="str">
        <f>"46701774630034"</f>
        <v>46701774630034</v>
      </c>
      <c r="F8038" s="8">
        <v>0</v>
      </c>
      <c r="G8038" s="8">
        <v>23918</v>
      </c>
      <c r="H8038" s="8">
        <v>0</v>
      </c>
      <c r="I8038" s="8">
        <v>0</v>
      </c>
    </row>
    <row r="8039" spans="1:9" x14ac:dyDescent="0.2">
      <c r="A8039" t="s">
        <v>1741</v>
      </c>
      <c r="B8039" t="s">
        <v>1743</v>
      </c>
      <c r="C8039" t="str">
        <f>"46701770000000"</f>
        <v>46701770000000</v>
      </c>
      <c r="D8039" t="s">
        <v>8886</v>
      </c>
      <c r="E8039" t="str">
        <f>"46701776050611"</f>
        <v>46701776050611</v>
      </c>
      <c r="F8039" s="8">
        <v>2494</v>
      </c>
      <c r="G8039" s="8">
        <v>18793</v>
      </c>
      <c r="H8039" s="8">
        <v>0</v>
      </c>
      <c r="I8039" s="8">
        <v>0</v>
      </c>
    </row>
    <row r="8040" spans="1:9" x14ac:dyDescent="0.2">
      <c r="A8040" t="s">
        <v>1741</v>
      </c>
      <c r="B8040" t="s">
        <v>1743</v>
      </c>
      <c r="C8040" t="str">
        <f>"46701770000000"</f>
        <v>46701770000000</v>
      </c>
      <c r="D8040" t="s">
        <v>8887</v>
      </c>
      <c r="E8040" t="str">
        <f>"46701774632303"</f>
        <v>46701774632303</v>
      </c>
      <c r="F8040" s="8">
        <v>1071</v>
      </c>
      <c r="G8040" s="8">
        <v>17207</v>
      </c>
      <c r="H8040" s="8">
        <v>0</v>
      </c>
      <c r="I8040" s="8">
        <v>0</v>
      </c>
    </row>
    <row r="8041" spans="1:9" x14ac:dyDescent="0.2">
      <c r="A8041" t="s">
        <v>1741</v>
      </c>
      <c r="B8041" t="s">
        <v>1743</v>
      </c>
      <c r="C8041" t="str">
        <f>"46701770000000"</f>
        <v>46701770000000</v>
      </c>
      <c r="D8041" t="s">
        <v>8888</v>
      </c>
      <c r="E8041" t="str">
        <f>"46701774634259"</f>
        <v>46701774634259</v>
      </c>
      <c r="F8041" s="8">
        <v>775</v>
      </c>
      <c r="G8041" s="8">
        <v>9995</v>
      </c>
      <c r="H8041" s="8">
        <v>0</v>
      </c>
      <c r="I8041" s="8">
        <v>0</v>
      </c>
    </row>
    <row r="8042" spans="1:9" x14ac:dyDescent="0.2">
      <c r="A8042" t="s">
        <v>1741</v>
      </c>
      <c r="B8042" t="s">
        <v>1743</v>
      </c>
      <c r="C8042" t="str">
        <f>"46701770000000"</f>
        <v>46701770000000</v>
      </c>
      <c r="D8042" t="s">
        <v>8889</v>
      </c>
      <c r="E8042" t="str">
        <f>"46701776050629"</f>
        <v>46701776050629</v>
      </c>
      <c r="F8042" s="8">
        <v>1021</v>
      </c>
      <c r="G8042" s="8">
        <v>7909</v>
      </c>
      <c r="H8042" s="8">
        <v>0</v>
      </c>
      <c r="I8042" s="8">
        <v>0</v>
      </c>
    </row>
    <row r="8043" spans="1:9" x14ac:dyDescent="0.2">
      <c r="A8043" t="s">
        <v>1744</v>
      </c>
      <c r="B8043" t="s">
        <v>1745</v>
      </c>
      <c r="C8043" t="str">
        <f>"47701850000000"</f>
        <v>47701850000000</v>
      </c>
      <c r="D8043" t="s">
        <v>8890</v>
      </c>
      <c r="E8043" t="str">
        <f>"47701856050652"</f>
        <v>47701856050652</v>
      </c>
      <c r="F8043" s="8" t="s">
        <v>30</v>
      </c>
      <c r="G8043" s="8" t="s">
        <v>30</v>
      </c>
      <c r="H8043" s="8" t="s">
        <v>30</v>
      </c>
      <c r="I8043" s="8" t="s">
        <v>30</v>
      </c>
    </row>
    <row r="8044" spans="1:9" x14ac:dyDescent="0.2">
      <c r="A8044" t="s">
        <v>1744</v>
      </c>
      <c r="B8044" t="s">
        <v>1746</v>
      </c>
      <c r="C8044" t="str">
        <f>"47701930000000"</f>
        <v>47701930000000</v>
      </c>
      <c r="D8044" t="s">
        <v>1746</v>
      </c>
      <c r="E8044" t="str">
        <f>"47701936050660"</f>
        <v>47701936050660</v>
      </c>
      <c r="F8044" s="8">
        <v>1885</v>
      </c>
      <c r="G8044" s="8">
        <v>13677</v>
      </c>
      <c r="H8044" s="8">
        <v>0</v>
      </c>
      <c r="I8044" s="8">
        <v>0</v>
      </c>
    </row>
    <row r="8045" spans="1:9" x14ac:dyDescent="0.2">
      <c r="A8045" t="s">
        <v>1744</v>
      </c>
      <c r="B8045" t="s">
        <v>1747</v>
      </c>
      <c r="C8045" t="str">
        <f>"47736840000000"</f>
        <v>47736840000000</v>
      </c>
      <c r="D8045" t="s">
        <v>8891</v>
      </c>
      <c r="E8045" t="str">
        <f>"47736846050843"</f>
        <v>47736846050843</v>
      </c>
      <c r="F8045" s="8" t="s">
        <v>30</v>
      </c>
      <c r="G8045" s="8" t="s">
        <v>30</v>
      </c>
      <c r="H8045" s="8" t="s">
        <v>30</v>
      </c>
      <c r="I8045" s="8" t="s">
        <v>30</v>
      </c>
    </row>
    <row r="8046" spans="1:9" x14ac:dyDescent="0.2">
      <c r="A8046" t="s">
        <v>1744</v>
      </c>
      <c r="B8046" t="s">
        <v>1747</v>
      </c>
      <c r="C8046" t="str">
        <f>"47736840000000"</f>
        <v>47736840000000</v>
      </c>
      <c r="D8046" t="s">
        <v>8892</v>
      </c>
      <c r="E8046" t="str">
        <f>"47736844731253"</f>
        <v>47736844731253</v>
      </c>
      <c r="F8046" s="8" t="s">
        <v>30</v>
      </c>
      <c r="G8046" s="8" t="s">
        <v>30</v>
      </c>
      <c r="H8046" s="8" t="s">
        <v>30</v>
      </c>
      <c r="I8046" s="8" t="s">
        <v>30</v>
      </c>
    </row>
    <row r="8047" spans="1:9" x14ac:dyDescent="0.2">
      <c r="A8047" t="s">
        <v>1744</v>
      </c>
      <c r="B8047" t="s">
        <v>1747</v>
      </c>
      <c r="C8047" t="str">
        <f>"47736840000000"</f>
        <v>47736840000000</v>
      </c>
      <c r="D8047" t="s">
        <v>8893</v>
      </c>
      <c r="E8047" t="str">
        <f>"47736844730081"</f>
        <v>47736844730081</v>
      </c>
      <c r="F8047" s="8" t="s">
        <v>30</v>
      </c>
      <c r="G8047" s="8" t="s">
        <v>30</v>
      </c>
      <c r="H8047" s="8" t="s">
        <v>30</v>
      </c>
      <c r="I8047" s="8" t="s">
        <v>30</v>
      </c>
    </row>
    <row r="8048" spans="1:9" x14ac:dyDescent="0.2">
      <c r="A8048" t="s">
        <v>1744</v>
      </c>
      <c r="B8048" t="s">
        <v>1747</v>
      </c>
      <c r="C8048" t="str">
        <f>"47736840000000"</f>
        <v>47736840000000</v>
      </c>
      <c r="D8048" t="s">
        <v>8894</v>
      </c>
      <c r="E8048" t="str">
        <f>"47736846114607"</f>
        <v>47736846114607</v>
      </c>
      <c r="F8048" s="8" t="s">
        <v>30</v>
      </c>
      <c r="G8048" s="8" t="s">
        <v>30</v>
      </c>
      <c r="H8048" s="8" t="s">
        <v>30</v>
      </c>
      <c r="I8048" s="8" t="s">
        <v>30</v>
      </c>
    </row>
    <row r="8049" spans="1:9" x14ac:dyDescent="0.2">
      <c r="A8049" t="s">
        <v>1744</v>
      </c>
      <c r="B8049" t="s">
        <v>1748</v>
      </c>
      <c r="C8049" t="str">
        <f>"47702010000000"</f>
        <v>47702010000000</v>
      </c>
      <c r="D8049" t="s">
        <v>8895</v>
      </c>
      <c r="E8049" t="str">
        <f>"47702016050678"</f>
        <v>47702016050678</v>
      </c>
      <c r="F8049" s="8">
        <v>2492</v>
      </c>
      <c r="G8049" s="8">
        <v>9018</v>
      </c>
      <c r="H8049" s="8">
        <v>0</v>
      </c>
      <c r="I8049" s="8">
        <v>0</v>
      </c>
    </row>
    <row r="8050" spans="1:9" x14ac:dyDescent="0.2">
      <c r="A8050" t="s">
        <v>1744</v>
      </c>
      <c r="B8050" t="s">
        <v>1749</v>
      </c>
      <c r="C8050" t="str">
        <f>"47702270000000"</f>
        <v>47702270000000</v>
      </c>
      <c r="D8050" t="s">
        <v>1749</v>
      </c>
      <c r="E8050" t="str">
        <f>"47702276050694"</f>
        <v>47702276050694</v>
      </c>
      <c r="F8050" s="8">
        <v>1379</v>
      </c>
      <c r="G8050" s="8">
        <v>13409</v>
      </c>
      <c r="H8050" s="8">
        <v>0</v>
      </c>
      <c r="I8050" s="8">
        <v>0</v>
      </c>
    </row>
    <row r="8051" spans="1:9" x14ac:dyDescent="0.2">
      <c r="A8051" t="s">
        <v>1744</v>
      </c>
      <c r="B8051" t="s">
        <v>1750</v>
      </c>
      <c r="C8051" t="str">
        <f>"47702430000000"</f>
        <v>47702430000000</v>
      </c>
      <c r="D8051" t="s">
        <v>1750</v>
      </c>
      <c r="E8051" t="str">
        <f>"47702436050710"</f>
        <v>47702436050710</v>
      </c>
      <c r="F8051" s="8">
        <v>3243</v>
      </c>
      <c r="G8051" s="8">
        <v>13421</v>
      </c>
      <c r="H8051" s="8">
        <v>0</v>
      </c>
      <c r="I8051" s="8">
        <v>0</v>
      </c>
    </row>
    <row r="8052" spans="1:9" x14ac:dyDescent="0.2">
      <c r="A8052" t="s">
        <v>1744</v>
      </c>
      <c r="B8052" t="s">
        <v>1751</v>
      </c>
      <c r="C8052" t="str">
        <f>"47702500000000"</f>
        <v>47702500000000</v>
      </c>
      <c r="D8052" t="s">
        <v>8896</v>
      </c>
      <c r="E8052" t="str">
        <f>"47702504732707"</f>
        <v>47702504732707</v>
      </c>
      <c r="F8052" s="8">
        <v>6070</v>
      </c>
      <c r="G8052" s="8">
        <v>33605</v>
      </c>
      <c r="H8052" s="8">
        <v>0</v>
      </c>
      <c r="I8052" s="8">
        <v>0</v>
      </c>
    </row>
    <row r="8053" spans="1:9" x14ac:dyDescent="0.2">
      <c r="A8053" t="s">
        <v>1744</v>
      </c>
      <c r="B8053" t="s">
        <v>1751</v>
      </c>
      <c r="C8053" t="str">
        <f>"47702500000000"</f>
        <v>47702500000000</v>
      </c>
      <c r="D8053" t="s">
        <v>8897</v>
      </c>
      <c r="E8053" t="str">
        <f>"47702504730164"</f>
        <v>47702504730164</v>
      </c>
      <c r="F8053" s="8" t="s">
        <v>30</v>
      </c>
      <c r="G8053" s="8" t="s">
        <v>30</v>
      </c>
      <c r="H8053" s="8" t="s">
        <v>30</v>
      </c>
      <c r="I8053" s="8" t="s">
        <v>30</v>
      </c>
    </row>
    <row r="8054" spans="1:9" x14ac:dyDescent="0.2">
      <c r="A8054" t="s">
        <v>1744</v>
      </c>
      <c r="B8054" t="s">
        <v>1752</v>
      </c>
      <c r="C8054" t="str">
        <f>"47702920000000"</f>
        <v>47702920000000</v>
      </c>
      <c r="D8054" t="s">
        <v>1752</v>
      </c>
      <c r="E8054" t="str">
        <f>"47702926050744"</f>
        <v>47702926050744</v>
      </c>
      <c r="F8054" s="8" t="s">
        <v>30</v>
      </c>
      <c r="G8054" s="8" t="s">
        <v>30</v>
      </c>
      <c r="H8054" s="8" t="s">
        <v>30</v>
      </c>
      <c r="I8054" s="8" t="s">
        <v>30</v>
      </c>
    </row>
    <row r="8055" spans="1:9" x14ac:dyDescent="0.2">
      <c r="A8055" t="s">
        <v>1744</v>
      </c>
      <c r="B8055" t="s">
        <v>1753</v>
      </c>
      <c r="C8055" t="str">
        <f>"47703180000000"</f>
        <v>47703180000000</v>
      </c>
      <c r="D8055" t="s">
        <v>8898</v>
      </c>
      <c r="E8055" t="str">
        <f>"47703186050769"</f>
        <v>47703186050769</v>
      </c>
      <c r="F8055" s="8">
        <v>1982</v>
      </c>
      <c r="G8055" s="8">
        <v>15688</v>
      </c>
      <c r="H8055" s="8">
        <v>0</v>
      </c>
      <c r="I8055" s="8">
        <v>0</v>
      </c>
    </row>
    <row r="8056" spans="1:9" x14ac:dyDescent="0.2">
      <c r="A8056" t="s">
        <v>1744</v>
      </c>
      <c r="B8056" t="s">
        <v>1755</v>
      </c>
      <c r="C8056" t="str">
        <f>"47703260000000"</f>
        <v>47703260000000</v>
      </c>
      <c r="D8056" t="s">
        <v>1755</v>
      </c>
      <c r="E8056" t="str">
        <f>"47703266050777"</f>
        <v>47703266050777</v>
      </c>
      <c r="F8056" s="8">
        <v>1163</v>
      </c>
      <c r="G8056" s="8">
        <v>12659</v>
      </c>
      <c r="H8056" s="8">
        <v>0</v>
      </c>
      <c r="I8056" s="8">
        <v>0</v>
      </c>
    </row>
    <row r="8057" spans="1:9" x14ac:dyDescent="0.2">
      <c r="A8057" t="s">
        <v>1744</v>
      </c>
      <c r="B8057" t="s">
        <v>1756</v>
      </c>
      <c r="C8057" t="str">
        <f>"47703340000000"</f>
        <v>47703340000000</v>
      </c>
      <c r="D8057" t="s">
        <v>1756</v>
      </c>
      <c r="E8057" t="str">
        <f>"47703346050785"</f>
        <v>47703346050785</v>
      </c>
      <c r="F8057" s="8">
        <v>3574</v>
      </c>
      <c r="G8057" s="8">
        <v>18875</v>
      </c>
      <c r="H8057" s="8">
        <v>0</v>
      </c>
      <c r="I8057" s="8">
        <v>0</v>
      </c>
    </row>
    <row r="8058" spans="1:9" x14ac:dyDescent="0.2">
      <c r="A8058" t="s">
        <v>1744</v>
      </c>
      <c r="B8058" t="s">
        <v>1757</v>
      </c>
      <c r="C8058" t="str">
        <f>"47703590000000"</f>
        <v>47703590000000</v>
      </c>
      <c r="D8058" t="s">
        <v>1757</v>
      </c>
      <c r="E8058" t="str">
        <f>"47703596050801"</f>
        <v>47703596050801</v>
      </c>
      <c r="F8058" s="8">
        <v>2462</v>
      </c>
      <c r="G8058" s="8">
        <v>18938</v>
      </c>
      <c r="H8058" s="8">
        <v>0</v>
      </c>
      <c r="I8058" s="8">
        <v>0</v>
      </c>
    </row>
    <row r="8059" spans="1:9" x14ac:dyDescent="0.2">
      <c r="A8059" t="s">
        <v>1744</v>
      </c>
      <c r="B8059" t="s">
        <v>1719</v>
      </c>
      <c r="C8059" t="str">
        <f>"47703670000000"</f>
        <v>47703670000000</v>
      </c>
      <c r="D8059" t="s">
        <v>1719</v>
      </c>
      <c r="E8059" t="str">
        <f>"47703676050819"</f>
        <v>47703676050819</v>
      </c>
      <c r="F8059" s="8" t="s">
        <v>30</v>
      </c>
      <c r="G8059" s="8" t="s">
        <v>30</v>
      </c>
      <c r="H8059" s="8" t="s">
        <v>30</v>
      </c>
      <c r="I8059" s="8" t="s">
        <v>30</v>
      </c>
    </row>
    <row r="8060" spans="1:9" x14ac:dyDescent="0.2">
      <c r="A8060" t="s">
        <v>1744</v>
      </c>
      <c r="B8060" t="s">
        <v>1758</v>
      </c>
      <c r="C8060" t="str">
        <f>"47703750000000"</f>
        <v>47703750000000</v>
      </c>
      <c r="D8060" t="s">
        <v>8899</v>
      </c>
      <c r="E8060" t="str">
        <f>"47703756050827"</f>
        <v>47703756050827</v>
      </c>
      <c r="F8060" s="8">
        <v>8415</v>
      </c>
      <c r="G8060" s="8">
        <v>17066</v>
      </c>
      <c r="H8060" s="8">
        <v>84146</v>
      </c>
      <c r="I8060" s="8">
        <v>170663</v>
      </c>
    </row>
    <row r="8061" spans="1:9" x14ac:dyDescent="0.2">
      <c r="A8061" t="s">
        <v>1744</v>
      </c>
      <c r="B8061" t="s">
        <v>1759</v>
      </c>
      <c r="C8061" t="str">
        <f>"47703830000000"</f>
        <v>47703830000000</v>
      </c>
      <c r="D8061" t="s">
        <v>1759</v>
      </c>
      <c r="E8061" t="str">
        <f>"47703836050835"</f>
        <v>47703836050835</v>
      </c>
      <c r="F8061" s="8">
        <v>2017</v>
      </c>
      <c r="G8061" s="8">
        <v>21930</v>
      </c>
      <c r="H8061" s="8">
        <v>0</v>
      </c>
      <c r="I8061" s="8">
        <v>0</v>
      </c>
    </row>
    <row r="8062" spans="1:9" x14ac:dyDescent="0.2">
      <c r="A8062" t="s">
        <v>1744</v>
      </c>
      <c r="B8062" t="s">
        <v>1760</v>
      </c>
      <c r="C8062" t="str">
        <f>"47704090000000"</f>
        <v>47704090000000</v>
      </c>
      <c r="D8062" t="s">
        <v>8900</v>
      </c>
      <c r="E8062" t="str">
        <f>"47704096050850"</f>
        <v>47704096050850</v>
      </c>
      <c r="F8062" s="8">
        <v>2014</v>
      </c>
      <c r="G8062" s="8">
        <v>14820</v>
      </c>
      <c r="H8062" s="8">
        <v>0</v>
      </c>
      <c r="I8062" s="8">
        <v>0</v>
      </c>
    </row>
    <row r="8063" spans="1:9" x14ac:dyDescent="0.2">
      <c r="A8063" t="s">
        <v>1744</v>
      </c>
      <c r="B8063" t="s">
        <v>1761</v>
      </c>
      <c r="C8063" t="str">
        <f>"47704170000000"</f>
        <v>47704170000000</v>
      </c>
      <c r="D8063" t="s">
        <v>1761</v>
      </c>
      <c r="E8063" t="str">
        <f>"47704176050876"</f>
        <v>47704176050876</v>
      </c>
      <c r="F8063" s="8">
        <v>1667</v>
      </c>
      <c r="G8063" s="8">
        <v>10867</v>
      </c>
      <c r="H8063" s="8">
        <v>0</v>
      </c>
      <c r="I8063" s="8">
        <v>0</v>
      </c>
    </row>
    <row r="8064" spans="1:9" x14ac:dyDescent="0.2">
      <c r="A8064" t="s">
        <v>1744</v>
      </c>
      <c r="B8064" t="s">
        <v>1762</v>
      </c>
      <c r="C8064" t="str">
        <f>"47704250000000"</f>
        <v>47704250000000</v>
      </c>
      <c r="D8064" t="s">
        <v>8901</v>
      </c>
      <c r="E8064" t="str">
        <f>"47704256050884"</f>
        <v>47704256050884</v>
      </c>
      <c r="F8064" s="8">
        <v>864</v>
      </c>
      <c r="G8064" s="8">
        <v>7059</v>
      </c>
      <c r="H8064" s="8">
        <v>271</v>
      </c>
      <c r="I8064" s="8">
        <v>3311</v>
      </c>
    </row>
    <row r="8065" spans="1:9" x14ac:dyDescent="0.2">
      <c r="A8065" t="s">
        <v>1744</v>
      </c>
      <c r="B8065" t="s">
        <v>1762</v>
      </c>
      <c r="C8065" t="str">
        <f>"47704250000000"</f>
        <v>47704250000000</v>
      </c>
      <c r="D8065" t="s">
        <v>8902</v>
      </c>
      <c r="E8065" t="str">
        <f>"47704250131102"</f>
        <v>47704250131102</v>
      </c>
      <c r="F8065" s="8">
        <v>990</v>
      </c>
      <c r="G8065" s="8">
        <v>6430</v>
      </c>
      <c r="H8065" s="8">
        <v>271</v>
      </c>
      <c r="I8065" s="8">
        <v>3311</v>
      </c>
    </row>
    <row r="8066" spans="1:9" x14ac:dyDescent="0.2">
      <c r="A8066" t="s">
        <v>1744</v>
      </c>
      <c r="B8066" t="s">
        <v>1764</v>
      </c>
      <c r="C8066" t="str">
        <f t="shared" ref="C8066:C8071" si="403">"47764550000000"</f>
        <v>47764550000000</v>
      </c>
      <c r="D8066" t="s">
        <v>8903</v>
      </c>
      <c r="E8066" t="str">
        <f>"47764556050728"</f>
        <v>47764556050728</v>
      </c>
      <c r="F8066" s="8">
        <v>1088</v>
      </c>
      <c r="G8066" s="8">
        <v>10115</v>
      </c>
      <c r="H8066" s="8">
        <v>373</v>
      </c>
      <c r="I8066" s="8">
        <v>2987</v>
      </c>
    </row>
    <row r="8067" spans="1:9" x14ac:dyDescent="0.2">
      <c r="A8067" t="s">
        <v>1744</v>
      </c>
      <c r="B8067" t="s">
        <v>1764</v>
      </c>
      <c r="C8067" t="str">
        <f t="shared" si="403"/>
        <v>47764550000000</v>
      </c>
      <c r="D8067" t="s">
        <v>8904</v>
      </c>
      <c r="E8067" t="str">
        <f>"47764556050751"</f>
        <v>47764556050751</v>
      </c>
      <c r="F8067" s="8">
        <v>1012</v>
      </c>
      <c r="G8067" s="8">
        <v>9152</v>
      </c>
      <c r="H8067" s="8">
        <v>245</v>
      </c>
      <c r="I8067" s="8">
        <v>3213</v>
      </c>
    </row>
    <row r="8068" spans="1:9" x14ac:dyDescent="0.2">
      <c r="A8068" t="s">
        <v>1744</v>
      </c>
      <c r="B8068" t="s">
        <v>1764</v>
      </c>
      <c r="C8068" t="str">
        <f t="shared" si="403"/>
        <v>47764550000000</v>
      </c>
      <c r="D8068" t="s">
        <v>8905</v>
      </c>
      <c r="E8068" t="str">
        <f>"47764554733309"</f>
        <v>47764554733309</v>
      </c>
      <c r="F8068" s="8">
        <v>343</v>
      </c>
      <c r="G8068" s="8">
        <v>10120</v>
      </c>
      <c r="H8068" s="8">
        <v>411</v>
      </c>
      <c r="I8068" s="8">
        <v>2060</v>
      </c>
    </row>
    <row r="8069" spans="1:9" x14ac:dyDescent="0.2">
      <c r="A8069" t="s">
        <v>1744</v>
      </c>
      <c r="B8069" t="s">
        <v>1764</v>
      </c>
      <c r="C8069" t="str">
        <f t="shared" si="403"/>
        <v>47764550000000</v>
      </c>
      <c r="D8069" t="s">
        <v>8906</v>
      </c>
      <c r="E8069" t="str">
        <f>"47764554730107"</f>
        <v>47764554730107</v>
      </c>
      <c r="F8069" s="8">
        <v>0</v>
      </c>
      <c r="G8069" s="8">
        <v>10356</v>
      </c>
      <c r="H8069" s="8">
        <v>314</v>
      </c>
      <c r="I8069" s="8">
        <v>2073</v>
      </c>
    </row>
    <row r="8070" spans="1:9" x14ac:dyDescent="0.2">
      <c r="A8070" t="s">
        <v>1744</v>
      </c>
      <c r="B8070" t="s">
        <v>1764</v>
      </c>
      <c r="C8070" t="str">
        <f t="shared" si="403"/>
        <v>47764550000000</v>
      </c>
      <c r="D8070" t="s">
        <v>8907</v>
      </c>
      <c r="E8070" t="str">
        <f>"47764556105480"</f>
        <v>47764556105480</v>
      </c>
      <c r="F8070" s="8">
        <v>119</v>
      </c>
      <c r="G8070" s="8">
        <v>8078</v>
      </c>
      <c r="H8070" s="8">
        <v>314</v>
      </c>
      <c r="I8070" s="8">
        <v>2070</v>
      </c>
    </row>
    <row r="8071" spans="1:9" x14ac:dyDescent="0.2">
      <c r="A8071" t="s">
        <v>1744</v>
      </c>
      <c r="B8071" t="s">
        <v>1764</v>
      </c>
      <c r="C8071" t="str">
        <f t="shared" si="403"/>
        <v>47764550000000</v>
      </c>
      <c r="D8071" t="s">
        <v>8908</v>
      </c>
      <c r="E8071" t="str">
        <f>"47764554730206"</f>
        <v>47764554730206</v>
      </c>
      <c r="F8071" s="8" t="s">
        <v>30</v>
      </c>
      <c r="G8071" s="8" t="s">
        <v>30</v>
      </c>
      <c r="H8071" s="8" t="s">
        <v>30</v>
      </c>
      <c r="I8071" s="8" t="s">
        <v>30</v>
      </c>
    </row>
    <row r="8072" spans="1:9" x14ac:dyDescent="0.2">
      <c r="A8072" t="s">
        <v>1744</v>
      </c>
      <c r="B8072" t="s">
        <v>1765</v>
      </c>
      <c r="C8072" t="str">
        <f>"47704580000000"</f>
        <v>47704580000000</v>
      </c>
      <c r="D8072" t="s">
        <v>1765</v>
      </c>
      <c r="E8072" t="str">
        <f>"47704586050926"</f>
        <v>47704586050926</v>
      </c>
      <c r="F8072" s="8">
        <v>4465</v>
      </c>
      <c r="G8072" s="8">
        <v>36273</v>
      </c>
      <c r="H8072" s="8">
        <v>0</v>
      </c>
      <c r="I8072" s="8">
        <v>0</v>
      </c>
    </row>
    <row r="8073" spans="1:9" x14ac:dyDescent="0.2">
      <c r="A8073" t="s">
        <v>1744</v>
      </c>
      <c r="B8073" t="s">
        <v>1766</v>
      </c>
      <c r="C8073" t="str">
        <f>"47104700000000"</f>
        <v>47104700000000</v>
      </c>
      <c r="D8073" t="s">
        <v>8909</v>
      </c>
      <c r="E8073" t="str">
        <f>"47104706069405"</f>
        <v>47104706069405</v>
      </c>
      <c r="F8073" s="8">
        <v>0</v>
      </c>
      <c r="G8073" s="8">
        <v>0</v>
      </c>
      <c r="H8073" s="8">
        <v>53746</v>
      </c>
      <c r="I8073" s="8">
        <v>140241</v>
      </c>
    </row>
    <row r="8074" spans="1:9" x14ac:dyDescent="0.2">
      <c r="A8074" t="s">
        <v>1744</v>
      </c>
      <c r="B8074" t="s">
        <v>1767</v>
      </c>
      <c r="C8074" t="str">
        <f>"47704660000000"</f>
        <v>47704660000000</v>
      </c>
      <c r="D8074" t="s">
        <v>8910</v>
      </c>
      <c r="E8074" t="str">
        <f>"47704664734356"</f>
        <v>47704664734356</v>
      </c>
      <c r="F8074" s="8" t="s">
        <v>30</v>
      </c>
      <c r="G8074" s="8" t="s">
        <v>30</v>
      </c>
      <c r="H8074" s="8" t="s">
        <v>30</v>
      </c>
      <c r="I8074" s="8" t="s">
        <v>30</v>
      </c>
    </row>
    <row r="8075" spans="1:9" x14ac:dyDescent="0.2">
      <c r="A8075" t="s">
        <v>1744</v>
      </c>
      <c r="B8075" t="s">
        <v>1767</v>
      </c>
      <c r="C8075" t="str">
        <f>"47704660000000"</f>
        <v>47704660000000</v>
      </c>
      <c r="D8075" t="s">
        <v>8911</v>
      </c>
      <c r="E8075" t="str">
        <f>"47704664734901"</f>
        <v>47704664734901</v>
      </c>
      <c r="F8075" s="8" t="s">
        <v>30</v>
      </c>
      <c r="G8075" s="8" t="s">
        <v>30</v>
      </c>
      <c r="H8075" s="8" t="s">
        <v>30</v>
      </c>
      <c r="I8075" s="8" t="s">
        <v>30</v>
      </c>
    </row>
    <row r="8076" spans="1:9" x14ac:dyDescent="0.2">
      <c r="A8076" t="s">
        <v>1744</v>
      </c>
      <c r="B8076" t="s">
        <v>1767</v>
      </c>
      <c r="C8076" t="str">
        <f>"47704660000000"</f>
        <v>47704660000000</v>
      </c>
      <c r="D8076" t="s">
        <v>8912</v>
      </c>
      <c r="E8076" t="str">
        <f>"47704664735403"</f>
        <v>47704664735403</v>
      </c>
      <c r="F8076" s="8" t="s">
        <v>30</v>
      </c>
      <c r="G8076" s="8" t="s">
        <v>30</v>
      </c>
      <c r="H8076" s="8" t="s">
        <v>30</v>
      </c>
      <c r="I8076" s="8" t="s">
        <v>30</v>
      </c>
    </row>
    <row r="8077" spans="1:9" x14ac:dyDescent="0.2">
      <c r="A8077" t="s">
        <v>1744</v>
      </c>
      <c r="B8077" t="s">
        <v>1767</v>
      </c>
      <c r="C8077" t="str">
        <f>"47704660000000"</f>
        <v>47704660000000</v>
      </c>
      <c r="D8077" t="s">
        <v>8913</v>
      </c>
      <c r="E8077" t="str">
        <f>"47704664738753"</f>
        <v>47704664738753</v>
      </c>
      <c r="F8077" s="8" t="s">
        <v>30</v>
      </c>
      <c r="G8077" s="8" t="s">
        <v>30</v>
      </c>
      <c r="H8077" s="8" t="s">
        <v>30</v>
      </c>
      <c r="I8077" s="8" t="s">
        <v>30</v>
      </c>
    </row>
    <row r="8078" spans="1:9" x14ac:dyDescent="0.2">
      <c r="A8078" t="s">
        <v>1744</v>
      </c>
      <c r="B8078" t="s">
        <v>1768</v>
      </c>
      <c r="C8078" t="str">
        <f>"47704820000000"</f>
        <v>47704820000000</v>
      </c>
      <c r="D8078" t="s">
        <v>8914</v>
      </c>
      <c r="E8078" t="str">
        <f>"47704826050942"</f>
        <v>47704826050942</v>
      </c>
      <c r="F8078" s="8">
        <v>2589</v>
      </c>
      <c r="G8078" s="8">
        <v>12205</v>
      </c>
      <c r="H8078" s="8">
        <v>0</v>
      </c>
      <c r="I8078" s="8">
        <v>0</v>
      </c>
    </row>
    <row r="8079" spans="1:9" x14ac:dyDescent="0.2">
      <c r="A8079" t="s">
        <v>1744</v>
      </c>
      <c r="B8079" t="s">
        <v>1769</v>
      </c>
      <c r="C8079" t="str">
        <f>"47704900000000"</f>
        <v>47704900000000</v>
      </c>
      <c r="D8079" t="s">
        <v>1769</v>
      </c>
      <c r="E8079" t="str">
        <f>"47704906050959"</f>
        <v>47704906050959</v>
      </c>
      <c r="F8079" s="8">
        <v>2078</v>
      </c>
      <c r="G8079" s="8">
        <v>16010</v>
      </c>
      <c r="H8079" s="8">
        <v>0</v>
      </c>
      <c r="I8079" s="8">
        <v>0</v>
      </c>
    </row>
    <row r="8080" spans="1:9" x14ac:dyDescent="0.2">
      <c r="A8080" t="s">
        <v>1744</v>
      </c>
      <c r="B8080" t="s">
        <v>1770</v>
      </c>
      <c r="C8080" t="str">
        <f>"47705080000000"</f>
        <v>47705080000000</v>
      </c>
      <c r="D8080" t="s">
        <v>1629</v>
      </c>
      <c r="E8080" t="str">
        <f>"47705086067136"</f>
        <v>47705086067136</v>
      </c>
      <c r="F8080" s="8" t="s">
        <v>30</v>
      </c>
      <c r="G8080" s="8" t="s">
        <v>30</v>
      </c>
      <c r="H8080" s="8" t="s">
        <v>30</v>
      </c>
      <c r="I8080" s="8" t="s">
        <v>30</v>
      </c>
    </row>
    <row r="8081" spans="1:9" x14ac:dyDescent="0.2">
      <c r="A8081" t="s">
        <v>1744</v>
      </c>
      <c r="B8081" t="s">
        <v>1770</v>
      </c>
      <c r="C8081" t="str">
        <f>"47705080000000"</f>
        <v>47705080000000</v>
      </c>
      <c r="D8081" t="s">
        <v>8915</v>
      </c>
      <c r="E8081" t="str">
        <f>"47705086050975"</f>
        <v>47705086050975</v>
      </c>
      <c r="F8081" s="8" t="s">
        <v>30</v>
      </c>
      <c r="G8081" s="8" t="s">
        <v>30</v>
      </c>
      <c r="H8081" s="8" t="s">
        <v>30</v>
      </c>
      <c r="I8081" s="8" t="s">
        <v>30</v>
      </c>
    </row>
    <row r="8082" spans="1:9" x14ac:dyDescent="0.2">
      <c r="A8082" t="s">
        <v>1744</v>
      </c>
      <c r="B8082" t="s">
        <v>1770</v>
      </c>
      <c r="C8082" t="str">
        <f>"47705080000000"</f>
        <v>47705080000000</v>
      </c>
      <c r="D8082" t="s">
        <v>8916</v>
      </c>
      <c r="E8082" t="str">
        <f>"47705086119259"</f>
        <v>47705086119259</v>
      </c>
      <c r="F8082" s="8" t="s">
        <v>30</v>
      </c>
      <c r="G8082" s="8" t="s">
        <v>30</v>
      </c>
      <c r="H8082" s="8" t="s">
        <v>30</v>
      </c>
      <c r="I8082" s="8" t="s">
        <v>30</v>
      </c>
    </row>
    <row r="8083" spans="1:9" x14ac:dyDescent="0.2">
      <c r="A8083" t="s">
        <v>1744</v>
      </c>
      <c r="B8083" t="s">
        <v>1771</v>
      </c>
      <c r="C8083" t="str">
        <f>"47705160000000"</f>
        <v>47705160000000</v>
      </c>
      <c r="D8083" t="s">
        <v>8917</v>
      </c>
      <c r="E8083" t="str">
        <f>"47705164730156"</f>
        <v>47705164730156</v>
      </c>
      <c r="F8083" s="8">
        <v>0</v>
      </c>
      <c r="G8083" s="8">
        <v>40131</v>
      </c>
      <c r="H8083" s="8">
        <v>756</v>
      </c>
      <c r="I8083" s="8">
        <v>4814</v>
      </c>
    </row>
    <row r="8084" spans="1:9" x14ac:dyDescent="0.2">
      <c r="A8084" t="s">
        <v>1744</v>
      </c>
      <c r="B8084" t="s">
        <v>1771</v>
      </c>
      <c r="C8084" t="str">
        <f>"47705160000000"</f>
        <v>47705160000000</v>
      </c>
      <c r="D8084" t="s">
        <v>8918</v>
      </c>
      <c r="E8084" t="str">
        <f>"47705164739207"</f>
        <v>47705164739207</v>
      </c>
      <c r="F8084" s="8">
        <v>572</v>
      </c>
      <c r="G8084" s="8">
        <v>6798</v>
      </c>
      <c r="H8084" s="8">
        <v>756</v>
      </c>
      <c r="I8084" s="8">
        <v>4814</v>
      </c>
    </row>
    <row r="8085" spans="1:9" x14ac:dyDescent="0.2">
      <c r="A8085" t="s">
        <v>1744</v>
      </c>
      <c r="B8085" t="s">
        <v>1771</v>
      </c>
      <c r="C8085" t="str">
        <f>"47705160000000"</f>
        <v>47705160000000</v>
      </c>
      <c r="D8085" t="s">
        <v>6804</v>
      </c>
      <c r="E8085" t="str">
        <f>"47705164730024"</f>
        <v>47705164730024</v>
      </c>
      <c r="F8085" s="8">
        <v>0</v>
      </c>
      <c r="G8085" s="8">
        <v>6584</v>
      </c>
      <c r="H8085" s="8">
        <v>756</v>
      </c>
      <c r="I8085" s="8">
        <v>4814</v>
      </c>
    </row>
    <row r="8086" spans="1:9" x14ac:dyDescent="0.2">
      <c r="A8086" t="s">
        <v>1772</v>
      </c>
      <c r="B8086" t="s">
        <v>1773</v>
      </c>
      <c r="C8086" t="str">
        <f t="shared" ref="C8086:C8093" si="404">"48705240000000"</f>
        <v>48705240000000</v>
      </c>
      <c r="D8086" t="s">
        <v>2248</v>
      </c>
      <c r="E8086" t="str">
        <f>"48705240118968"</f>
        <v>48705240118968</v>
      </c>
      <c r="F8086" s="8">
        <v>0</v>
      </c>
      <c r="G8086" s="8">
        <v>19283</v>
      </c>
      <c r="H8086" s="8">
        <v>573</v>
      </c>
      <c r="I8086" s="8">
        <v>3667</v>
      </c>
    </row>
    <row r="8087" spans="1:9" x14ac:dyDescent="0.2">
      <c r="A8087" t="s">
        <v>1772</v>
      </c>
      <c r="B8087" t="s">
        <v>1773</v>
      </c>
      <c r="C8087" t="str">
        <f t="shared" si="404"/>
        <v>48705240000000</v>
      </c>
      <c r="D8087" t="s">
        <v>2546</v>
      </c>
      <c r="E8087" t="str">
        <f>"48705244830048"</f>
        <v>48705244830048</v>
      </c>
      <c r="F8087" s="8">
        <v>0</v>
      </c>
      <c r="G8087" s="8">
        <v>12559</v>
      </c>
      <c r="H8087" s="8">
        <v>573</v>
      </c>
      <c r="I8087" s="8">
        <v>3667</v>
      </c>
    </row>
    <row r="8088" spans="1:9" x14ac:dyDescent="0.2">
      <c r="A8088" t="s">
        <v>1772</v>
      </c>
      <c r="B8088" t="s">
        <v>1773</v>
      </c>
      <c r="C8088" t="str">
        <f t="shared" si="404"/>
        <v>48705240000000</v>
      </c>
      <c r="D8088" t="s">
        <v>8919</v>
      </c>
      <c r="E8088" t="str">
        <f>"48705244831004"</f>
        <v>48705244831004</v>
      </c>
      <c r="F8088" s="8">
        <v>44</v>
      </c>
      <c r="G8088" s="8">
        <v>6490</v>
      </c>
      <c r="H8088" s="8">
        <v>573</v>
      </c>
      <c r="I8088" s="8">
        <v>3667</v>
      </c>
    </row>
    <row r="8089" spans="1:9" x14ac:dyDescent="0.2">
      <c r="A8089" t="s">
        <v>1772</v>
      </c>
      <c r="B8089" t="s">
        <v>1773</v>
      </c>
      <c r="C8089" t="str">
        <f t="shared" si="404"/>
        <v>48705240000000</v>
      </c>
      <c r="D8089" t="s">
        <v>8920</v>
      </c>
      <c r="E8089" t="str">
        <f>"48705246051015"</f>
        <v>48705246051015</v>
      </c>
      <c r="F8089" s="8">
        <v>292</v>
      </c>
      <c r="G8089" s="8">
        <v>6132</v>
      </c>
      <c r="H8089" s="8">
        <v>573</v>
      </c>
      <c r="I8089" s="8">
        <v>3667</v>
      </c>
    </row>
    <row r="8090" spans="1:9" x14ac:dyDescent="0.2">
      <c r="A8090" t="s">
        <v>1772</v>
      </c>
      <c r="B8090" t="s">
        <v>1773</v>
      </c>
      <c r="C8090" t="str">
        <f t="shared" si="404"/>
        <v>48705240000000</v>
      </c>
      <c r="D8090" t="s">
        <v>8921</v>
      </c>
      <c r="E8090" t="str">
        <f>"48705246050983"</f>
        <v>48705246050983</v>
      </c>
      <c r="F8090" s="8">
        <v>8</v>
      </c>
      <c r="G8090" s="8">
        <v>5951</v>
      </c>
      <c r="H8090" s="8">
        <v>573</v>
      </c>
      <c r="I8090" s="8">
        <v>3667</v>
      </c>
    </row>
    <row r="8091" spans="1:9" x14ac:dyDescent="0.2">
      <c r="A8091" t="s">
        <v>1772</v>
      </c>
      <c r="B8091" t="s">
        <v>1773</v>
      </c>
      <c r="C8091" t="str">
        <f t="shared" si="404"/>
        <v>48705240000000</v>
      </c>
      <c r="D8091" t="s">
        <v>8922</v>
      </c>
      <c r="E8091" t="str">
        <f>"48705246050991"</f>
        <v>48705246050991</v>
      </c>
      <c r="F8091" s="8">
        <v>157</v>
      </c>
      <c r="G8091" s="8">
        <v>5681</v>
      </c>
      <c r="H8091" s="8">
        <v>573</v>
      </c>
      <c r="I8091" s="8">
        <v>3667</v>
      </c>
    </row>
    <row r="8092" spans="1:9" x14ac:dyDescent="0.2">
      <c r="A8092" t="s">
        <v>1772</v>
      </c>
      <c r="B8092" t="s">
        <v>1773</v>
      </c>
      <c r="C8092" t="str">
        <f t="shared" si="404"/>
        <v>48705240000000</v>
      </c>
      <c r="D8092" t="s">
        <v>8923</v>
      </c>
      <c r="E8092" t="str">
        <f>"48705246106462"</f>
        <v>48705246106462</v>
      </c>
      <c r="F8092" s="8">
        <v>2</v>
      </c>
      <c r="G8092" s="8">
        <v>5822</v>
      </c>
      <c r="H8092" s="8">
        <v>573</v>
      </c>
      <c r="I8092" s="8">
        <v>3667</v>
      </c>
    </row>
    <row r="8093" spans="1:9" x14ac:dyDescent="0.2">
      <c r="A8093" t="s">
        <v>1772</v>
      </c>
      <c r="B8093" t="s">
        <v>1773</v>
      </c>
      <c r="C8093" t="str">
        <f t="shared" si="404"/>
        <v>48705240000000</v>
      </c>
      <c r="D8093" t="s">
        <v>8924</v>
      </c>
      <c r="E8093" t="str">
        <f>"48705246111165"</f>
        <v>48705246111165</v>
      </c>
      <c r="F8093" s="8">
        <v>11</v>
      </c>
      <c r="G8093" s="8">
        <v>5268</v>
      </c>
      <c r="H8093" s="8">
        <v>573</v>
      </c>
      <c r="I8093" s="8">
        <v>3667</v>
      </c>
    </row>
    <row r="8094" spans="1:9" x14ac:dyDescent="0.2">
      <c r="A8094" t="s">
        <v>1772</v>
      </c>
      <c r="B8094" t="s">
        <v>1776</v>
      </c>
      <c r="C8094" t="str">
        <f t="shared" ref="C8094:C8100" si="405">"48705320000000"</f>
        <v>48705320000000</v>
      </c>
      <c r="D8094" t="s">
        <v>8925</v>
      </c>
      <c r="E8094" t="str">
        <f>"48705324830055"</f>
        <v>48705324830055</v>
      </c>
      <c r="F8094" s="8">
        <v>808</v>
      </c>
      <c r="G8094" s="8">
        <v>6848</v>
      </c>
      <c r="H8094" s="8">
        <v>1578</v>
      </c>
      <c r="I8094" s="8">
        <v>10264</v>
      </c>
    </row>
    <row r="8095" spans="1:9" x14ac:dyDescent="0.2">
      <c r="A8095" t="s">
        <v>1772</v>
      </c>
      <c r="B8095" t="s">
        <v>1776</v>
      </c>
      <c r="C8095" t="str">
        <f t="shared" si="405"/>
        <v>48705320000000</v>
      </c>
      <c r="D8095" t="s">
        <v>8926</v>
      </c>
      <c r="E8095" t="str">
        <f>"48705326051049"</f>
        <v>48705326051049</v>
      </c>
      <c r="F8095" s="8">
        <v>446</v>
      </c>
      <c r="G8095" s="8">
        <v>3937</v>
      </c>
      <c r="H8095" s="8">
        <v>1216</v>
      </c>
      <c r="I8095" s="8">
        <v>7352</v>
      </c>
    </row>
    <row r="8096" spans="1:9" x14ac:dyDescent="0.2">
      <c r="A8096" t="s">
        <v>1772</v>
      </c>
      <c r="B8096" t="s">
        <v>1776</v>
      </c>
      <c r="C8096" t="str">
        <f t="shared" si="405"/>
        <v>48705320000000</v>
      </c>
      <c r="D8096" t="s">
        <v>8927</v>
      </c>
      <c r="E8096" t="str">
        <f>"48705326120240"</f>
        <v>48705326120240</v>
      </c>
      <c r="F8096" s="8">
        <v>335</v>
      </c>
      <c r="G8096" s="8">
        <v>3986</v>
      </c>
      <c r="H8096" s="8">
        <v>1105</v>
      </c>
      <c r="I8096" s="8">
        <v>7402</v>
      </c>
    </row>
    <row r="8097" spans="1:9" x14ac:dyDescent="0.2">
      <c r="A8097" t="s">
        <v>1772</v>
      </c>
      <c r="B8097" t="s">
        <v>1776</v>
      </c>
      <c r="C8097" t="str">
        <f t="shared" si="405"/>
        <v>48705320000000</v>
      </c>
      <c r="D8097" t="s">
        <v>8928</v>
      </c>
      <c r="E8097" t="str">
        <f>"48705326110282"</f>
        <v>48705326110282</v>
      </c>
      <c r="F8097" s="8">
        <v>151</v>
      </c>
      <c r="G8097" s="8">
        <v>3838</v>
      </c>
      <c r="H8097" s="8">
        <v>921</v>
      </c>
      <c r="I8097" s="8">
        <v>7253</v>
      </c>
    </row>
    <row r="8098" spans="1:9" x14ac:dyDescent="0.2">
      <c r="A8098" t="s">
        <v>1772</v>
      </c>
      <c r="B8098" t="s">
        <v>1776</v>
      </c>
      <c r="C8098" t="str">
        <f t="shared" si="405"/>
        <v>48705320000000</v>
      </c>
      <c r="D8098" t="s">
        <v>8929</v>
      </c>
      <c r="E8098" t="str">
        <f>"48705320102012"</f>
        <v>48705320102012</v>
      </c>
      <c r="F8098" s="8">
        <v>107</v>
      </c>
      <c r="G8098" s="8">
        <v>3589</v>
      </c>
      <c r="H8098" s="8">
        <v>877</v>
      </c>
      <c r="I8098" s="8">
        <v>7004</v>
      </c>
    </row>
    <row r="8099" spans="1:9" x14ac:dyDescent="0.2">
      <c r="A8099" t="s">
        <v>1772</v>
      </c>
      <c r="B8099" t="s">
        <v>1776</v>
      </c>
      <c r="C8099" t="str">
        <f t="shared" si="405"/>
        <v>48705320000000</v>
      </c>
      <c r="D8099" t="s">
        <v>8930</v>
      </c>
      <c r="E8099" t="str">
        <f>"48705324832259"</f>
        <v>48705324832259</v>
      </c>
      <c r="F8099" s="8">
        <v>154</v>
      </c>
      <c r="G8099" s="8">
        <v>3503</v>
      </c>
      <c r="H8099" s="8">
        <v>925</v>
      </c>
      <c r="I8099" s="8">
        <v>6919</v>
      </c>
    </row>
    <row r="8100" spans="1:9" x14ac:dyDescent="0.2">
      <c r="A8100" t="s">
        <v>1772</v>
      </c>
      <c r="B8100" t="s">
        <v>1776</v>
      </c>
      <c r="C8100" t="str">
        <f t="shared" si="405"/>
        <v>48705320000000</v>
      </c>
      <c r="D8100" t="s">
        <v>8931</v>
      </c>
      <c r="E8100" t="str">
        <f>"48705326051023"</f>
        <v>48705326051023</v>
      </c>
      <c r="F8100" s="8">
        <v>318</v>
      </c>
      <c r="G8100" s="8">
        <v>2998</v>
      </c>
      <c r="H8100" s="8">
        <v>1088</v>
      </c>
      <c r="I8100" s="8">
        <v>6413</v>
      </c>
    </row>
    <row r="8101" spans="1:9" x14ac:dyDescent="0.2">
      <c r="A8101" t="s">
        <v>1772</v>
      </c>
      <c r="B8101" t="s">
        <v>1778</v>
      </c>
      <c r="C8101" t="str">
        <f t="shared" ref="C8101:C8129" si="406">"48705400000000"</f>
        <v>48705400000000</v>
      </c>
      <c r="D8101" t="s">
        <v>8932</v>
      </c>
      <c r="E8101" t="str">
        <f>"48705400122093"</f>
        <v>48705400122093</v>
      </c>
      <c r="F8101" s="8">
        <v>10185</v>
      </c>
      <c r="G8101" s="8">
        <v>147902</v>
      </c>
      <c r="H8101" s="8">
        <v>1049</v>
      </c>
      <c r="I8101" s="8">
        <v>4250</v>
      </c>
    </row>
    <row r="8102" spans="1:9" x14ac:dyDescent="0.2">
      <c r="A8102" t="s">
        <v>1772</v>
      </c>
      <c r="B8102" t="s">
        <v>1778</v>
      </c>
      <c r="C8102" t="str">
        <f t="shared" si="406"/>
        <v>48705400000000</v>
      </c>
      <c r="D8102" t="s">
        <v>8933</v>
      </c>
      <c r="E8102" t="str">
        <f>"48705400123356"</f>
        <v>48705400123356</v>
      </c>
      <c r="F8102" s="8">
        <v>512</v>
      </c>
      <c r="G8102" s="8">
        <v>8797</v>
      </c>
      <c r="H8102" s="8">
        <v>1049</v>
      </c>
      <c r="I8102" s="8">
        <v>4250</v>
      </c>
    </row>
    <row r="8103" spans="1:9" x14ac:dyDescent="0.2">
      <c r="A8103" t="s">
        <v>1772</v>
      </c>
      <c r="B8103" t="s">
        <v>1778</v>
      </c>
      <c r="C8103" t="str">
        <f t="shared" si="406"/>
        <v>48705400000000</v>
      </c>
      <c r="D8103" t="s">
        <v>8934</v>
      </c>
      <c r="E8103" t="str">
        <f>"48705404836003"</f>
        <v>48705404836003</v>
      </c>
      <c r="F8103" s="8">
        <v>401</v>
      </c>
      <c r="G8103" s="8">
        <v>8442</v>
      </c>
      <c r="H8103" s="8">
        <v>1049</v>
      </c>
      <c r="I8103" s="8">
        <v>4250</v>
      </c>
    </row>
    <row r="8104" spans="1:9" x14ac:dyDescent="0.2">
      <c r="A8104" t="s">
        <v>1772</v>
      </c>
      <c r="B8104" t="s">
        <v>1778</v>
      </c>
      <c r="C8104" t="str">
        <f t="shared" si="406"/>
        <v>48705400000000</v>
      </c>
      <c r="D8104" t="s">
        <v>8935</v>
      </c>
      <c r="E8104" t="str">
        <f>"48705406051114"</f>
        <v>48705406051114</v>
      </c>
      <c r="F8104" s="8">
        <v>424</v>
      </c>
      <c r="G8104" s="8">
        <v>6695</v>
      </c>
      <c r="H8104" s="8">
        <v>1049</v>
      </c>
      <c r="I8104" s="8">
        <v>4250</v>
      </c>
    </row>
    <row r="8105" spans="1:9" x14ac:dyDescent="0.2">
      <c r="A8105" t="s">
        <v>1772</v>
      </c>
      <c r="B8105" t="s">
        <v>1778</v>
      </c>
      <c r="C8105" t="str">
        <f t="shared" si="406"/>
        <v>48705400000000</v>
      </c>
      <c r="D8105" t="s">
        <v>8936</v>
      </c>
      <c r="E8105" t="str">
        <f>"48705406051098"</f>
        <v>48705406051098</v>
      </c>
      <c r="F8105" s="8">
        <v>326</v>
      </c>
      <c r="G8105" s="8">
        <v>6461</v>
      </c>
      <c r="H8105" s="8">
        <v>1049</v>
      </c>
      <c r="I8105" s="8">
        <v>4250</v>
      </c>
    </row>
    <row r="8106" spans="1:9" x14ac:dyDescent="0.2">
      <c r="A8106" t="s">
        <v>1772</v>
      </c>
      <c r="B8106" t="s">
        <v>1778</v>
      </c>
      <c r="C8106" t="str">
        <f t="shared" si="406"/>
        <v>48705400000000</v>
      </c>
      <c r="D8106" t="s">
        <v>8937</v>
      </c>
      <c r="E8106" t="str">
        <f>"48705406111405"</f>
        <v>48705406111405</v>
      </c>
      <c r="F8106" s="8">
        <v>2</v>
      </c>
      <c r="G8106" s="8">
        <v>6777</v>
      </c>
      <c r="H8106" s="8">
        <v>1049</v>
      </c>
      <c r="I8106" s="8">
        <v>4250</v>
      </c>
    </row>
    <row r="8107" spans="1:9" x14ac:dyDescent="0.2">
      <c r="A8107" t="s">
        <v>1772</v>
      </c>
      <c r="B8107" t="s">
        <v>1778</v>
      </c>
      <c r="C8107" t="str">
        <f t="shared" si="406"/>
        <v>48705400000000</v>
      </c>
      <c r="D8107" t="s">
        <v>8938</v>
      </c>
      <c r="E8107" t="str">
        <f>"48705406093397"</f>
        <v>48705406093397</v>
      </c>
      <c r="F8107" s="8">
        <v>540</v>
      </c>
      <c r="G8107" s="8">
        <v>6215</v>
      </c>
      <c r="H8107" s="8">
        <v>1049</v>
      </c>
      <c r="I8107" s="8">
        <v>4250</v>
      </c>
    </row>
    <row r="8108" spans="1:9" x14ac:dyDescent="0.2">
      <c r="A8108" t="s">
        <v>1772</v>
      </c>
      <c r="B8108" t="s">
        <v>1778</v>
      </c>
      <c r="C8108" t="str">
        <f t="shared" si="406"/>
        <v>48705400000000</v>
      </c>
      <c r="D8108" t="s">
        <v>5835</v>
      </c>
      <c r="E8108" t="str">
        <f>"48705400113084"</f>
        <v>48705400113084</v>
      </c>
      <c r="F8108" s="8">
        <v>2</v>
      </c>
      <c r="G8108" s="8">
        <v>6653</v>
      </c>
      <c r="H8108" s="8">
        <v>1049</v>
      </c>
      <c r="I8108" s="8">
        <v>4250</v>
      </c>
    </row>
    <row r="8109" spans="1:9" x14ac:dyDescent="0.2">
      <c r="A8109" t="s">
        <v>1772</v>
      </c>
      <c r="B8109" t="s">
        <v>1778</v>
      </c>
      <c r="C8109" t="str">
        <f t="shared" si="406"/>
        <v>48705400000000</v>
      </c>
      <c r="D8109" t="s">
        <v>8939</v>
      </c>
      <c r="E8109" t="str">
        <f>"48705404830451"</f>
        <v>48705404830451</v>
      </c>
      <c r="F8109" s="8">
        <v>22</v>
      </c>
      <c r="G8109" s="8">
        <v>6588</v>
      </c>
      <c r="H8109" s="8">
        <v>1049</v>
      </c>
      <c r="I8109" s="8">
        <v>4250</v>
      </c>
    </row>
    <row r="8110" spans="1:9" x14ac:dyDescent="0.2">
      <c r="A8110" t="s">
        <v>1772</v>
      </c>
      <c r="B8110" t="s">
        <v>1778</v>
      </c>
      <c r="C8110" t="str">
        <f t="shared" si="406"/>
        <v>48705400000000</v>
      </c>
      <c r="D8110" t="s">
        <v>8940</v>
      </c>
      <c r="E8110" t="str">
        <f>"48705406051064"</f>
        <v>48705406051064</v>
      </c>
      <c r="F8110" s="8">
        <v>378</v>
      </c>
      <c r="G8110" s="8">
        <v>6087</v>
      </c>
      <c r="H8110" s="8">
        <v>1049</v>
      </c>
      <c r="I8110" s="8">
        <v>4250</v>
      </c>
    </row>
    <row r="8111" spans="1:9" x14ac:dyDescent="0.2">
      <c r="A8111" t="s">
        <v>1772</v>
      </c>
      <c r="B8111" t="s">
        <v>1778</v>
      </c>
      <c r="C8111" t="str">
        <f t="shared" si="406"/>
        <v>48705400000000</v>
      </c>
      <c r="D8111" t="s">
        <v>6047</v>
      </c>
      <c r="E8111" t="str">
        <f>"48705406051106"</f>
        <v>48705406051106</v>
      </c>
      <c r="F8111" s="8">
        <v>41</v>
      </c>
      <c r="G8111" s="8">
        <v>6312</v>
      </c>
      <c r="H8111" s="8">
        <v>1049</v>
      </c>
      <c r="I8111" s="8">
        <v>4250</v>
      </c>
    </row>
    <row r="8112" spans="1:9" x14ac:dyDescent="0.2">
      <c r="A8112" t="s">
        <v>1772</v>
      </c>
      <c r="B8112" t="s">
        <v>1778</v>
      </c>
      <c r="C8112" t="str">
        <f t="shared" si="406"/>
        <v>48705400000000</v>
      </c>
      <c r="D8112" t="s">
        <v>8941</v>
      </c>
      <c r="E8112" t="str">
        <f>"48705400113092"</f>
        <v>48705400113092</v>
      </c>
      <c r="F8112" s="8">
        <v>57</v>
      </c>
      <c r="G8112" s="8">
        <v>6224</v>
      </c>
      <c r="H8112" s="8">
        <v>1049</v>
      </c>
      <c r="I8112" s="8">
        <v>4250</v>
      </c>
    </row>
    <row r="8113" spans="1:9" x14ac:dyDescent="0.2">
      <c r="A8113" t="s">
        <v>1772</v>
      </c>
      <c r="B8113" t="s">
        <v>1778</v>
      </c>
      <c r="C8113" t="str">
        <f t="shared" si="406"/>
        <v>48705400000000</v>
      </c>
      <c r="D8113" t="s">
        <v>8942</v>
      </c>
      <c r="E8113" t="str">
        <f>"48705406051221"</f>
        <v>48705406051221</v>
      </c>
      <c r="F8113" s="8">
        <v>44</v>
      </c>
      <c r="G8113" s="8">
        <v>6224</v>
      </c>
      <c r="H8113" s="8">
        <v>1049</v>
      </c>
      <c r="I8113" s="8">
        <v>4250</v>
      </c>
    </row>
    <row r="8114" spans="1:9" x14ac:dyDescent="0.2">
      <c r="A8114" t="s">
        <v>1772</v>
      </c>
      <c r="B8114" t="s">
        <v>1778</v>
      </c>
      <c r="C8114" t="str">
        <f t="shared" si="406"/>
        <v>48705400000000</v>
      </c>
      <c r="D8114" t="s">
        <v>8943</v>
      </c>
      <c r="E8114" t="str">
        <f>"48705406106405"</f>
        <v>48705406106405</v>
      </c>
      <c r="F8114" s="8">
        <v>54</v>
      </c>
      <c r="G8114" s="8">
        <v>6189</v>
      </c>
      <c r="H8114" s="8">
        <v>1049</v>
      </c>
      <c r="I8114" s="8">
        <v>4250</v>
      </c>
    </row>
    <row r="8115" spans="1:9" x14ac:dyDescent="0.2">
      <c r="A8115" t="s">
        <v>1772</v>
      </c>
      <c r="B8115" t="s">
        <v>1778</v>
      </c>
      <c r="C8115" t="str">
        <f t="shared" si="406"/>
        <v>48705400000000</v>
      </c>
      <c r="D8115" t="s">
        <v>8944</v>
      </c>
      <c r="E8115" t="str">
        <f>"48705404833000"</f>
        <v>48705404833000</v>
      </c>
      <c r="F8115" s="8">
        <v>69</v>
      </c>
      <c r="G8115" s="8">
        <v>6166</v>
      </c>
      <c r="H8115" s="8">
        <v>1049</v>
      </c>
      <c r="I8115" s="8">
        <v>4250</v>
      </c>
    </row>
    <row r="8116" spans="1:9" x14ac:dyDescent="0.2">
      <c r="A8116" t="s">
        <v>1772</v>
      </c>
      <c r="B8116" t="s">
        <v>1778</v>
      </c>
      <c r="C8116" t="str">
        <f t="shared" si="406"/>
        <v>48705400000000</v>
      </c>
      <c r="D8116" t="s">
        <v>2185</v>
      </c>
      <c r="E8116" t="str">
        <f>"48705406051163"</f>
        <v>48705406051163</v>
      </c>
      <c r="F8116" s="8">
        <v>276</v>
      </c>
      <c r="G8116" s="8">
        <v>5926</v>
      </c>
      <c r="H8116" s="8">
        <v>1049</v>
      </c>
      <c r="I8116" s="8">
        <v>4250</v>
      </c>
    </row>
    <row r="8117" spans="1:9" x14ac:dyDescent="0.2">
      <c r="A8117" t="s">
        <v>1772</v>
      </c>
      <c r="B8117" t="s">
        <v>1778</v>
      </c>
      <c r="C8117" t="str">
        <f t="shared" si="406"/>
        <v>48705400000000</v>
      </c>
      <c r="D8117" t="s">
        <v>8945</v>
      </c>
      <c r="E8117" t="str">
        <f>"48705406109136"</f>
        <v>48705406109136</v>
      </c>
      <c r="F8117" s="8">
        <v>186</v>
      </c>
      <c r="G8117" s="8">
        <v>5983</v>
      </c>
      <c r="H8117" s="8">
        <v>1049</v>
      </c>
      <c r="I8117" s="8">
        <v>4250</v>
      </c>
    </row>
    <row r="8118" spans="1:9" x14ac:dyDescent="0.2">
      <c r="A8118" t="s">
        <v>1772</v>
      </c>
      <c r="B8118" t="s">
        <v>1778</v>
      </c>
      <c r="C8118" t="str">
        <f t="shared" si="406"/>
        <v>48705400000000</v>
      </c>
      <c r="D8118" t="s">
        <v>8946</v>
      </c>
      <c r="E8118" t="str">
        <f>"48705406051189"</f>
        <v>48705406051189</v>
      </c>
      <c r="F8118" s="8">
        <v>57</v>
      </c>
      <c r="G8118" s="8">
        <v>6002</v>
      </c>
      <c r="H8118" s="8">
        <v>1049</v>
      </c>
      <c r="I8118" s="8">
        <v>4250</v>
      </c>
    </row>
    <row r="8119" spans="1:9" x14ac:dyDescent="0.2">
      <c r="A8119" t="s">
        <v>1772</v>
      </c>
      <c r="B8119" t="s">
        <v>1778</v>
      </c>
      <c r="C8119" t="str">
        <f t="shared" si="406"/>
        <v>48705400000000</v>
      </c>
      <c r="D8119" t="s">
        <v>1257</v>
      </c>
      <c r="E8119" t="str">
        <f>"48705400125310"</f>
        <v>48705400125310</v>
      </c>
      <c r="F8119" s="8">
        <v>72</v>
      </c>
      <c r="G8119" s="8">
        <v>5961</v>
      </c>
      <c r="H8119" s="8">
        <v>1049</v>
      </c>
      <c r="I8119" s="8">
        <v>4250</v>
      </c>
    </row>
    <row r="8120" spans="1:9" x14ac:dyDescent="0.2">
      <c r="A8120" t="s">
        <v>1772</v>
      </c>
      <c r="B8120" t="s">
        <v>1778</v>
      </c>
      <c r="C8120" t="str">
        <f t="shared" si="406"/>
        <v>48705400000000</v>
      </c>
      <c r="D8120" t="s">
        <v>8947</v>
      </c>
      <c r="E8120" t="str">
        <f>"48705400112664"</f>
        <v>48705400112664</v>
      </c>
      <c r="F8120" s="8">
        <v>407</v>
      </c>
      <c r="G8120" s="8">
        <v>5566</v>
      </c>
      <c r="H8120" s="8">
        <v>1049</v>
      </c>
      <c r="I8120" s="8">
        <v>4250</v>
      </c>
    </row>
    <row r="8121" spans="1:9" x14ac:dyDescent="0.2">
      <c r="A8121" t="s">
        <v>1772</v>
      </c>
      <c r="B8121" t="s">
        <v>1778</v>
      </c>
      <c r="C8121" t="str">
        <f t="shared" si="406"/>
        <v>48705400000000</v>
      </c>
      <c r="D8121" t="s">
        <v>8948</v>
      </c>
      <c r="E8121" t="str">
        <f>"48705406051197"</f>
        <v>48705406051197</v>
      </c>
      <c r="F8121" s="8">
        <v>34</v>
      </c>
      <c r="G8121" s="8">
        <v>5890</v>
      </c>
      <c r="H8121" s="8">
        <v>1049</v>
      </c>
      <c r="I8121" s="8">
        <v>4250</v>
      </c>
    </row>
    <row r="8122" spans="1:9" x14ac:dyDescent="0.2">
      <c r="A8122" t="s">
        <v>1772</v>
      </c>
      <c r="B8122" t="s">
        <v>1778</v>
      </c>
      <c r="C8122" t="str">
        <f t="shared" si="406"/>
        <v>48705400000000</v>
      </c>
      <c r="D8122" t="s">
        <v>8949</v>
      </c>
      <c r="E8122" t="str">
        <f>"48705406100754"</f>
        <v>48705406100754</v>
      </c>
      <c r="F8122" s="8">
        <v>327</v>
      </c>
      <c r="G8122" s="8">
        <v>5563</v>
      </c>
      <c r="H8122" s="8">
        <v>1049</v>
      </c>
      <c r="I8122" s="8">
        <v>4250</v>
      </c>
    </row>
    <row r="8123" spans="1:9" x14ac:dyDescent="0.2">
      <c r="A8123" t="s">
        <v>1772</v>
      </c>
      <c r="B8123" t="s">
        <v>1778</v>
      </c>
      <c r="C8123" t="str">
        <f t="shared" si="406"/>
        <v>48705400000000</v>
      </c>
      <c r="D8123" t="s">
        <v>8950</v>
      </c>
      <c r="E8123" t="str">
        <f>"48705406115752"</f>
        <v>48705406115752</v>
      </c>
      <c r="F8123" s="8">
        <v>34</v>
      </c>
      <c r="G8123" s="8">
        <v>5852</v>
      </c>
      <c r="H8123" s="8">
        <v>1049</v>
      </c>
      <c r="I8123" s="8">
        <v>4250</v>
      </c>
    </row>
    <row r="8124" spans="1:9" x14ac:dyDescent="0.2">
      <c r="A8124" t="s">
        <v>1772</v>
      </c>
      <c r="B8124" t="s">
        <v>1778</v>
      </c>
      <c r="C8124" t="str">
        <f t="shared" si="406"/>
        <v>48705400000000</v>
      </c>
      <c r="D8124" t="s">
        <v>8951</v>
      </c>
      <c r="E8124" t="str">
        <f>"48705406051148"</f>
        <v>48705406051148</v>
      </c>
      <c r="F8124" s="8">
        <v>301</v>
      </c>
      <c r="G8124" s="8">
        <v>5575</v>
      </c>
      <c r="H8124" s="8">
        <v>1049</v>
      </c>
      <c r="I8124" s="8">
        <v>4250</v>
      </c>
    </row>
    <row r="8125" spans="1:9" x14ac:dyDescent="0.2">
      <c r="A8125" t="s">
        <v>1772</v>
      </c>
      <c r="B8125" t="s">
        <v>1778</v>
      </c>
      <c r="C8125" t="str">
        <f t="shared" si="406"/>
        <v>48705400000000</v>
      </c>
      <c r="D8125" t="s">
        <v>8952</v>
      </c>
      <c r="E8125" t="str">
        <f>"48705400133595"</f>
        <v>48705400133595</v>
      </c>
      <c r="F8125" s="8">
        <v>279</v>
      </c>
      <c r="G8125" s="8">
        <v>5446</v>
      </c>
      <c r="H8125" s="8">
        <v>1049</v>
      </c>
      <c r="I8125" s="8">
        <v>4250</v>
      </c>
    </row>
    <row r="8126" spans="1:9" x14ac:dyDescent="0.2">
      <c r="A8126" t="s">
        <v>1772</v>
      </c>
      <c r="B8126" t="s">
        <v>1778</v>
      </c>
      <c r="C8126" t="str">
        <f t="shared" si="406"/>
        <v>48705400000000</v>
      </c>
      <c r="D8126" t="s">
        <v>8953</v>
      </c>
      <c r="E8126" t="str">
        <f>"48705406109128"</f>
        <v>48705406109128</v>
      </c>
      <c r="F8126" s="8">
        <v>94</v>
      </c>
      <c r="G8126" s="8">
        <v>5583</v>
      </c>
      <c r="H8126" s="8">
        <v>1049</v>
      </c>
      <c r="I8126" s="8">
        <v>4250</v>
      </c>
    </row>
    <row r="8127" spans="1:9" x14ac:dyDescent="0.2">
      <c r="A8127" t="s">
        <v>1772</v>
      </c>
      <c r="B8127" t="s">
        <v>1778</v>
      </c>
      <c r="C8127" t="str">
        <f t="shared" si="406"/>
        <v>48705400000000</v>
      </c>
      <c r="D8127" t="s">
        <v>8954</v>
      </c>
      <c r="E8127" t="str">
        <f>"48705406051239"</f>
        <v>48705406051239</v>
      </c>
      <c r="F8127" s="8">
        <v>277</v>
      </c>
      <c r="G8127" s="8">
        <v>5140</v>
      </c>
      <c r="H8127" s="8">
        <v>1049</v>
      </c>
      <c r="I8127" s="8">
        <v>4250</v>
      </c>
    </row>
    <row r="8128" spans="1:9" x14ac:dyDescent="0.2">
      <c r="A8128" t="s">
        <v>1772</v>
      </c>
      <c r="B8128" t="s">
        <v>1778</v>
      </c>
      <c r="C8128" t="str">
        <f t="shared" si="406"/>
        <v>48705400000000</v>
      </c>
      <c r="D8128" t="s">
        <v>8955</v>
      </c>
      <c r="E8128" t="str">
        <f>"48705404830170"</f>
        <v>48705404830170</v>
      </c>
      <c r="F8128" s="8">
        <v>31</v>
      </c>
      <c r="G8128" s="8">
        <v>5120</v>
      </c>
      <c r="H8128" s="8">
        <v>1049</v>
      </c>
      <c r="I8128" s="8">
        <v>4250</v>
      </c>
    </row>
    <row r="8129" spans="1:9" x14ac:dyDescent="0.2">
      <c r="A8129" t="s">
        <v>1772</v>
      </c>
      <c r="B8129" t="s">
        <v>1778</v>
      </c>
      <c r="C8129" t="str">
        <f t="shared" si="406"/>
        <v>48705400000000</v>
      </c>
      <c r="D8129" t="s">
        <v>8956</v>
      </c>
      <c r="E8129" t="str">
        <f>"48705400140210"</f>
        <v>48705400140210</v>
      </c>
      <c r="F8129" s="8">
        <v>2155</v>
      </c>
      <c r="G8129" s="8">
        <v>2692</v>
      </c>
      <c r="H8129" s="8">
        <v>1049</v>
      </c>
      <c r="I8129" s="8">
        <v>4250</v>
      </c>
    </row>
    <row r="8130" spans="1:9" x14ac:dyDescent="0.2">
      <c r="A8130" t="s">
        <v>1772</v>
      </c>
      <c r="B8130" t="s">
        <v>1784</v>
      </c>
      <c r="C8130" t="str">
        <f>"48104880000000"</f>
        <v>48104880000000</v>
      </c>
      <c r="D8130" t="s">
        <v>8957</v>
      </c>
      <c r="E8130" t="str">
        <f>"48104884830071"</f>
        <v>48104884830071</v>
      </c>
      <c r="F8130" s="8">
        <v>14322</v>
      </c>
      <c r="G8130" s="8">
        <v>68239</v>
      </c>
      <c r="H8130" s="8">
        <v>0</v>
      </c>
      <c r="I8130" s="8">
        <v>4327</v>
      </c>
    </row>
    <row r="8131" spans="1:9" x14ac:dyDescent="0.2">
      <c r="A8131" t="s">
        <v>1772</v>
      </c>
      <c r="B8131" t="s">
        <v>1784</v>
      </c>
      <c r="C8131" t="str">
        <f>"48104880000000"</f>
        <v>48104880000000</v>
      </c>
      <c r="D8131" t="s">
        <v>8958</v>
      </c>
      <c r="E8131" t="str">
        <f>"48104886069538"</f>
        <v>48104886069538</v>
      </c>
      <c r="F8131" s="8">
        <v>6049</v>
      </c>
      <c r="G8131" s="8">
        <v>72199</v>
      </c>
      <c r="H8131" s="8">
        <v>0</v>
      </c>
      <c r="I8131" s="8">
        <v>1443</v>
      </c>
    </row>
    <row r="8132" spans="1:9" x14ac:dyDescent="0.2">
      <c r="A8132" t="s">
        <v>1772</v>
      </c>
      <c r="B8132" t="s">
        <v>1784</v>
      </c>
      <c r="C8132" t="str">
        <f>"48104880000000"</f>
        <v>48104880000000</v>
      </c>
      <c r="D8132" t="s">
        <v>8959</v>
      </c>
      <c r="E8132" t="str">
        <f>"48104886089668"</f>
        <v>48104886089668</v>
      </c>
      <c r="F8132" s="8">
        <v>4511</v>
      </c>
      <c r="G8132" s="8">
        <v>24553</v>
      </c>
      <c r="H8132" s="8">
        <v>0</v>
      </c>
      <c r="I8132" s="8">
        <v>1496</v>
      </c>
    </row>
    <row r="8133" spans="1:9" x14ac:dyDescent="0.2">
      <c r="A8133" t="s">
        <v>1772</v>
      </c>
      <c r="B8133" t="s">
        <v>1785</v>
      </c>
      <c r="C8133" t="str">
        <f t="shared" ref="C8133:C8142" si="407">"48705650000000"</f>
        <v>48705650000000</v>
      </c>
      <c r="D8133" t="s">
        <v>8960</v>
      </c>
      <c r="E8133" t="str">
        <f>"48705654830154"</f>
        <v>48705654830154</v>
      </c>
      <c r="F8133" s="8">
        <v>0</v>
      </c>
      <c r="G8133" s="8">
        <v>52010</v>
      </c>
      <c r="H8133" s="8">
        <v>587</v>
      </c>
      <c r="I8133" s="8">
        <v>3426</v>
      </c>
    </row>
    <row r="8134" spans="1:9" x14ac:dyDescent="0.2">
      <c r="A8134" t="s">
        <v>1772</v>
      </c>
      <c r="B8134" t="s">
        <v>1785</v>
      </c>
      <c r="C8134" t="str">
        <f t="shared" si="407"/>
        <v>48705650000000</v>
      </c>
      <c r="D8134" t="s">
        <v>8961</v>
      </c>
      <c r="E8134" t="str">
        <f>"48705654830022"</f>
        <v>48705654830022</v>
      </c>
      <c r="F8134" s="8">
        <v>3</v>
      </c>
      <c r="G8134" s="8">
        <v>11831</v>
      </c>
      <c r="H8134" s="8">
        <v>585</v>
      </c>
      <c r="I8134" s="8">
        <v>3417</v>
      </c>
    </row>
    <row r="8135" spans="1:9" x14ac:dyDescent="0.2">
      <c r="A8135" t="s">
        <v>1772</v>
      </c>
      <c r="B8135" t="s">
        <v>1785</v>
      </c>
      <c r="C8135" t="str">
        <f t="shared" si="407"/>
        <v>48705650000000</v>
      </c>
      <c r="D8135" t="s">
        <v>8962</v>
      </c>
      <c r="E8135" t="str">
        <f>"48705656051270"</f>
        <v>48705656051270</v>
      </c>
      <c r="F8135" s="8">
        <v>185</v>
      </c>
      <c r="G8135" s="8">
        <v>7952</v>
      </c>
      <c r="H8135" s="8">
        <v>587</v>
      </c>
      <c r="I8135" s="8">
        <v>3426</v>
      </c>
    </row>
    <row r="8136" spans="1:9" x14ac:dyDescent="0.2">
      <c r="A8136" t="s">
        <v>1772</v>
      </c>
      <c r="B8136" t="s">
        <v>1785</v>
      </c>
      <c r="C8136" t="str">
        <f t="shared" si="407"/>
        <v>48705650000000</v>
      </c>
      <c r="D8136" t="s">
        <v>8963</v>
      </c>
      <c r="E8136" t="str">
        <f>"48705656111652"</f>
        <v>48705656111652</v>
      </c>
      <c r="F8136" s="8">
        <v>127</v>
      </c>
      <c r="G8136" s="8">
        <v>7775</v>
      </c>
      <c r="H8136" s="8">
        <v>587</v>
      </c>
      <c r="I8136" s="8">
        <v>3426</v>
      </c>
    </row>
    <row r="8137" spans="1:9" x14ac:dyDescent="0.2">
      <c r="A8137" t="s">
        <v>1772</v>
      </c>
      <c r="B8137" t="s">
        <v>1785</v>
      </c>
      <c r="C8137" t="str">
        <f t="shared" si="407"/>
        <v>48705650000000</v>
      </c>
      <c r="D8137" t="s">
        <v>8964</v>
      </c>
      <c r="E8137" t="str">
        <f>"48705656068290"</f>
        <v>48705656068290</v>
      </c>
      <c r="F8137" s="8">
        <v>71</v>
      </c>
      <c r="G8137" s="8">
        <v>7798</v>
      </c>
      <c r="H8137" s="8">
        <v>587</v>
      </c>
      <c r="I8137" s="8">
        <v>3426</v>
      </c>
    </row>
    <row r="8138" spans="1:9" x14ac:dyDescent="0.2">
      <c r="A8138" t="s">
        <v>1772</v>
      </c>
      <c r="B8138" t="s">
        <v>1785</v>
      </c>
      <c r="C8138" t="str">
        <f t="shared" si="407"/>
        <v>48705650000000</v>
      </c>
      <c r="D8138" t="s">
        <v>8965</v>
      </c>
      <c r="E8138" t="str">
        <f>"48705656051262"</f>
        <v>48705656051262</v>
      </c>
      <c r="F8138" s="8">
        <v>364</v>
      </c>
      <c r="G8138" s="8">
        <v>6864</v>
      </c>
      <c r="H8138" s="8">
        <v>587</v>
      </c>
      <c r="I8138" s="8">
        <v>3426</v>
      </c>
    </row>
    <row r="8139" spans="1:9" x14ac:dyDescent="0.2">
      <c r="A8139" t="s">
        <v>1772</v>
      </c>
      <c r="B8139" t="s">
        <v>1785</v>
      </c>
      <c r="C8139" t="str">
        <f t="shared" si="407"/>
        <v>48705650000000</v>
      </c>
      <c r="D8139" t="s">
        <v>2591</v>
      </c>
      <c r="E8139" t="str">
        <f>"48705656103154"</f>
        <v>48705656103154</v>
      </c>
      <c r="F8139" s="8">
        <v>0</v>
      </c>
      <c r="G8139" s="8">
        <v>7226</v>
      </c>
      <c r="H8139" s="8">
        <v>587</v>
      </c>
      <c r="I8139" s="8">
        <v>3426</v>
      </c>
    </row>
    <row r="8140" spans="1:9" x14ac:dyDescent="0.2">
      <c r="A8140" t="s">
        <v>1772</v>
      </c>
      <c r="B8140" t="s">
        <v>1785</v>
      </c>
      <c r="C8140" t="str">
        <f t="shared" si="407"/>
        <v>48705650000000</v>
      </c>
      <c r="D8140" t="s">
        <v>8966</v>
      </c>
      <c r="E8140" t="str">
        <f>"48705654838801"</f>
        <v>48705654838801</v>
      </c>
      <c r="F8140" s="8">
        <v>36</v>
      </c>
      <c r="G8140" s="8">
        <v>6825</v>
      </c>
      <c r="H8140" s="8">
        <v>587</v>
      </c>
      <c r="I8140" s="8">
        <v>3426</v>
      </c>
    </row>
    <row r="8141" spans="1:9" x14ac:dyDescent="0.2">
      <c r="A8141" t="s">
        <v>1772</v>
      </c>
      <c r="B8141" t="s">
        <v>1785</v>
      </c>
      <c r="C8141" t="str">
        <f t="shared" si="407"/>
        <v>48705650000000</v>
      </c>
      <c r="D8141" t="s">
        <v>8967</v>
      </c>
      <c r="E8141" t="str">
        <f>"48705656051254"</f>
        <v>48705656051254</v>
      </c>
      <c r="F8141" s="8">
        <v>0</v>
      </c>
      <c r="G8141" s="8">
        <v>6086</v>
      </c>
      <c r="H8141" s="8">
        <v>587</v>
      </c>
      <c r="I8141" s="8">
        <v>3426</v>
      </c>
    </row>
    <row r="8142" spans="1:9" x14ac:dyDescent="0.2">
      <c r="A8142" t="s">
        <v>1772</v>
      </c>
      <c r="B8142" t="s">
        <v>1785</v>
      </c>
      <c r="C8142" t="str">
        <f t="shared" si="407"/>
        <v>48705650000000</v>
      </c>
      <c r="D8142" t="s">
        <v>8968</v>
      </c>
      <c r="E8142" t="str">
        <f>"48705654830162"</f>
        <v>48705654830162</v>
      </c>
      <c r="F8142" s="8">
        <v>0</v>
      </c>
      <c r="G8142" s="8">
        <v>3613</v>
      </c>
      <c r="H8142" s="8">
        <v>587</v>
      </c>
      <c r="I8142" s="8">
        <v>3426</v>
      </c>
    </row>
    <row r="8143" spans="1:9" x14ac:dyDescent="0.2">
      <c r="A8143" t="s">
        <v>1772</v>
      </c>
      <c r="B8143" t="s">
        <v>1786</v>
      </c>
      <c r="C8143" t="str">
        <f t="shared" ref="C8143:C8158" si="408">"48705730000000"</f>
        <v>48705730000000</v>
      </c>
      <c r="D8143" t="s">
        <v>8969</v>
      </c>
      <c r="E8143" t="str">
        <f>"48705730135095"</f>
        <v>48705730135095</v>
      </c>
      <c r="F8143" s="8">
        <v>81</v>
      </c>
      <c r="G8143" s="8">
        <v>11332</v>
      </c>
      <c r="H8143" s="8">
        <v>1628</v>
      </c>
      <c r="I8143" s="8">
        <v>4031</v>
      </c>
    </row>
    <row r="8144" spans="1:9" x14ac:dyDescent="0.2">
      <c r="A8144" t="s">
        <v>1772</v>
      </c>
      <c r="B8144" t="s">
        <v>1786</v>
      </c>
      <c r="C8144" t="str">
        <f t="shared" si="408"/>
        <v>48705730000000</v>
      </c>
      <c r="D8144" t="s">
        <v>8970</v>
      </c>
      <c r="E8144" t="str">
        <f>"48705734830113"</f>
        <v>48705734830113</v>
      </c>
      <c r="F8144" s="8">
        <v>418</v>
      </c>
      <c r="G8144" s="8">
        <v>9177</v>
      </c>
      <c r="H8144" s="8">
        <v>1628</v>
      </c>
      <c r="I8144" s="8">
        <v>4031</v>
      </c>
    </row>
    <row r="8145" spans="1:9" x14ac:dyDescent="0.2">
      <c r="A8145" t="s">
        <v>1772</v>
      </c>
      <c r="B8145" t="s">
        <v>1786</v>
      </c>
      <c r="C8145" t="str">
        <f t="shared" si="408"/>
        <v>48705730000000</v>
      </c>
      <c r="D8145" t="s">
        <v>8971</v>
      </c>
      <c r="E8145" t="str">
        <f>"48705736051338"</f>
        <v>48705736051338</v>
      </c>
      <c r="F8145" s="8">
        <v>1397</v>
      </c>
      <c r="G8145" s="8">
        <v>8181</v>
      </c>
      <c r="H8145" s="8">
        <v>1628</v>
      </c>
      <c r="I8145" s="8">
        <v>4031</v>
      </c>
    </row>
    <row r="8146" spans="1:9" x14ac:dyDescent="0.2">
      <c r="A8146" t="s">
        <v>1772</v>
      </c>
      <c r="B8146" t="s">
        <v>1786</v>
      </c>
      <c r="C8146" t="str">
        <f t="shared" si="408"/>
        <v>48705730000000</v>
      </c>
      <c r="D8146" t="s">
        <v>7187</v>
      </c>
      <c r="E8146" t="str">
        <f>"48705736051346"</f>
        <v>48705736051346</v>
      </c>
      <c r="F8146" s="8">
        <v>873</v>
      </c>
      <c r="G8146" s="8">
        <v>7646</v>
      </c>
      <c r="H8146" s="8">
        <v>1628</v>
      </c>
      <c r="I8146" s="8">
        <v>4031</v>
      </c>
    </row>
    <row r="8147" spans="1:9" x14ac:dyDescent="0.2">
      <c r="A8147" t="s">
        <v>1772</v>
      </c>
      <c r="B8147" t="s">
        <v>1786</v>
      </c>
      <c r="C8147" t="str">
        <f t="shared" si="408"/>
        <v>48705730000000</v>
      </c>
      <c r="D8147" t="s">
        <v>8972</v>
      </c>
      <c r="E8147" t="str">
        <f>"48705736106363"</f>
        <v>48705736106363</v>
      </c>
      <c r="F8147" s="8">
        <v>617</v>
      </c>
      <c r="G8147" s="8">
        <v>7242</v>
      </c>
      <c r="H8147" s="8">
        <v>1628</v>
      </c>
      <c r="I8147" s="8">
        <v>4031</v>
      </c>
    </row>
    <row r="8148" spans="1:9" x14ac:dyDescent="0.2">
      <c r="A8148" t="s">
        <v>1772</v>
      </c>
      <c r="B8148" t="s">
        <v>1786</v>
      </c>
      <c r="C8148" t="str">
        <f t="shared" si="408"/>
        <v>48705730000000</v>
      </c>
      <c r="D8148" t="s">
        <v>1656</v>
      </c>
      <c r="E8148" t="str">
        <f>"48705736097950"</f>
        <v>48705736097950</v>
      </c>
      <c r="F8148" s="8">
        <v>196</v>
      </c>
      <c r="G8148" s="8">
        <v>7405</v>
      </c>
      <c r="H8148" s="8">
        <v>1628</v>
      </c>
      <c r="I8148" s="8">
        <v>4031</v>
      </c>
    </row>
    <row r="8149" spans="1:9" x14ac:dyDescent="0.2">
      <c r="A8149" t="s">
        <v>1772</v>
      </c>
      <c r="B8149" t="s">
        <v>1786</v>
      </c>
      <c r="C8149" t="str">
        <f t="shared" si="408"/>
        <v>48705730000000</v>
      </c>
      <c r="D8149" t="s">
        <v>8973</v>
      </c>
      <c r="E8149" t="str">
        <f>"48705734830089"</f>
        <v>48705734830089</v>
      </c>
      <c r="F8149" s="8">
        <v>134</v>
      </c>
      <c r="G8149" s="8">
        <v>6763</v>
      </c>
      <c r="H8149" s="8">
        <v>1628</v>
      </c>
      <c r="I8149" s="8">
        <v>4031</v>
      </c>
    </row>
    <row r="8150" spans="1:9" x14ac:dyDescent="0.2">
      <c r="A8150" t="s">
        <v>1772</v>
      </c>
      <c r="B8150" t="s">
        <v>1786</v>
      </c>
      <c r="C8150" t="str">
        <f t="shared" si="408"/>
        <v>48705730000000</v>
      </c>
      <c r="D8150" t="s">
        <v>8974</v>
      </c>
      <c r="E8150" t="str">
        <f>"48705736060180"</f>
        <v>48705736060180</v>
      </c>
      <c r="F8150" s="8">
        <v>260</v>
      </c>
      <c r="G8150" s="8">
        <v>6636</v>
      </c>
      <c r="H8150" s="8">
        <v>1628</v>
      </c>
      <c r="I8150" s="8">
        <v>4031</v>
      </c>
    </row>
    <row r="8151" spans="1:9" x14ac:dyDescent="0.2">
      <c r="A8151" t="s">
        <v>1772</v>
      </c>
      <c r="B8151" t="s">
        <v>1786</v>
      </c>
      <c r="C8151" t="str">
        <f t="shared" si="408"/>
        <v>48705730000000</v>
      </c>
      <c r="D8151" t="s">
        <v>8975</v>
      </c>
      <c r="E8151" t="str">
        <f>"48705736051320"</f>
        <v>48705736051320</v>
      </c>
      <c r="F8151" s="8">
        <v>461</v>
      </c>
      <c r="G8151" s="8">
        <v>6399</v>
      </c>
      <c r="H8151" s="8">
        <v>1628</v>
      </c>
      <c r="I8151" s="8">
        <v>4031</v>
      </c>
    </row>
    <row r="8152" spans="1:9" x14ac:dyDescent="0.2">
      <c r="A8152" t="s">
        <v>1772</v>
      </c>
      <c r="B8152" t="s">
        <v>1786</v>
      </c>
      <c r="C8152" t="str">
        <f t="shared" si="408"/>
        <v>48705730000000</v>
      </c>
      <c r="D8152" t="s">
        <v>8976</v>
      </c>
      <c r="E8152" t="str">
        <f>"48705730133553"</f>
        <v>48705730133553</v>
      </c>
      <c r="F8152" s="8">
        <v>404</v>
      </c>
      <c r="G8152" s="8">
        <v>6410</v>
      </c>
      <c r="H8152" s="8">
        <v>1628</v>
      </c>
      <c r="I8152" s="8">
        <v>4031</v>
      </c>
    </row>
    <row r="8153" spans="1:9" x14ac:dyDescent="0.2">
      <c r="A8153" t="s">
        <v>1772</v>
      </c>
      <c r="B8153" t="s">
        <v>1786</v>
      </c>
      <c r="C8153" t="str">
        <f t="shared" si="408"/>
        <v>48705730000000</v>
      </c>
      <c r="D8153" t="s">
        <v>8977</v>
      </c>
      <c r="E8153" t="str">
        <f>"48705734837803"</f>
        <v>48705734837803</v>
      </c>
      <c r="F8153" s="8">
        <v>188</v>
      </c>
      <c r="G8153" s="8">
        <v>6472</v>
      </c>
      <c r="H8153" s="8">
        <v>1628</v>
      </c>
      <c r="I8153" s="8">
        <v>4031</v>
      </c>
    </row>
    <row r="8154" spans="1:9" x14ac:dyDescent="0.2">
      <c r="A8154" t="s">
        <v>1772</v>
      </c>
      <c r="B8154" t="s">
        <v>1786</v>
      </c>
      <c r="C8154" t="str">
        <f t="shared" si="408"/>
        <v>48705730000000</v>
      </c>
      <c r="D8154" t="s">
        <v>8978</v>
      </c>
      <c r="E8154" t="str">
        <f>"48705736110241"</f>
        <v>48705736110241</v>
      </c>
      <c r="F8154" s="8">
        <v>189</v>
      </c>
      <c r="G8154" s="8">
        <v>6357</v>
      </c>
      <c r="H8154" s="8">
        <v>1628</v>
      </c>
      <c r="I8154" s="8">
        <v>4031</v>
      </c>
    </row>
    <row r="8155" spans="1:9" x14ac:dyDescent="0.2">
      <c r="A8155" t="s">
        <v>1772</v>
      </c>
      <c r="B8155" t="s">
        <v>1786</v>
      </c>
      <c r="C8155" t="str">
        <f t="shared" si="408"/>
        <v>48705730000000</v>
      </c>
      <c r="D8155" t="s">
        <v>8979</v>
      </c>
      <c r="E8155" t="str">
        <f>"48705736051296"</f>
        <v>48705736051296</v>
      </c>
      <c r="F8155" s="8">
        <v>591</v>
      </c>
      <c r="G8155" s="8">
        <v>5847</v>
      </c>
      <c r="H8155" s="8">
        <v>1628</v>
      </c>
      <c r="I8155" s="8">
        <v>4031</v>
      </c>
    </row>
    <row r="8156" spans="1:9" x14ac:dyDescent="0.2">
      <c r="A8156" t="s">
        <v>1772</v>
      </c>
      <c r="B8156" t="s">
        <v>1786</v>
      </c>
      <c r="C8156" t="str">
        <f t="shared" si="408"/>
        <v>48705730000000</v>
      </c>
      <c r="D8156" t="s">
        <v>2648</v>
      </c>
      <c r="E8156" t="str">
        <f>"48705736051288"</f>
        <v>48705736051288</v>
      </c>
      <c r="F8156" s="8">
        <v>140</v>
      </c>
      <c r="G8156" s="8">
        <v>6176</v>
      </c>
      <c r="H8156" s="8">
        <v>1628</v>
      </c>
      <c r="I8156" s="8">
        <v>4031</v>
      </c>
    </row>
    <row r="8157" spans="1:9" x14ac:dyDescent="0.2">
      <c r="A8157" t="s">
        <v>1772</v>
      </c>
      <c r="B8157" t="s">
        <v>1786</v>
      </c>
      <c r="C8157" t="str">
        <f t="shared" si="408"/>
        <v>48705730000000</v>
      </c>
      <c r="D8157" t="s">
        <v>5648</v>
      </c>
      <c r="E8157" t="str">
        <f>"48705736109672"</f>
        <v>48705736109672</v>
      </c>
      <c r="F8157" s="8">
        <v>141</v>
      </c>
      <c r="G8157" s="8">
        <v>6150</v>
      </c>
      <c r="H8157" s="8">
        <v>1628</v>
      </c>
      <c r="I8157" s="8">
        <v>4031</v>
      </c>
    </row>
    <row r="8158" spans="1:9" x14ac:dyDescent="0.2">
      <c r="A8158" t="s">
        <v>1772</v>
      </c>
      <c r="B8158" t="s">
        <v>1786</v>
      </c>
      <c r="C8158" t="str">
        <f t="shared" si="408"/>
        <v>48705730000000</v>
      </c>
      <c r="D8158" t="s">
        <v>8980</v>
      </c>
      <c r="E8158" t="str">
        <f>"48705736109094"</f>
        <v>48705736109094</v>
      </c>
      <c r="F8158" s="8">
        <v>168</v>
      </c>
      <c r="G8158" s="8">
        <v>5967</v>
      </c>
      <c r="H8158" s="8">
        <v>1628</v>
      </c>
      <c r="I8158" s="8">
        <v>4031</v>
      </c>
    </row>
    <row r="8159" spans="1:9" x14ac:dyDescent="0.2">
      <c r="A8159" t="s">
        <v>1772</v>
      </c>
      <c r="B8159" t="s">
        <v>1787</v>
      </c>
      <c r="C8159" t="str">
        <f t="shared" ref="C8159:C8178" si="409">"48705810000000"</f>
        <v>48705810000000</v>
      </c>
      <c r="D8159" t="s">
        <v>8981</v>
      </c>
      <c r="E8159" t="str">
        <f>"48705816069900"</f>
        <v>48705816069900</v>
      </c>
      <c r="F8159" s="8">
        <v>24126</v>
      </c>
      <c r="G8159" s="8">
        <v>7615</v>
      </c>
      <c r="H8159" s="8">
        <v>460</v>
      </c>
      <c r="I8159" s="8">
        <v>3021</v>
      </c>
    </row>
    <row r="8160" spans="1:9" x14ac:dyDescent="0.2">
      <c r="A8160" t="s">
        <v>1772</v>
      </c>
      <c r="B8160" t="s">
        <v>1787</v>
      </c>
      <c r="C8160" t="str">
        <f t="shared" si="409"/>
        <v>48705810000000</v>
      </c>
      <c r="D8160" t="s">
        <v>8982</v>
      </c>
      <c r="E8160" t="str">
        <f>"48705814838058"</f>
        <v>48705814838058</v>
      </c>
      <c r="F8160" s="8">
        <v>405</v>
      </c>
      <c r="G8160" s="8">
        <v>9538</v>
      </c>
      <c r="H8160" s="8">
        <v>460</v>
      </c>
      <c r="I8160" s="8">
        <v>3021</v>
      </c>
    </row>
    <row r="8161" spans="1:9" x14ac:dyDescent="0.2">
      <c r="A8161" t="s">
        <v>1772</v>
      </c>
      <c r="B8161" t="s">
        <v>1787</v>
      </c>
      <c r="C8161" t="str">
        <f t="shared" si="409"/>
        <v>48705810000000</v>
      </c>
      <c r="D8161" t="s">
        <v>8983</v>
      </c>
      <c r="E8161" t="str">
        <f>"48705816051445"</f>
        <v>48705816051445</v>
      </c>
      <c r="F8161" s="8">
        <v>1380</v>
      </c>
      <c r="G8161" s="8">
        <v>5267</v>
      </c>
      <c r="H8161" s="8">
        <v>460</v>
      </c>
      <c r="I8161" s="8">
        <v>3021</v>
      </c>
    </row>
    <row r="8162" spans="1:9" x14ac:dyDescent="0.2">
      <c r="A8162" t="s">
        <v>1772</v>
      </c>
      <c r="B8162" t="s">
        <v>1787</v>
      </c>
      <c r="C8162" t="str">
        <f t="shared" si="409"/>
        <v>48705810000000</v>
      </c>
      <c r="D8162" t="s">
        <v>8984</v>
      </c>
      <c r="E8162" t="str">
        <f>"48705816051437"</f>
        <v>48705816051437</v>
      </c>
      <c r="F8162" s="8">
        <v>743</v>
      </c>
      <c r="G8162" s="8">
        <v>5016</v>
      </c>
      <c r="H8162" s="8">
        <v>460</v>
      </c>
      <c r="I8162" s="8">
        <v>3021</v>
      </c>
    </row>
    <row r="8163" spans="1:9" x14ac:dyDescent="0.2">
      <c r="A8163" t="s">
        <v>1772</v>
      </c>
      <c r="B8163" t="s">
        <v>1787</v>
      </c>
      <c r="C8163" t="str">
        <f t="shared" si="409"/>
        <v>48705810000000</v>
      </c>
      <c r="D8163" t="s">
        <v>8985</v>
      </c>
      <c r="E8163" t="str">
        <f>"48705816051544"</f>
        <v>48705816051544</v>
      </c>
      <c r="F8163" s="8">
        <v>568</v>
      </c>
      <c r="G8163" s="8">
        <v>4906</v>
      </c>
      <c r="H8163" s="8">
        <v>460</v>
      </c>
      <c r="I8163" s="8">
        <v>3021</v>
      </c>
    </row>
    <row r="8164" spans="1:9" x14ac:dyDescent="0.2">
      <c r="A8164" t="s">
        <v>1772</v>
      </c>
      <c r="B8164" t="s">
        <v>1787</v>
      </c>
      <c r="C8164" t="str">
        <f t="shared" si="409"/>
        <v>48705810000000</v>
      </c>
      <c r="D8164" t="s">
        <v>8986</v>
      </c>
      <c r="E8164" t="str">
        <f>"48705816071302"</f>
        <v>48705816071302</v>
      </c>
      <c r="F8164" s="8">
        <v>814</v>
      </c>
      <c r="G8164" s="8">
        <v>4485</v>
      </c>
      <c r="H8164" s="8">
        <v>460</v>
      </c>
      <c r="I8164" s="8">
        <v>3021</v>
      </c>
    </row>
    <row r="8165" spans="1:9" x14ac:dyDescent="0.2">
      <c r="A8165" t="s">
        <v>1772</v>
      </c>
      <c r="B8165" t="s">
        <v>1787</v>
      </c>
      <c r="C8165" t="str">
        <f t="shared" si="409"/>
        <v>48705810000000</v>
      </c>
      <c r="D8165" t="s">
        <v>8987</v>
      </c>
      <c r="E8165" t="str">
        <f>"48705810115469"</f>
        <v>48705810115469</v>
      </c>
      <c r="F8165" s="8">
        <v>646</v>
      </c>
      <c r="G8165" s="8">
        <v>4385</v>
      </c>
      <c r="H8165" s="8">
        <v>460</v>
      </c>
      <c r="I8165" s="8">
        <v>3021</v>
      </c>
    </row>
    <row r="8166" spans="1:9" x14ac:dyDescent="0.2">
      <c r="A8166" t="s">
        <v>1772</v>
      </c>
      <c r="B8166" t="s">
        <v>1787</v>
      </c>
      <c r="C8166" t="str">
        <f t="shared" si="409"/>
        <v>48705810000000</v>
      </c>
      <c r="D8166" t="s">
        <v>8988</v>
      </c>
      <c r="E8166" t="str">
        <f>"48705816110134"</f>
        <v>48705816110134</v>
      </c>
      <c r="F8166" s="8">
        <v>268</v>
      </c>
      <c r="G8166" s="8">
        <v>4719</v>
      </c>
      <c r="H8166" s="8">
        <v>460</v>
      </c>
      <c r="I8166" s="8">
        <v>3021</v>
      </c>
    </row>
    <row r="8167" spans="1:9" x14ac:dyDescent="0.2">
      <c r="A8167" t="s">
        <v>1772</v>
      </c>
      <c r="B8167" t="s">
        <v>1787</v>
      </c>
      <c r="C8167" t="str">
        <f t="shared" si="409"/>
        <v>48705810000000</v>
      </c>
      <c r="D8167" t="s">
        <v>8989</v>
      </c>
      <c r="E8167" t="str">
        <f>"48705814830147"</f>
        <v>48705814830147</v>
      </c>
      <c r="F8167" s="8">
        <v>2000</v>
      </c>
      <c r="G8167" s="8">
        <v>2967</v>
      </c>
      <c r="H8167" s="8">
        <v>460</v>
      </c>
      <c r="I8167" s="8">
        <v>3021</v>
      </c>
    </row>
    <row r="8168" spans="1:9" x14ac:dyDescent="0.2">
      <c r="A8168" t="s">
        <v>1772</v>
      </c>
      <c r="B8168" t="s">
        <v>1787</v>
      </c>
      <c r="C8168" t="str">
        <f t="shared" si="409"/>
        <v>48705810000000</v>
      </c>
      <c r="D8168" t="s">
        <v>8990</v>
      </c>
      <c r="E8168" t="str">
        <f>"48705816051395"</f>
        <v>48705816051395</v>
      </c>
      <c r="F8168" s="8">
        <v>1170</v>
      </c>
      <c r="G8168" s="8">
        <v>2643</v>
      </c>
      <c r="H8168" s="8">
        <v>460</v>
      </c>
      <c r="I8168" s="8">
        <v>3021</v>
      </c>
    </row>
    <row r="8169" spans="1:9" x14ac:dyDescent="0.2">
      <c r="A8169" t="s">
        <v>1772</v>
      </c>
      <c r="B8169" t="s">
        <v>1787</v>
      </c>
      <c r="C8169" t="str">
        <f t="shared" si="409"/>
        <v>48705810000000</v>
      </c>
      <c r="D8169" t="s">
        <v>8991</v>
      </c>
      <c r="E8169" t="str">
        <f>"48705816051411"</f>
        <v>48705816051411</v>
      </c>
      <c r="F8169" s="8">
        <v>1054</v>
      </c>
      <c r="G8169" s="8">
        <v>2196</v>
      </c>
      <c r="H8169" s="8">
        <v>460</v>
      </c>
      <c r="I8169" s="8">
        <v>3021</v>
      </c>
    </row>
    <row r="8170" spans="1:9" x14ac:dyDescent="0.2">
      <c r="A8170" t="s">
        <v>1772</v>
      </c>
      <c r="B8170" t="s">
        <v>1787</v>
      </c>
      <c r="C8170" t="str">
        <f t="shared" si="409"/>
        <v>48705810000000</v>
      </c>
      <c r="D8170" t="s">
        <v>8992</v>
      </c>
      <c r="E8170" t="str">
        <f>"48705816051502"</f>
        <v>48705816051502</v>
      </c>
      <c r="F8170" s="8">
        <v>621</v>
      </c>
      <c r="G8170" s="8">
        <v>2594</v>
      </c>
      <c r="H8170" s="8">
        <v>460</v>
      </c>
      <c r="I8170" s="8">
        <v>3021</v>
      </c>
    </row>
    <row r="8171" spans="1:9" x14ac:dyDescent="0.2">
      <c r="A8171" t="s">
        <v>1772</v>
      </c>
      <c r="B8171" t="s">
        <v>1787</v>
      </c>
      <c r="C8171" t="str">
        <f t="shared" si="409"/>
        <v>48705810000000</v>
      </c>
      <c r="D8171" t="s">
        <v>2243</v>
      </c>
      <c r="E8171" t="str">
        <f>"48705816051494"</f>
        <v>48705816051494</v>
      </c>
      <c r="F8171" s="8">
        <v>374</v>
      </c>
      <c r="G8171" s="8">
        <v>2826</v>
      </c>
      <c r="H8171" s="8">
        <v>460</v>
      </c>
      <c r="I8171" s="8">
        <v>3021</v>
      </c>
    </row>
    <row r="8172" spans="1:9" x14ac:dyDescent="0.2">
      <c r="A8172" t="s">
        <v>1772</v>
      </c>
      <c r="B8172" t="s">
        <v>1787</v>
      </c>
      <c r="C8172" t="str">
        <f t="shared" si="409"/>
        <v>48705810000000</v>
      </c>
      <c r="D8172" t="s">
        <v>8993</v>
      </c>
      <c r="E8172" t="str">
        <f>"48705816107684"</f>
        <v>48705816107684</v>
      </c>
      <c r="F8172" s="8">
        <v>873</v>
      </c>
      <c r="G8172" s="8">
        <v>2080</v>
      </c>
      <c r="H8172" s="8">
        <v>460</v>
      </c>
      <c r="I8172" s="8">
        <v>3021</v>
      </c>
    </row>
    <row r="8173" spans="1:9" x14ac:dyDescent="0.2">
      <c r="A8173" t="s">
        <v>1772</v>
      </c>
      <c r="B8173" t="s">
        <v>1787</v>
      </c>
      <c r="C8173" t="str">
        <f t="shared" si="409"/>
        <v>48705810000000</v>
      </c>
      <c r="D8173" t="s">
        <v>8994</v>
      </c>
      <c r="E8173" t="str">
        <f>"48705814838504"</f>
        <v>48705814838504</v>
      </c>
      <c r="F8173" s="8">
        <v>485</v>
      </c>
      <c r="G8173" s="8">
        <v>2443</v>
      </c>
      <c r="H8173" s="8">
        <v>460</v>
      </c>
      <c r="I8173" s="8">
        <v>3021</v>
      </c>
    </row>
    <row r="8174" spans="1:9" x14ac:dyDescent="0.2">
      <c r="A8174" t="s">
        <v>1772</v>
      </c>
      <c r="B8174" t="s">
        <v>1787</v>
      </c>
      <c r="C8174" t="str">
        <f t="shared" si="409"/>
        <v>48705810000000</v>
      </c>
      <c r="D8174" t="s">
        <v>8995</v>
      </c>
      <c r="E8174" t="str">
        <f>"48705816051429"</f>
        <v>48705816051429</v>
      </c>
      <c r="F8174" s="8">
        <v>886</v>
      </c>
      <c r="G8174" s="8">
        <v>2030</v>
      </c>
      <c r="H8174" s="8">
        <v>460</v>
      </c>
      <c r="I8174" s="8">
        <v>3021</v>
      </c>
    </row>
    <row r="8175" spans="1:9" x14ac:dyDescent="0.2">
      <c r="A8175" t="s">
        <v>1772</v>
      </c>
      <c r="B8175" t="s">
        <v>1787</v>
      </c>
      <c r="C8175" t="str">
        <f t="shared" si="409"/>
        <v>48705810000000</v>
      </c>
      <c r="D8175" t="s">
        <v>8996</v>
      </c>
      <c r="E8175" t="str">
        <f>"48705816099667"</f>
        <v>48705816099667</v>
      </c>
      <c r="F8175" s="8">
        <v>506</v>
      </c>
      <c r="G8175" s="8">
        <v>2356</v>
      </c>
      <c r="H8175" s="8">
        <v>460</v>
      </c>
      <c r="I8175" s="8">
        <v>3021</v>
      </c>
    </row>
    <row r="8176" spans="1:9" x14ac:dyDescent="0.2">
      <c r="A8176" t="s">
        <v>1772</v>
      </c>
      <c r="B8176" t="s">
        <v>1787</v>
      </c>
      <c r="C8176" t="str">
        <f t="shared" si="409"/>
        <v>48705810000000</v>
      </c>
      <c r="D8176" t="s">
        <v>8997</v>
      </c>
      <c r="E8176" t="str">
        <f>"48705816051379"</f>
        <v>48705816051379</v>
      </c>
      <c r="F8176" s="8">
        <v>471</v>
      </c>
      <c r="G8176" s="8">
        <v>2186</v>
      </c>
      <c r="H8176" s="8">
        <v>460</v>
      </c>
      <c r="I8176" s="8">
        <v>3021</v>
      </c>
    </row>
    <row r="8177" spans="1:9" x14ac:dyDescent="0.2">
      <c r="A8177" t="s">
        <v>1772</v>
      </c>
      <c r="B8177" t="s">
        <v>1787</v>
      </c>
      <c r="C8177" t="str">
        <f t="shared" si="409"/>
        <v>48705810000000</v>
      </c>
      <c r="D8177" t="s">
        <v>8998</v>
      </c>
      <c r="E8177" t="str">
        <f>"48705816060206"</f>
        <v>48705816060206</v>
      </c>
      <c r="F8177" s="8">
        <v>400</v>
      </c>
      <c r="G8177" s="8">
        <v>2244</v>
      </c>
      <c r="H8177" s="8">
        <v>460</v>
      </c>
      <c r="I8177" s="8">
        <v>3021</v>
      </c>
    </row>
    <row r="8178" spans="1:9" x14ac:dyDescent="0.2">
      <c r="A8178" t="s">
        <v>1772</v>
      </c>
      <c r="B8178" t="s">
        <v>1787</v>
      </c>
      <c r="C8178" t="str">
        <f t="shared" si="409"/>
        <v>48705810000000</v>
      </c>
      <c r="D8178" t="s">
        <v>2699</v>
      </c>
      <c r="E8178" t="str">
        <f>"48705816051478"</f>
        <v>48705816051478</v>
      </c>
      <c r="F8178" s="8">
        <v>450</v>
      </c>
      <c r="G8178" s="8">
        <v>2091</v>
      </c>
      <c r="H8178" s="8">
        <v>460</v>
      </c>
      <c r="I8178" s="8">
        <v>3021</v>
      </c>
    </row>
    <row r="8179" spans="1:9" x14ac:dyDescent="0.2">
      <c r="A8179" t="s">
        <v>1788</v>
      </c>
      <c r="B8179" t="s">
        <v>1789</v>
      </c>
      <c r="C8179" t="str">
        <f>"49705990000000"</f>
        <v>49705990000000</v>
      </c>
      <c r="D8179" t="s">
        <v>8999</v>
      </c>
      <c r="E8179" t="str">
        <f>"49705996051577"</f>
        <v>49705996051577</v>
      </c>
      <c r="F8179" s="8">
        <v>359</v>
      </c>
      <c r="G8179" s="8">
        <v>19812</v>
      </c>
      <c r="H8179" s="8">
        <v>0</v>
      </c>
      <c r="I8179" s="8">
        <v>1162</v>
      </c>
    </row>
    <row r="8180" spans="1:9" x14ac:dyDescent="0.2">
      <c r="A8180" t="s">
        <v>1788</v>
      </c>
      <c r="B8180" t="s">
        <v>1790</v>
      </c>
      <c r="C8180" t="str">
        <f>"49706150000000"</f>
        <v>49706150000000</v>
      </c>
      <c r="D8180" t="s">
        <v>5411</v>
      </c>
      <c r="E8180" t="str">
        <f>"49706156051585"</f>
        <v>49706156051585</v>
      </c>
      <c r="F8180" s="8">
        <v>1091</v>
      </c>
      <c r="G8180" s="8">
        <v>7089</v>
      </c>
      <c r="H8180" s="8">
        <v>839</v>
      </c>
      <c r="I8180" s="8">
        <v>5453</v>
      </c>
    </row>
    <row r="8181" spans="1:9" x14ac:dyDescent="0.2">
      <c r="A8181" t="s">
        <v>1788</v>
      </c>
      <c r="B8181" t="s">
        <v>1790</v>
      </c>
      <c r="C8181" t="str">
        <f>"49706150000000"</f>
        <v>49706150000000</v>
      </c>
      <c r="D8181" t="s">
        <v>9000</v>
      </c>
      <c r="E8181" t="str">
        <f>"49706156051593"</f>
        <v>49706156051593</v>
      </c>
      <c r="F8181" s="8">
        <v>1091</v>
      </c>
      <c r="G8181" s="8">
        <v>7089</v>
      </c>
      <c r="H8181" s="8">
        <v>839</v>
      </c>
      <c r="I8181" s="8">
        <v>5453</v>
      </c>
    </row>
    <row r="8182" spans="1:9" x14ac:dyDescent="0.2">
      <c r="A8182" t="s">
        <v>1788</v>
      </c>
      <c r="B8182" t="s">
        <v>1790</v>
      </c>
      <c r="C8182" t="str">
        <f>"49706150000000"</f>
        <v>49706150000000</v>
      </c>
      <c r="D8182" t="s">
        <v>9001</v>
      </c>
      <c r="E8182" t="str">
        <f>"49706156115695"</f>
        <v>49706156115695</v>
      </c>
      <c r="F8182" s="8">
        <v>1091</v>
      </c>
      <c r="G8182" s="8">
        <v>7089</v>
      </c>
      <c r="H8182" s="8">
        <v>839</v>
      </c>
      <c r="I8182" s="8">
        <v>5453</v>
      </c>
    </row>
    <row r="8183" spans="1:9" x14ac:dyDescent="0.2">
      <c r="A8183" t="s">
        <v>1788</v>
      </c>
      <c r="B8183" t="s">
        <v>1790</v>
      </c>
      <c r="C8183" t="str">
        <f>"49706150000000"</f>
        <v>49706150000000</v>
      </c>
      <c r="D8183" t="s">
        <v>9002</v>
      </c>
      <c r="E8183" t="str">
        <f>"49706150113506"</f>
        <v>49706150113506</v>
      </c>
      <c r="F8183" s="8">
        <v>1091</v>
      </c>
      <c r="G8183" s="8">
        <v>7089</v>
      </c>
      <c r="H8183" s="8">
        <v>839</v>
      </c>
      <c r="I8183" s="8">
        <v>5453</v>
      </c>
    </row>
    <row r="8184" spans="1:9" x14ac:dyDescent="0.2">
      <c r="A8184" t="s">
        <v>1788</v>
      </c>
      <c r="B8184" t="s">
        <v>1791</v>
      </c>
      <c r="C8184" t="str">
        <f>"49706230000000"</f>
        <v>49706230000000</v>
      </c>
      <c r="D8184" t="s">
        <v>9003</v>
      </c>
      <c r="E8184" t="str">
        <f>"49706236098248"</f>
        <v>49706236098248</v>
      </c>
      <c r="F8184" s="8">
        <v>694</v>
      </c>
      <c r="G8184" s="8">
        <v>9901</v>
      </c>
      <c r="H8184" s="8">
        <v>0</v>
      </c>
      <c r="I8184" s="8">
        <v>597</v>
      </c>
    </row>
    <row r="8185" spans="1:9" x14ac:dyDescent="0.2">
      <c r="A8185" t="s">
        <v>1788</v>
      </c>
      <c r="B8185" t="s">
        <v>1791</v>
      </c>
      <c r="C8185" t="str">
        <f>"49706230000000"</f>
        <v>49706230000000</v>
      </c>
      <c r="D8185" t="s">
        <v>9004</v>
      </c>
      <c r="E8185" t="str">
        <f>"49706236051619"</f>
        <v>49706236051619</v>
      </c>
      <c r="F8185" s="8">
        <v>689</v>
      </c>
      <c r="G8185" s="8">
        <v>9832</v>
      </c>
      <c r="H8185" s="8">
        <v>0</v>
      </c>
      <c r="I8185" s="8">
        <v>592</v>
      </c>
    </row>
    <row r="8186" spans="1:9" x14ac:dyDescent="0.2">
      <c r="A8186" t="s">
        <v>1788</v>
      </c>
      <c r="B8186" t="s">
        <v>1794</v>
      </c>
      <c r="C8186" t="str">
        <f>"49706490000000"</f>
        <v>49706490000000</v>
      </c>
      <c r="D8186" t="s">
        <v>1794</v>
      </c>
      <c r="E8186" t="str">
        <f>"49706490125724"</f>
        <v>49706490125724</v>
      </c>
      <c r="F8186" s="8">
        <v>0</v>
      </c>
      <c r="G8186" s="8">
        <v>9845</v>
      </c>
      <c r="H8186" s="8">
        <v>1190</v>
      </c>
      <c r="I8186" s="8">
        <v>5189</v>
      </c>
    </row>
    <row r="8187" spans="1:9" x14ac:dyDescent="0.2">
      <c r="A8187" t="s">
        <v>1788</v>
      </c>
      <c r="B8187" t="s">
        <v>1794</v>
      </c>
      <c r="C8187" t="str">
        <f>"49706490000000"</f>
        <v>49706490000000</v>
      </c>
      <c r="D8187" t="s">
        <v>9005</v>
      </c>
      <c r="E8187" t="str">
        <f>"49706496051635"</f>
        <v>49706496051635</v>
      </c>
      <c r="F8187" s="8">
        <v>0</v>
      </c>
      <c r="G8187" s="8">
        <v>6481</v>
      </c>
      <c r="H8187" s="8">
        <v>1190</v>
      </c>
      <c r="I8187" s="8">
        <v>5189</v>
      </c>
    </row>
    <row r="8188" spans="1:9" x14ac:dyDescent="0.2">
      <c r="A8188" t="s">
        <v>1788</v>
      </c>
      <c r="B8188" t="s">
        <v>1795</v>
      </c>
      <c r="C8188" t="str">
        <f t="shared" ref="C8188:C8193" si="410">"49706560000000"</f>
        <v>49706560000000</v>
      </c>
      <c r="D8188" t="s">
        <v>9006</v>
      </c>
      <c r="E8188" t="str">
        <f>"49706564930848"</f>
        <v>49706564930848</v>
      </c>
      <c r="F8188" s="8">
        <v>45</v>
      </c>
      <c r="G8188" s="8">
        <v>7135</v>
      </c>
      <c r="H8188" s="8">
        <v>1394</v>
      </c>
      <c r="I8188" s="8">
        <v>3855</v>
      </c>
    </row>
    <row r="8189" spans="1:9" x14ac:dyDescent="0.2">
      <c r="A8189" t="s">
        <v>1788</v>
      </c>
      <c r="B8189" t="s">
        <v>1795</v>
      </c>
      <c r="C8189" t="str">
        <f t="shared" si="410"/>
        <v>49706560000000</v>
      </c>
      <c r="D8189" t="s">
        <v>3921</v>
      </c>
      <c r="E8189" t="str">
        <f>"49706566051650"</f>
        <v>49706566051650</v>
      </c>
      <c r="F8189" s="8">
        <v>340</v>
      </c>
      <c r="G8189" s="8">
        <v>7783</v>
      </c>
      <c r="H8189" s="8">
        <v>1131</v>
      </c>
      <c r="I8189" s="8">
        <v>3126</v>
      </c>
    </row>
    <row r="8190" spans="1:9" x14ac:dyDescent="0.2">
      <c r="A8190" t="s">
        <v>1788</v>
      </c>
      <c r="B8190" t="s">
        <v>1795</v>
      </c>
      <c r="C8190" t="str">
        <f t="shared" si="410"/>
        <v>49706560000000</v>
      </c>
      <c r="D8190" t="s">
        <v>9007</v>
      </c>
      <c r="E8190" t="str">
        <f>"49706564930855"</f>
        <v>49706564930855</v>
      </c>
      <c r="F8190" s="8">
        <v>348</v>
      </c>
      <c r="G8190" s="8">
        <v>7615</v>
      </c>
      <c r="H8190" s="8">
        <v>1120</v>
      </c>
      <c r="I8190" s="8">
        <v>3095</v>
      </c>
    </row>
    <row r="8191" spans="1:9" x14ac:dyDescent="0.2">
      <c r="A8191" t="s">
        <v>1788</v>
      </c>
      <c r="B8191" t="s">
        <v>1795</v>
      </c>
      <c r="C8191" t="str">
        <f t="shared" si="410"/>
        <v>49706560000000</v>
      </c>
      <c r="D8191" t="s">
        <v>1194</v>
      </c>
      <c r="E8191" t="str">
        <f>"49706566051643"</f>
        <v>49706566051643</v>
      </c>
      <c r="F8191" s="8">
        <v>913</v>
      </c>
      <c r="G8191" s="8">
        <v>6691</v>
      </c>
      <c r="H8191" s="8">
        <v>1148</v>
      </c>
      <c r="I8191" s="8">
        <v>3173</v>
      </c>
    </row>
    <row r="8192" spans="1:9" x14ac:dyDescent="0.2">
      <c r="A8192" t="s">
        <v>1788</v>
      </c>
      <c r="B8192" t="s">
        <v>1795</v>
      </c>
      <c r="C8192" t="str">
        <f t="shared" si="410"/>
        <v>49706560000000</v>
      </c>
      <c r="D8192" t="s">
        <v>9008</v>
      </c>
      <c r="E8192" t="str">
        <f>"49706560128983"</f>
        <v>49706560128983</v>
      </c>
      <c r="F8192" s="8" t="s">
        <v>30</v>
      </c>
      <c r="G8192" s="8" t="s">
        <v>30</v>
      </c>
      <c r="H8192" s="8" t="s">
        <v>30</v>
      </c>
      <c r="I8192" s="8" t="s">
        <v>30</v>
      </c>
    </row>
    <row r="8193" spans="1:9" x14ac:dyDescent="0.2">
      <c r="A8193" t="s">
        <v>1788</v>
      </c>
      <c r="B8193" t="s">
        <v>1795</v>
      </c>
      <c r="C8193" t="str">
        <f t="shared" si="410"/>
        <v>49706560000000</v>
      </c>
      <c r="D8193" t="s">
        <v>9009</v>
      </c>
      <c r="E8193" t="str">
        <f>"49706560139022"</f>
        <v>49706560139022</v>
      </c>
      <c r="F8193" s="8" t="s">
        <v>30</v>
      </c>
      <c r="G8193" s="8" t="s">
        <v>30</v>
      </c>
      <c r="H8193" s="8" t="s">
        <v>30</v>
      </c>
      <c r="I8193" s="8" t="s">
        <v>30</v>
      </c>
    </row>
    <row r="8194" spans="1:9" x14ac:dyDescent="0.2">
      <c r="A8194" t="s">
        <v>1788</v>
      </c>
      <c r="B8194" t="s">
        <v>1796</v>
      </c>
      <c r="C8194" t="str">
        <f t="shared" ref="C8194:C8206" si="411">"49738820000000"</f>
        <v>49738820000000</v>
      </c>
      <c r="D8194" t="s">
        <v>9010</v>
      </c>
      <c r="E8194" t="str">
        <f>"49738826060669"</f>
        <v>49738826060669</v>
      </c>
      <c r="F8194" s="8">
        <v>504</v>
      </c>
      <c r="G8194" s="8">
        <v>8280</v>
      </c>
      <c r="H8194" s="8">
        <v>707</v>
      </c>
      <c r="I8194" s="8">
        <v>4811</v>
      </c>
    </row>
    <row r="8195" spans="1:9" x14ac:dyDescent="0.2">
      <c r="A8195" t="s">
        <v>1788</v>
      </c>
      <c r="B8195" t="s">
        <v>1796</v>
      </c>
      <c r="C8195" t="str">
        <f t="shared" si="411"/>
        <v>49738820000000</v>
      </c>
      <c r="D8195" t="s">
        <v>9011</v>
      </c>
      <c r="E8195" t="str">
        <f>"49738820135731"</f>
        <v>49738820135731</v>
      </c>
      <c r="F8195" s="8">
        <v>2529</v>
      </c>
      <c r="G8195" s="8">
        <v>5674</v>
      </c>
      <c r="H8195" s="8">
        <v>707</v>
      </c>
      <c r="I8195" s="8">
        <v>4811</v>
      </c>
    </row>
    <row r="8196" spans="1:9" x14ac:dyDescent="0.2">
      <c r="A8196" t="s">
        <v>1788</v>
      </c>
      <c r="B8196" t="s">
        <v>1796</v>
      </c>
      <c r="C8196" t="str">
        <f t="shared" si="411"/>
        <v>49738820000000</v>
      </c>
      <c r="D8196" t="s">
        <v>9012</v>
      </c>
      <c r="E8196" t="str">
        <f>"49738826051676"</f>
        <v>49738826051676</v>
      </c>
      <c r="F8196" s="8">
        <v>318</v>
      </c>
      <c r="G8196" s="8">
        <v>7852</v>
      </c>
      <c r="H8196" s="8">
        <v>707</v>
      </c>
      <c r="I8196" s="8">
        <v>4811</v>
      </c>
    </row>
    <row r="8197" spans="1:9" x14ac:dyDescent="0.2">
      <c r="A8197" t="s">
        <v>1788</v>
      </c>
      <c r="B8197" t="s">
        <v>1796</v>
      </c>
      <c r="C8197" t="str">
        <f t="shared" si="411"/>
        <v>49738820000000</v>
      </c>
      <c r="D8197" t="s">
        <v>9013</v>
      </c>
      <c r="E8197" t="str">
        <f>"49738820128348"</f>
        <v>49738820128348</v>
      </c>
      <c r="F8197" s="8">
        <v>130</v>
      </c>
      <c r="G8197" s="8">
        <v>7866</v>
      </c>
      <c r="H8197" s="8">
        <v>707</v>
      </c>
      <c r="I8197" s="8">
        <v>4811</v>
      </c>
    </row>
    <row r="8198" spans="1:9" x14ac:dyDescent="0.2">
      <c r="A8198" t="s">
        <v>1788</v>
      </c>
      <c r="B8198" t="s">
        <v>1796</v>
      </c>
      <c r="C8198" t="str">
        <f t="shared" si="411"/>
        <v>49738820000000</v>
      </c>
      <c r="D8198" t="s">
        <v>9014</v>
      </c>
      <c r="E8198" t="str">
        <f>"49738820128330"</f>
        <v>49738820128330</v>
      </c>
      <c r="F8198" s="8">
        <v>1118</v>
      </c>
      <c r="G8198" s="8">
        <v>6582</v>
      </c>
      <c r="H8198" s="8">
        <v>707</v>
      </c>
      <c r="I8198" s="8">
        <v>4811</v>
      </c>
    </row>
    <row r="8199" spans="1:9" x14ac:dyDescent="0.2">
      <c r="A8199" t="s">
        <v>1788</v>
      </c>
      <c r="B8199" t="s">
        <v>1796</v>
      </c>
      <c r="C8199" t="str">
        <f t="shared" si="411"/>
        <v>49738820000000</v>
      </c>
      <c r="D8199" t="s">
        <v>9015</v>
      </c>
      <c r="E8199" t="str">
        <f>"49738820135053"</f>
        <v>49738820135053</v>
      </c>
      <c r="F8199" s="8">
        <v>369</v>
      </c>
      <c r="G8199" s="8">
        <v>7094</v>
      </c>
      <c r="H8199" s="8">
        <v>707</v>
      </c>
      <c r="I8199" s="8">
        <v>4811</v>
      </c>
    </row>
    <row r="8200" spans="1:9" x14ac:dyDescent="0.2">
      <c r="A8200" t="s">
        <v>1788</v>
      </c>
      <c r="B8200" t="s">
        <v>1796</v>
      </c>
      <c r="C8200" t="str">
        <f t="shared" si="411"/>
        <v>49738820000000</v>
      </c>
      <c r="D8200" t="s">
        <v>9016</v>
      </c>
      <c r="E8200" t="str">
        <f>"49738824935482"</f>
        <v>49738824935482</v>
      </c>
      <c r="F8200" s="8">
        <v>73</v>
      </c>
      <c r="G8200" s="8">
        <v>7326</v>
      </c>
      <c r="H8200" s="8">
        <v>707</v>
      </c>
      <c r="I8200" s="8">
        <v>4811</v>
      </c>
    </row>
    <row r="8201" spans="1:9" x14ac:dyDescent="0.2">
      <c r="A8201" t="s">
        <v>1788</v>
      </c>
      <c r="B8201" t="s">
        <v>1796</v>
      </c>
      <c r="C8201" t="str">
        <f t="shared" si="411"/>
        <v>49738820000000</v>
      </c>
      <c r="D8201" t="s">
        <v>9017</v>
      </c>
      <c r="E8201" t="str">
        <f>"49738824930384"</f>
        <v>49738824930384</v>
      </c>
      <c r="F8201" s="8">
        <v>30</v>
      </c>
      <c r="G8201" s="8">
        <v>7172</v>
      </c>
      <c r="H8201" s="8">
        <v>707</v>
      </c>
      <c r="I8201" s="8">
        <v>4811</v>
      </c>
    </row>
    <row r="8202" spans="1:9" x14ac:dyDescent="0.2">
      <c r="A8202" t="s">
        <v>1788</v>
      </c>
      <c r="B8202" t="s">
        <v>1796</v>
      </c>
      <c r="C8202" t="str">
        <f t="shared" si="411"/>
        <v>49738820000000</v>
      </c>
      <c r="D8202" t="s">
        <v>9018</v>
      </c>
      <c r="E8202" t="str">
        <f>"49738826112981"</f>
        <v>49738826112981</v>
      </c>
      <c r="F8202" s="8">
        <v>16</v>
      </c>
      <c r="G8202" s="8">
        <v>7106</v>
      </c>
      <c r="H8202" s="8">
        <v>707</v>
      </c>
      <c r="I8202" s="8">
        <v>4811</v>
      </c>
    </row>
    <row r="8203" spans="1:9" x14ac:dyDescent="0.2">
      <c r="A8203" t="s">
        <v>1788</v>
      </c>
      <c r="B8203" t="s">
        <v>1796</v>
      </c>
      <c r="C8203" t="str">
        <f t="shared" si="411"/>
        <v>49738820000000</v>
      </c>
      <c r="D8203" t="s">
        <v>3877</v>
      </c>
      <c r="E8203" t="str">
        <f>"49738826109169"</f>
        <v>49738826109169</v>
      </c>
      <c r="F8203" s="8">
        <v>339</v>
      </c>
      <c r="G8203" s="8">
        <v>6629</v>
      </c>
      <c r="H8203" s="8">
        <v>707</v>
      </c>
      <c r="I8203" s="8">
        <v>4811</v>
      </c>
    </row>
    <row r="8204" spans="1:9" x14ac:dyDescent="0.2">
      <c r="A8204" t="s">
        <v>1788</v>
      </c>
      <c r="B8204" t="s">
        <v>1796</v>
      </c>
      <c r="C8204" t="str">
        <f t="shared" si="411"/>
        <v>49738820000000</v>
      </c>
      <c r="D8204" t="s">
        <v>1629</v>
      </c>
      <c r="E8204" t="str">
        <f>"49738826097059"</f>
        <v>49738826097059</v>
      </c>
      <c r="F8204" s="8">
        <v>280</v>
      </c>
      <c r="G8204" s="8">
        <v>6542</v>
      </c>
      <c r="H8204" s="8">
        <v>707</v>
      </c>
      <c r="I8204" s="8">
        <v>4811</v>
      </c>
    </row>
    <row r="8205" spans="1:9" x14ac:dyDescent="0.2">
      <c r="A8205" t="s">
        <v>1788</v>
      </c>
      <c r="B8205" t="s">
        <v>1796</v>
      </c>
      <c r="C8205" t="str">
        <f t="shared" si="411"/>
        <v>49738820000000</v>
      </c>
      <c r="D8205" t="s">
        <v>9019</v>
      </c>
      <c r="E8205" t="str">
        <f>"49738826099246"</f>
        <v>49738826099246</v>
      </c>
      <c r="F8205" s="8">
        <v>55</v>
      </c>
      <c r="G8205" s="8">
        <v>6266</v>
      </c>
      <c r="H8205" s="8">
        <v>707</v>
      </c>
      <c r="I8205" s="8">
        <v>4811</v>
      </c>
    </row>
    <row r="8206" spans="1:9" x14ac:dyDescent="0.2">
      <c r="A8206" t="s">
        <v>1788</v>
      </c>
      <c r="B8206" t="s">
        <v>1796</v>
      </c>
      <c r="C8206" t="str">
        <f t="shared" si="411"/>
        <v>49738820000000</v>
      </c>
      <c r="D8206" t="s">
        <v>7649</v>
      </c>
      <c r="E8206" t="str">
        <f>"49738824930046"</f>
        <v>49738824930046</v>
      </c>
      <c r="F8206" s="8">
        <v>0</v>
      </c>
      <c r="G8206" s="8">
        <v>4277</v>
      </c>
      <c r="H8206" s="8">
        <v>707</v>
      </c>
      <c r="I8206" s="8">
        <v>4811</v>
      </c>
    </row>
    <row r="8207" spans="1:9" x14ac:dyDescent="0.2">
      <c r="A8207" t="s">
        <v>1788</v>
      </c>
      <c r="B8207" t="s">
        <v>1798</v>
      </c>
      <c r="C8207" t="str">
        <f>"49706720000000"</f>
        <v>49706720000000</v>
      </c>
      <c r="D8207" t="s">
        <v>1798</v>
      </c>
      <c r="E8207" t="str">
        <f>"49706726051700"</f>
        <v>49706726051700</v>
      </c>
      <c r="F8207" s="8">
        <v>7007</v>
      </c>
      <c r="G8207" s="8">
        <v>20344</v>
      </c>
      <c r="H8207" s="8">
        <v>246</v>
      </c>
      <c r="I8207" s="8">
        <v>2795</v>
      </c>
    </row>
    <row r="8208" spans="1:9" x14ac:dyDescent="0.2">
      <c r="A8208" t="s">
        <v>1788</v>
      </c>
      <c r="B8208" t="s">
        <v>1798</v>
      </c>
      <c r="C8208" t="str">
        <f>"49706720000000"</f>
        <v>49706720000000</v>
      </c>
      <c r="D8208" t="s">
        <v>9020</v>
      </c>
      <c r="E8208" t="str">
        <f>"49706720122440"</f>
        <v>49706720122440</v>
      </c>
      <c r="F8208" s="8">
        <v>274</v>
      </c>
      <c r="G8208" s="8">
        <v>7498</v>
      </c>
      <c r="H8208" s="8">
        <v>246</v>
      </c>
      <c r="I8208" s="8">
        <v>2795</v>
      </c>
    </row>
    <row r="8209" spans="1:9" x14ac:dyDescent="0.2">
      <c r="A8209" t="s">
        <v>1788</v>
      </c>
      <c r="B8209" t="s">
        <v>1799</v>
      </c>
      <c r="C8209" t="str">
        <f>"49706800000000"</f>
        <v>49706800000000</v>
      </c>
      <c r="D8209" t="s">
        <v>9021</v>
      </c>
      <c r="E8209" t="str">
        <f>"49706806051718"</f>
        <v>49706806051718</v>
      </c>
      <c r="F8209" s="8">
        <v>1244</v>
      </c>
      <c r="G8209" s="8">
        <v>26179</v>
      </c>
      <c r="H8209" s="8">
        <v>6</v>
      </c>
      <c r="I8209" s="8">
        <v>4038</v>
      </c>
    </row>
    <row r="8210" spans="1:9" x14ac:dyDescent="0.2">
      <c r="A8210" t="s">
        <v>1788</v>
      </c>
      <c r="B8210" t="s">
        <v>1799</v>
      </c>
      <c r="C8210" t="str">
        <f>"49706800000000"</f>
        <v>49706800000000</v>
      </c>
      <c r="D8210" t="s">
        <v>9022</v>
      </c>
      <c r="E8210" t="str">
        <f>"49706800112987"</f>
        <v>49706800112987</v>
      </c>
      <c r="F8210" s="8">
        <v>760</v>
      </c>
      <c r="G8210" s="8">
        <v>11806</v>
      </c>
      <c r="H8210" s="8">
        <v>10</v>
      </c>
      <c r="I8210" s="8">
        <v>1415</v>
      </c>
    </row>
    <row r="8211" spans="1:9" x14ac:dyDescent="0.2">
      <c r="A8211" t="s">
        <v>1788</v>
      </c>
      <c r="B8211" t="s">
        <v>1800</v>
      </c>
      <c r="C8211" t="str">
        <f>"49706980000000"</f>
        <v>49706980000000</v>
      </c>
      <c r="D8211" t="s">
        <v>1800</v>
      </c>
      <c r="E8211" t="str">
        <f>"49706986051726"</f>
        <v>49706986051726</v>
      </c>
      <c r="F8211" s="8">
        <v>6213</v>
      </c>
      <c r="G8211" s="8">
        <v>24626</v>
      </c>
      <c r="H8211" s="8">
        <v>1044</v>
      </c>
      <c r="I8211" s="8">
        <v>29716</v>
      </c>
    </row>
    <row r="8212" spans="1:9" x14ac:dyDescent="0.2">
      <c r="A8212" t="s">
        <v>1788</v>
      </c>
      <c r="B8212" t="s">
        <v>1801</v>
      </c>
      <c r="C8212" t="str">
        <f>"49707060000000"</f>
        <v>49707060000000</v>
      </c>
      <c r="D8212" t="s">
        <v>9023</v>
      </c>
      <c r="E8212" t="str">
        <f>"49707066051734"</f>
        <v>49707066051734</v>
      </c>
      <c r="F8212" s="8">
        <v>310</v>
      </c>
      <c r="G8212" s="8">
        <v>12794</v>
      </c>
      <c r="H8212" s="8">
        <v>2733</v>
      </c>
      <c r="I8212" s="8">
        <v>7362</v>
      </c>
    </row>
    <row r="8213" spans="1:9" x14ac:dyDescent="0.2">
      <c r="A8213" t="s">
        <v>1788</v>
      </c>
      <c r="B8213" t="s">
        <v>1801</v>
      </c>
      <c r="C8213" t="str">
        <f>"49707060000000"</f>
        <v>49707060000000</v>
      </c>
      <c r="D8213" t="s">
        <v>9024</v>
      </c>
      <c r="E8213" t="str">
        <f>"49707060129981"</f>
        <v>49707060129981</v>
      </c>
      <c r="F8213" s="8">
        <v>0</v>
      </c>
      <c r="G8213" s="8">
        <v>11842</v>
      </c>
      <c r="H8213" s="8">
        <v>2007</v>
      </c>
      <c r="I8213" s="8">
        <v>8315</v>
      </c>
    </row>
    <row r="8214" spans="1:9" x14ac:dyDescent="0.2">
      <c r="A8214" t="s">
        <v>1788</v>
      </c>
      <c r="B8214" t="s">
        <v>1801</v>
      </c>
      <c r="C8214" t="str">
        <f>"49707060000000"</f>
        <v>49707060000000</v>
      </c>
      <c r="D8214" t="s">
        <v>4972</v>
      </c>
      <c r="E8214" t="str">
        <f>"49707064930053"</f>
        <v>49707064930053</v>
      </c>
      <c r="F8214" s="8">
        <v>0</v>
      </c>
      <c r="G8214" s="8">
        <v>5483</v>
      </c>
      <c r="H8214" s="8">
        <v>9508</v>
      </c>
      <c r="I8214" s="8">
        <v>5346</v>
      </c>
    </row>
    <row r="8215" spans="1:9" x14ac:dyDescent="0.2">
      <c r="A8215" t="s">
        <v>1788</v>
      </c>
      <c r="B8215" t="s">
        <v>1802</v>
      </c>
      <c r="C8215" t="str">
        <f>"49707140000000"</f>
        <v>49707140000000</v>
      </c>
      <c r="D8215" t="s">
        <v>9025</v>
      </c>
      <c r="E8215" t="str">
        <f>"49707146119655"</f>
        <v>49707146119655</v>
      </c>
      <c r="F8215" s="8">
        <v>0</v>
      </c>
      <c r="G8215" s="8">
        <v>63522</v>
      </c>
      <c r="H8215" s="8">
        <v>0</v>
      </c>
      <c r="I8215" s="8">
        <v>0</v>
      </c>
    </row>
    <row r="8216" spans="1:9" x14ac:dyDescent="0.2">
      <c r="A8216" t="s">
        <v>1788</v>
      </c>
      <c r="B8216" t="s">
        <v>1802</v>
      </c>
      <c r="C8216" t="str">
        <f>"49707140000000"</f>
        <v>49707140000000</v>
      </c>
      <c r="D8216" t="s">
        <v>9026</v>
      </c>
      <c r="E8216" t="str">
        <f>"49707146051742"</f>
        <v>49707146051742</v>
      </c>
      <c r="F8216" s="8">
        <v>567</v>
      </c>
      <c r="G8216" s="8">
        <v>9877</v>
      </c>
      <c r="H8216" s="8">
        <v>143</v>
      </c>
      <c r="I8216" s="8">
        <v>2627</v>
      </c>
    </row>
    <row r="8217" spans="1:9" x14ac:dyDescent="0.2">
      <c r="A8217" t="s">
        <v>1788</v>
      </c>
      <c r="B8217" t="s">
        <v>1802</v>
      </c>
      <c r="C8217" t="str">
        <f>"49707140000000"</f>
        <v>49707140000000</v>
      </c>
      <c r="D8217" t="s">
        <v>9027</v>
      </c>
      <c r="E8217" t="str">
        <f>"49707146051759"</f>
        <v>49707146051759</v>
      </c>
      <c r="F8217" s="8">
        <v>548</v>
      </c>
      <c r="G8217" s="8">
        <v>8415</v>
      </c>
      <c r="H8217" s="8">
        <v>142</v>
      </c>
      <c r="I8217" s="8">
        <v>2627</v>
      </c>
    </row>
    <row r="8218" spans="1:9" x14ac:dyDescent="0.2">
      <c r="A8218" t="s">
        <v>1788</v>
      </c>
      <c r="B8218" t="s">
        <v>1802</v>
      </c>
      <c r="C8218" t="str">
        <f>"49707140000000"</f>
        <v>49707140000000</v>
      </c>
      <c r="D8218" t="s">
        <v>9028</v>
      </c>
      <c r="E8218" t="str">
        <f>"49707140126888"</f>
        <v>49707140126888</v>
      </c>
      <c r="F8218" s="8">
        <v>543</v>
      </c>
      <c r="G8218" s="8">
        <v>8345</v>
      </c>
      <c r="H8218" s="8">
        <v>143</v>
      </c>
      <c r="I8218" s="8">
        <v>2627</v>
      </c>
    </row>
    <row r="8219" spans="1:9" x14ac:dyDescent="0.2">
      <c r="A8219" t="s">
        <v>1788</v>
      </c>
      <c r="B8219" t="s">
        <v>1803</v>
      </c>
      <c r="C8219" t="str">
        <f>"49707220000000"</f>
        <v>49707220000000</v>
      </c>
      <c r="D8219" t="s">
        <v>9029</v>
      </c>
      <c r="E8219" t="str">
        <f>"49707226051767"</f>
        <v>49707226051767</v>
      </c>
      <c r="F8219" s="8">
        <v>1065</v>
      </c>
      <c r="G8219" s="8">
        <v>6884</v>
      </c>
      <c r="H8219" s="8">
        <v>1695</v>
      </c>
      <c r="I8219" s="8">
        <v>11764</v>
      </c>
    </row>
    <row r="8220" spans="1:9" x14ac:dyDescent="0.2">
      <c r="A8220" t="s">
        <v>1788</v>
      </c>
      <c r="B8220" t="s">
        <v>1803</v>
      </c>
      <c r="C8220" t="str">
        <f>"49707220000000"</f>
        <v>49707220000000</v>
      </c>
      <c r="D8220" t="s">
        <v>9030</v>
      </c>
      <c r="E8220" t="str">
        <f>"49707220138248"</f>
        <v>49707220138248</v>
      </c>
      <c r="F8220" s="8">
        <v>561</v>
      </c>
      <c r="G8220" s="8">
        <v>8614</v>
      </c>
      <c r="H8220" s="8">
        <v>170</v>
      </c>
      <c r="I8220" s="8">
        <v>1176</v>
      </c>
    </row>
    <row r="8221" spans="1:9" x14ac:dyDescent="0.2">
      <c r="A8221" t="s">
        <v>1788</v>
      </c>
      <c r="B8221" t="s">
        <v>1804</v>
      </c>
      <c r="C8221" t="str">
        <f>"49707300000000"</f>
        <v>49707300000000</v>
      </c>
      <c r="D8221" t="s">
        <v>4442</v>
      </c>
      <c r="E8221" t="str">
        <f>"49707306051775"</f>
        <v>49707306051775</v>
      </c>
      <c r="F8221" s="8">
        <v>3590</v>
      </c>
      <c r="G8221" s="8">
        <v>91070</v>
      </c>
      <c r="H8221" s="8">
        <v>852</v>
      </c>
      <c r="I8221" s="8">
        <v>2582</v>
      </c>
    </row>
    <row r="8222" spans="1:9" x14ac:dyDescent="0.2">
      <c r="A8222" t="s">
        <v>1788</v>
      </c>
      <c r="B8222" t="s">
        <v>1804</v>
      </c>
      <c r="C8222" t="str">
        <f>"49707300000000"</f>
        <v>49707300000000</v>
      </c>
      <c r="D8222" t="s">
        <v>9031</v>
      </c>
      <c r="E8222" t="str">
        <f>"49707306110639"</f>
        <v>49707306110639</v>
      </c>
      <c r="F8222" s="8">
        <v>1049</v>
      </c>
      <c r="G8222" s="8">
        <v>16508</v>
      </c>
      <c r="H8222" s="8">
        <v>849</v>
      </c>
      <c r="I8222" s="8">
        <v>2070</v>
      </c>
    </row>
    <row r="8223" spans="1:9" x14ac:dyDescent="0.2">
      <c r="A8223" t="s">
        <v>1788</v>
      </c>
      <c r="B8223" t="s">
        <v>1805</v>
      </c>
      <c r="C8223" t="str">
        <f>"49753900000000"</f>
        <v>49753900000000</v>
      </c>
      <c r="D8223" t="s">
        <v>9032</v>
      </c>
      <c r="E8223" t="str">
        <f>"49753906051791"</f>
        <v>49753906051791</v>
      </c>
      <c r="F8223" s="8">
        <v>1111</v>
      </c>
      <c r="G8223" s="8">
        <v>11506</v>
      </c>
      <c r="H8223" s="8">
        <v>690</v>
      </c>
      <c r="I8223" s="8">
        <v>8047</v>
      </c>
    </row>
    <row r="8224" spans="1:9" x14ac:dyDescent="0.2">
      <c r="A8224" t="s">
        <v>1788</v>
      </c>
      <c r="B8224" t="s">
        <v>1805</v>
      </c>
      <c r="C8224" t="str">
        <f>"49753900000000"</f>
        <v>49753900000000</v>
      </c>
      <c r="D8224" t="s">
        <v>9033</v>
      </c>
      <c r="E8224" t="str">
        <f>"49753904932554"</f>
        <v>49753904932554</v>
      </c>
      <c r="F8224" s="8">
        <v>212</v>
      </c>
      <c r="G8224" s="8">
        <v>10736</v>
      </c>
      <c r="H8224" s="8">
        <v>690</v>
      </c>
      <c r="I8224" s="8">
        <v>8047</v>
      </c>
    </row>
    <row r="8225" spans="1:9" x14ac:dyDescent="0.2">
      <c r="A8225" t="s">
        <v>1788</v>
      </c>
      <c r="B8225" t="s">
        <v>1805</v>
      </c>
      <c r="C8225" t="str">
        <f>"49753900000000"</f>
        <v>49753900000000</v>
      </c>
      <c r="D8225" t="s">
        <v>9034</v>
      </c>
      <c r="E8225" t="str">
        <f>"49753906060222"</f>
        <v>49753906060222</v>
      </c>
      <c r="F8225" s="8">
        <v>428</v>
      </c>
      <c r="G8225" s="8">
        <v>9899</v>
      </c>
      <c r="H8225" s="8">
        <v>690</v>
      </c>
      <c r="I8225" s="8">
        <v>8047</v>
      </c>
    </row>
    <row r="8226" spans="1:9" x14ac:dyDescent="0.2">
      <c r="A8226" t="s">
        <v>1788</v>
      </c>
      <c r="B8226" t="s">
        <v>1805</v>
      </c>
      <c r="C8226" t="str">
        <f>"49753900000000"</f>
        <v>49753900000000</v>
      </c>
      <c r="D8226" t="s">
        <v>9035</v>
      </c>
      <c r="E8226" t="str">
        <f>"49753904930251"</f>
        <v>49753904930251</v>
      </c>
      <c r="F8226" s="8">
        <v>936</v>
      </c>
      <c r="G8226" s="8">
        <v>7186</v>
      </c>
      <c r="H8226" s="8">
        <v>690</v>
      </c>
      <c r="I8226" s="8">
        <v>8047</v>
      </c>
    </row>
    <row r="8227" spans="1:9" x14ac:dyDescent="0.2">
      <c r="A8227" t="s">
        <v>1788</v>
      </c>
      <c r="B8227" t="s">
        <v>1807</v>
      </c>
      <c r="C8227" t="str">
        <f>"49707630000000"</f>
        <v>49707630000000</v>
      </c>
      <c r="D8227" t="s">
        <v>1807</v>
      </c>
      <c r="E8227" t="str">
        <f>"49707636051809"</f>
        <v>49707636051809</v>
      </c>
      <c r="F8227" s="8">
        <v>2261</v>
      </c>
      <c r="G8227" s="8">
        <v>32183</v>
      </c>
      <c r="H8227" s="8">
        <v>0</v>
      </c>
      <c r="I8227" s="8">
        <v>0</v>
      </c>
    </row>
    <row r="8228" spans="1:9" x14ac:dyDescent="0.2">
      <c r="A8228" t="s">
        <v>1788</v>
      </c>
      <c r="B8228" t="s">
        <v>1808</v>
      </c>
      <c r="C8228" t="str">
        <f>"49708880000000"</f>
        <v>49708880000000</v>
      </c>
      <c r="D8228" t="s">
        <v>1808</v>
      </c>
      <c r="E8228" t="str">
        <f>"49708886052013"</f>
        <v>49708886052013</v>
      </c>
      <c r="F8228" s="8">
        <v>9200</v>
      </c>
      <c r="G8228" s="8">
        <v>15774</v>
      </c>
      <c r="H8228" s="8">
        <v>0</v>
      </c>
      <c r="I8228" s="8">
        <v>0</v>
      </c>
    </row>
    <row r="8229" spans="1:9" x14ac:dyDescent="0.2">
      <c r="A8229" t="s">
        <v>1788</v>
      </c>
      <c r="B8229" t="s">
        <v>1809</v>
      </c>
      <c r="C8229" t="str">
        <f>"49707890000000"</f>
        <v>49707890000000</v>
      </c>
      <c r="D8229" t="s">
        <v>9036</v>
      </c>
      <c r="E8229" t="str">
        <f>"49707896051825"</f>
        <v>49707896051825</v>
      </c>
      <c r="F8229" s="8">
        <v>508</v>
      </c>
      <c r="G8229" s="8">
        <v>20927</v>
      </c>
      <c r="H8229" s="8">
        <v>0</v>
      </c>
      <c r="I8229" s="8">
        <v>1273</v>
      </c>
    </row>
    <row r="8230" spans="1:9" x14ac:dyDescent="0.2">
      <c r="A8230" t="s">
        <v>1788</v>
      </c>
      <c r="B8230" t="s">
        <v>1811</v>
      </c>
      <c r="C8230" t="str">
        <f>"49707970000000"</f>
        <v>49707970000000</v>
      </c>
      <c r="D8230" t="s">
        <v>9037</v>
      </c>
      <c r="E8230" t="str">
        <f>"49707970123422"</f>
        <v>49707970123422</v>
      </c>
      <c r="F8230" s="8">
        <v>689</v>
      </c>
      <c r="G8230" s="8">
        <v>18729</v>
      </c>
      <c r="H8230" s="8">
        <v>124</v>
      </c>
      <c r="I8230" s="8">
        <v>3403</v>
      </c>
    </row>
    <row r="8231" spans="1:9" x14ac:dyDescent="0.2">
      <c r="A8231" t="s">
        <v>1788</v>
      </c>
      <c r="B8231" t="s">
        <v>1811</v>
      </c>
      <c r="C8231" t="str">
        <f>"49707970000000"</f>
        <v>49707970000000</v>
      </c>
      <c r="D8231" t="s">
        <v>9038</v>
      </c>
      <c r="E8231" t="str">
        <f>"49707970140228"</f>
        <v>49707970140228</v>
      </c>
      <c r="F8231" s="8">
        <v>0</v>
      </c>
      <c r="G8231" s="8">
        <v>11561</v>
      </c>
      <c r="H8231" s="8">
        <v>124</v>
      </c>
      <c r="I8231" s="8">
        <v>3403</v>
      </c>
    </row>
    <row r="8232" spans="1:9" x14ac:dyDescent="0.2">
      <c r="A8232" t="s">
        <v>1788</v>
      </c>
      <c r="B8232" t="s">
        <v>1811</v>
      </c>
      <c r="C8232" t="str">
        <f>"49707970000000"</f>
        <v>49707970000000</v>
      </c>
      <c r="D8232" t="s">
        <v>1811</v>
      </c>
      <c r="E8232" t="str">
        <f>"49707976051833"</f>
        <v>49707976051833</v>
      </c>
      <c r="F8232" s="8">
        <v>136</v>
      </c>
      <c r="G8232" s="8">
        <v>7548</v>
      </c>
      <c r="H8232" s="8">
        <v>124</v>
      </c>
      <c r="I8232" s="8">
        <v>3403</v>
      </c>
    </row>
    <row r="8233" spans="1:9" x14ac:dyDescent="0.2">
      <c r="A8233" t="s">
        <v>1788</v>
      </c>
      <c r="B8233" t="s">
        <v>1813</v>
      </c>
      <c r="C8233" t="str">
        <f>"49708050000000"</f>
        <v>49708050000000</v>
      </c>
      <c r="D8233" t="s">
        <v>9039</v>
      </c>
      <c r="E8233" t="str">
        <f>"49708056111066"</f>
        <v>49708056111066</v>
      </c>
      <c r="F8233" s="8">
        <v>1032</v>
      </c>
      <c r="G8233" s="8">
        <v>9920</v>
      </c>
      <c r="H8233" s="8">
        <v>247</v>
      </c>
      <c r="I8233" s="8">
        <v>3210</v>
      </c>
    </row>
    <row r="8234" spans="1:9" x14ac:dyDescent="0.2">
      <c r="A8234" t="s">
        <v>1788</v>
      </c>
      <c r="B8234" t="s">
        <v>1813</v>
      </c>
      <c r="C8234" t="str">
        <f>"49708050000000"</f>
        <v>49708050000000</v>
      </c>
      <c r="D8234" t="s">
        <v>4499</v>
      </c>
      <c r="E8234" t="str">
        <f>"49708056051858"</f>
        <v>49708056051858</v>
      </c>
      <c r="F8234" s="8">
        <v>1390</v>
      </c>
      <c r="G8234" s="8">
        <v>9125</v>
      </c>
      <c r="H8234" s="8">
        <v>247</v>
      </c>
      <c r="I8234" s="8">
        <v>3210</v>
      </c>
    </row>
    <row r="8235" spans="1:9" x14ac:dyDescent="0.2">
      <c r="A8235" t="s">
        <v>1788</v>
      </c>
      <c r="B8235" t="s">
        <v>1813</v>
      </c>
      <c r="C8235" t="str">
        <f>"49708050000000"</f>
        <v>49708050000000</v>
      </c>
      <c r="D8235" t="s">
        <v>9040</v>
      </c>
      <c r="E8235" t="str">
        <f>"49708056051841"</f>
        <v>49708056051841</v>
      </c>
      <c r="F8235" s="8">
        <v>1211</v>
      </c>
      <c r="G8235" s="8">
        <v>8870</v>
      </c>
      <c r="H8235" s="8">
        <v>247</v>
      </c>
      <c r="I8235" s="8">
        <v>3210</v>
      </c>
    </row>
    <row r="8236" spans="1:9" x14ac:dyDescent="0.2">
      <c r="A8236" t="s">
        <v>1788</v>
      </c>
      <c r="B8236" t="s">
        <v>1813</v>
      </c>
      <c r="C8236" t="str">
        <f>"49708050000000"</f>
        <v>49708050000000</v>
      </c>
      <c r="D8236" t="s">
        <v>9041</v>
      </c>
      <c r="E8236" t="str">
        <f>"49708050105890"</f>
        <v>49708050105890</v>
      </c>
      <c r="F8236" s="8">
        <v>530</v>
      </c>
      <c r="G8236" s="8">
        <v>6508</v>
      </c>
      <c r="H8236" s="8">
        <v>247</v>
      </c>
      <c r="I8236" s="8">
        <v>3210</v>
      </c>
    </row>
    <row r="8237" spans="1:9" x14ac:dyDescent="0.2">
      <c r="A8237" t="s">
        <v>1788</v>
      </c>
      <c r="B8237" t="s">
        <v>1814</v>
      </c>
      <c r="C8237" t="str">
        <f>"49708130000000"</f>
        <v>49708130000000</v>
      </c>
      <c r="D8237" t="s">
        <v>9042</v>
      </c>
      <c r="E8237" t="str">
        <f>"49708136051866"</f>
        <v>49708136051866</v>
      </c>
      <c r="F8237" s="8">
        <v>1049</v>
      </c>
      <c r="G8237" s="8">
        <v>15450</v>
      </c>
      <c r="H8237" s="8">
        <v>186</v>
      </c>
      <c r="I8237" s="8">
        <v>8401</v>
      </c>
    </row>
    <row r="8238" spans="1:9" x14ac:dyDescent="0.2">
      <c r="A8238" t="s">
        <v>1788</v>
      </c>
      <c r="B8238" t="s">
        <v>1815</v>
      </c>
      <c r="C8238" t="str">
        <f>"49708210000000"</f>
        <v>49708210000000</v>
      </c>
      <c r="D8238" t="s">
        <v>1815</v>
      </c>
      <c r="E8238" t="str">
        <f>"49708216051874"</f>
        <v>49708216051874</v>
      </c>
      <c r="F8238" s="8">
        <v>4988</v>
      </c>
      <c r="G8238" s="8">
        <v>18895</v>
      </c>
      <c r="H8238" s="8">
        <v>526</v>
      </c>
      <c r="I8238" s="8">
        <v>8204</v>
      </c>
    </row>
    <row r="8239" spans="1:9" x14ac:dyDescent="0.2">
      <c r="A8239" t="s">
        <v>1788</v>
      </c>
      <c r="B8239" t="s">
        <v>1818</v>
      </c>
      <c r="C8239" t="str">
        <f>"49708390000000"</f>
        <v>49708390000000</v>
      </c>
      <c r="D8239" t="s">
        <v>9043</v>
      </c>
      <c r="E8239" t="str">
        <f>"49708396051890"</f>
        <v>49708396051890</v>
      </c>
      <c r="F8239" s="8">
        <v>682</v>
      </c>
      <c r="G8239" s="8">
        <v>10991</v>
      </c>
      <c r="H8239" s="8">
        <v>37713</v>
      </c>
      <c r="I8239" s="8">
        <v>4606</v>
      </c>
    </row>
    <row r="8240" spans="1:9" x14ac:dyDescent="0.2">
      <c r="A8240" t="s">
        <v>1788</v>
      </c>
      <c r="B8240" t="s">
        <v>1818</v>
      </c>
      <c r="C8240" t="str">
        <f>"49708390000000"</f>
        <v>49708390000000</v>
      </c>
      <c r="D8240" t="s">
        <v>1655</v>
      </c>
      <c r="E8240" t="str">
        <f>"49708396051882"</f>
        <v>49708396051882</v>
      </c>
      <c r="F8240" s="8">
        <v>682</v>
      </c>
      <c r="G8240" s="8">
        <v>10991</v>
      </c>
      <c r="H8240" s="8">
        <v>3599</v>
      </c>
      <c r="I8240" s="8">
        <v>440</v>
      </c>
    </row>
    <row r="8241" spans="1:9" x14ac:dyDescent="0.2">
      <c r="A8241" t="s">
        <v>1788</v>
      </c>
      <c r="B8241" t="s">
        <v>1819</v>
      </c>
      <c r="C8241" t="str">
        <f>"49708470000000"</f>
        <v>49708470000000</v>
      </c>
      <c r="D8241" t="s">
        <v>9044</v>
      </c>
      <c r="E8241" t="str">
        <f>"49708476072136"</f>
        <v>49708476072136</v>
      </c>
      <c r="F8241" s="8">
        <v>1803</v>
      </c>
      <c r="G8241" s="8">
        <v>9860</v>
      </c>
      <c r="H8241" s="8">
        <v>479</v>
      </c>
      <c r="I8241" s="8">
        <v>2260</v>
      </c>
    </row>
    <row r="8242" spans="1:9" x14ac:dyDescent="0.2">
      <c r="A8242" t="s">
        <v>1788</v>
      </c>
      <c r="B8242" t="s">
        <v>1819</v>
      </c>
      <c r="C8242" t="str">
        <f>"49708470000000"</f>
        <v>49708470000000</v>
      </c>
      <c r="D8242" t="s">
        <v>9045</v>
      </c>
      <c r="E8242" t="str">
        <f>"49708476051916"</f>
        <v>49708476051916</v>
      </c>
      <c r="F8242" s="8">
        <v>1190</v>
      </c>
      <c r="G8242" s="8">
        <v>9238</v>
      </c>
      <c r="H8242" s="8">
        <v>479</v>
      </c>
      <c r="I8242" s="8">
        <v>2266</v>
      </c>
    </row>
    <row r="8243" spans="1:9" x14ac:dyDescent="0.2">
      <c r="A8243" t="s">
        <v>1788</v>
      </c>
      <c r="B8243" t="s">
        <v>1819</v>
      </c>
      <c r="C8243" t="str">
        <f>"49708470000000"</f>
        <v>49708470000000</v>
      </c>
      <c r="D8243" t="s">
        <v>9046</v>
      </c>
      <c r="E8243" t="str">
        <f>"49708470127555"</f>
        <v>49708470127555</v>
      </c>
      <c r="F8243" s="8">
        <v>963</v>
      </c>
      <c r="G8243" s="8">
        <v>8766</v>
      </c>
      <c r="H8243" s="8">
        <v>481</v>
      </c>
      <c r="I8243" s="8">
        <v>2204</v>
      </c>
    </row>
    <row r="8244" spans="1:9" x14ac:dyDescent="0.2">
      <c r="A8244" t="s">
        <v>1788</v>
      </c>
      <c r="B8244" t="s">
        <v>1819</v>
      </c>
      <c r="C8244" t="str">
        <f>"49708470000000"</f>
        <v>49708470000000</v>
      </c>
      <c r="D8244" t="s">
        <v>9047</v>
      </c>
      <c r="E8244" t="str">
        <f>"49708476051924"</f>
        <v>49708476051924</v>
      </c>
      <c r="F8244" s="8">
        <v>566</v>
      </c>
      <c r="G8244" s="8">
        <v>8831</v>
      </c>
      <c r="H8244" s="8">
        <v>433</v>
      </c>
      <c r="I8244" s="8">
        <v>2204</v>
      </c>
    </row>
    <row r="8245" spans="1:9" x14ac:dyDescent="0.2">
      <c r="A8245" t="s">
        <v>1788</v>
      </c>
      <c r="B8245" t="s">
        <v>1819</v>
      </c>
      <c r="C8245" t="str">
        <f>"49708470000000"</f>
        <v>49708470000000</v>
      </c>
      <c r="D8245" t="s">
        <v>9048</v>
      </c>
      <c r="E8245" t="str">
        <f>"49708476114755"</f>
        <v>49708476114755</v>
      </c>
      <c r="F8245" s="8">
        <v>537</v>
      </c>
      <c r="G8245" s="8">
        <v>8604</v>
      </c>
      <c r="H8245" s="8">
        <v>433</v>
      </c>
      <c r="I8245" s="8">
        <v>2204</v>
      </c>
    </row>
    <row r="8246" spans="1:9" x14ac:dyDescent="0.2">
      <c r="A8246" t="s">
        <v>1788</v>
      </c>
      <c r="B8246" t="s">
        <v>1822</v>
      </c>
      <c r="C8246" t="str">
        <f t="shared" ref="C8246:C8253" si="412">"49708540000000"</f>
        <v>49708540000000</v>
      </c>
      <c r="D8246" t="s">
        <v>9049</v>
      </c>
      <c r="E8246" t="str">
        <f>"49708546113112"</f>
        <v>49708546113112</v>
      </c>
      <c r="F8246" s="8">
        <v>244</v>
      </c>
      <c r="G8246" s="8">
        <v>38123</v>
      </c>
      <c r="H8246" s="8">
        <v>495</v>
      </c>
      <c r="I8246" s="8">
        <v>2430</v>
      </c>
    </row>
    <row r="8247" spans="1:9" x14ac:dyDescent="0.2">
      <c r="A8247" t="s">
        <v>1788</v>
      </c>
      <c r="B8247" t="s">
        <v>1822</v>
      </c>
      <c r="C8247" t="str">
        <f t="shared" si="412"/>
        <v>49708540000000</v>
      </c>
      <c r="D8247" t="s">
        <v>9050</v>
      </c>
      <c r="E8247" t="str">
        <f>"49708540132357"</f>
        <v>49708540132357</v>
      </c>
      <c r="F8247" s="8">
        <v>177</v>
      </c>
      <c r="G8247" s="8">
        <v>29336</v>
      </c>
      <c r="H8247" s="8">
        <v>495</v>
      </c>
      <c r="I8247" s="8">
        <v>2430</v>
      </c>
    </row>
    <row r="8248" spans="1:9" x14ac:dyDescent="0.2">
      <c r="A8248" t="s">
        <v>1788</v>
      </c>
      <c r="B8248" t="s">
        <v>1822</v>
      </c>
      <c r="C8248" t="str">
        <f t="shared" si="412"/>
        <v>49708540000000</v>
      </c>
      <c r="D8248" t="s">
        <v>7514</v>
      </c>
      <c r="E8248" t="str">
        <f>"49708546051999"</f>
        <v>49708546051999</v>
      </c>
      <c r="F8248" s="8">
        <v>1042</v>
      </c>
      <c r="G8248" s="8">
        <v>11499</v>
      </c>
      <c r="H8248" s="8">
        <v>495</v>
      </c>
      <c r="I8248" s="8">
        <v>2430</v>
      </c>
    </row>
    <row r="8249" spans="1:9" x14ac:dyDescent="0.2">
      <c r="A8249" t="s">
        <v>1788</v>
      </c>
      <c r="B8249" t="s">
        <v>1822</v>
      </c>
      <c r="C8249" t="str">
        <f t="shared" si="412"/>
        <v>49708540000000</v>
      </c>
      <c r="D8249" t="s">
        <v>9051</v>
      </c>
      <c r="E8249" t="str">
        <f>"49708546051957"</f>
        <v>49708546051957</v>
      </c>
      <c r="F8249" s="8">
        <v>1274</v>
      </c>
      <c r="G8249" s="8">
        <v>11118</v>
      </c>
      <c r="H8249" s="8">
        <v>495</v>
      </c>
      <c r="I8249" s="8">
        <v>2430</v>
      </c>
    </row>
    <row r="8250" spans="1:9" x14ac:dyDescent="0.2">
      <c r="A8250" t="s">
        <v>1788</v>
      </c>
      <c r="B8250" t="s">
        <v>1822</v>
      </c>
      <c r="C8250" t="str">
        <f t="shared" si="412"/>
        <v>49708540000000</v>
      </c>
      <c r="D8250" t="s">
        <v>9052</v>
      </c>
      <c r="E8250" t="str">
        <f>"49708546051973"</f>
        <v>49708546051973</v>
      </c>
      <c r="F8250" s="8">
        <v>527</v>
      </c>
      <c r="G8250" s="8">
        <v>8562</v>
      </c>
      <c r="H8250" s="8">
        <v>495</v>
      </c>
      <c r="I8250" s="8">
        <v>2430</v>
      </c>
    </row>
    <row r="8251" spans="1:9" x14ac:dyDescent="0.2">
      <c r="A8251" t="s">
        <v>1788</v>
      </c>
      <c r="B8251" t="s">
        <v>1822</v>
      </c>
      <c r="C8251" t="str">
        <f t="shared" si="412"/>
        <v>49708540000000</v>
      </c>
      <c r="D8251" t="s">
        <v>1715</v>
      </c>
      <c r="E8251" t="str">
        <f>"49708546051940"</f>
        <v>49708546051940</v>
      </c>
      <c r="F8251" s="8">
        <v>679</v>
      </c>
      <c r="G8251" s="8">
        <v>7759</v>
      </c>
      <c r="H8251" s="8">
        <v>495</v>
      </c>
      <c r="I8251" s="8">
        <v>2430</v>
      </c>
    </row>
    <row r="8252" spans="1:9" x14ac:dyDescent="0.2">
      <c r="A8252" t="s">
        <v>1788</v>
      </c>
      <c r="B8252" t="s">
        <v>1822</v>
      </c>
      <c r="C8252" t="str">
        <f t="shared" si="412"/>
        <v>49708540000000</v>
      </c>
      <c r="D8252" t="s">
        <v>9053</v>
      </c>
      <c r="E8252" t="str">
        <f>"49708546051981"</f>
        <v>49708546051981</v>
      </c>
      <c r="F8252" s="8">
        <v>463</v>
      </c>
      <c r="G8252" s="8">
        <v>7870</v>
      </c>
      <c r="H8252" s="8">
        <v>495</v>
      </c>
      <c r="I8252" s="8">
        <v>2430</v>
      </c>
    </row>
    <row r="8253" spans="1:9" x14ac:dyDescent="0.2">
      <c r="A8253" t="s">
        <v>1788</v>
      </c>
      <c r="B8253" t="s">
        <v>1822</v>
      </c>
      <c r="C8253" t="str">
        <f t="shared" si="412"/>
        <v>49708540000000</v>
      </c>
      <c r="D8253" t="s">
        <v>2349</v>
      </c>
      <c r="E8253" t="str">
        <f>"49708546051965"</f>
        <v>49708546051965</v>
      </c>
      <c r="F8253" s="8">
        <v>531</v>
      </c>
      <c r="G8253" s="8">
        <v>6593</v>
      </c>
      <c r="H8253" s="8">
        <v>495</v>
      </c>
      <c r="I8253" s="8">
        <v>2430</v>
      </c>
    </row>
    <row r="8254" spans="1:9" x14ac:dyDescent="0.2">
      <c r="A8254" t="s">
        <v>1788</v>
      </c>
      <c r="B8254" t="s">
        <v>1823</v>
      </c>
      <c r="C8254" t="str">
        <f t="shared" ref="C8254:C8263" si="413">"49708620000000"</f>
        <v>49708620000000</v>
      </c>
      <c r="D8254" t="s">
        <v>9054</v>
      </c>
      <c r="E8254" t="str">
        <f>"49708624930236"</f>
        <v>49708624930236</v>
      </c>
      <c r="F8254" s="8">
        <v>29</v>
      </c>
      <c r="G8254" s="8">
        <v>17045</v>
      </c>
      <c r="H8254" s="8">
        <v>495</v>
      </c>
      <c r="I8254" s="8">
        <v>2430</v>
      </c>
    </row>
    <row r="8255" spans="1:9" x14ac:dyDescent="0.2">
      <c r="A8255" t="s">
        <v>1788</v>
      </c>
      <c r="B8255" t="s">
        <v>1823</v>
      </c>
      <c r="C8255" t="str">
        <f t="shared" si="413"/>
        <v>49708620000000</v>
      </c>
      <c r="D8255" t="s">
        <v>3710</v>
      </c>
      <c r="E8255" t="str">
        <f>"49708624935862"</f>
        <v>49708624935862</v>
      </c>
      <c r="F8255" s="8">
        <v>2998</v>
      </c>
      <c r="G8255" s="8">
        <v>12820</v>
      </c>
      <c r="H8255" s="8">
        <v>495</v>
      </c>
      <c r="I8255" s="8">
        <v>2430</v>
      </c>
    </row>
    <row r="8256" spans="1:9" x14ac:dyDescent="0.2">
      <c r="A8256" t="s">
        <v>1788</v>
      </c>
      <c r="B8256" t="s">
        <v>1823</v>
      </c>
      <c r="C8256" t="str">
        <f t="shared" si="413"/>
        <v>49708620000000</v>
      </c>
      <c r="D8256" t="s">
        <v>9055</v>
      </c>
      <c r="E8256" t="str">
        <f>"49708624930103"</f>
        <v>49708624930103</v>
      </c>
      <c r="F8256" s="8">
        <v>1626</v>
      </c>
      <c r="G8256" s="8">
        <v>12052</v>
      </c>
      <c r="H8256" s="8">
        <v>495</v>
      </c>
      <c r="I8256" s="8">
        <v>2430</v>
      </c>
    </row>
    <row r="8257" spans="1:9" x14ac:dyDescent="0.2">
      <c r="A8257" t="s">
        <v>1788</v>
      </c>
      <c r="B8257" t="s">
        <v>1823</v>
      </c>
      <c r="C8257" t="str">
        <f t="shared" si="413"/>
        <v>49708620000000</v>
      </c>
      <c r="D8257" t="s">
        <v>9056</v>
      </c>
      <c r="E8257" t="str">
        <f>"49708624930111"</f>
        <v>49708624930111</v>
      </c>
      <c r="F8257" s="8">
        <v>2709</v>
      </c>
      <c r="G8257" s="8">
        <v>10377</v>
      </c>
      <c r="H8257" s="8">
        <v>495</v>
      </c>
      <c r="I8257" s="8">
        <v>2430</v>
      </c>
    </row>
    <row r="8258" spans="1:9" x14ac:dyDescent="0.2">
      <c r="A8258" t="s">
        <v>1788</v>
      </c>
      <c r="B8258" t="s">
        <v>1823</v>
      </c>
      <c r="C8258" t="str">
        <f t="shared" si="413"/>
        <v>49708620000000</v>
      </c>
      <c r="D8258" t="s">
        <v>9057</v>
      </c>
      <c r="E8258" t="str">
        <f>"49708626060230"</f>
        <v>49708626060230</v>
      </c>
      <c r="F8258" s="8">
        <v>549</v>
      </c>
      <c r="G8258" s="8">
        <v>8687</v>
      </c>
      <c r="H8258" s="8">
        <v>495</v>
      </c>
      <c r="I8258" s="8">
        <v>2430</v>
      </c>
    </row>
    <row r="8259" spans="1:9" x14ac:dyDescent="0.2">
      <c r="A8259" t="s">
        <v>1788</v>
      </c>
      <c r="B8259" t="s">
        <v>1823</v>
      </c>
      <c r="C8259" t="str">
        <f t="shared" si="413"/>
        <v>49708620000000</v>
      </c>
      <c r="D8259" t="s">
        <v>9058</v>
      </c>
      <c r="E8259" t="str">
        <f>"49708626062137"</f>
        <v>49708626062137</v>
      </c>
      <c r="F8259" s="8">
        <v>671</v>
      </c>
      <c r="G8259" s="8">
        <v>7977</v>
      </c>
      <c r="H8259" s="8">
        <v>495</v>
      </c>
      <c r="I8259" s="8">
        <v>2430</v>
      </c>
    </row>
    <row r="8260" spans="1:9" x14ac:dyDescent="0.2">
      <c r="A8260" t="s">
        <v>1788</v>
      </c>
      <c r="B8260" t="s">
        <v>1823</v>
      </c>
      <c r="C8260" t="str">
        <f t="shared" si="413"/>
        <v>49708620000000</v>
      </c>
      <c r="D8260" t="s">
        <v>9059</v>
      </c>
      <c r="E8260" t="str">
        <f>"49708624935151"</f>
        <v>49708624935151</v>
      </c>
      <c r="F8260" s="8">
        <v>151</v>
      </c>
      <c r="G8260" s="8">
        <v>8408</v>
      </c>
      <c r="H8260" s="8">
        <v>495</v>
      </c>
      <c r="I8260" s="8">
        <v>2430</v>
      </c>
    </row>
    <row r="8261" spans="1:9" x14ac:dyDescent="0.2">
      <c r="A8261" t="s">
        <v>1788</v>
      </c>
      <c r="B8261" t="s">
        <v>1823</v>
      </c>
      <c r="C8261" t="str">
        <f t="shared" si="413"/>
        <v>49708620000000</v>
      </c>
      <c r="D8261" t="s">
        <v>9060</v>
      </c>
      <c r="E8261" t="str">
        <f>"49708626051932"</f>
        <v>49708626051932</v>
      </c>
      <c r="F8261" s="8">
        <v>430</v>
      </c>
      <c r="G8261" s="8">
        <v>7646</v>
      </c>
      <c r="H8261" s="8">
        <v>495</v>
      </c>
      <c r="I8261" s="8">
        <v>2430</v>
      </c>
    </row>
    <row r="8262" spans="1:9" x14ac:dyDescent="0.2">
      <c r="A8262" t="s">
        <v>1788</v>
      </c>
      <c r="B8262" t="s">
        <v>1823</v>
      </c>
      <c r="C8262" t="str">
        <f t="shared" si="413"/>
        <v>49708620000000</v>
      </c>
      <c r="D8262" t="s">
        <v>9061</v>
      </c>
      <c r="E8262" t="str">
        <f>"49708624930012"</f>
        <v>49708624930012</v>
      </c>
      <c r="F8262" s="8">
        <v>199</v>
      </c>
      <c r="G8262" s="8">
        <v>7700</v>
      </c>
      <c r="H8262" s="8">
        <v>495</v>
      </c>
      <c r="I8262" s="8">
        <v>2430</v>
      </c>
    </row>
    <row r="8263" spans="1:9" x14ac:dyDescent="0.2">
      <c r="A8263" t="s">
        <v>1788</v>
      </c>
      <c r="B8263" t="s">
        <v>1823</v>
      </c>
      <c r="C8263" t="str">
        <f t="shared" si="413"/>
        <v>49708620000000</v>
      </c>
      <c r="D8263" t="s">
        <v>9062</v>
      </c>
      <c r="E8263" t="str">
        <f>"49708620131961"</f>
        <v>49708620131961</v>
      </c>
      <c r="F8263" s="8">
        <v>478</v>
      </c>
      <c r="G8263" s="8">
        <v>5309</v>
      </c>
      <c r="H8263" s="8">
        <v>495</v>
      </c>
      <c r="I8263" s="8">
        <v>2430</v>
      </c>
    </row>
    <row r="8264" spans="1:9" x14ac:dyDescent="0.2">
      <c r="A8264" t="s">
        <v>1788</v>
      </c>
      <c r="B8264" t="s">
        <v>1825</v>
      </c>
      <c r="C8264" t="str">
        <f>"49708700000000"</f>
        <v>49708700000000</v>
      </c>
      <c r="D8264" t="s">
        <v>2499</v>
      </c>
      <c r="E8264" t="str">
        <f>"49708700101253"</f>
        <v>49708700101253</v>
      </c>
      <c r="F8264" s="8">
        <v>1051</v>
      </c>
      <c r="G8264" s="8">
        <v>5612</v>
      </c>
      <c r="H8264" s="8">
        <v>400</v>
      </c>
      <c r="I8264" s="8">
        <v>5069</v>
      </c>
    </row>
    <row r="8265" spans="1:9" x14ac:dyDescent="0.2">
      <c r="A8265" t="s">
        <v>1788</v>
      </c>
      <c r="B8265" t="s">
        <v>1828</v>
      </c>
      <c r="C8265" t="str">
        <f t="shared" ref="C8265:C8273" si="414">"49708960000000"</f>
        <v>49708960000000</v>
      </c>
      <c r="D8265" t="s">
        <v>9063</v>
      </c>
      <c r="E8265" t="str">
        <f>"49708960120980"</f>
        <v>49708960120980</v>
      </c>
      <c r="F8265" s="8">
        <v>0</v>
      </c>
      <c r="G8265" s="8">
        <v>0</v>
      </c>
      <c r="H8265" s="8">
        <v>0</v>
      </c>
      <c r="I8265" s="8">
        <v>50102</v>
      </c>
    </row>
    <row r="8266" spans="1:9" x14ac:dyDescent="0.2">
      <c r="A8266" t="s">
        <v>1788</v>
      </c>
      <c r="B8266" t="s">
        <v>1828</v>
      </c>
      <c r="C8266" t="str">
        <f t="shared" si="414"/>
        <v>49708960000000</v>
      </c>
      <c r="D8266" t="s">
        <v>9064</v>
      </c>
      <c r="E8266" t="str">
        <f>"49708966052070"</f>
        <v>49708966052070</v>
      </c>
      <c r="F8266" s="8">
        <v>289</v>
      </c>
      <c r="G8266" s="8">
        <v>11528</v>
      </c>
      <c r="H8266" s="8">
        <v>333</v>
      </c>
      <c r="I8266" s="8">
        <v>3858</v>
      </c>
    </row>
    <row r="8267" spans="1:9" x14ac:dyDescent="0.2">
      <c r="A8267" t="s">
        <v>1788</v>
      </c>
      <c r="B8267" t="s">
        <v>1828</v>
      </c>
      <c r="C8267" t="str">
        <f t="shared" si="414"/>
        <v>49708960000000</v>
      </c>
      <c r="D8267" t="s">
        <v>9065</v>
      </c>
      <c r="E8267" t="str">
        <f>"49708966117907"</f>
        <v>49708966117907</v>
      </c>
      <c r="F8267" s="8">
        <v>281</v>
      </c>
      <c r="G8267" s="8">
        <v>11367</v>
      </c>
      <c r="H8267" s="8">
        <v>334</v>
      </c>
      <c r="I8267" s="8">
        <v>3871</v>
      </c>
    </row>
    <row r="8268" spans="1:9" x14ac:dyDescent="0.2">
      <c r="A8268" t="s">
        <v>1788</v>
      </c>
      <c r="B8268" t="s">
        <v>1828</v>
      </c>
      <c r="C8268" t="str">
        <f t="shared" si="414"/>
        <v>49708960000000</v>
      </c>
      <c r="D8268" t="s">
        <v>9066</v>
      </c>
      <c r="E8268" t="str">
        <f>"49708960102525"</f>
        <v>49708960102525</v>
      </c>
      <c r="F8268" s="8">
        <v>371</v>
      </c>
      <c r="G8268" s="8">
        <v>10022</v>
      </c>
      <c r="H8268" s="8">
        <v>276</v>
      </c>
      <c r="I8268" s="8">
        <v>4502</v>
      </c>
    </row>
    <row r="8269" spans="1:9" x14ac:dyDescent="0.2">
      <c r="A8269" t="s">
        <v>1788</v>
      </c>
      <c r="B8269" t="s">
        <v>1828</v>
      </c>
      <c r="C8269" t="str">
        <f t="shared" si="414"/>
        <v>49708960000000</v>
      </c>
      <c r="D8269" t="s">
        <v>9067</v>
      </c>
      <c r="E8269" t="str">
        <f>"49708966052047"</f>
        <v>49708966052047</v>
      </c>
      <c r="F8269" s="8">
        <v>279</v>
      </c>
      <c r="G8269" s="8">
        <v>10584</v>
      </c>
      <c r="H8269" s="8">
        <v>332</v>
      </c>
      <c r="I8269" s="8">
        <v>3846</v>
      </c>
    </row>
    <row r="8270" spans="1:9" x14ac:dyDescent="0.2">
      <c r="A8270" t="s">
        <v>1788</v>
      </c>
      <c r="B8270" t="s">
        <v>1828</v>
      </c>
      <c r="C8270" t="str">
        <f t="shared" si="414"/>
        <v>49708960000000</v>
      </c>
      <c r="D8270" t="s">
        <v>9068</v>
      </c>
      <c r="E8270" t="str">
        <f>"49708966052021"</f>
        <v>49708966052021</v>
      </c>
      <c r="F8270" s="8">
        <v>701</v>
      </c>
      <c r="G8270" s="8">
        <v>9969</v>
      </c>
      <c r="H8270" s="8">
        <v>345</v>
      </c>
      <c r="I8270" s="8">
        <v>3886</v>
      </c>
    </row>
    <row r="8271" spans="1:9" x14ac:dyDescent="0.2">
      <c r="A8271" t="s">
        <v>1788</v>
      </c>
      <c r="B8271" t="s">
        <v>1828</v>
      </c>
      <c r="C8271" t="str">
        <f t="shared" si="414"/>
        <v>49708960000000</v>
      </c>
      <c r="D8271" t="s">
        <v>2300</v>
      </c>
      <c r="E8271" t="str">
        <f>"49708966052054"</f>
        <v>49708966052054</v>
      </c>
      <c r="F8271" s="8">
        <v>470</v>
      </c>
      <c r="G8271" s="8">
        <v>9414</v>
      </c>
      <c r="H8271" s="8">
        <v>336</v>
      </c>
      <c r="I8271" s="8">
        <v>3878</v>
      </c>
    </row>
    <row r="8272" spans="1:9" x14ac:dyDescent="0.2">
      <c r="A8272" t="s">
        <v>1788</v>
      </c>
      <c r="B8272" t="s">
        <v>1828</v>
      </c>
      <c r="C8272" t="str">
        <f t="shared" si="414"/>
        <v>49708960000000</v>
      </c>
      <c r="D8272" t="s">
        <v>9069</v>
      </c>
      <c r="E8272" t="str">
        <f>"49708966052039"</f>
        <v>49708966052039</v>
      </c>
      <c r="F8272" s="8">
        <v>225</v>
      </c>
      <c r="G8272" s="8">
        <v>9045</v>
      </c>
      <c r="H8272" s="8">
        <v>330</v>
      </c>
      <c r="I8272" s="8">
        <v>3822</v>
      </c>
    </row>
    <row r="8273" spans="1:9" x14ac:dyDescent="0.2">
      <c r="A8273" t="s">
        <v>1788</v>
      </c>
      <c r="B8273" t="s">
        <v>1828</v>
      </c>
      <c r="C8273" t="str">
        <f t="shared" si="414"/>
        <v>49708960000000</v>
      </c>
      <c r="D8273" t="s">
        <v>9070</v>
      </c>
      <c r="E8273" t="str">
        <f>"49708966085229"</f>
        <v>49708966085229</v>
      </c>
      <c r="F8273" s="8">
        <v>495</v>
      </c>
      <c r="G8273" s="8">
        <v>8074</v>
      </c>
      <c r="H8273" s="8">
        <v>340</v>
      </c>
      <c r="I8273" s="8">
        <v>3921</v>
      </c>
    </row>
    <row r="8274" spans="1:9" x14ac:dyDescent="0.2">
      <c r="A8274" t="s">
        <v>1788</v>
      </c>
      <c r="B8274" t="s">
        <v>1830</v>
      </c>
      <c r="C8274" t="str">
        <f>"49709040000000"</f>
        <v>49709040000000</v>
      </c>
      <c r="D8274" t="s">
        <v>9071</v>
      </c>
      <c r="E8274" t="str">
        <f>"49709040125336"</f>
        <v>49709040125336</v>
      </c>
      <c r="F8274" s="8">
        <v>20</v>
      </c>
      <c r="G8274" s="8">
        <v>260</v>
      </c>
      <c r="H8274" s="8">
        <v>1285</v>
      </c>
      <c r="I8274" s="8">
        <v>9131</v>
      </c>
    </row>
    <row r="8275" spans="1:9" x14ac:dyDescent="0.2">
      <c r="A8275" t="s">
        <v>1788</v>
      </c>
      <c r="B8275" t="s">
        <v>1830</v>
      </c>
      <c r="C8275" t="str">
        <f>"49709040000000"</f>
        <v>49709040000000</v>
      </c>
      <c r="D8275" t="s">
        <v>9072</v>
      </c>
      <c r="E8275" t="str">
        <f>"49709046052088"</f>
        <v>49709046052088</v>
      </c>
      <c r="F8275" s="8">
        <v>19</v>
      </c>
      <c r="G8275" s="8">
        <v>280</v>
      </c>
      <c r="H8275" s="8">
        <v>980</v>
      </c>
      <c r="I8275" s="8">
        <v>8412</v>
      </c>
    </row>
    <row r="8276" spans="1:9" x14ac:dyDescent="0.2">
      <c r="A8276" t="s">
        <v>1788</v>
      </c>
      <c r="B8276" t="s">
        <v>1830</v>
      </c>
      <c r="C8276" t="str">
        <f>"49709040000000"</f>
        <v>49709040000000</v>
      </c>
      <c r="D8276" t="s">
        <v>9073</v>
      </c>
      <c r="E8276" t="str">
        <f>"49709046052096"</f>
        <v>49709046052096</v>
      </c>
      <c r="F8276" s="8">
        <v>22</v>
      </c>
      <c r="G8276" s="8">
        <v>190</v>
      </c>
      <c r="H8276" s="8">
        <v>969</v>
      </c>
      <c r="I8276" s="8">
        <v>7660</v>
      </c>
    </row>
    <row r="8277" spans="1:9" x14ac:dyDescent="0.2">
      <c r="A8277" t="s">
        <v>1788</v>
      </c>
      <c r="B8277" t="s">
        <v>1832</v>
      </c>
      <c r="C8277" t="str">
        <f t="shared" ref="C8277:C8288" si="415">"49709120000000"</f>
        <v>49709120000000</v>
      </c>
      <c r="D8277" t="s">
        <v>9074</v>
      </c>
      <c r="E8277" t="str">
        <f>"49709120128074"</f>
        <v>49709120128074</v>
      </c>
      <c r="F8277" s="8">
        <v>1037</v>
      </c>
      <c r="G8277" s="8">
        <v>8610</v>
      </c>
      <c r="H8277" s="8">
        <v>1271</v>
      </c>
      <c r="I8277" s="8">
        <v>4818</v>
      </c>
    </row>
    <row r="8278" spans="1:9" x14ac:dyDescent="0.2">
      <c r="A8278" t="s">
        <v>1788</v>
      </c>
      <c r="B8278" t="s">
        <v>1832</v>
      </c>
      <c r="C8278" t="str">
        <f t="shared" si="415"/>
        <v>49709120000000</v>
      </c>
      <c r="D8278" t="s">
        <v>9075</v>
      </c>
      <c r="E8278" t="str">
        <f>"49709126052195"</f>
        <v>49709126052195</v>
      </c>
      <c r="F8278" s="8">
        <v>1202</v>
      </c>
      <c r="G8278" s="8">
        <v>8287</v>
      </c>
      <c r="H8278" s="8">
        <v>1271</v>
      </c>
      <c r="I8278" s="8">
        <v>4818</v>
      </c>
    </row>
    <row r="8279" spans="1:9" x14ac:dyDescent="0.2">
      <c r="A8279" t="s">
        <v>1788</v>
      </c>
      <c r="B8279" t="s">
        <v>1832</v>
      </c>
      <c r="C8279" t="str">
        <f t="shared" si="415"/>
        <v>49709120000000</v>
      </c>
      <c r="D8279" t="s">
        <v>9076</v>
      </c>
      <c r="E8279" t="str">
        <f>"49709120113530"</f>
        <v>49709120113530</v>
      </c>
      <c r="F8279" s="8">
        <v>358</v>
      </c>
      <c r="G8279" s="8">
        <v>8864</v>
      </c>
      <c r="H8279" s="8">
        <v>1271</v>
      </c>
      <c r="I8279" s="8">
        <v>4818</v>
      </c>
    </row>
    <row r="8280" spans="1:9" x14ac:dyDescent="0.2">
      <c r="A8280" t="s">
        <v>1788</v>
      </c>
      <c r="B8280" t="s">
        <v>1832</v>
      </c>
      <c r="C8280" t="str">
        <f t="shared" si="415"/>
        <v>49709120000000</v>
      </c>
      <c r="D8280" t="s">
        <v>5474</v>
      </c>
      <c r="E8280" t="str">
        <f>"49709126052112"</f>
        <v>49709126052112</v>
      </c>
      <c r="F8280" s="8">
        <v>778</v>
      </c>
      <c r="G8280" s="8">
        <v>8221</v>
      </c>
      <c r="H8280" s="8">
        <v>1271</v>
      </c>
      <c r="I8280" s="8">
        <v>4818</v>
      </c>
    </row>
    <row r="8281" spans="1:9" x14ac:dyDescent="0.2">
      <c r="A8281" t="s">
        <v>1788</v>
      </c>
      <c r="B8281" t="s">
        <v>1832</v>
      </c>
      <c r="C8281" t="str">
        <f t="shared" si="415"/>
        <v>49709120000000</v>
      </c>
      <c r="D8281" t="s">
        <v>3863</v>
      </c>
      <c r="E8281" t="str">
        <f>"49709126052153"</f>
        <v>49709126052153</v>
      </c>
      <c r="F8281" s="8">
        <v>760</v>
      </c>
      <c r="G8281" s="8">
        <v>8205</v>
      </c>
      <c r="H8281" s="8">
        <v>1271</v>
      </c>
      <c r="I8281" s="8">
        <v>4818</v>
      </c>
    </row>
    <row r="8282" spans="1:9" x14ac:dyDescent="0.2">
      <c r="A8282" t="s">
        <v>1788</v>
      </c>
      <c r="B8282" t="s">
        <v>1832</v>
      </c>
      <c r="C8282" t="str">
        <f t="shared" si="415"/>
        <v>49709120000000</v>
      </c>
      <c r="D8282" t="s">
        <v>9077</v>
      </c>
      <c r="E8282" t="str">
        <f>"49709126052179"</f>
        <v>49709126052179</v>
      </c>
      <c r="F8282" s="8">
        <v>938</v>
      </c>
      <c r="G8282" s="8">
        <v>7706</v>
      </c>
      <c r="H8282" s="8">
        <v>1271</v>
      </c>
      <c r="I8282" s="8">
        <v>4818</v>
      </c>
    </row>
    <row r="8283" spans="1:9" x14ac:dyDescent="0.2">
      <c r="A8283" t="s">
        <v>1788</v>
      </c>
      <c r="B8283" t="s">
        <v>1832</v>
      </c>
      <c r="C8283" t="str">
        <f t="shared" si="415"/>
        <v>49709120000000</v>
      </c>
      <c r="D8283" t="s">
        <v>9078</v>
      </c>
      <c r="E8283" t="str">
        <f>"49709126052104"</f>
        <v>49709126052104</v>
      </c>
      <c r="F8283" s="8">
        <v>826</v>
      </c>
      <c r="G8283" s="8">
        <v>7364</v>
      </c>
      <c r="H8283" s="8">
        <v>1271</v>
      </c>
      <c r="I8283" s="8">
        <v>4818</v>
      </c>
    </row>
    <row r="8284" spans="1:9" x14ac:dyDescent="0.2">
      <c r="A8284" t="s">
        <v>1788</v>
      </c>
      <c r="B8284" t="s">
        <v>1832</v>
      </c>
      <c r="C8284" t="str">
        <f t="shared" si="415"/>
        <v>49709120000000</v>
      </c>
      <c r="D8284" t="s">
        <v>5258</v>
      </c>
      <c r="E8284" t="str">
        <f>"49709126052161"</f>
        <v>49709126052161</v>
      </c>
      <c r="F8284" s="8">
        <v>600</v>
      </c>
      <c r="G8284" s="8">
        <v>7522</v>
      </c>
      <c r="H8284" s="8">
        <v>1271</v>
      </c>
      <c r="I8284" s="8">
        <v>4818</v>
      </c>
    </row>
    <row r="8285" spans="1:9" x14ac:dyDescent="0.2">
      <c r="A8285" t="s">
        <v>1788</v>
      </c>
      <c r="B8285" t="s">
        <v>1832</v>
      </c>
      <c r="C8285" t="str">
        <f t="shared" si="415"/>
        <v>49709120000000</v>
      </c>
      <c r="D8285" t="s">
        <v>9079</v>
      </c>
      <c r="E8285" t="str">
        <f>"49709120125831"</f>
        <v>49709120125831</v>
      </c>
      <c r="F8285" s="8">
        <v>306</v>
      </c>
      <c r="G8285" s="8">
        <v>7225</v>
      </c>
      <c r="H8285" s="8">
        <v>1271</v>
      </c>
      <c r="I8285" s="8">
        <v>4818</v>
      </c>
    </row>
    <row r="8286" spans="1:9" x14ac:dyDescent="0.2">
      <c r="A8286" t="s">
        <v>1788</v>
      </c>
      <c r="B8286" t="s">
        <v>1832</v>
      </c>
      <c r="C8286" t="str">
        <f t="shared" si="415"/>
        <v>49709120000000</v>
      </c>
      <c r="D8286" t="s">
        <v>9080</v>
      </c>
      <c r="E8286" t="str">
        <f>"49709126108500"</f>
        <v>49709126108500</v>
      </c>
      <c r="F8286" s="8">
        <v>596</v>
      </c>
      <c r="G8286" s="8">
        <v>6786</v>
      </c>
      <c r="H8286" s="8">
        <v>1271</v>
      </c>
      <c r="I8286" s="8">
        <v>4818</v>
      </c>
    </row>
    <row r="8287" spans="1:9" x14ac:dyDescent="0.2">
      <c r="A8287" t="s">
        <v>1788</v>
      </c>
      <c r="B8287" t="s">
        <v>1832</v>
      </c>
      <c r="C8287" t="str">
        <f t="shared" si="415"/>
        <v>49709120000000</v>
      </c>
      <c r="D8287" t="s">
        <v>9081</v>
      </c>
      <c r="E8287" t="str">
        <f>"49709126066385"</f>
        <v>49709126066385</v>
      </c>
      <c r="F8287" s="8">
        <v>464</v>
      </c>
      <c r="G8287" s="8">
        <v>6146</v>
      </c>
      <c r="H8287" s="8">
        <v>1271</v>
      </c>
      <c r="I8287" s="8">
        <v>4818</v>
      </c>
    </row>
    <row r="8288" spans="1:9" x14ac:dyDescent="0.2">
      <c r="A8288" t="s">
        <v>1788</v>
      </c>
      <c r="B8288" t="s">
        <v>1832</v>
      </c>
      <c r="C8288" t="str">
        <f t="shared" si="415"/>
        <v>49709120000000</v>
      </c>
      <c r="D8288" t="s">
        <v>2593</v>
      </c>
      <c r="E8288" t="str">
        <f>"49709126095459"</f>
        <v>49709126095459</v>
      </c>
      <c r="F8288" s="8">
        <v>857</v>
      </c>
      <c r="G8288" s="8">
        <v>5587</v>
      </c>
      <c r="H8288" s="8">
        <v>1271</v>
      </c>
      <c r="I8288" s="8">
        <v>4818</v>
      </c>
    </row>
    <row r="8289" spans="1:9" x14ac:dyDescent="0.2">
      <c r="A8289" t="s">
        <v>1788</v>
      </c>
      <c r="B8289" t="s">
        <v>1833</v>
      </c>
      <c r="C8289" t="str">
        <f t="shared" ref="C8289:C8300" si="416">"49709200000000"</f>
        <v>49709200000000</v>
      </c>
      <c r="D8289" t="s">
        <v>9082</v>
      </c>
      <c r="E8289" t="str">
        <f>"49709204935607"</f>
        <v>49709204935607</v>
      </c>
      <c r="F8289" s="8">
        <v>1466</v>
      </c>
      <c r="G8289" s="8">
        <v>10362</v>
      </c>
      <c r="H8289" s="8">
        <v>1026</v>
      </c>
      <c r="I8289" s="8">
        <v>3944</v>
      </c>
    </row>
    <row r="8290" spans="1:9" x14ac:dyDescent="0.2">
      <c r="A8290" t="s">
        <v>1788</v>
      </c>
      <c r="B8290" t="s">
        <v>1833</v>
      </c>
      <c r="C8290" t="str">
        <f t="shared" si="416"/>
        <v>49709200000000</v>
      </c>
      <c r="D8290" t="s">
        <v>9083</v>
      </c>
      <c r="E8290" t="str">
        <f>"49709206060255"</f>
        <v>49709206060255</v>
      </c>
      <c r="F8290" s="8">
        <v>815</v>
      </c>
      <c r="G8290" s="8">
        <v>9561</v>
      </c>
      <c r="H8290" s="8">
        <v>1026</v>
      </c>
      <c r="I8290" s="8">
        <v>3944</v>
      </c>
    </row>
    <row r="8291" spans="1:9" x14ac:dyDescent="0.2">
      <c r="A8291" t="s">
        <v>1788</v>
      </c>
      <c r="B8291" t="s">
        <v>1833</v>
      </c>
      <c r="C8291" t="str">
        <f t="shared" si="416"/>
        <v>49709200000000</v>
      </c>
      <c r="D8291" t="s">
        <v>9084</v>
      </c>
      <c r="E8291" t="str">
        <f>"49709206068977"</f>
        <v>49709206068977</v>
      </c>
      <c r="F8291" s="8">
        <v>692</v>
      </c>
      <c r="G8291" s="8">
        <v>8917</v>
      </c>
      <c r="H8291" s="8">
        <v>1026</v>
      </c>
      <c r="I8291" s="8">
        <v>3944</v>
      </c>
    </row>
    <row r="8292" spans="1:9" x14ac:dyDescent="0.2">
      <c r="A8292" t="s">
        <v>1788</v>
      </c>
      <c r="B8292" t="s">
        <v>1833</v>
      </c>
      <c r="C8292" t="str">
        <f t="shared" si="416"/>
        <v>49709200000000</v>
      </c>
      <c r="D8292" t="s">
        <v>9085</v>
      </c>
      <c r="E8292" t="str">
        <f>"49709204930160"</f>
        <v>49709204930160</v>
      </c>
      <c r="F8292" s="8">
        <v>529</v>
      </c>
      <c r="G8292" s="8">
        <v>7900</v>
      </c>
      <c r="H8292" s="8">
        <v>1026</v>
      </c>
      <c r="I8292" s="8">
        <v>3944</v>
      </c>
    </row>
    <row r="8293" spans="1:9" x14ac:dyDescent="0.2">
      <c r="A8293" t="s">
        <v>1788</v>
      </c>
      <c r="B8293" t="s">
        <v>1833</v>
      </c>
      <c r="C8293" t="str">
        <f t="shared" si="416"/>
        <v>49709200000000</v>
      </c>
      <c r="D8293" t="s">
        <v>9086</v>
      </c>
      <c r="E8293" t="str">
        <f>"49709200102533"</f>
        <v>49709200102533</v>
      </c>
      <c r="F8293" s="8">
        <v>207</v>
      </c>
      <c r="G8293" s="8">
        <v>7411</v>
      </c>
      <c r="H8293" s="8">
        <v>1026</v>
      </c>
      <c r="I8293" s="8">
        <v>3944</v>
      </c>
    </row>
    <row r="8294" spans="1:9" x14ac:dyDescent="0.2">
      <c r="A8294" t="s">
        <v>1788</v>
      </c>
      <c r="B8294" t="s">
        <v>1833</v>
      </c>
      <c r="C8294" t="str">
        <f t="shared" si="416"/>
        <v>49709200000000</v>
      </c>
      <c r="D8294" t="s">
        <v>9087</v>
      </c>
      <c r="E8294" t="str">
        <f>"49709206060263"</f>
        <v>49709206060263</v>
      </c>
      <c r="F8294" s="8">
        <v>400</v>
      </c>
      <c r="G8294" s="8">
        <v>6985</v>
      </c>
      <c r="H8294" s="8">
        <v>1026</v>
      </c>
      <c r="I8294" s="8">
        <v>3944</v>
      </c>
    </row>
    <row r="8295" spans="1:9" x14ac:dyDescent="0.2">
      <c r="A8295" t="s">
        <v>1788</v>
      </c>
      <c r="B8295" t="s">
        <v>1833</v>
      </c>
      <c r="C8295" t="str">
        <f t="shared" si="416"/>
        <v>49709200000000</v>
      </c>
      <c r="D8295" t="s">
        <v>9088</v>
      </c>
      <c r="E8295" t="str">
        <f>"49709206060289"</f>
        <v>49709206060289</v>
      </c>
      <c r="F8295" s="8">
        <v>514</v>
      </c>
      <c r="G8295" s="8">
        <v>6724</v>
      </c>
      <c r="H8295" s="8">
        <v>1026</v>
      </c>
      <c r="I8295" s="8">
        <v>3944</v>
      </c>
    </row>
    <row r="8296" spans="1:9" x14ac:dyDescent="0.2">
      <c r="A8296" t="s">
        <v>1788</v>
      </c>
      <c r="B8296" t="s">
        <v>1833</v>
      </c>
      <c r="C8296" t="str">
        <f t="shared" si="416"/>
        <v>49709200000000</v>
      </c>
      <c r="D8296" t="s">
        <v>1833</v>
      </c>
      <c r="E8296" t="str">
        <f>"49709204936803"</f>
        <v>49709204936803</v>
      </c>
      <c r="F8296" s="8">
        <v>324</v>
      </c>
      <c r="G8296" s="8">
        <v>6803</v>
      </c>
      <c r="H8296" s="8">
        <v>1026</v>
      </c>
      <c r="I8296" s="8">
        <v>3944</v>
      </c>
    </row>
    <row r="8297" spans="1:9" x14ac:dyDescent="0.2">
      <c r="A8297" t="s">
        <v>1788</v>
      </c>
      <c r="B8297" t="s">
        <v>1833</v>
      </c>
      <c r="C8297" t="str">
        <f t="shared" si="416"/>
        <v>49709200000000</v>
      </c>
      <c r="D8297" t="s">
        <v>9089</v>
      </c>
      <c r="E8297" t="str">
        <f>"49709204934154"</f>
        <v>49709204934154</v>
      </c>
      <c r="F8297" s="8">
        <v>408</v>
      </c>
      <c r="G8297" s="8">
        <v>6713</v>
      </c>
      <c r="H8297" s="8">
        <v>1026</v>
      </c>
      <c r="I8297" s="8">
        <v>3944</v>
      </c>
    </row>
    <row r="8298" spans="1:9" x14ac:dyDescent="0.2">
      <c r="A8298" t="s">
        <v>1788</v>
      </c>
      <c r="B8298" t="s">
        <v>1833</v>
      </c>
      <c r="C8298" t="str">
        <f t="shared" si="416"/>
        <v>49709200000000</v>
      </c>
      <c r="D8298" t="s">
        <v>9090</v>
      </c>
      <c r="E8298" t="str">
        <f>"49709204935292"</f>
        <v>49709204935292</v>
      </c>
      <c r="F8298" s="8">
        <v>394</v>
      </c>
      <c r="G8298" s="8">
        <v>6714</v>
      </c>
      <c r="H8298" s="8">
        <v>1026</v>
      </c>
      <c r="I8298" s="8">
        <v>3944</v>
      </c>
    </row>
    <row r="8299" spans="1:9" x14ac:dyDescent="0.2">
      <c r="A8299" t="s">
        <v>1788</v>
      </c>
      <c r="B8299" t="s">
        <v>1833</v>
      </c>
      <c r="C8299" t="str">
        <f t="shared" si="416"/>
        <v>49709200000000</v>
      </c>
      <c r="D8299" t="s">
        <v>9091</v>
      </c>
      <c r="E8299" t="str">
        <f>"49709204930244"</f>
        <v>49709204930244</v>
      </c>
      <c r="F8299" s="8">
        <v>172</v>
      </c>
      <c r="G8299" s="8">
        <v>6374</v>
      </c>
      <c r="H8299" s="8">
        <v>1026</v>
      </c>
      <c r="I8299" s="8">
        <v>3944</v>
      </c>
    </row>
    <row r="8300" spans="1:9" x14ac:dyDescent="0.2">
      <c r="A8300" t="s">
        <v>1788</v>
      </c>
      <c r="B8300" t="s">
        <v>1833</v>
      </c>
      <c r="C8300" t="str">
        <f t="shared" si="416"/>
        <v>49709200000000</v>
      </c>
      <c r="D8300" t="s">
        <v>9092</v>
      </c>
      <c r="E8300" t="str">
        <f>"49709206060271"</f>
        <v>49709206060271</v>
      </c>
      <c r="F8300" s="8">
        <v>282</v>
      </c>
      <c r="G8300" s="8">
        <v>5943</v>
      </c>
      <c r="H8300" s="8">
        <v>1026</v>
      </c>
      <c r="I8300" s="8">
        <v>3944</v>
      </c>
    </row>
    <row r="8301" spans="1:9" x14ac:dyDescent="0.2">
      <c r="A8301" t="s">
        <v>1788</v>
      </c>
      <c r="B8301" t="s">
        <v>1835</v>
      </c>
      <c r="C8301" t="str">
        <f>"49709380000000"</f>
        <v>49709380000000</v>
      </c>
      <c r="D8301" t="s">
        <v>9093</v>
      </c>
      <c r="E8301" t="str">
        <f>"49709386052229"</f>
        <v>49709386052229</v>
      </c>
      <c r="F8301" s="8">
        <v>1576</v>
      </c>
      <c r="G8301" s="8">
        <v>9824</v>
      </c>
      <c r="H8301" s="8">
        <v>423</v>
      </c>
      <c r="I8301" s="8">
        <v>6521</v>
      </c>
    </row>
    <row r="8302" spans="1:9" x14ac:dyDescent="0.2">
      <c r="A8302" t="s">
        <v>1788</v>
      </c>
      <c r="B8302" t="s">
        <v>1835</v>
      </c>
      <c r="C8302" t="str">
        <f>"49709380000000"</f>
        <v>49709380000000</v>
      </c>
      <c r="D8302" t="s">
        <v>9094</v>
      </c>
      <c r="E8302" t="str">
        <f>"49709386052211"</f>
        <v>49709386052211</v>
      </c>
      <c r="F8302" s="8">
        <v>1576</v>
      </c>
      <c r="G8302" s="8">
        <v>9493</v>
      </c>
      <c r="H8302" s="8">
        <v>423</v>
      </c>
      <c r="I8302" s="8">
        <v>6521</v>
      </c>
    </row>
    <row r="8303" spans="1:9" x14ac:dyDescent="0.2">
      <c r="A8303" t="s">
        <v>1788</v>
      </c>
      <c r="B8303" t="s">
        <v>1837</v>
      </c>
      <c r="C8303" t="str">
        <f>"49104960000000"</f>
        <v>49104960000000</v>
      </c>
      <c r="D8303" t="s">
        <v>9095</v>
      </c>
      <c r="E8303" t="str">
        <f>"49104964930079"</f>
        <v>49104964930079</v>
      </c>
      <c r="F8303" s="8">
        <v>17301</v>
      </c>
      <c r="G8303" s="8">
        <v>70289</v>
      </c>
      <c r="H8303" s="8">
        <v>0</v>
      </c>
      <c r="I8303" s="8">
        <v>3251</v>
      </c>
    </row>
    <row r="8304" spans="1:9" x14ac:dyDescent="0.2">
      <c r="A8304" t="s">
        <v>1788</v>
      </c>
      <c r="B8304" t="s">
        <v>1837</v>
      </c>
      <c r="C8304" t="str">
        <f>"49104960000000"</f>
        <v>49104960000000</v>
      </c>
      <c r="D8304" t="s">
        <v>9096</v>
      </c>
      <c r="E8304" t="str">
        <f>"49104966069413"</f>
        <v>49104966069413</v>
      </c>
      <c r="F8304" s="8">
        <v>4576</v>
      </c>
      <c r="G8304" s="8">
        <v>71898</v>
      </c>
      <c r="H8304" s="8">
        <v>0</v>
      </c>
      <c r="I8304" s="8">
        <v>1599</v>
      </c>
    </row>
    <row r="8305" spans="1:9" x14ac:dyDescent="0.2">
      <c r="A8305" t="s">
        <v>1788</v>
      </c>
      <c r="B8305" t="s">
        <v>1837</v>
      </c>
      <c r="C8305" t="str">
        <f>"49104960000000"</f>
        <v>49104960000000</v>
      </c>
      <c r="D8305" t="s">
        <v>9097</v>
      </c>
      <c r="E8305" t="str">
        <f>"49104964930343"</f>
        <v>49104964930343</v>
      </c>
      <c r="F8305" s="8">
        <v>5165</v>
      </c>
      <c r="G8305" s="8">
        <v>18448</v>
      </c>
      <c r="H8305" s="8">
        <v>0</v>
      </c>
      <c r="I8305" s="8">
        <v>3251</v>
      </c>
    </row>
    <row r="8306" spans="1:9" x14ac:dyDescent="0.2">
      <c r="A8306" t="s">
        <v>1788</v>
      </c>
      <c r="B8306" t="s">
        <v>1838</v>
      </c>
      <c r="C8306" t="str">
        <f t="shared" ref="C8306:C8314" si="417">"49709530000000"</f>
        <v>49709530000000</v>
      </c>
      <c r="D8306" t="s">
        <v>5923</v>
      </c>
      <c r="E8306" t="str">
        <f>"49709534930152"</f>
        <v>49709534930152</v>
      </c>
      <c r="F8306" s="8">
        <v>1541</v>
      </c>
      <c r="G8306" s="8">
        <v>10016</v>
      </c>
      <c r="H8306" s="8">
        <v>2063</v>
      </c>
      <c r="I8306" s="8">
        <v>9677</v>
      </c>
    </row>
    <row r="8307" spans="1:9" x14ac:dyDescent="0.2">
      <c r="A8307" t="s">
        <v>1788</v>
      </c>
      <c r="B8307" t="s">
        <v>1838</v>
      </c>
      <c r="C8307" t="str">
        <f t="shared" si="417"/>
        <v>49709530000000</v>
      </c>
      <c r="D8307" t="s">
        <v>9098</v>
      </c>
      <c r="E8307" t="str">
        <f>"49709536052252"</f>
        <v>49709536052252</v>
      </c>
      <c r="F8307" s="8">
        <v>1258</v>
      </c>
      <c r="G8307" s="8">
        <v>9293</v>
      </c>
      <c r="H8307" s="8">
        <v>2063</v>
      </c>
      <c r="I8307" s="8">
        <v>9677</v>
      </c>
    </row>
    <row r="8308" spans="1:9" x14ac:dyDescent="0.2">
      <c r="A8308" t="s">
        <v>1788</v>
      </c>
      <c r="B8308" t="s">
        <v>1838</v>
      </c>
      <c r="C8308" t="str">
        <f t="shared" si="417"/>
        <v>49709530000000</v>
      </c>
      <c r="D8308" t="s">
        <v>9099</v>
      </c>
      <c r="E8308" t="str">
        <f>"49709536052260"</f>
        <v>49709536052260</v>
      </c>
      <c r="F8308" s="8">
        <v>620</v>
      </c>
      <c r="G8308" s="8">
        <v>7367</v>
      </c>
      <c r="H8308" s="8">
        <v>2063</v>
      </c>
      <c r="I8308" s="8">
        <v>9677</v>
      </c>
    </row>
    <row r="8309" spans="1:9" x14ac:dyDescent="0.2">
      <c r="A8309" t="s">
        <v>1788</v>
      </c>
      <c r="B8309" t="s">
        <v>1838</v>
      </c>
      <c r="C8309" t="str">
        <f t="shared" si="417"/>
        <v>49709530000000</v>
      </c>
      <c r="D8309" t="s">
        <v>9100</v>
      </c>
      <c r="E8309" t="str">
        <f>"49709536119069"</f>
        <v>49709536119069</v>
      </c>
      <c r="F8309" s="8">
        <v>249</v>
      </c>
      <c r="G8309" s="8">
        <v>7598</v>
      </c>
      <c r="H8309" s="8">
        <v>2063</v>
      </c>
      <c r="I8309" s="8">
        <v>9677</v>
      </c>
    </row>
    <row r="8310" spans="1:9" x14ac:dyDescent="0.2">
      <c r="A8310" t="s">
        <v>1788</v>
      </c>
      <c r="B8310" t="s">
        <v>1838</v>
      </c>
      <c r="C8310" t="str">
        <f t="shared" si="417"/>
        <v>49709530000000</v>
      </c>
      <c r="D8310" t="s">
        <v>9101</v>
      </c>
      <c r="E8310" t="str">
        <f>"49709536052278"</f>
        <v>49709536052278</v>
      </c>
      <c r="F8310" s="8">
        <v>542</v>
      </c>
      <c r="G8310" s="8">
        <v>7102</v>
      </c>
      <c r="H8310" s="8">
        <v>2063</v>
      </c>
      <c r="I8310" s="8">
        <v>9677</v>
      </c>
    </row>
    <row r="8311" spans="1:9" x14ac:dyDescent="0.2">
      <c r="A8311" t="s">
        <v>1788</v>
      </c>
      <c r="B8311" t="s">
        <v>1838</v>
      </c>
      <c r="C8311" t="str">
        <f t="shared" si="417"/>
        <v>49709530000000</v>
      </c>
      <c r="D8311" t="s">
        <v>9102</v>
      </c>
      <c r="E8311" t="str">
        <f>"49709536052294"</f>
        <v>49709536052294</v>
      </c>
      <c r="F8311" s="8">
        <v>528</v>
      </c>
      <c r="G8311" s="8">
        <v>7024</v>
      </c>
      <c r="H8311" s="8">
        <v>2063</v>
      </c>
      <c r="I8311" s="8">
        <v>9677</v>
      </c>
    </row>
    <row r="8312" spans="1:9" x14ac:dyDescent="0.2">
      <c r="A8312" t="s">
        <v>1788</v>
      </c>
      <c r="B8312" t="s">
        <v>1838</v>
      </c>
      <c r="C8312" t="str">
        <f t="shared" si="417"/>
        <v>49709530000000</v>
      </c>
      <c r="D8312" t="s">
        <v>9103</v>
      </c>
      <c r="E8312" t="str">
        <f>"49709534937256"</f>
        <v>49709534937256</v>
      </c>
      <c r="F8312" s="8">
        <v>268</v>
      </c>
      <c r="G8312" s="8">
        <v>6821</v>
      </c>
      <c r="H8312" s="8">
        <v>2063</v>
      </c>
      <c r="I8312" s="8">
        <v>9677</v>
      </c>
    </row>
    <row r="8313" spans="1:9" x14ac:dyDescent="0.2">
      <c r="A8313" t="s">
        <v>1788</v>
      </c>
      <c r="B8313" t="s">
        <v>1838</v>
      </c>
      <c r="C8313" t="str">
        <f t="shared" si="417"/>
        <v>49709530000000</v>
      </c>
      <c r="D8313" t="s">
        <v>9104</v>
      </c>
      <c r="E8313" t="str">
        <f>"49709536052245"</f>
        <v>49709536052245</v>
      </c>
      <c r="F8313" s="8">
        <v>194</v>
      </c>
      <c r="G8313" s="8">
        <v>6879</v>
      </c>
      <c r="H8313" s="8">
        <v>2063</v>
      </c>
      <c r="I8313" s="8">
        <v>9677</v>
      </c>
    </row>
    <row r="8314" spans="1:9" x14ac:dyDescent="0.2">
      <c r="A8314" t="s">
        <v>1788</v>
      </c>
      <c r="B8314" t="s">
        <v>1838</v>
      </c>
      <c r="C8314" t="str">
        <f t="shared" si="417"/>
        <v>49709530000000</v>
      </c>
      <c r="D8314" t="s">
        <v>9105</v>
      </c>
      <c r="E8314" t="str">
        <f>"49709536052286"</f>
        <v>49709536052286</v>
      </c>
      <c r="F8314" s="8">
        <v>403</v>
      </c>
      <c r="G8314" s="8">
        <v>6621</v>
      </c>
      <c r="H8314" s="8">
        <v>2063</v>
      </c>
      <c r="I8314" s="8">
        <v>9677</v>
      </c>
    </row>
    <row r="8315" spans="1:9" x14ac:dyDescent="0.2">
      <c r="A8315" t="s">
        <v>1788</v>
      </c>
      <c r="B8315" t="s">
        <v>1839</v>
      </c>
      <c r="C8315" t="str">
        <f>"49709610000000"</f>
        <v>49709610000000</v>
      </c>
      <c r="D8315" t="s">
        <v>9106</v>
      </c>
      <c r="E8315" t="str">
        <f>"49709616052302"</f>
        <v>49709616052302</v>
      </c>
      <c r="F8315" s="8">
        <v>760</v>
      </c>
      <c r="G8315" s="8">
        <v>11629</v>
      </c>
      <c r="H8315" s="8">
        <v>0</v>
      </c>
      <c r="I8315" s="8">
        <v>1055</v>
      </c>
    </row>
    <row r="8316" spans="1:9" x14ac:dyDescent="0.2">
      <c r="A8316" t="s">
        <v>1788</v>
      </c>
      <c r="B8316" t="s">
        <v>1839</v>
      </c>
      <c r="C8316" t="str">
        <f>"49709610000000"</f>
        <v>49709610000000</v>
      </c>
      <c r="D8316" t="s">
        <v>9107</v>
      </c>
      <c r="E8316" t="str">
        <f>"49709616093140"</f>
        <v>49709616093140</v>
      </c>
      <c r="F8316" s="8">
        <v>817</v>
      </c>
      <c r="G8316" s="8">
        <v>10466</v>
      </c>
      <c r="H8316" s="8">
        <v>0</v>
      </c>
      <c r="I8316" s="8">
        <v>1055</v>
      </c>
    </row>
    <row r="8317" spans="1:9" x14ac:dyDescent="0.2">
      <c r="A8317" t="s">
        <v>1788</v>
      </c>
      <c r="B8317" t="s">
        <v>1839</v>
      </c>
      <c r="C8317" t="str">
        <f>"49709610000000"</f>
        <v>49709610000000</v>
      </c>
      <c r="D8317" t="s">
        <v>9108</v>
      </c>
      <c r="E8317" t="str">
        <f>"49709614930350"</f>
        <v>49709614930350</v>
      </c>
      <c r="F8317" s="8">
        <v>370</v>
      </c>
      <c r="G8317" s="8">
        <v>9025</v>
      </c>
      <c r="H8317" s="8">
        <v>0</v>
      </c>
      <c r="I8317" s="8">
        <v>1055</v>
      </c>
    </row>
    <row r="8318" spans="1:9" x14ac:dyDescent="0.2">
      <c r="A8318" t="s">
        <v>1788</v>
      </c>
      <c r="B8318" t="s">
        <v>1839</v>
      </c>
      <c r="C8318" t="str">
        <f>"49709610000000"</f>
        <v>49709610000000</v>
      </c>
      <c r="D8318" t="s">
        <v>9109</v>
      </c>
      <c r="E8318" t="str">
        <f>"49709614930319"</f>
        <v>49709614930319</v>
      </c>
      <c r="F8318" s="8">
        <v>132</v>
      </c>
      <c r="G8318" s="8">
        <v>9027</v>
      </c>
      <c r="H8318" s="8">
        <v>0</v>
      </c>
      <c r="I8318" s="8">
        <v>1055</v>
      </c>
    </row>
    <row r="8319" spans="1:9" x14ac:dyDescent="0.2">
      <c r="A8319" t="s">
        <v>1788</v>
      </c>
      <c r="B8319" t="s">
        <v>1840</v>
      </c>
      <c r="C8319" t="str">
        <f>"49709790000000"</f>
        <v>49709790000000</v>
      </c>
      <c r="D8319" t="s">
        <v>9110</v>
      </c>
      <c r="E8319" t="str">
        <f>"49709796052310"</f>
        <v>49709796052310</v>
      </c>
      <c r="F8319" s="8">
        <v>2041</v>
      </c>
      <c r="G8319" s="8">
        <v>15821</v>
      </c>
      <c r="H8319" s="8">
        <v>0</v>
      </c>
      <c r="I8319" s="8">
        <v>0</v>
      </c>
    </row>
    <row r="8320" spans="1:9" x14ac:dyDescent="0.2">
      <c r="A8320" t="s">
        <v>1788</v>
      </c>
      <c r="B8320" t="s">
        <v>1842</v>
      </c>
      <c r="C8320" t="str">
        <f>"49709950000000"</f>
        <v>49709950000000</v>
      </c>
      <c r="D8320" t="s">
        <v>9111</v>
      </c>
      <c r="E8320" t="str">
        <f>"49709956114409"</f>
        <v>49709956114409</v>
      </c>
      <c r="F8320" s="8">
        <v>144</v>
      </c>
      <c r="G8320" s="8">
        <v>7277</v>
      </c>
      <c r="H8320" s="8">
        <v>661</v>
      </c>
      <c r="I8320" s="8">
        <v>3095</v>
      </c>
    </row>
    <row r="8321" spans="1:9" x14ac:dyDescent="0.2">
      <c r="A8321" t="s">
        <v>1788</v>
      </c>
      <c r="B8321" t="s">
        <v>1842</v>
      </c>
      <c r="C8321" t="str">
        <f>"49709950000000"</f>
        <v>49709950000000</v>
      </c>
      <c r="D8321" t="s">
        <v>9112</v>
      </c>
      <c r="E8321" t="str">
        <f>"49709956110324"</f>
        <v>49709956110324</v>
      </c>
      <c r="F8321" s="8">
        <v>294</v>
      </c>
      <c r="G8321" s="8">
        <v>6619</v>
      </c>
      <c r="H8321" s="8">
        <v>716</v>
      </c>
      <c r="I8321" s="8">
        <v>3350</v>
      </c>
    </row>
    <row r="8322" spans="1:9" x14ac:dyDescent="0.2">
      <c r="A8322" t="s">
        <v>1788</v>
      </c>
      <c r="B8322" t="s">
        <v>1843</v>
      </c>
      <c r="C8322" t="str">
        <f>"49710010000000"</f>
        <v>49710010000000</v>
      </c>
      <c r="D8322" t="s">
        <v>9113</v>
      </c>
      <c r="E8322" t="str">
        <f>"49710016052336"</f>
        <v>49710016052336</v>
      </c>
      <c r="F8322" s="8">
        <v>783</v>
      </c>
      <c r="G8322" s="8">
        <v>11899</v>
      </c>
      <c r="H8322" s="8">
        <v>0</v>
      </c>
      <c r="I8322" s="8">
        <v>0</v>
      </c>
    </row>
    <row r="8323" spans="1:9" x14ac:dyDescent="0.2">
      <c r="A8323" t="s">
        <v>1788</v>
      </c>
      <c r="B8323" t="s">
        <v>1844</v>
      </c>
      <c r="C8323" t="str">
        <f>"49706070000000"</f>
        <v>49706070000000</v>
      </c>
      <c r="D8323" t="s">
        <v>9114</v>
      </c>
      <c r="E8323" t="str">
        <f>"49706074930327"</f>
        <v>49706074930327</v>
      </c>
      <c r="F8323" s="8">
        <v>1881</v>
      </c>
      <c r="G8323" s="8">
        <v>14995</v>
      </c>
      <c r="H8323" s="8">
        <v>0</v>
      </c>
      <c r="I8323" s="8">
        <v>0</v>
      </c>
    </row>
    <row r="8324" spans="1:9" x14ac:dyDescent="0.2">
      <c r="A8324" t="s">
        <v>1788</v>
      </c>
      <c r="B8324" t="s">
        <v>1844</v>
      </c>
      <c r="C8324" t="str">
        <f>"49706070000000"</f>
        <v>49706070000000</v>
      </c>
      <c r="D8324" t="s">
        <v>9115</v>
      </c>
      <c r="E8324" t="str">
        <f>"49706074931507"</f>
        <v>49706074931507</v>
      </c>
      <c r="F8324" s="8">
        <v>579</v>
      </c>
      <c r="G8324" s="8">
        <v>8852</v>
      </c>
      <c r="H8324" s="8">
        <v>0</v>
      </c>
      <c r="I8324" s="8">
        <v>0</v>
      </c>
    </row>
    <row r="8325" spans="1:9" x14ac:dyDescent="0.2">
      <c r="A8325" t="s">
        <v>1788</v>
      </c>
      <c r="B8325" t="s">
        <v>1844</v>
      </c>
      <c r="C8325" t="str">
        <f>"49706070000000"</f>
        <v>49706070000000</v>
      </c>
      <c r="D8325" t="s">
        <v>9116</v>
      </c>
      <c r="E8325" t="str">
        <f>"49706074930400"</f>
        <v>49706074930400</v>
      </c>
      <c r="F8325" s="8">
        <v>223</v>
      </c>
      <c r="G8325" s="8">
        <v>8114</v>
      </c>
      <c r="H8325" s="8">
        <v>0</v>
      </c>
      <c r="I8325" s="8">
        <v>0</v>
      </c>
    </row>
    <row r="8326" spans="1:9" x14ac:dyDescent="0.2">
      <c r="A8326" t="s">
        <v>1788</v>
      </c>
      <c r="B8326" t="s">
        <v>1844</v>
      </c>
      <c r="C8326" t="str">
        <f>"49706070000000"</f>
        <v>49706070000000</v>
      </c>
      <c r="D8326" t="s">
        <v>9117</v>
      </c>
      <c r="E8326" t="str">
        <f>"49706070121038"</f>
        <v>49706070121038</v>
      </c>
      <c r="F8326" s="8">
        <v>0</v>
      </c>
      <c r="G8326" s="8">
        <v>59</v>
      </c>
      <c r="H8326" s="8">
        <v>0</v>
      </c>
      <c r="I8326" s="8">
        <v>129</v>
      </c>
    </row>
    <row r="8327" spans="1:9" x14ac:dyDescent="0.2">
      <c r="A8327" t="s">
        <v>1788</v>
      </c>
      <c r="B8327" t="s">
        <v>1845</v>
      </c>
      <c r="C8327" t="str">
        <f>"49710190000000"</f>
        <v>49710190000000</v>
      </c>
      <c r="D8327" t="s">
        <v>2348</v>
      </c>
      <c r="E8327" t="str">
        <f>"49710196052344"</f>
        <v>49710196052344</v>
      </c>
      <c r="F8327" s="8">
        <v>992</v>
      </c>
      <c r="G8327" s="8">
        <v>9734</v>
      </c>
      <c r="H8327" s="8">
        <v>0</v>
      </c>
      <c r="I8327" s="8">
        <v>0</v>
      </c>
    </row>
    <row r="8328" spans="1:9" x14ac:dyDescent="0.2">
      <c r="A8328" t="s">
        <v>1788</v>
      </c>
      <c r="B8328" t="s">
        <v>1846</v>
      </c>
      <c r="C8328" t="str">
        <f t="shared" ref="C8328:C8335" si="418">"49753580000000"</f>
        <v>49753580000000</v>
      </c>
      <c r="D8328" t="s">
        <v>9118</v>
      </c>
      <c r="E8328" t="str">
        <f>"49753580121236"</f>
        <v>49753580121236</v>
      </c>
      <c r="F8328" s="8">
        <v>258</v>
      </c>
      <c r="G8328" s="8">
        <v>54837</v>
      </c>
      <c r="H8328" s="8">
        <v>542</v>
      </c>
      <c r="I8328" s="8">
        <v>3846</v>
      </c>
    </row>
    <row r="8329" spans="1:9" x14ac:dyDescent="0.2">
      <c r="A8329" t="s">
        <v>1788</v>
      </c>
      <c r="B8329" t="s">
        <v>1846</v>
      </c>
      <c r="C8329" t="str">
        <f t="shared" si="418"/>
        <v>49753580000000</v>
      </c>
      <c r="D8329" t="s">
        <v>9119</v>
      </c>
      <c r="E8329" t="str">
        <f>"49753580138263"</f>
        <v>49753580138263</v>
      </c>
      <c r="F8329" s="8">
        <v>226</v>
      </c>
      <c r="G8329" s="8">
        <v>13371</v>
      </c>
      <c r="H8329" s="8">
        <v>542</v>
      </c>
      <c r="I8329" s="8">
        <v>3846</v>
      </c>
    </row>
    <row r="8330" spans="1:9" x14ac:dyDescent="0.2">
      <c r="A8330" t="s">
        <v>1788</v>
      </c>
      <c r="B8330" t="s">
        <v>1846</v>
      </c>
      <c r="C8330" t="str">
        <f t="shared" si="418"/>
        <v>49753580000000</v>
      </c>
      <c r="D8330" t="s">
        <v>9120</v>
      </c>
      <c r="E8330" t="str">
        <f>"49753584930269"</f>
        <v>49753584930269</v>
      </c>
      <c r="F8330" s="8">
        <v>203</v>
      </c>
      <c r="G8330" s="8">
        <v>12859</v>
      </c>
      <c r="H8330" s="8">
        <v>542</v>
      </c>
      <c r="I8330" s="8">
        <v>3846</v>
      </c>
    </row>
    <row r="8331" spans="1:9" x14ac:dyDescent="0.2">
      <c r="A8331" t="s">
        <v>1788</v>
      </c>
      <c r="B8331" t="s">
        <v>1846</v>
      </c>
      <c r="C8331" t="str">
        <f t="shared" si="418"/>
        <v>49753580000000</v>
      </c>
      <c r="D8331" t="s">
        <v>9121</v>
      </c>
      <c r="E8331" t="str">
        <f>"49753586052369"</f>
        <v>49753586052369</v>
      </c>
      <c r="F8331" s="8">
        <v>539</v>
      </c>
      <c r="G8331" s="8">
        <v>9509</v>
      </c>
      <c r="H8331" s="8">
        <v>542</v>
      </c>
      <c r="I8331" s="8">
        <v>3846</v>
      </c>
    </row>
    <row r="8332" spans="1:9" x14ac:dyDescent="0.2">
      <c r="A8332" t="s">
        <v>1788</v>
      </c>
      <c r="B8332" t="s">
        <v>1846</v>
      </c>
      <c r="C8332" t="str">
        <f t="shared" si="418"/>
        <v>49753580000000</v>
      </c>
      <c r="D8332" t="s">
        <v>9122</v>
      </c>
      <c r="E8332" t="str">
        <f>"49753586110993"</f>
        <v>49753586110993</v>
      </c>
      <c r="F8332" s="8">
        <v>1221</v>
      </c>
      <c r="G8332" s="8">
        <v>6920</v>
      </c>
      <c r="H8332" s="8">
        <v>542</v>
      </c>
      <c r="I8332" s="8">
        <v>3846</v>
      </c>
    </row>
    <row r="8333" spans="1:9" x14ac:dyDescent="0.2">
      <c r="A8333" t="s">
        <v>1788</v>
      </c>
      <c r="B8333" t="s">
        <v>1846</v>
      </c>
      <c r="C8333" t="str">
        <f t="shared" si="418"/>
        <v>49753580000000</v>
      </c>
      <c r="D8333" t="s">
        <v>9123</v>
      </c>
      <c r="E8333" t="str">
        <f>"49753586107221"</f>
        <v>49753586107221</v>
      </c>
      <c r="F8333" s="8">
        <v>715</v>
      </c>
      <c r="G8333" s="8">
        <v>6596</v>
      </c>
      <c r="H8333" s="8">
        <v>542</v>
      </c>
      <c r="I8333" s="8">
        <v>3846</v>
      </c>
    </row>
    <row r="8334" spans="1:9" x14ac:dyDescent="0.2">
      <c r="A8334" t="s">
        <v>1788</v>
      </c>
      <c r="B8334" t="s">
        <v>1846</v>
      </c>
      <c r="C8334" t="str">
        <f t="shared" si="418"/>
        <v>49753580000000</v>
      </c>
      <c r="D8334" t="s">
        <v>9124</v>
      </c>
      <c r="E8334" t="str">
        <f>"49753586052351"</f>
        <v>49753586052351</v>
      </c>
      <c r="F8334" s="8">
        <v>312</v>
      </c>
      <c r="G8334" s="8">
        <v>6928</v>
      </c>
      <c r="H8334" s="8">
        <v>542</v>
      </c>
      <c r="I8334" s="8">
        <v>3846</v>
      </c>
    </row>
    <row r="8335" spans="1:9" x14ac:dyDescent="0.2">
      <c r="A8335" t="s">
        <v>1788</v>
      </c>
      <c r="B8335" t="s">
        <v>1846</v>
      </c>
      <c r="C8335" t="str">
        <f t="shared" si="418"/>
        <v>49753580000000</v>
      </c>
      <c r="D8335" t="s">
        <v>9125</v>
      </c>
      <c r="E8335" t="str">
        <f>"49753584930228"</f>
        <v>49753584930228</v>
      </c>
      <c r="F8335" s="8">
        <v>189</v>
      </c>
      <c r="G8335" s="8">
        <v>6875</v>
      </c>
      <c r="H8335" s="8">
        <v>542</v>
      </c>
      <c r="I8335" s="8">
        <v>3846</v>
      </c>
    </row>
    <row r="8336" spans="1:9" x14ac:dyDescent="0.2">
      <c r="A8336" t="s">
        <v>1788</v>
      </c>
      <c r="B8336" t="s">
        <v>1848</v>
      </c>
      <c r="C8336" t="str">
        <f>"49710350000000"</f>
        <v>49710350000000</v>
      </c>
      <c r="D8336" t="s">
        <v>9126</v>
      </c>
      <c r="E8336" t="str">
        <f>"49710356052377"</f>
        <v>49710356052377</v>
      </c>
      <c r="F8336" s="8">
        <v>1807</v>
      </c>
      <c r="G8336" s="8">
        <v>10628</v>
      </c>
      <c r="H8336" s="8">
        <v>381</v>
      </c>
      <c r="I8336" s="8">
        <v>2003</v>
      </c>
    </row>
    <row r="8337" spans="1:9" x14ac:dyDescent="0.2">
      <c r="A8337" t="s">
        <v>1788</v>
      </c>
      <c r="B8337" t="s">
        <v>1848</v>
      </c>
      <c r="C8337" t="str">
        <f>"49710350000000"</f>
        <v>49710350000000</v>
      </c>
      <c r="D8337" t="s">
        <v>9127</v>
      </c>
      <c r="E8337" t="str">
        <f>"49710356096721"</f>
        <v>49710356096721</v>
      </c>
      <c r="F8337" s="8">
        <v>1486</v>
      </c>
      <c r="G8337" s="8">
        <v>10814</v>
      </c>
      <c r="H8337" s="8">
        <v>381</v>
      </c>
      <c r="I8337" s="8">
        <v>2003</v>
      </c>
    </row>
    <row r="8338" spans="1:9" x14ac:dyDescent="0.2">
      <c r="A8338" t="s">
        <v>1788</v>
      </c>
      <c r="B8338" t="s">
        <v>1848</v>
      </c>
      <c r="C8338" t="str">
        <f>"49710350000000"</f>
        <v>49710350000000</v>
      </c>
      <c r="D8338" t="s">
        <v>9128</v>
      </c>
      <c r="E8338" t="str">
        <f>"49710356111868"</f>
        <v>49710356111868</v>
      </c>
      <c r="F8338" s="8">
        <v>1369</v>
      </c>
      <c r="G8338" s="8">
        <v>10881</v>
      </c>
      <c r="H8338" s="8">
        <v>381</v>
      </c>
      <c r="I8338" s="8">
        <v>2003</v>
      </c>
    </row>
    <row r="8339" spans="1:9" x14ac:dyDescent="0.2">
      <c r="A8339" t="s">
        <v>1849</v>
      </c>
      <c r="B8339" t="s">
        <v>1853</v>
      </c>
      <c r="C8339" t="str">
        <f t="shared" ref="C8339:C8361" si="419">"50710430000000"</f>
        <v>50710430000000</v>
      </c>
      <c r="D8339" t="s">
        <v>9129</v>
      </c>
      <c r="E8339" t="str">
        <f>"50710435030200"</f>
        <v>50710435030200</v>
      </c>
      <c r="F8339" s="8">
        <v>1075</v>
      </c>
      <c r="G8339" s="8">
        <v>9444</v>
      </c>
      <c r="H8339" s="8">
        <v>1783</v>
      </c>
      <c r="I8339" s="8">
        <v>4584</v>
      </c>
    </row>
    <row r="8340" spans="1:9" x14ac:dyDescent="0.2">
      <c r="A8340" t="s">
        <v>1849</v>
      </c>
      <c r="B8340" t="s">
        <v>1853</v>
      </c>
      <c r="C8340" t="str">
        <f t="shared" si="419"/>
        <v>50710430000000</v>
      </c>
      <c r="D8340" t="s">
        <v>9130</v>
      </c>
      <c r="E8340" t="str">
        <f>"50710430109074"</f>
        <v>50710430109074</v>
      </c>
      <c r="F8340" s="8">
        <v>1551</v>
      </c>
      <c r="G8340" s="8">
        <v>7910</v>
      </c>
      <c r="H8340" s="8">
        <v>1783</v>
      </c>
      <c r="I8340" s="8">
        <v>4584</v>
      </c>
    </row>
    <row r="8341" spans="1:9" x14ac:dyDescent="0.2">
      <c r="A8341" t="s">
        <v>1849</v>
      </c>
      <c r="B8341" t="s">
        <v>1853</v>
      </c>
      <c r="C8341" t="str">
        <f t="shared" si="419"/>
        <v>50710430000000</v>
      </c>
      <c r="D8341" t="s">
        <v>9131</v>
      </c>
      <c r="E8341" t="str">
        <f>"50710436052450"</f>
        <v>50710436052450</v>
      </c>
      <c r="F8341" s="8">
        <v>895</v>
      </c>
      <c r="G8341" s="8">
        <v>8361</v>
      </c>
      <c r="H8341" s="8">
        <v>1783</v>
      </c>
      <c r="I8341" s="8">
        <v>4584</v>
      </c>
    </row>
    <row r="8342" spans="1:9" x14ac:dyDescent="0.2">
      <c r="A8342" t="s">
        <v>1849</v>
      </c>
      <c r="B8342" t="s">
        <v>1853</v>
      </c>
      <c r="C8342" t="str">
        <f t="shared" si="419"/>
        <v>50710430000000</v>
      </c>
      <c r="D8342" t="s">
        <v>9132</v>
      </c>
      <c r="E8342" t="str">
        <f>"50710430123679"</f>
        <v>50710430123679</v>
      </c>
      <c r="F8342" s="8">
        <v>889</v>
      </c>
      <c r="G8342" s="8">
        <v>7983</v>
      </c>
      <c r="H8342" s="8">
        <v>1783</v>
      </c>
      <c r="I8342" s="8">
        <v>4584</v>
      </c>
    </row>
    <row r="8343" spans="1:9" x14ac:dyDescent="0.2">
      <c r="A8343" t="s">
        <v>1849</v>
      </c>
      <c r="B8343" t="s">
        <v>1853</v>
      </c>
      <c r="C8343" t="str">
        <f t="shared" si="419"/>
        <v>50710430000000</v>
      </c>
      <c r="D8343" t="s">
        <v>9133</v>
      </c>
      <c r="E8343" t="str">
        <f>"50710435030168"</f>
        <v>50710435030168</v>
      </c>
      <c r="F8343" s="8">
        <v>2149</v>
      </c>
      <c r="G8343" s="8">
        <v>6526</v>
      </c>
      <c r="H8343" s="8">
        <v>1783</v>
      </c>
      <c r="I8343" s="8">
        <v>4584</v>
      </c>
    </row>
    <row r="8344" spans="1:9" x14ac:dyDescent="0.2">
      <c r="A8344" t="s">
        <v>1849</v>
      </c>
      <c r="B8344" t="s">
        <v>1853</v>
      </c>
      <c r="C8344" t="str">
        <f t="shared" si="419"/>
        <v>50710430000000</v>
      </c>
      <c r="D8344" t="s">
        <v>9134</v>
      </c>
      <c r="E8344" t="str">
        <f>"50710436112346"</f>
        <v>50710436112346</v>
      </c>
      <c r="F8344" s="8">
        <v>1068</v>
      </c>
      <c r="G8344" s="8">
        <v>7592</v>
      </c>
      <c r="H8344" s="8">
        <v>1783</v>
      </c>
      <c r="I8344" s="8">
        <v>4584</v>
      </c>
    </row>
    <row r="8345" spans="1:9" x14ac:dyDescent="0.2">
      <c r="A8345" t="s">
        <v>1849</v>
      </c>
      <c r="B8345" t="s">
        <v>1853</v>
      </c>
      <c r="C8345" t="str">
        <f t="shared" si="419"/>
        <v>50710430000000</v>
      </c>
      <c r="D8345" t="s">
        <v>9135</v>
      </c>
      <c r="E8345" t="str">
        <f>"50710430109090"</f>
        <v>50710430109090</v>
      </c>
      <c r="F8345" s="8">
        <v>1305</v>
      </c>
      <c r="G8345" s="8">
        <v>7103</v>
      </c>
      <c r="H8345" s="8">
        <v>1783</v>
      </c>
      <c r="I8345" s="8">
        <v>4584</v>
      </c>
    </row>
    <row r="8346" spans="1:9" x14ac:dyDescent="0.2">
      <c r="A8346" t="s">
        <v>1849</v>
      </c>
      <c r="B8346" t="s">
        <v>1853</v>
      </c>
      <c r="C8346" t="str">
        <f t="shared" si="419"/>
        <v>50710430000000</v>
      </c>
      <c r="D8346" t="s">
        <v>9136</v>
      </c>
      <c r="E8346" t="str">
        <f>"50710436052468"</f>
        <v>50710436052468</v>
      </c>
      <c r="F8346" s="8">
        <v>626</v>
      </c>
      <c r="G8346" s="8">
        <v>7781</v>
      </c>
      <c r="H8346" s="8">
        <v>1783</v>
      </c>
      <c r="I8346" s="8">
        <v>4584</v>
      </c>
    </row>
    <row r="8347" spans="1:9" x14ac:dyDescent="0.2">
      <c r="A8347" t="s">
        <v>1849</v>
      </c>
      <c r="B8347" t="s">
        <v>1853</v>
      </c>
      <c r="C8347" t="str">
        <f t="shared" si="419"/>
        <v>50710430000000</v>
      </c>
      <c r="D8347" t="s">
        <v>9137</v>
      </c>
      <c r="E8347" t="str">
        <f>"50710435030879"</f>
        <v>50710435030879</v>
      </c>
      <c r="F8347" s="8">
        <v>751</v>
      </c>
      <c r="G8347" s="8">
        <v>7526</v>
      </c>
      <c r="H8347" s="8">
        <v>1783</v>
      </c>
      <c r="I8347" s="8">
        <v>4584</v>
      </c>
    </row>
    <row r="8348" spans="1:9" x14ac:dyDescent="0.2">
      <c r="A8348" t="s">
        <v>1849</v>
      </c>
      <c r="B8348" t="s">
        <v>1853</v>
      </c>
      <c r="C8348" t="str">
        <f t="shared" si="419"/>
        <v>50710430000000</v>
      </c>
      <c r="D8348" t="s">
        <v>9138</v>
      </c>
      <c r="E8348" t="str">
        <f>"50710436052443"</f>
        <v>50710436052443</v>
      </c>
      <c r="F8348" s="8">
        <v>872</v>
      </c>
      <c r="G8348" s="8">
        <v>7262</v>
      </c>
      <c r="H8348" s="8">
        <v>1783</v>
      </c>
      <c r="I8348" s="8">
        <v>4584</v>
      </c>
    </row>
    <row r="8349" spans="1:9" x14ac:dyDescent="0.2">
      <c r="A8349" t="s">
        <v>1849</v>
      </c>
      <c r="B8349" t="s">
        <v>1853</v>
      </c>
      <c r="C8349" t="str">
        <f t="shared" si="419"/>
        <v>50710430000000</v>
      </c>
      <c r="D8349" t="s">
        <v>5120</v>
      </c>
      <c r="E8349" t="str">
        <f>"50710430110734"</f>
        <v>50710430110734</v>
      </c>
      <c r="F8349" s="8">
        <v>757</v>
      </c>
      <c r="G8349" s="8">
        <v>7202</v>
      </c>
      <c r="H8349" s="8">
        <v>1783</v>
      </c>
      <c r="I8349" s="8">
        <v>4584</v>
      </c>
    </row>
    <row r="8350" spans="1:9" x14ac:dyDescent="0.2">
      <c r="A8350" t="s">
        <v>1849</v>
      </c>
      <c r="B8350" t="s">
        <v>1853</v>
      </c>
      <c r="C8350" t="str">
        <f t="shared" si="419"/>
        <v>50710430000000</v>
      </c>
      <c r="D8350" t="s">
        <v>9139</v>
      </c>
      <c r="E8350" t="str">
        <f>"50710436112338"</f>
        <v>50710436112338</v>
      </c>
      <c r="F8350" s="8">
        <v>646</v>
      </c>
      <c r="G8350" s="8">
        <v>7276</v>
      </c>
      <c r="H8350" s="8">
        <v>1783</v>
      </c>
      <c r="I8350" s="8">
        <v>4584</v>
      </c>
    </row>
    <row r="8351" spans="1:9" x14ac:dyDescent="0.2">
      <c r="A8351" t="s">
        <v>1849</v>
      </c>
      <c r="B8351" t="s">
        <v>1853</v>
      </c>
      <c r="C8351" t="str">
        <f t="shared" si="419"/>
        <v>50710430000000</v>
      </c>
      <c r="D8351" t="s">
        <v>9140</v>
      </c>
      <c r="E8351" t="str">
        <f>"50710436108435"</f>
        <v>50710436108435</v>
      </c>
      <c r="F8351" s="8">
        <v>723</v>
      </c>
      <c r="G8351" s="8">
        <v>7180</v>
      </c>
      <c r="H8351" s="8">
        <v>1783</v>
      </c>
      <c r="I8351" s="8">
        <v>4584</v>
      </c>
    </row>
    <row r="8352" spans="1:9" x14ac:dyDescent="0.2">
      <c r="A8352" t="s">
        <v>1849</v>
      </c>
      <c r="B8352" t="s">
        <v>1853</v>
      </c>
      <c r="C8352" t="str">
        <f t="shared" si="419"/>
        <v>50710430000000</v>
      </c>
      <c r="D8352" t="s">
        <v>9141</v>
      </c>
      <c r="E8352" t="str">
        <f>"50710436085013"</f>
        <v>50710436085013</v>
      </c>
      <c r="F8352" s="8">
        <v>478</v>
      </c>
      <c r="G8352" s="8">
        <v>7315</v>
      </c>
      <c r="H8352" s="8">
        <v>1783</v>
      </c>
      <c r="I8352" s="8">
        <v>4584</v>
      </c>
    </row>
    <row r="8353" spans="1:9" x14ac:dyDescent="0.2">
      <c r="A8353" t="s">
        <v>1849</v>
      </c>
      <c r="B8353" t="s">
        <v>1853</v>
      </c>
      <c r="C8353" t="str">
        <f t="shared" si="419"/>
        <v>50710430000000</v>
      </c>
      <c r="D8353" t="s">
        <v>9142</v>
      </c>
      <c r="E8353" t="str">
        <f>"50710436052427"</f>
        <v>50710436052427</v>
      </c>
      <c r="F8353" s="8">
        <v>561</v>
      </c>
      <c r="G8353" s="8">
        <v>7096</v>
      </c>
      <c r="H8353" s="8">
        <v>1783</v>
      </c>
      <c r="I8353" s="8">
        <v>4584</v>
      </c>
    </row>
    <row r="8354" spans="1:9" x14ac:dyDescent="0.2">
      <c r="A8354" t="s">
        <v>1849</v>
      </c>
      <c r="B8354" t="s">
        <v>1853</v>
      </c>
      <c r="C8354" t="str">
        <f t="shared" si="419"/>
        <v>50710430000000</v>
      </c>
      <c r="D8354" t="s">
        <v>8864</v>
      </c>
      <c r="E8354" t="str">
        <f>"50710430108076"</f>
        <v>50710430108076</v>
      </c>
      <c r="F8354" s="8">
        <v>534</v>
      </c>
      <c r="G8354" s="8">
        <v>7065</v>
      </c>
      <c r="H8354" s="8">
        <v>1783</v>
      </c>
      <c r="I8354" s="8">
        <v>4584</v>
      </c>
    </row>
    <row r="8355" spans="1:9" x14ac:dyDescent="0.2">
      <c r="A8355" t="s">
        <v>1849</v>
      </c>
      <c r="B8355" t="s">
        <v>1853</v>
      </c>
      <c r="C8355" t="str">
        <f t="shared" si="419"/>
        <v>50710430000000</v>
      </c>
      <c r="D8355" t="s">
        <v>9143</v>
      </c>
      <c r="E8355" t="str">
        <f>"50710430109082"</f>
        <v>50710430109082</v>
      </c>
      <c r="F8355" s="8">
        <v>808</v>
      </c>
      <c r="G8355" s="8">
        <v>6502</v>
      </c>
      <c r="H8355" s="8">
        <v>1783</v>
      </c>
      <c r="I8355" s="8">
        <v>4584</v>
      </c>
    </row>
    <row r="8356" spans="1:9" x14ac:dyDescent="0.2">
      <c r="A8356" t="s">
        <v>1849</v>
      </c>
      <c r="B8356" t="s">
        <v>1853</v>
      </c>
      <c r="C8356" t="str">
        <f t="shared" si="419"/>
        <v>50710430000000</v>
      </c>
      <c r="D8356" t="s">
        <v>9144</v>
      </c>
      <c r="E8356" t="str">
        <f>"50710430129106"</f>
        <v>50710430129106</v>
      </c>
      <c r="F8356" s="8">
        <v>552</v>
      </c>
      <c r="G8356" s="8">
        <v>6736</v>
      </c>
      <c r="H8356" s="8">
        <v>1783</v>
      </c>
      <c r="I8356" s="8">
        <v>4584</v>
      </c>
    </row>
    <row r="8357" spans="1:9" x14ac:dyDescent="0.2">
      <c r="A8357" t="s">
        <v>1849</v>
      </c>
      <c r="B8357" t="s">
        <v>1853</v>
      </c>
      <c r="C8357" t="str">
        <f t="shared" si="419"/>
        <v>50710430000000</v>
      </c>
      <c r="D8357" t="s">
        <v>9145</v>
      </c>
      <c r="E8357" t="str">
        <f>"50710436052435"</f>
        <v>50710436052435</v>
      </c>
      <c r="F8357" s="8">
        <v>689</v>
      </c>
      <c r="G8357" s="8">
        <v>6485</v>
      </c>
      <c r="H8357" s="8">
        <v>1783</v>
      </c>
      <c r="I8357" s="8">
        <v>4584</v>
      </c>
    </row>
    <row r="8358" spans="1:9" x14ac:dyDescent="0.2">
      <c r="A8358" t="s">
        <v>1849</v>
      </c>
      <c r="B8358" t="s">
        <v>1853</v>
      </c>
      <c r="C8358" t="str">
        <f t="shared" si="419"/>
        <v>50710430000000</v>
      </c>
      <c r="D8358" t="s">
        <v>9146</v>
      </c>
      <c r="E8358" t="str">
        <f>"50710430127613"</f>
        <v>50710430127613</v>
      </c>
      <c r="F8358" s="8">
        <v>371</v>
      </c>
      <c r="G8358" s="8">
        <v>5754</v>
      </c>
      <c r="H8358" s="8">
        <v>1783</v>
      </c>
      <c r="I8358" s="8">
        <v>4584</v>
      </c>
    </row>
    <row r="8359" spans="1:9" x14ac:dyDescent="0.2">
      <c r="A8359" t="s">
        <v>1849</v>
      </c>
      <c r="B8359" t="s">
        <v>1853</v>
      </c>
      <c r="C8359" t="str">
        <f t="shared" si="419"/>
        <v>50710430000000</v>
      </c>
      <c r="D8359" t="s">
        <v>9147</v>
      </c>
      <c r="E8359" t="str">
        <f>"50710430107128"</f>
        <v>50710430107128</v>
      </c>
      <c r="F8359" s="8">
        <v>698</v>
      </c>
      <c r="G8359" s="8">
        <v>10374</v>
      </c>
      <c r="H8359" s="8">
        <v>0</v>
      </c>
      <c r="I8359" s="8">
        <v>0</v>
      </c>
    </row>
    <row r="8360" spans="1:9" x14ac:dyDescent="0.2">
      <c r="A8360" t="s">
        <v>1849</v>
      </c>
      <c r="B8360" t="s">
        <v>1853</v>
      </c>
      <c r="C8360" t="str">
        <f t="shared" si="419"/>
        <v>50710430000000</v>
      </c>
      <c r="D8360" t="s">
        <v>9148</v>
      </c>
      <c r="E8360" t="str">
        <f>"50710430107136"</f>
        <v>50710430107136</v>
      </c>
      <c r="F8360" s="8">
        <v>81</v>
      </c>
      <c r="G8360" s="8">
        <v>10536</v>
      </c>
      <c r="H8360" s="8">
        <v>0</v>
      </c>
      <c r="I8360" s="8">
        <v>0</v>
      </c>
    </row>
    <row r="8361" spans="1:9" x14ac:dyDescent="0.2">
      <c r="A8361" t="s">
        <v>1849</v>
      </c>
      <c r="B8361" t="s">
        <v>1853</v>
      </c>
      <c r="C8361" t="str">
        <f t="shared" si="419"/>
        <v>50710430000000</v>
      </c>
      <c r="D8361" t="s">
        <v>9149</v>
      </c>
      <c r="E8361" t="str">
        <f>"50710430133827"</f>
        <v>50710430133827</v>
      </c>
      <c r="F8361" s="8" t="s">
        <v>30</v>
      </c>
      <c r="G8361" s="8" t="s">
        <v>30</v>
      </c>
      <c r="H8361" s="8" t="s">
        <v>30</v>
      </c>
      <c r="I8361" s="8" t="s">
        <v>30</v>
      </c>
    </row>
    <row r="8362" spans="1:9" x14ac:dyDescent="0.2">
      <c r="A8362" t="s">
        <v>1849</v>
      </c>
      <c r="B8362" t="s">
        <v>1854</v>
      </c>
      <c r="C8362" t="str">
        <f>"50710500000000"</f>
        <v>50710500000000</v>
      </c>
      <c r="D8362" t="s">
        <v>9150</v>
      </c>
      <c r="E8362" t="str">
        <f>"50710506052484"</f>
        <v>50710506052484</v>
      </c>
      <c r="F8362" s="8">
        <v>660</v>
      </c>
      <c r="G8362" s="8">
        <v>6744</v>
      </c>
      <c r="H8362" s="8">
        <v>590</v>
      </c>
      <c r="I8362" s="8">
        <v>5426</v>
      </c>
    </row>
    <row r="8363" spans="1:9" x14ac:dyDescent="0.2">
      <c r="A8363" t="s">
        <v>1849</v>
      </c>
      <c r="B8363" t="s">
        <v>1854</v>
      </c>
      <c r="C8363" t="str">
        <f>"50710500000000"</f>
        <v>50710500000000</v>
      </c>
      <c r="D8363" t="s">
        <v>3335</v>
      </c>
      <c r="E8363" t="str">
        <f>"50710506052492"</f>
        <v>50710506052492</v>
      </c>
      <c r="F8363" s="8">
        <v>296</v>
      </c>
      <c r="G8363" s="8">
        <v>6686</v>
      </c>
      <c r="H8363" s="8">
        <v>594</v>
      </c>
      <c r="I8363" s="8">
        <v>5461</v>
      </c>
    </row>
    <row r="8364" spans="1:9" x14ac:dyDescent="0.2">
      <c r="A8364" t="s">
        <v>1849</v>
      </c>
      <c r="B8364" t="s">
        <v>1857</v>
      </c>
      <c r="C8364" t="str">
        <f>"50710680000000"</f>
        <v>50710680000000</v>
      </c>
      <c r="D8364" t="s">
        <v>9151</v>
      </c>
      <c r="E8364" t="str">
        <f>"50710680132662"</f>
        <v>50710680132662</v>
      </c>
      <c r="F8364" s="8">
        <v>781</v>
      </c>
      <c r="G8364" s="8">
        <v>9633</v>
      </c>
      <c r="H8364" s="8">
        <v>149</v>
      </c>
      <c r="I8364" s="8">
        <v>937</v>
      </c>
    </row>
    <row r="8365" spans="1:9" x14ac:dyDescent="0.2">
      <c r="A8365" t="s">
        <v>1849</v>
      </c>
      <c r="B8365" t="s">
        <v>1857</v>
      </c>
      <c r="C8365" t="str">
        <f>"50710680000000"</f>
        <v>50710680000000</v>
      </c>
      <c r="D8365" t="s">
        <v>9152</v>
      </c>
      <c r="E8365" t="str">
        <f>"50710685031521"</f>
        <v>50710685031521</v>
      </c>
      <c r="F8365" s="8">
        <v>475</v>
      </c>
      <c r="G8365" s="8">
        <v>9429</v>
      </c>
      <c r="H8365" s="8">
        <v>88</v>
      </c>
      <c r="I8365" s="8">
        <v>71</v>
      </c>
    </row>
    <row r="8366" spans="1:9" x14ac:dyDescent="0.2">
      <c r="A8366" t="s">
        <v>1849</v>
      </c>
      <c r="B8366" t="s">
        <v>1857</v>
      </c>
      <c r="C8366" t="str">
        <f>"50710680000000"</f>
        <v>50710680000000</v>
      </c>
      <c r="D8366" t="s">
        <v>9153</v>
      </c>
      <c r="E8366" t="str">
        <f>"50710685030267"</f>
        <v>50710685030267</v>
      </c>
      <c r="F8366" s="8">
        <v>125</v>
      </c>
      <c r="G8366" s="8">
        <v>9395</v>
      </c>
      <c r="H8366" s="8">
        <v>0</v>
      </c>
      <c r="I8366" s="8">
        <v>63</v>
      </c>
    </row>
    <row r="8367" spans="1:9" x14ac:dyDescent="0.2">
      <c r="A8367" t="s">
        <v>1849</v>
      </c>
      <c r="B8367" t="s">
        <v>1857</v>
      </c>
      <c r="C8367" t="str">
        <f>"50710680000000"</f>
        <v>50710680000000</v>
      </c>
      <c r="D8367" t="s">
        <v>9154</v>
      </c>
      <c r="E8367" t="str">
        <f>"50710686071575"</f>
        <v>50710686071575</v>
      </c>
      <c r="F8367" s="8">
        <v>1615</v>
      </c>
      <c r="G8367" s="8">
        <v>7317</v>
      </c>
      <c r="H8367" s="8">
        <v>34</v>
      </c>
      <c r="I8367" s="8">
        <v>174</v>
      </c>
    </row>
    <row r="8368" spans="1:9" x14ac:dyDescent="0.2">
      <c r="A8368" t="s">
        <v>1849</v>
      </c>
      <c r="B8368" t="s">
        <v>1857</v>
      </c>
      <c r="C8368" t="str">
        <f>"50710680000000"</f>
        <v>50710680000000</v>
      </c>
      <c r="D8368" t="s">
        <v>9155</v>
      </c>
      <c r="E8368" t="str">
        <f>"50710686052500"</f>
        <v>50710686052500</v>
      </c>
      <c r="F8368" s="8">
        <v>43</v>
      </c>
      <c r="G8368" s="8">
        <v>4394</v>
      </c>
      <c r="H8368" s="8">
        <v>0</v>
      </c>
      <c r="I8368" s="8">
        <v>60</v>
      </c>
    </row>
    <row r="8369" spans="1:9" x14ac:dyDescent="0.2">
      <c r="A8369" t="s">
        <v>1849</v>
      </c>
      <c r="B8369" t="s">
        <v>1859</v>
      </c>
      <c r="C8369" t="str">
        <f t="shared" ref="C8369:C8374" si="420">"50710760000000"</f>
        <v>50710760000000</v>
      </c>
      <c r="D8369" t="s">
        <v>9156</v>
      </c>
      <c r="E8369" t="str">
        <f>"50710766098180"</f>
        <v>50710766098180</v>
      </c>
      <c r="F8369" s="8">
        <v>226</v>
      </c>
      <c r="G8369" s="8">
        <v>104</v>
      </c>
      <c r="H8369" s="8">
        <v>1707</v>
      </c>
      <c r="I8369" s="8">
        <v>10194</v>
      </c>
    </row>
    <row r="8370" spans="1:9" x14ac:dyDescent="0.2">
      <c r="A8370" t="s">
        <v>1849</v>
      </c>
      <c r="B8370" t="s">
        <v>1859</v>
      </c>
      <c r="C8370" t="str">
        <f t="shared" si="420"/>
        <v>50710760000000</v>
      </c>
      <c r="D8370" t="s">
        <v>9157</v>
      </c>
      <c r="E8370" t="str">
        <f>"50710766093504"</f>
        <v>50710766093504</v>
      </c>
      <c r="F8370" s="8">
        <v>190</v>
      </c>
      <c r="G8370" s="8">
        <v>102</v>
      </c>
      <c r="H8370" s="8">
        <v>1707</v>
      </c>
      <c r="I8370" s="8">
        <v>10194</v>
      </c>
    </row>
    <row r="8371" spans="1:9" x14ac:dyDescent="0.2">
      <c r="A8371" t="s">
        <v>1849</v>
      </c>
      <c r="B8371" t="s">
        <v>1859</v>
      </c>
      <c r="C8371" t="str">
        <f t="shared" si="420"/>
        <v>50710760000000</v>
      </c>
      <c r="D8371" t="s">
        <v>9158</v>
      </c>
      <c r="E8371" t="str">
        <f>"50710766107932"</f>
        <v>50710766107932</v>
      </c>
      <c r="F8371" s="8">
        <v>199</v>
      </c>
      <c r="G8371" s="8">
        <v>79</v>
      </c>
      <c r="H8371" s="8">
        <v>1707</v>
      </c>
      <c r="I8371" s="8">
        <v>10194</v>
      </c>
    </row>
    <row r="8372" spans="1:9" x14ac:dyDescent="0.2">
      <c r="A8372" t="s">
        <v>1849</v>
      </c>
      <c r="B8372" t="s">
        <v>1859</v>
      </c>
      <c r="C8372" t="str">
        <f t="shared" si="420"/>
        <v>50710760000000</v>
      </c>
      <c r="D8372" t="s">
        <v>9159</v>
      </c>
      <c r="E8372" t="str">
        <f>"50710766111892"</f>
        <v>50710766111892</v>
      </c>
      <c r="F8372" s="8">
        <v>168</v>
      </c>
      <c r="G8372" s="8">
        <v>83</v>
      </c>
      <c r="H8372" s="8">
        <v>1707</v>
      </c>
      <c r="I8372" s="8">
        <v>10194</v>
      </c>
    </row>
    <row r="8373" spans="1:9" x14ac:dyDescent="0.2">
      <c r="A8373" t="s">
        <v>1849</v>
      </c>
      <c r="B8373" t="s">
        <v>1859</v>
      </c>
      <c r="C8373" t="str">
        <f t="shared" si="420"/>
        <v>50710760000000</v>
      </c>
      <c r="D8373" t="s">
        <v>9160</v>
      </c>
      <c r="E8373" t="str">
        <f>"50710760101493"</f>
        <v>50710760101493</v>
      </c>
      <c r="F8373" s="8">
        <v>158</v>
      </c>
      <c r="G8373" s="8">
        <v>61</v>
      </c>
      <c r="H8373" s="8">
        <v>1707</v>
      </c>
      <c r="I8373" s="8">
        <v>10194</v>
      </c>
    </row>
    <row r="8374" spans="1:9" x14ac:dyDescent="0.2">
      <c r="A8374" t="s">
        <v>1849</v>
      </c>
      <c r="B8374" t="s">
        <v>1859</v>
      </c>
      <c r="C8374" t="str">
        <f t="shared" si="420"/>
        <v>50710760000000</v>
      </c>
      <c r="D8374" t="s">
        <v>9161</v>
      </c>
      <c r="E8374" t="str">
        <f>"50710766052518"</f>
        <v>50710766052518</v>
      </c>
      <c r="F8374" s="8">
        <v>155</v>
      </c>
      <c r="G8374" s="8">
        <v>51</v>
      </c>
      <c r="H8374" s="8">
        <v>1707</v>
      </c>
      <c r="I8374" s="8">
        <v>10194</v>
      </c>
    </row>
    <row r="8375" spans="1:9" x14ac:dyDescent="0.2">
      <c r="A8375" t="s">
        <v>1849</v>
      </c>
      <c r="B8375" t="s">
        <v>1861</v>
      </c>
      <c r="C8375" t="str">
        <f>"50710840000000"</f>
        <v>50710840000000</v>
      </c>
      <c r="D8375" t="s">
        <v>9162</v>
      </c>
      <c r="E8375" t="str">
        <f>"50710840120089"</f>
        <v>50710840120089</v>
      </c>
      <c r="F8375" s="8">
        <v>0</v>
      </c>
      <c r="G8375" s="8">
        <v>0</v>
      </c>
      <c r="H8375" s="8">
        <v>889</v>
      </c>
      <c r="I8375" s="8">
        <v>10474</v>
      </c>
    </row>
    <row r="8376" spans="1:9" x14ac:dyDescent="0.2">
      <c r="A8376" t="s">
        <v>1849</v>
      </c>
      <c r="B8376" t="s">
        <v>1861</v>
      </c>
      <c r="C8376" t="str">
        <f>"50710840000000"</f>
        <v>50710840000000</v>
      </c>
      <c r="D8376" t="s">
        <v>1861</v>
      </c>
      <c r="E8376" t="str">
        <f>"50710846052534"</f>
        <v>50710846052534</v>
      </c>
      <c r="F8376" s="8">
        <v>0</v>
      </c>
      <c r="G8376" s="8">
        <v>0</v>
      </c>
      <c r="H8376" s="8">
        <v>889</v>
      </c>
      <c r="I8376" s="8">
        <v>10474</v>
      </c>
    </row>
    <row r="8377" spans="1:9" x14ac:dyDescent="0.2">
      <c r="A8377" t="s">
        <v>1849</v>
      </c>
      <c r="B8377" t="s">
        <v>1864</v>
      </c>
      <c r="C8377" t="str">
        <f>"50710920000000"</f>
        <v>50710920000000</v>
      </c>
      <c r="D8377" t="s">
        <v>9163</v>
      </c>
      <c r="E8377" t="str">
        <f>"50710926052542"</f>
        <v>50710926052542</v>
      </c>
      <c r="F8377" s="8">
        <v>2496</v>
      </c>
      <c r="G8377" s="8">
        <v>6803</v>
      </c>
      <c r="H8377" s="8">
        <v>24</v>
      </c>
      <c r="I8377" s="8">
        <v>931</v>
      </c>
    </row>
    <row r="8378" spans="1:9" x14ac:dyDescent="0.2">
      <c r="A8378" t="s">
        <v>1849</v>
      </c>
      <c r="B8378" t="s">
        <v>1864</v>
      </c>
      <c r="C8378" t="str">
        <f>"50710920000000"</f>
        <v>50710920000000</v>
      </c>
      <c r="D8378" t="s">
        <v>9164</v>
      </c>
      <c r="E8378" t="str">
        <f>"50710926112965"</f>
        <v>50710926112965</v>
      </c>
      <c r="F8378" s="8">
        <v>453</v>
      </c>
      <c r="G8378" s="8">
        <v>7599</v>
      </c>
      <c r="H8378" s="8">
        <v>0</v>
      </c>
      <c r="I8378" s="8">
        <v>353</v>
      </c>
    </row>
    <row r="8379" spans="1:9" x14ac:dyDescent="0.2">
      <c r="A8379" t="s">
        <v>1849</v>
      </c>
      <c r="B8379" t="s">
        <v>1865</v>
      </c>
      <c r="C8379" t="str">
        <f>"50711000000000"</f>
        <v>50711000000000</v>
      </c>
      <c r="D8379" t="s">
        <v>7764</v>
      </c>
      <c r="E8379" t="str">
        <f>"50711006052559"</f>
        <v>50711006052559</v>
      </c>
      <c r="F8379" s="8">
        <v>833</v>
      </c>
      <c r="G8379" s="8">
        <v>8935</v>
      </c>
      <c r="H8379" s="8">
        <v>0</v>
      </c>
      <c r="I8379" s="8">
        <v>819</v>
      </c>
    </row>
    <row r="8380" spans="1:9" x14ac:dyDescent="0.2">
      <c r="A8380" t="s">
        <v>1849</v>
      </c>
      <c r="B8380" t="s">
        <v>1865</v>
      </c>
      <c r="C8380" t="str">
        <f>"50711000000000"</f>
        <v>50711000000000</v>
      </c>
      <c r="D8380" t="s">
        <v>9165</v>
      </c>
      <c r="E8380" t="str">
        <f>"50711006116388"</f>
        <v>50711006116388</v>
      </c>
      <c r="F8380" s="8">
        <v>588</v>
      </c>
      <c r="G8380" s="8">
        <v>8859</v>
      </c>
      <c r="H8380" s="8">
        <v>0</v>
      </c>
      <c r="I8380" s="8">
        <v>826</v>
      </c>
    </row>
    <row r="8381" spans="1:9" x14ac:dyDescent="0.2">
      <c r="A8381" t="s">
        <v>1849</v>
      </c>
      <c r="B8381" t="s">
        <v>1865</v>
      </c>
      <c r="C8381" t="str">
        <f>"50711000000000"</f>
        <v>50711000000000</v>
      </c>
      <c r="D8381" t="s">
        <v>9166</v>
      </c>
      <c r="E8381" t="str">
        <f>"50711006112627"</f>
        <v>50711006112627</v>
      </c>
      <c r="F8381" s="8">
        <v>435</v>
      </c>
      <c r="G8381" s="8">
        <v>7408</v>
      </c>
      <c r="H8381" s="8">
        <v>0</v>
      </c>
      <c r="I8381" s="8">
        <v>677</v>
      </c>
    </row>
    <row r="8382" spans="1:9" x14ac:dyDescent="0.2">
      <c r="A8382" t="s">
        <v>1849</v>
      </c>
      <c r="B8382" t="s">
        <v>1866</v>
      </c>
      <c r="C8382" t="str">
        <f t="shared" ref="C8382:C8387" si="421">"50755490000000"</f>
        <v>50755490000000</v>
      </c>
      <c r="D8382" t="s">
        <v>9167</v>
      </c>
      <c r="E8382" t="str">
        <f>"50755496052575"</f>
        <v>50755496052575</v>
      </c>
      <c r="F8382" s="8">
        <v>1433</v>
      </c>
      <c r="G8382" s="8">
        <v>9455</v>
      </c>
      <c r="H8382" s="8">
        <v>1653</v>
      </c>
      <c r="I8382" s="8">
        <v>3044</v>
      </c>
    </row>
    <row r="8383" spans="1:9" x14ac:dyDescent="0.2">
      <c r="A8383" t="s">
        <v>1849</v>
      </c>
      <c r="B8383" t="s">
        <v>1866</v>
      </c>
      <c r="C8383" t="str">
        <f t="shared" si="421"/>
        <v>50755490000000</v>
      </c>
      <c r="D8383" t="s">
        <v>9168</v>
      </c>
      <c r="E8383" t="str">
        <f>"50755490101030"</f>
        <v>50755490101030</v>
      </c>
      <c r="F8383" s="8">
        <v>1363</v>
      </c>
      <c r="G8383" s="8">
        <v>7543</v>
      </c>
      <c r="H8383" s="8">
        <v>1731</v>
      </c>
      <c r="I8383" s="8">
        <v>3044</v>
      </c>
    </row>
    <row r="8384" spans="1:9" x14ac:dyDescent="0.2">
      <c r="A8384" t="s">
        <v>1849</v>
      </c>
      <c r="B8384" t="s">
        <v>1866</v>
      </c>
      <c r="C8384" t="str">
        <f t="shared" si="421"/>
        <v>50755490000000</v>
      </c>
      <c r="D8384" t="s">
        <v>9169</v>
      </c>
      <c r="E8384" t="str">
        <f>"50755496052567"</f>
        <v>50755496052567</v>
      </c>
      <c r="F8384" s="8">
        <v>1361</v>
      </c>
      <c r="G8384" s="8">
        <v>7344</v>
      </c>
      <c r="H8384" s="8">
        <v>671</v>
      </c>
      <c r="I8384" s="8">
        <v>3044</v>
      </c>
    </row>
    <row r="8385" spans="1:9" x14ac:dyDescent="0.2">
      <c r="A8385" t="s">
        <v>1849</v>
      </c>
      <c r="B8385" t="s">
        <v>1866</v>
      </c>
      <c r="C8385" t="str">
        <f t="shared" si="421"/>
        <v>50755490000000</v>
      </c>
      <c r="D8385" t="s">
        <v>9170</v>
      </c>
      <c r="E8385" t="str">
        <f>"50755495032651"</f>
        <v>50755495032651</v>
      </c>
      <c r="F8385" s="8">
        <v>692</v>
      </c>
      <c r="G8385" s="8">
        <v>6787</v>
      </c>
      <c r="H8385" s="8">
        <v>1653</v>
      </c>
      <c r="I8385" s="8">
        <v>3044</v>
      </c>
    </row>
    <row r="8386" spans="1:9" x14ac:dyDescent="0.2">
      <c r="A8386" t="s">
        <v>1849</v>
      </c>
      <c r="B8386" t="s">
        <v>1866</v>
      </c>
      <c r="C8386" t="str">
        <f t="shared" si="421"/>
        <v>50755490000000</v>
      </c>
      <c r="D8386" t="s">
        <v>9171</v>
      </c>
      <c r="E8386" t="str">
        <f>"50755495032669"</f>
        <v>50755495032669</v>
      </c>
      <c r="F8386" s="8">
        <v>208</v>
      </c>
      <c r="G8386" s="8">
        <v>4823</v>
      </c>
      <c r="H8386" s="8">
        <v>1653</v>
      </c>
      <c r="I8386" s="8">
        <v>3044</v>
      </c>
    </row>
    <row r="8387" spans="1:9" x14ac:dyDescent="0.2">
      <c r="A8387" t="s">
        <v>1849</v>
      </c>
      <c r="B8387" t="s">
        <v>1866</v>
      </c>
      <c r="C8387" t="str">
        <f t="shared" si="421"/>
        <v>50755490000000</v>
      </c>
      <c r="D8387" t="s">
        <v>3889</v>
      </c>
      <c r="E8387" t="str">
        <f>"50755490116848"</f>
        <v>50755490116848</v>
      </c>
      <c r="F8387" s="8">
        <v>208</v>
      </c>
      <c r="G8387" s="8">
        <v>4823</v>
      </c>
      <c r="H8387" s="8">
        <v>1653</v>
      </c>
      <c r="I8387" s="8">
        <v>3044</v>
      </c>
    </row>
    <row r="8388" spans="1:9" x14ac:dyDescent="0.2">
      <c r="A8388" t="s">
        <v>1849</v>
      </c>
      <c r="B8388" t="s">
        <v>1867</v>
      </c>
      <c r="C8388" t="str">
        <f>"50711340000000"</f>
        <v>50711340000000</v>
      </c>
      <c r="D8388" t="s">
        <v>9172</v>
      </c>
      <c r="E8388" t="str">
        <f>"50711346119002"</f>
        <v>50711346119002</v>
      </c>
      <c r="F8388" s="8">
        <v>1905</v>
      </c>
      <c r="G8388" s="8">
        <v>8079</v>
      </c>
      <c r="H8388" s="8">
        <v>257</v>
      </c>
      <c r="I8388" s="8">
        <v>3682</v>
      </c>
    </row>
    <row r="8389" spans="1:9" x14ac:dyDescent="0.2">
      <c r="A8389" t="s">
        <v>1849</v>
      </c>
      <c r="B8389" t="s">
        <v>1867</v>
      </c>
      <c r="C8389" t="str">
        <f>"50711340000000"</f>
        <v>50711340000000</v>
      </c>
      <c r="D8389" t="s">
        <v>9173</v>
      </c>
      <c r="E8389" t="str">
        <f>"50711346052591"</f>
        <v>50711346052591</v>
      </c>
      <c r="F8389" s="8">
        <v>2688</v>
      </c>
      <c r="G8389" s="8">
        <v>6937</v>
      </c>
      <c r="H8389" s="8">
        <v>257</v>
      </c>
      <c r="I8389" s="8">
        <v>3682</v>
      </c>
    </row>
    <row r="8390" spans="1:9" x14ac:dyDescent="0.2">
      <c r="A8390" t="s">
        <v>1849</v>
      </c>
      <c r="B8390" t="s">
        <v>1867</v>
      </c>
      <c r="C8390" t="str">
        <f>"50711340000000"</f>
        <v>50711340000000</v>
      </c>
      <c r="D8390" t="s">
        <v>9174</v>
      </c>
      <c r="E8390" t="str">
        <f>"50711346113286"</f>
        <v>50711346113286</v>
      </c>
      <c r="F8390" s="8">
        <v>63</v>
      </c>
      <c r="G8390" s="8">
        <v>6834</v>
      </c>
      <c r="H8390" s="8">
        <v>257</v>
      </c>
      <c r="I8390" s="8">
        <v>3682</v>
      </c>
    </row>
    <row r="8391" spans="1:9" x14ac:dyDescent="0.2">
      <c r="A8391" t="s">
        <v>1849</v>
      </c>
      <c r="B8391" t="s">
        <v>1868</v>
      </c>
      <c r="C8391" t="str">
        <f>"50711420000000"</f>
        <v>50711420000000</v>
      </c>
      <c r="D8391" t="s">
        <v>1868</v>
      </c>
      <c r="E8391" t="str">
        <f>"50711426052609"</f>
        <v>50711426052609</v>
      </c>
      <c r="F8391" s="8">
        <v>827</v>
      </c>
      <c r="G8391" s="8">
        <v>9772</v>
      </c>
      <c r="H8391" s="8">
        <v>0</v>
      </c>
      <c r="I8391" s="8">
        <v>0</v>
      </c>
    </row>
    <row r="8392" spans="1:9" x14ac:dyDescent="0.2">
      <c r="A8392" t="s">
        <v>1849</v>
      </c>
      <c r="B8392" t="s">
        <v>1869</v>
      </c>
      <c r="C8392" t="str">
        <f t="shared" ref="C8392:C8417" si="422">"50711670000000"</f>
        <v>50711670000000</v>
      </c>
      <c r="D8392" t="s">
        <v>9175</v>
      </c>
      <c r="E8392" t="str">
        <f>"50711676052716"</f>
        <v>50711676052716</v>
      </c>
      <c r="F8392" s="8">
        <v>578</v>
      </c>
      <c r="G8392" s="8">
        <v>17542</v>
      </c>
      <c r="H8392" s="8">
        <v>1501</v>
      </c>
      <c r="I8392" s="8">
        <v>3079</v>
      </c>
    </row>
    <row r="8393" spans="1:9" x14ac:dyDescent="0.2">
      <c r="A8393" t="s">
        <v>1849</v>
      </c>
      <c r="B8393" t="s">
        <v>1869</v>
      </c>
      <c r="C8393" t="str">
        <f t="shared" si="422"/>
        <v>50711670000000</v>
      </c>
      <c r="D8393" t="s">
        <v>9176</v>
      </c>
      <c r="E8393" t="str">
        <f>"50711676052658"</f>
        <v>50711676052658</v>
      </c>
      <c r="F8393" s="8">
        <v>840</v>
      </c>
      <c r="G8393" s="8">
        <v>9733</v>
      </c>
      <c r="H8393" s="8">
        <v>1501</v>
      </c>
      <c r="I8393" s="8">
        <v>3079</v>
      </c>
    </row>
    <row r="8394" spans="1:9" x14ac:dyDescent="0.2">
      <c r="A8394" t="s">
        <v>1849</v>
      </c>
      <c r="B8394" t="s">
        <v>1869</v>
      </c>
      <c r="C8394" t="str">
        <f t="shared" si="422"/>
        <v>50711670000000</v>
      </c>
      <c r="D8394" t="s">
        <v>9177</v>
      </c>
      <c r="E8394" t="str">
        <f>"50711676093512"</f>
        <v>50711676093512</v>
      </c>
      <c r="F8394" s="8">
        <v>236</v>
      </c>
      <c r="G8394" s="8">
        <v>10031</v>
      </c>
      <c r="H8394" s="8">
        <v>1501</v>
      </c>
      <c r="I8394" s="8">
        <v>3079</v>
      </c>
    </row>
    <row r="8395" spans="1:9" x14ac:dyDescent="0.2">
      <c r="A8395" t="s">
        <v>1849</v>
      </c>
      <c r="B8395" t="s">
        <v>1869</v>
      </c>
      <c r="C8395" t="str">
        <f t="shared" si="422"/>
        <v>50711670000000</v>
      </c>
      <c r="D8395" t="s">
        <v>9178</v>
      </c>
      <c r="E8395" t="str">
        <f>"50711676052625"</f>
        <v>50711676052625</v>
      </c>
      <c r="F8395" s="8">
        <v>522</v>
      </c>
      <c r="G8395" s="8">
        <v>9558</v>
      </c>
      <c r="H8395" s="8">
        <v>1501</v>
      </c>
      <c r="I8395" s="8">
        <v>3079</v>
      </c>
    </row>
    <row r="8396" spans="1:9" x14ac:dyDescent="0.2">
      <c r="A8396" t="s">
        <v>1849</v>
      </c>
      <c r="B8396" t="s">
        <v>1869</v>
      </c>
      <c r="C8396" t="str">
        <f t="shared" si="422"/>
        <v>50711670000000</v>
      </c>
      <c r="D8396" t="s">
        <v>9179</v>
      </c>
      <c r="E8396" t="str">
        <f>"50711676052781"</f>
        <v>50711676052781</v>
      </c>
      <c r="F8396" s="8">
        <v>1031</v>
      </c>
      <c r="G8396" s="8">
        <v>8509</v>
      </c>
      <c r="H8396" s="8">
        <v>1501</v>
      </c>
      <c r="I8396" s="8">
        <v>3079</v>
      </c>
    </row>
    <row r="8397" spans="1:9" x14ac:dyDescent="0.2">
      <c r="A8397" t="s">
        <v>1849</v>
      </c>
      <c r="B8397" t="s">
        <v>1869</v>
      </c>
      <c r="C8397" t="str">
        <f t="shared" si="422"/>
        <v>50711670000000</v>
      </c>
      <c r="D8397" t="s">
        <v>8078</v>
      </c>
      <c r="E8397" t="str">
        <f>"50711676097752"</f>
        <v>50711676097752</v>
      </c>
      <c r="F8397" s="8">
        <v>12</v>
      </c>
      <c r="G8397" s="8">
        <v>9458</v>
      </c>
      <c r="H8397" s="8">
        <v>1501</v>
      </c>
      <c r="I8397" s="8">
        <v>3079</v>
      </c>
    </row>
    <row r="8398" spans="1:9" x14ac:dyDescent="0.2">
      <c r="A8398" t="s">
        <v>1849</v>
      </c>
      <c r="B8398" t="s">
        <v>1869</v>
      </c>
      <c r="C8398" t="str">
        <f t="shared" si="422"/>
        <v>50711670000000</v>
      </c>
      <c r="D8398" t="s">
        <v>3444</v>
      </c>
      <c r="E8398" t="str">
        <f>"50711676052633"</f>
        <v>50711676052633</v>
      </c>
      <c r="F8398" s="8">
        <v>535</v>
      </c>
      <c r="G8398" s="8">
        <v>8680</v>
      </c>
      <c r="H8398" s="8">
        <v>1501</v>
      </c>
      <c r="I8398" s="8">
        <v>3079</v>
      </c>
    </row>
    <row r="8399" spans="1:9" x14ac:dyDescent="0.2">
      <c r="A8399" t="s">
        <v>1849</v>
      </c>
      <c r="B8399" t="s">
        <v>1869</v>
      </c>
      <c r="C8399" t="str">
        <f t="shared" si="422"/>
        <v>50711670000000</v>
      </c>
      <c r="D8399" t="s">
        <v>2093</v>
      </c>
      <c r="E8399" t="str">
        <f>"50711676052724"</f>
        <v>50711676052724</v>
      </c>
      <c r="F8399" s="8">
        <v>259</v>
      </c>
      <c r="G8399" s="8">
        <v>8809</v>
      </c>
      <c r="H8399" s="8">
        <v>1501</v>
      </c>
      <c r="I8399" s="8">
        <v>3079</v>
      </c>
    </row>
    <row r="8400" spans="1:9" x14ac:dyDescent="0.2">
      <c r="A8400" t="s">
        <v>1849</v>
      </c>
      <c r="B8400" t="s">
        <v>1869</v>
      </c>
      <c r="C8400" t="str">
        <f t="shared" si="422"/>
        <v>50711670000000</v>
      </c>
      <c r="D8400" t="s">
        <v>2348</v>
      </c>
      <c r="E8400" t="str">
        <f>"50711676052872"</f>
        <v>50711676052872</v>
      </c>
      <c r="F8400" s="8">
        <v>165</v>
      </c>
      <c r="G8400" s="8">
        <v>8814</v>
      </c>
      <c r="H8400" s="8">
        <v>1501</v>
      </c>
      <c r="I8400" s="8">
        <v>3079</v>
      </c>
    </row>
    <row r="8401" spans="1:9" x14ac:dyDescent="0.2">
      <c r="A8401" t="s">
        <v>1849</v>
      </c>
      <c r="B8401" t="s">
        <v>1869</v>
      </c>
      <c r="C8401" t="str">
        <f t="shared" si="422"/>
        <v>50711670000000</v>
      </c>
      <c r="D8401" t="s">
        <v>9180</v>
      </c>
      <c r="E8401" t="str">
        <f>"50711676052708"</f>
        <v>50711676052708</v>
      </c>
      <c r="F8401" s="8">
        <v>224</v>
      </c>
      <c r="G8401" s="8">
        <v>8722</v>
      </c>
      <c r="H8401" s="8">
        <v>1501</v>
      </c>
      <c r="I8401" s="8">
        <v>3079</v>
      </c>
    </row>
    <row r="8402" spans="1:9" x14ac:dyDescent="0.2">
      <c r="A8402" t="s">
        <v>1849</v>
      </c>
      <c r="B8402" t="s">
        <v>1869</v>
      </c>
      <c r="C8402" t="str">
        <f t="shared" si="422"/>
        <v>50711670000000</v>
      </c>
      <c r="D8402" t="s">
        <v>9181</v>
      </c>
      <c r="E8402" t="str">
        <f>"50711676052815"</f>
        <v>50711676052815</v>
      </c>
      <c r="F8402" s="8">
        <v>487</v>
      </c>
      <c r="G8402" s="8">
        <v>8383</v>
      </c>
      <c r="H8402" s="8">
        <v>1501</v>
      </c>
      <c r="I8402" s="8">
        <v>3079</v>
      </c>
    </row>
    <row r="8403" spans="1:9" x14ac:dyDescent="0.2">
      <c r="A8403" t="s">
        <v>1849</v>
      </c>
      <c r="B8403" t="s">
        <v>1869</v>
      </c>
      <c r="C8403" t="str">
        <f t="shared" si="422"/>
        <v>50711670000000</v>
      </c>
      <c r="D8403" t="s">
        <v>9182</v>
      </c>
      <c r="E8403" t="str">
        <f>"50711676052823"</f>
        <v>50711676052823</v>
      </c>
      <c r="F8403" s="8">
        <v>584</v>
      </c>
      <c r="G8403" s="8">
        <v>8155</v>
      </c>
      <c r="H8403" s="8">
        <v>1501</v>
      </c>
      <c r="I8403" s="8">
        <v>3079</v>
      </c>
    </row>
    <row r="8404" spans="1:9" x14ac:dyDescent="0.2">
      <c r="A8404" t="s">
        <v>1849</v>
      </c>
      <c r="B8404" t="s">
        <v>1869</v>
      </c>
      <c r="C8404" t="str">
        <f t="shared" si="422"/>
        <v>50711670000000</v>
      </c>
      <c r="D8404" t="s">
        <v>9183</v>
      </c>
      <c r="E8404" t="str">
        <f>"50711676052740"</f>
        <v>50711676052740</v>
      </c>
      <c r="F8404" s="8">
        <v>186</v>
      </c>
      <c r="G8404" s="8">
        <v>8349</v>
      </c>
      <c r="H8404" s="8">
        <v>1501</v>
      </c>
      <c r="I8404" s="8">
        <v>3079</v>
      </c>
    </row>
    <row r="8405" spans="1:9" x14ac:dyDescent="0.2">
      <c r="A8405" t="s">
        <v>1849</v>
      </c>
      <c r="B8405" t="s">
        <v>1869</v>
      </c>
      <c r="C8405" t="str">
        <f t="shared" si="422"/>
        <v>50711670000000</v>
      </c>
      <c r="D8405" t="s">
        <v>6846</v>
      </c>
      <c r="E8405" t="str">
        <f>"50711676052773"</f>
        <v>50711676052773</v>
      </c>
      <c r="F8405" s="8">
        <v>580</v>
      </c>
      <c r="G8405" s="8">
        <v>7911</v>
      </c>
      <c r="H8405" s="8">
        <v>1501</v>
      </c>
      <c r="I8405" s="8">
        <v>3079</v>
      </c>
    </row>
    <row r="8406" spans="1:9" x14ac:dyDescent="0.2">
      <c r="A8406" t="s">
        <v>1849</v>
      </c>
      <c r="B8406" t="s">
        <v>1869</v>
      </c>
      <c r="C8406" t="str">
        <f t="shared" si="422"/>
        <v>50711670000000</v>
      </c>
      <c r="D8406" t="s">
        <v>9184</v>
      </c>
      <c r="E8406" t="str">
        <f>"50711676052807"</f>
        <v>50711676052807</v>
      </c>
      <c r="F8406" s="8">
        <v>284</v>
      </c>
      <c r="G8406" s="8">
        <v>7820</v>
      </c>
      <c r="H8406" s="8">
        <v>1501</v>
      </c>
      <c r="I8406" s="8">
        <v>3079</v>
      </c>
    </row>
    <row r="8407" spans="1:9" x14ac:dyDescent="0.2">
      <c r="A8407" t="s">
        <v>1849</v>
      </c>
      <c r="B8407" t="s">
        <v>1869</v>
      </c>
      <c r="C8407" t="str">
        <f t="shared" si="422"/>
        <v>50711670000000</v>
      </c>
      <c r="D8407" t="s">
        <v>9185</v>
      </c>
      <c r="E8407" t="str">
        <f>"50711676052849"</f>
        <v>50711676052849</v>
      </c>
      <c r="F8407" s="8">
        <v>697</v>
      </c>
      <c r="G8407" s="8">
        <v>7346</v>
      </c>
      <c r="H8407" s="8">
        <v>1501</v>
      </c>
      <c r="I8407" s="8">
        <v>3079</v>
      </c>
    </row>
    <row r="8408" spans="1:9" x14ac:dyDescent="0.2">
      <c r="A8408" t="s">
        <v>1849</v>
      </c>
      <c r="B8408" t="s">
        <v>1869</v>
      </c>
      <c r="C8408" t="str">
        <f t="shared" si="422"/>
        <v>50711670000000</v>
      </c>
      <c r="D8408" t="s">
        <v>1894</v>
      </c>
      <c r="E8408" t="str">
        <f>"50711676052690"</f>
        <v>50711676052690</v>
      </c>
      <c r="F8408" s="8">
        <v>543</v>
      </c>
      <c r="G8408" s="8">
        <v>7343</v>
      </c>
      <c r="H8408" s="8">
        <v>1501</v>
      </c>
      <c r="I8408" s="8">
        <v>3079</v>
      </c>
    </row>
    <row r="8409" spans="1:9" x14ac:dyDescent="0.2">
      <c r="A8409" t="s">
        <v>1849</v>
      </c>
      <c r="B8409" t="s">
        <v>1869</v>
      </c>
      <c r="C8409" t="str">
        <f t="shared" si="422"/>
        <v>50711670000000</v>
      </c>
      <c r="D8409" t="s">
        <v>9186</v>
      </c>
      <c r="E8409" t="str">
        <f>"50711676107023"</f>
        <v>50711676107023</v>
      </c>
      <c r="F8409" s="8">
        <v>446</v>
      </c>
      <c r="G8409" s="8">
        <v>7289</v>
      </c>
      <c r="H8409" s="8">
        <v>1501</v>
      </c>
      <c r="I8409" s="8">
        <v>3079</v>
      </c>
    </row>
    <row r="8410" spans="1:9" x14ac:dyDescent="0.2">
      <c r="A8410" t="s">
        <v>1849</v>
      </c>
      <c r="B8410" t="s">
        <v>1869</v>
      </c>
      <c r="C8410" t="str">
        <f t="shared" si="422"/>
        <v>50711670000000</v>
      </c>
      <c r="D8410" t="s">
        <v>9187</v>
      </c>
      <c r="E8410" t="str">
        <f>"50711676105670"</f>
        <v>50711676105670</v>
      </c>
      <c r="F8410" s="8">
        <v>303</v>
      </c>
      <c r="G8410" s="8">
        <v>7389</v>
      </c>
      <c r="H8410" s="8">
        <v>1501</v>
      </c>
      <c r="I8410" s="8">
        <v>3079</v>
      </c>
    </row>
    <row r="8411" spans="1:9" x14ac:dyDescent="0.2">
      <c r="A8411" t="s">
        <v>1849</v>
      </c>
      <c r="B8411" t="s">
        <v>1869</v>
      </c>
      <c r="C8411" t="str">
        <f t="shared" si="422"/>
        <v>50711670000000</v>
      </c>
      <c r="D8411" t="s">
        <v>9188</v>
      </c>
      <c r="E8411" t="str">
        <f>"50711676052666"</f>
        <v>50711676052666</v>
      </c>
      <c r="F8411" s="8">
        <v>14</v>
      </c>
      <c r="G8411" s="8">
        <v>7624</v>
      </c>
      <c r="H8411" s="8">
        <v>1501</v>
      </c>
      <c r="I8411" s="8">
        <v>3079</v>
      </c>
    </row>
    <row r="8412" spans="1:9" x14ac:dyDescent="0.2">
      <c r="A8412" t="s">
        <v>1849</v>
      </c>
      <c r="B8412" t="s">
        <v>1869</v>
      </c>
      <c r="C8412" t="str">
        <f t="shared" si="422"/>
        <v>50711670000000</v>
      </c>
      <c r="D8412" t="s">
        <v>9189</v>
      </c>
      <c r="E8412" t="str">
        <f>"50711676052674"</f>
        <v>50711676052674</v>
      </c>
      <c r="F8412" s="8">
        <v>213</v>
      </c>
      <c r="G8412" s="8">
        <v>7392</v>
      </c>
      <c r="H8412" s="8">
        <v>1501</v>
      </c>
      <c r="I8412" s="8">
        <v>3079</v>
      </c>
    </row>
    <row r="8413" spans="1:9" x14ac:dyDescent="0.2">
      <c r="A8413" t="s">
        <v>1849</v>
      </c>
      <c r="B8413" t="s">
        <v>1869</v>
      </c>
      <c r="C8413" t="str">
        <f t="shared" si="422"/>
        <v>50711670000000</v>
      </c>
      <c r="D8413" t="s">
        <v>9190</v>
      </c>
      <c r="E8413" t="str">
        <f>"50711676052765"</f>
        <v>50711676052765</v>
      </c>
      <c r="F8413" s="8">
        <v>261</v>
      </c>
      <c r="G8413" s="8">
        <v>7325</v>
      </c>
      <c r="H8413" s="8">
        <v>1501</v>
      </c>
      <c r="I8413" s="8">
        <v>3079</v>
      </c>
    </row>
    <row r="8414" spans="1:9" x14ac:dyDescent="0.2">
      <c r="A8414" t="s">
        <v>1849</v>
      </c>
      <c r="B8414" t="s">
        <v>1869</v>
      </c>
      <c r="C8414" t="str">
        <f t="shared" si="422"/>
        <v>50711670000000</v>
      </c>
      <c r="D8414" t="s">
        <v>9191</v>
      </c>
      <c r="E8414" t="str">
        <f>"50711676052799"</f>
        <v>50711676052799</v>
      </c>
      <c r="F8414" s="8">
        <v>395</v>
      </c>
      <c r="G8414" s="8">
        <v>7111</v>
      </c>
      <c r="H8414" s="8">
        <v>1501</v>
      </c>
      <c r="I8414" s="8">
        <v>3079</v>
      </c>
    </row>
    <row r="8415" spans="1:9" x14ac:dyDescent="0.2">
      <c r="A8415" t="s">
        <v>1849</v>
      </c>
      <c r="B8415" t="s">
        <v>1869</v>
      </c>
      <c r="C8415" t="str">
        <f t="shared" si="422"/>
        <v>50711670000000</v>
      </c>
      <c r="D8415" t="s">
        <v>9192</v>
      </c>
      <c r="E8415" t="str">
        <f>"50711676110068"</f>
        <v>50711676110068</v>
      </c>
      <c r="F8415" s="8">
        <v>245</v>
      </c>
      <c r="G8415" s="8">
        <v>7235</v>
      </c>
      <c r="H8415" s="8">
        <v>1501</v>
      </c>
      <c r="I8415" s="8">
        <v>3079</v>
      </c>
    </row>
    <row r="8416" spans="1:9" x14ac:dyDescent="0.2">
      <c r="A8416" t="s">
        <v>1849</v>
      </c>
      <c r="B8416" t="s">
        <v>1869</v>
      </c>
      <c r="C8416" t="str">
        <f t="shared" si="422"/>
        <v>50711670000000</v>
      </c>
      <c r="D8416" t="s">
        <v>2185</v>
      </c>
      <c r="E8416" t="str">
        <f>"50711676052682"</f>
        <v>50711676052682</v>
      </c>
      <c r="F8416" s="8">
        <v>505</v>
      </c>
      <c r="G8416" s="8">
        <v>6956</v>
      </c>
      <c r="H8416" s="8">
        <v>1501</v>
      </c>
      <c r="I8416" s="8">
        <v>3079</v>
      </c>
    </row>
    <row r="8417" spans="1:9" x14ac:dyDescent="0.2">
      <c r="A8417" t="s">
        <v>1849</v>
      </c>
      <c r="B8417" t="s">
        <v>1869</v>
      </c>
      <c r="C8417" t="str">
        <f t="shared" si="422"/>
        <v>50711670000000</v>
      </c>
      <c r="D8417" t="s">
        <v>2203</v>
      </c>
      <c r="E8417" t="str">
        <f>"50711676052641"</f>
        <v>50711676052641</v>
      </c>
      <c r="F8417" s="8">
        <v>204</v>
      </c>
      <c r="G8417" s="8">
        <v>6749</v>
      </c>
      <c r="H8417" s="8">
        <v>1501</v>
      </c>
      <c r="I8417" s="8">
        <v>3079</v>
      </c>
    </row>
    <row r="8418" spans="1:9" x14ac:dyDescent="0.2">
      <c r="A8418" t="s">
        <v>1849</v>
      </c>
      <c r="B8418" t="s">
        <v>1870</v>
      </c>
      <c r="C8418" t="str">
        <f t="shared" ref="C8418:C8425" si="423">"50711750000000"</f>
        <v>50711750000000</v>
      </c>
      <c r="D8418" t="s">
        <v>9193</v>
      </c>
      <c r="E8418" t="str">
        <f>"50711755034913"</f>
        <v>50711755034913</v>
      </c>
      <c r="F8418" s="8">
        <v>818</v>
      </c>
      <c r="G8418" s="8">
        <v>23647</v>
      </c>
      <c r="H8418" s="8">
        <v>1501</v>
      </c>
      <c r="I8418" s="8">
        <v>3079</v>
      </c>
    </row>
    <row r="8419" spans="1:9" x14ac:dyDescent="0.2">
      <c r="A8419" t="s">
        <v>1849</v>
      </c>
      <c r="B8419" t="s">
        <v>1870</v>
      </c>
      <c r="C8419" t="str">
        <f t="shared" si="423"/>
        <v>50711750000000</v>
      </c>
      <c r="D8419" t="s">
        <v>9194</v>
      </c>
      <c r="E8419" t="str">
        <f>"50711755030010"</f>
        <v>50711755030010</v>
      </c>
      <c r="F8419" s="8">
        <v>288</v>
      </c>
      <c r="G8419" s="8">
        <v>8879</v>
      </c>
      <c r="H8419" s="8">
        <v>1501</v>
      </c>
      <c r="I8419" s="8">
        <v>3079</v>
      </c>
    </row>
    <row r="8420" spans="1:9" x14ac:dyDescent="0.2">
      <c r="A8420" t="s">
        <v>1849</v>
      </c>
      <c r="B8420" t="s">
        <v>1870</v>
      </c>
      <c r="C8420" t="str">
        <f t="shared" si="423"/>
        <v>50711750000000</v>
      </c>
      <c r="D8420" t="s">
        <v>9195</v>
      </c>
      <c r="E8420" t="str">
        <f>"50711755030135"</f>
        <v>50711755030135</v>
      </c>
      <c r="F8420" s="8">
        <v>405</v>
      </c>
      <c r="G8420" s="8">
        <v>8070</v>
      </c>
      <c r="H8420" s="8">
        <v>1501</v>
      </c>
      <c r="I8420" s="8">
        <v>3079</v>
      </c>
    </row>
    <row r="8421" spans="1:9" x14ac:dyDescent="0.2">
      <c r="A8421" t="s">
        <v>1849</v>
      </c>
      <c r="B8421" t="s">
        <v>1870</v>
      </c>
      <c r="C8421" t="str">
        <f t="shared" si="423"/>
        <v>50711750000000</v>
      </c>
      <c r="D8421" t="s">
        <v>9196</v>
      </c>
      <c r="E8421" t="str">
        <f>"50711755031802"</f>
        <v>50711755031802</v>
      </c>
      <c r="F8421" s="8">
        <v>253</v>
      </c>
      <c r="G8421" s="8">
        <v>7977</v>
      </c>
      <c r="H8421" s="8">
        <v>1501</v>
      </c>
      <c r="I8421" s="8">
        <v>3079</v>
      </c>
    </row>
    <row r="8422" spans="1:9" x14ac:dyDescent="0.2">
      <c r="A8422" t="s">
        <v>1849</v>
      </c>
      <c r="B8422" t="s">
        <v>1870</v>
      </c>
      <c r="C8422" t="str">
        <f t="shared" si="423"/>
        <v>50711750000000</v>
      </c>
      <c r="D8422" t="s">
        <v>9197</v>
      </c>
      <c r="E8422" t="str">
        <f>"50711755031380"</f>
        <v>50711755031380</v>
      </c>
      <c r="F8422" s="8">
        <v>320</v>
      </c>
      <c r="G8422" s="8">
        <v>7452</v>
      </c>
      <c r="H8422" s="8">
        <v>1501</v>
      </c>
      <c r="I8422" s="8">
        <v>3079</v>
      </c>
    </row>
    <row r="8423" spans="1:9" x14ac:dyDescent="0.2">
      <c r="A8423" t="s">
        <v>1849</v>
      </c>
      <c r="B8423" t="s">
        <v>1870</v>
      </c>
      <c r="C8423" t="str">
        <f t="shared" si="423"/>
        <v>50711750000000</v>
      </c>
      <c r="D8423" t="s">
        <v>9198</v>
      </c>
      <c r="E8423" t="str">
        <f>"50711755034905"</f>
        <v>50711755034905</v>
      </c>
      <c r="F8423" s="8">
        <v>281</v>
      </c>
      <c r="G8423" s="8">
        <v>7349</v>
      </c>
      <c r="H8423" s="8">
        <v>1501</v>
      </c>
      <c r="I8423" s="8">
        <v>3079</v>
      </c>
    </row>
    <row r="8424" spans="1:9" x14ac:dyDescent="0.2">
      <c r="A8424" t="s">
        <v>1849</v>
      </c>
      <c r="B8424" t="s">
        <v>1870</v>
      </c>
      <c r="C8424" t="str">
        <f t="shared" si="423"/>
        <v>50711750000000</v>
      </c>
      <c r="D8424" t="s">
        <v>9199</v>
      </c>
      <c r="E8424" t="str">
        <f>"50711750121129"</f>
        <v>50711750121129</v>
      </c>
      <c r="F8424" s="8">
        <v>15</v>
      </c>
      <c r="G8424" s="8">
        <v>7163</v>
      </c>
      <c r="H8424" s="8">
        <v>1501</v>
      </c>
      <c r="I8424" s="8">
        <v>3079</v>
      </c>
    </row>
    <row r="8425" spans="1:9" x14ac:dyDescent="0.2">
      <c r="A8425" t="s">
        <v>1849</v>
      </c>
      <c r="B8425" t="s">
        <v>1870</v>
      </c>
      <c r="C8425" t="str">
        <f t="shared" si="423"/>
        <v>50711750000000</v>
      </c>
      <c r="D8425" t="s">
        <v>9200</v>
      </c>
      <c r="E8425" t="str">
        <f>"50711750110593"</f>
        <v>50711750110593</v>
      </c>
      <c r="F8425" s="8">
        <v>16</v>
      </c>
      <c r="G8425" s="8">
        <v>7114</v>
      </c>
      <c r="H8425" s="8">
        <v>1501</v>
      </c>
      <c r="I8425" s="8">
        <v>3079</v>
      </c>
    </row>
    <row r="8426" spans="1:9" x14ac:dyDescent="0.2">
      <c r="A8426" t="s">
        <v>1849</v>
      </c>
      <c r="B8426" t="s">
        <v>1871</v>
      </c>
      <c r="C8426" t="str">
        <f t="shared" ref="C8426:C8434" si="424">"50736010000000"</f>
        <v>50736010000000</v>
      </c>
      <c r="D8426" t="s">
        <v>9201</v>
      </c>
      <c r="E8426" t="str">
        <f>"50736015030333"</f>
        <v>50736015030333</v>
      </c>
      <c r="F8426" s="8">
        <v>0</v>
      </c>
      <c r="G8426" s="8">
        <v>10220</v>
      </c>
      <c r="H8426" s="8">
        <v>1810</v>
      </c>
      <c r="I8426" s="8">
        <v>5403</v>
      </c>
    </row>
    <row r="8427" spans="1:9" x14ac:dyDescent="0.2">
      <c r="A8427" t="s">
        <v>1849</v>
      </c>
      <c r="B8427" t="s">
        <v>1871</v>
      </c>
      <c r="C8427" t="str">
        <f t="shared" si="424"/>
        <v>50736010000000</v>
      </c>
      <c r="D8427" t="s">
        <v>9202</v>
      </c>
      <c r="E8427" t="str">
        <f>"50736015030184"</f>
        <v>50736015030184</v>
      </c>
      <c r="F8427" s="8">
        <v>0</v>
      </c>
      <c r="G8427" s="8">
        <v>10220</v>
      </c>
      <c r="H8427" s="8">
        <v>5403</v>
      </c>
      <c r="I8427" s="8">
        <v>1810</v>
      </c>
    </row>
    <row r="8428" spans="1:9" x14ac:dyDescent="0.2">
      <c r="A8428" t="s">
        <v>1849</v>
      </c>
      <c r="B8428" t="s">
        <v>1871</v>
      </c>
      <c r="C8428" t="str">
        <f t="shared" si="424"/>
        <v>50736010000000</v>
      </c>
      <c r="D8428" t="s">
        <v>9203</v>
      </c>
      <c r="E8428" t="str">
        <f>"50736015030036"</f>
        <v>50736015030036</v>
      </c>
      <c r="F8428" s="8">
        <v>0</v>
      </c>
      <c r="G8428" s="8">
        <v>10220</v>
      </c>
      <c r="H8428" s="8">
        <v>5403</v>
      </c>
      <c r="I8428" s="8">
        <v>1810</v>
      </c>
    </row>
    <row r="8429" spans="1:9" x14ac:dyDescent="0.2">
      <c r="A8429" t="s">
        <v>1849</v>
      </c>
      <c r="B8429" t="s">
        <v>1871</v>
      </c>
      <c r="C8429" t="str">
        <f t="shared" si="424"/>
        <v>50736010000000</v>
      </c>
      <c r="D8429" t="s">
        <v>7341</v>
      </c>
      <c r="E8429" t="str">
        <f>"50736010101188"</f>
        <v>50736010101188</v>
      </c>
      <c r="F8429" s="8">
        <v>247</v>
      </c>
      <c r="G8429" s="8">
        <v>9223</v>
      </c>
      <c r="H8429" s="8">
        <v>1810</v>
      </c>
      <c r="I8429" s="8">
        <v>5403</v>
      </c>
    </row>
    <row r="8430" spans="1:9" x14ac:dyDescent="0.2">
      <c r="A8430" t="s">
        <v>1849</v>
      </c>
      <c r="B8430" t="s">
        <v>1871</v>
      </c>
      <c r="C8430" t="str">
        <f t="shared" si="424"/>
        <v>50736010000000</v>
      </c>
      <c r="D8430" t="s">
        <v>8461</v>
      </c>
      <c r="E8430" t="str">
        <f>"50736016025712"</f>
        <v>50736016025712</v>
      </c>
      <c r="F8430" s="8">
        <v>333</v>
      </c>
      <c r="G8430" s="8">
        <v>8326</v>
      </c>
      <c r="H8430" s="8">
        <v>1810</v>
      </c>
      <c r="I8430" s="8">
        <v>5403</v>
      </c>
    </row>
    <row r="8431" spans="1:9" x14ac:dyDescent="0.2">
      <c r="A8431" t="s">
        <v>1849</v>
      </c>
      <c r="B8431" t="s">
        <v>1871</v>
      </c>
      <c r="C8431" t="str">
        <f t="shared" si="424"/>
        <v>50736010000000</v>
      </c>
      <c r="D8431" t="s">
        <v>9204</v>
      </c>
      <c r="E8431" t="str">
        <f>"50736016025761"</f>
        <v>50736016025761</v>
      </c>
      <c r="F8431" s="8">
        <v>356</v>
      </c>
      <c r="G8431" s="8">
        <v>8114</v>
      </c>
      <c r="H8431" s="8">
        <v>1810</v>
      </c>
      <c r="I8431" s="8">
        <v>5403</v>
      </c>
    </row>
    <row r="8432" spans="1:9" x14ac:dyDescent="0.2">
      <c r="A8432" t="s">
        <v>1849</v>
      </c>
      <c r="B8432" t="s">
        <v>1871</v>
      </c>
      <c r="C8432" t="str">
        <f t="shared" si="424"/>
        <v>50736010000000</v>
      </c>
      <c r="D8432" t="s">
        <v>9205</v>
      </c>
      <c r="E8432" t="str">
        <f>"50736015035902"</f>
        <v>50736015035902</v>
      </c>
      <c r="F8432" s="8">
        <v>223</v>
      </c>
      <c r="G8432" s="8">
        <v>7884</v>
      </c>
      <c r="H8432" s="8">
        <v>1810</v>
      </c>
      <c r="I8432" s="8">
        <v>5403</v>
      </c>
    </row>
    <row r="8433" spans="1:9" x14ac:dyDescent="0.2">
      <c r="A8433" t="s">
        <v>1849</v>
      </c>
      <c r="B8433" t="s">
        <v>1871</v>
      </c>
      <c r="C8433" t="str">
        <f t="shared" si="424"/>
        <v>50736010000000</v>
      </c>
      <c r="D8433" t="s">
        <v>9206</v>
      </c>
      <c r="E8433" t="str">
        <f>"50736016025753"</f>
        <v>50736016025753</v>
      </c>
      <c r="F8433" s="8">
        <v>220</v>
      </c>
      <c r="G8433" s="8">
        <v>6880</v>
      </c>
      <c r="H8433" s="8">
        <v>1810</v>
      </c>
      <c r="I8433" s="8">
        <v>5403</v>
      </c>
    </row>
    <row r="8434" spans="1:9" x14ac:dyDescent="0.2">
      <c r="A8434" t="s">
        <v>1849</v>
      </c>
      <c r="B8434" t="s">
        <v>1871</v>
      </c>
      <c r="C8434" t="str">
        <f t="shared" si="424"/>
        <v>50736010000000</v>
      </c>
      <c r="D8434" t="s">
        <v>9207</v>
      </c>
      <c r="E8434" t="str">
        <f>"50736010124073"</f>
        <v>50736010124073</v>
      </c>
      <c r="F8434" s="8">
        <v>415</v>
      </c>
      <c r="G8434" s="8">
        <v>6546</v>
      </c>
      <c r="H8434" s="8">
        <v>1810</v>
      </c>
      <c r="I8434" s="8">
        <v>5403</v>
      </c>
    </row>
    <row r="8435" spans="1:9" x14ac:dyDescent="0.2">
      <c r="A8435" t="s">
        <v>1849</v>
      </c>
      <c r="B8435" t="s">
        <v>1872</v>
      </c>
      <c r="C8435" t="str">
        <f t="shared" ref="C8435:C8443" si="425">"50755640000000"</f>
        <v>50755640000000</v>
      </c>
      <c r="D8435" t="s">
        <v>9208</v>
      </c>
      <c r="E8435" t="str">
        <f>"50755645030192"</f>
        <v>50755645030192</v>
      </c>
      <c r="F8435" s="8">
        <v>0</v>
      </c>
      <c r="G8435" s="8">
        <v>12622</v>
      </c>
      <c r="H8435" s="8">
        <v>554</v>
      </c>
      <c r="I8435" s="8">
        <v>3819</v>
      </c>
    </row>
    <row r="8436" spans="1:9" x14ac:dyDescent="0.2">
      <c r="A8436" t="s">
        <v>1849</v>
      </c>
      <c r="B8436" t="s">
        <v>1872</v>
      </c>
      <c r="C8436" t="str">
        <f t="shared" si="425"/>
        <v>50755640000000</v>
      </c>
      <c r="D8436" t="s">
        <v>9209</v>
      </c>
      <c r="E8436" t="str">
        <f>"50755645031950"</f>
        <v>50755645031950</v>
      </c>
      <c r="F8436" s="8">
        <v>2317</v>
      </c>
      <c r="G8436" s="8">
        <v>9336</v>
      </c>
      <c r="H8436" s="8">
        <v>554</v>
      </c>
      <c r="I8436" s="8">
        <v>3819</v>
      </c>
    </row>
    <row r="8437" spans="1:9" x14ac:dyDescent="0.2">
      <c r="A8437" t="s">
        <v>1849</v>
      </c>
      <c r="B8437" t="s">
        <v>1872</v>
      </c>
      <c r="C8437" t="str">
        <f t="shared" si="425"/>
        <v>50755640000000</v>
      </c>
      <c r="D8437" t="s">
        <v>9210</v>
      </c>
      <c r="E8437" t="str">
        <f>"50755646052880"</f>
        <v>50755646052880</v>
      </c>
      <c r="F8437" s="8">
        <v>1142</v>
      </c>
      <c r="G8437" s="8">
        <v>7243</v>
      </c>
      <c r="H8437" s="8">
        <v>554</v>
      </c>
      <c r="I8437" s="8">
        <v>3819</v>
      </c>
    </row>
    <row r="8438" spans="1:9" x14ac:dyDescent="0.2">
      <c r="A8438" t="s">
        <v>1849</v>
      </c>
      <c r="B8438" t="s">
        <v>1872</v>
      </c>
      <c r="C8438" t="str">
        <f t="shared" si="425"/>
        <v>50755640000000</v>
      </c>
      <c r="D8438" t="s">
        <v>2410</v>
      </c>
      <c r="E8438" t="str">
        <f>"50755640107979"</f>
        <v>50755640107979</v>
      </c>
      <c r="F8438" s="8">
        <v>1324</v>
      </c>
      <c r="G8438" s="8">
        <v>6964</v>
      </c>
      <c r="H8438" s="8">
        <v>554</v>
      </c>
      <c r="I8438" s="8">
        <v>3819</v>
      </c>
    </row>
    <row r="8439" spans="1:9" x14ac:dyDescent="0.2">
      <c r="A8439" t="s">
        <v>1849</v>
      </c>
      <c r="B8439" t="s">
        <v>1872</v>
      </c>
      <c r="C8439" t="str">
        <f t="shared" si="425"/>
        <v>50755640000000</v>
      </c>
      <c r="D8439" t="s">
        <v>2567</v>
      </c>
      <c r="E8439" t="str">
        <f>"50755646052898"</f>
        <v>50755646052898</v>
      </c>
      <c r="F8439" s="8">
        <v>1164</v>
      </c>
      <c r="G8439" s="8">
        <v>6590</v>
      </c>
      <c r="H8439" s="8">
        <v>554</v>
      </c>
      <c r="I8439" s="8">
        <v>3819</v>
      </c>
    </row>
    <row r="8440" spans="1:9" x14ac:dyDescent="0.2">
      <c r="A8440" t="s">
        <v>1849</v>
      </c>
      <c r="B8440" t="s">
        <v>1872</v>
      </c>
      <c r="C8440" t="str">
        <f t="shared" si="425"/>
        <v>50755640000000</v>
      </c>
      <c r="D8440" t="s">
        <v>1025</v>
      </c>
      <c r="E8440" t="str">
        <f>"50755646100390"</f>
        <v>50755646100390</v>
      </c>
      <c r="F8440" s="8">
        <v>1113</v>
      </c>
      <c r="G8440" s="8">
        <v>6590</v>
      </c>
      <c r="H8440" s="8">
        <v>554</v>
      </c>
      <c r="I8440" s="8">
        <v>3819</v>
      </c>
    </row>
    <row r="8441" spans="1:9" x14ac:dyDescent="0.2">
      <c r="A8441" t="s">
        <v>1849</v>
      </c>
      <c r="B8441" t="s">
        <v>1872</v>
      </c>
      <c r="C8441" t="str">
        <f t="shared" si="425"/>
        <v>50755640000000</v>
      </c>
      <c r="D8441" t="s">
        <v>9211</v>
      </c>
      <c r="E8441" t="str">
        <f>"50755645035654"</f>
        <v>50755645035654</v>
      </c>
      <c r="F8441" s="8">
        <v>413</v>
      </c>
      <c r="G8441" s="8">
        <v>7227</v>
      </c>
      <c r="H8441" s="8">
        <v>554</v>
      </c>
      <c r="I8441" s="8">
        <v>3819</v>
      </c>
    </row>
    <row r="8442" spans="1:9" x14ac:dyDescent="0.2">
      <c r="A8442" t="s">
        <v>1849</v>
      </c>
      <c r="B8442" t="s">
        <v>1872</v>
      </c>
      <c r="C8442" t="str">
        <f t="shared" si="425"/>
        <v>50755640000000</v>
      </c>
      <c r="D8442" t="s">
        <v>9212</v>
      </c>
      <c r="E8442" t="str">
        <f>"50755646052906"</f>
        <v>50755646052906</v>
      </c>
      <c r="F8442" s="8">
        <v>451</v>
      </c>
      <c r="G8442" s="8">
        <v>6792</v>
      </c>
      <c r="H8442" s="8">
        <v>554</v>
      </c>
      <c r="I8442" s="8">
        <v>3819</v>
      </c>
    </row>
    <row r="8443" spans="1:9" x14ac:dyDescent="0.2">
      <c r="A8443" t="s">
        <v>1849</v>
      </c>
      <c r="B8443" t="s">
        <v>1872</v>
      </c>
      <c r="C8443" t="str">
        <f t="shared" si="425"/>
        <v>50755640000000</v>
      </c>
      <c r="D8443" t="s">
        <v>9213</v>
      </c>
      <c r="E8443" t="str">
        <f>"50755645030176"</f>
        <v>50755645030176</v>
      </c>
      <c r="F8443" s="8">
        <v>68</v>
      </c>
      <c r="G8443" s="8">
        <v>8818</v>
      </c>
      <c r="H8443" s="8">
        <v>0</v>
      </c>
      <c r="I8443" s="8">
        <v>393</v>
      </c>
    </row>
    <row r="8444" spans="1:9" x14ac:dyDescent="0.2">
      <c r="A8444" t="s">
        <v>1849</v>
      </c>
      <c r="B8444" t="s">
        <v>1873</v>
      </c>
      <c r="C8444" t="str">
        <f>"50712090000000"</f>
        <v>50712090000000</v>
      </c>
      <c r="D8444" t="s">
        <v>9214</v>
      </c>
      <c r="E8444" t="str">
        <f>"50712090112383"</f>
        <v>50712090112383</v>
      </c>
      <c r="F8444" s="8">
        <v>0</v>
      </c>
      <c r="G8444" s="8">
        <v>0</v>
      </c>
      <c r="H8444" s="8">
        <v>1626</v>
      </c>
      <c r="I8444" s="8">
        <v>10277</v>
      </c>
    </row>
    <row r="8445" spans="1:9" x14ac:dyDescent="0.2">
      <c r="A8445" t="s">
        <v>1849</v>
      </c>
      <c r="B8445" t="s">
        <v>1873</v>
      </c>
      <c r="C8445" t="str">
        <f>"50712090000000"</f>
        <v>50712090000000</v>
      </c>
      <c r="D8445" t="s">
        <v>1873</v>
      </c>
      <c r="E8445" t="str">
        <f>"50712096052914"</f>
        <v>50712096052914</v>
      </c>
      <c r="F8445" s="8">
        <v>0</v>
      </c>
      <c r="G8445" s="8">
        <v>0</v>
      </c>
      <c r="H8445" s="8">
        <v>1626</v>
      </c>
      <c r="I8445" s="8">
        <v>10277</v>
      </c>
    </row>
    <row r="8446" spans="1:9" x14ac:dyDescent="0.2">
      <c r="A8446" t="s">
        <v>1849</v>
      </c>
      <c r="B8446" t="s">
        <v>1874</v>
      </c>
      <c r="C8446" t="str">
        <f t="shared" ref="C8446:C8455" si="426">"50712170000000"</f>
        <v>50712170000000</v>
      </c>
      <c r="D8446" t="s">
        <v>9215</v>
      </c>
      <c r="E8446" t="str">
        <f>"50712170131037"</f>
        <v>50712170131037</v>
      </c>
      <c r="F8446" s="8">
        <v>11829</v>
      </c>
      <c r="G8446" s="8">
        <v>10504</v>
      </c>
      <c r="H8446" s="8">
        <v>1893</v>
      </c>
      <c r="I8446" s="8">
        <v>4519</v>
      </c>
    </row>
    <row r="8447" spans="1:9" x14ac:dyDescent="0.2">
      <c r="A8447" t="s">
        <v>1849</v>
      </c>
      <c r="B8447" t="s">
        <v>1874</v>
      </c>
      <c r="C8447" t="str">
        <f t="shared" si="426"/>
        <v>50712170000000</v>
      </c>
      <c r="D8447" t="s">
        <v>9216</v>
      </c>
      <c r="E8447" t="str">
        <f>"50712175030127"</f>
        <v>50712175030127</v>
      </c>
      <c r="F8447" s="8">
        <v>353</v>
      </c>
      <c r="G8447" s="8">
        <v>12315</v>
      </c>
      <c r="H8447" s="8">
        <v>1893</v>
      </c>
      <c r="I8447" s="8">
        <v>4519</v>
      </c>
    </row>
    <row r="8448" spans="1:9" x14ac:dyDescent="0.2">
      <c r="A8448" t="s">
        <v>1849</v>
      </c>
      <c r="B8448" t="s">
        <v>1874</v>
      </c>
      <c r="C8448" t="str">
        <f t="shared" si="426"/>
        <v>50712170000000</v>
      </c>
      <c r="D8448" t="s">
        <v>9217</v>
      </c>
      <c r="E8448" t="str">
        <f>"50712176052922"</f>
        <v>50712176052922</v>
      </c>
      <c r="F8448" s="8">
        <v>737</v>
      </c>
      <c r="G8448" s="8">
        <v>9489</v>
      </c>
      <c r="H8448" s="8">
        <v>1893</v>
      </c>
      <c r="I8448" s="8">
        <v>4519</v>
      </c>
    </row>
    <row r="8449" spans="1:9" x14ac:dyDescent="0.2">
      <c r="A8449" t="s">
        <v>1849</v>
      </c>
      <c r="B8449" t="s">
        <v>1874</v>
      </c>
      <c r="C8449" t="str">
        <f t="shared" si="426"/>
        <v>50712170000000</v>
      </c>
      <c r="D8449" t="s">
        <v>9218</v>
      </c>
      <c r="E8449" t="str">
        <f>"50712176052955"</f>
        <v>50712176052955</v>
      </c>
      <c r="F8449" s="8">
        <v>859</v>
      </c>
      <c r="G8449" s="8">
        <v>6938</v>
      </c>
      <c r="H8449" s="8">
        <v>1893</v>
      </c>
      <c r="I8449" s="8">
        <v>4519</v>
      </c>
    </row>
    <row r="8450" spans="1:9" x14ac:dyDescent="0.2">
      <c r="A8450" t="s">
        <v>1849</v>
      </c>
      <c r="B8450" t="s">
        <v>1874</v>
      </c>
      <c r="C8450" t="str">
        <f t="shared" si="426"/>
        <v>50712170000000</v>
      </c>
      <c r="D8450" t="s">
        <v>2112</v>
      </c>
      <c r="E8450" t="str">
        <f>"50712176060297"</f>
        <v>50712176060297</v>
      </c>
      <c r="F8450" s="8">
        <v>1050</v>
      </c>
      <c r="G8450" s="8">
        <v>6337</v>
      </c>
      <c r="H8450" s="8">
        <v>1893</v>
      </c>
      <c r="I8450" s="8">
        <v>4519</v>
      </c>
    </row>
    <row r="8451" spans="1:9" x14ac:dyDescent="0.2">
      <c r="A8451" t="s">
        <v>1849</v>
      </c>
      <c r="B8451" t="s">
        <v>1874</v>
      </c>
      <c r="C8451" t="str">
        <f t="shared" si="426"/>
        <v>50712170000000</v>
      </c>
      <c r="D8451" t="s">
        <v>9219</v>
      </c>
      <c r="E8451" t="str">
        <f>"50712170110080"</f>
        <v>50712170110080</v>
      </c>
      <c r="F8451" s="8">
        <v>1037</v>
      </c>
      <c r="G8451" s="8">
        <v>6095</v>
      </c>
      <c r="H8451" s="8">
        <v>1893</v>
      </c>
      <c r="I8451" s="8">
        <v>4519</v>
      </c>
    </row>
    <row r="8452" spans="1:9" x14ac:dyDescent="0.2">
      <c r="A8452" t="s">
        <v>1849</v>
      </c>
      <c r="B8452" t="s">
        <v>1874</v>
      </c>
      <c r="C8452" t="str">
        <f t="shared" si="426"/>
        <v>50712170000000</v>
      </c>
      <c r="D8452" t="s">
        <v>5795</v>
      </c>
      <c r="E8452" t="str">
        <f>"50712176052948"</f>
        <v>50712176052948</v>
      </c>
      <c r="F8452" s="8">
        <v>768</v>
      </c>
      <c r="G8452" s="8">
        <v>6060</v>
      </c>
      <c r="H8452" s="8">
        <v>1893</v>
      </c>
      <c r="I8452" s="8">
        <v>4519</v>
      </c>
    </row>
    <row r="8453" spans="1:9" x14ac:dyDescent="0.2">
      <c r="A8453" t="s">
        <v>1849</v>
      </c>
      <c r="B8453" t="s">
        <v>1874</v>
      </c>
      <c r="C8453" t="str">
        <f t="shared" si="426"/>
        <v>50712170000000</v>
      </c>
      <c r="D8453" t="s">
        <v>9220</v>
      </c>
      <c r="E8453" t="str">
        <f>"50712175036256"</f>
        <v>50712175036256</v>
      </c>
      <c r="F8453" s="8">
        <v>426</v>
      </c>
      <c r="G8453" s="8">
        <v>6328</v>
      </c>
      <c r="H8453" s="8">
        <v>1893</v>
      </c>
      <c r="I8453" s="8">
        <v>4519</v>
      </c>
    </row>
    <row r="8454" spans="1:9" x14ac:dyDescent="0.2">
      <c r="A8454" t="s">
        <v>1849</v>
      </c>
      <c r="B8454" t="s">
        <v>1874</v>
      </c>
      <c r="C8454" t="str">
        <f t="shared" si="426"/>
        <v>50712170000000</v>
      </c>
      <c r="D8454" t="s">
        <v>2333</v>
      </c>
      <c r="E8454" t="str">
        <f>"50712170118927"</f>
        <v>50712170118927</v>
      </c>
      <c r="F8454" s="8">
        <v>610</v>
      </c>
      <c r="G8454" s="8">
        <v>6019</v>
      </c>
      <c r="H8454" s="8">
        <v>1893</v>
      </c>
      <c r="I8454" s="8">
        <v>4519</v>
      </c>
    </row>
    <row r="8455" spans="1:9" x14ac:dyDescent="0.2">
      <c r="A8455" t="s">
        <v>1849</v>
      </c>
      <c r="B8455" t="s">
        <v>1874</v>
      </c>
      <c r="C8455" t="str">
        <f t="shared" si="426"/>
        <v>50712170000000</v>
      </c>
      <c r="D8455" t="s">
        <v>9221</v>
      </c>
      <c r="E8455" t="str">
        <f>"50712170133124"</f>
        <v>50712170133124</v>
      </c>
      <c r="F8455" s="8">
        <v>159</v>
      </c>
      <c r="G8455" s="8">
        <v>3406</v>
      </c>
      <c r="H8455" s="8">
        <v>1893</v>
      </c>
      <c r="I8455" s="8">
        <v>4519</v>
      </c>
    </row>
    <row r="8456" spans="1:9" x14ac:dyDescent="0.2">
      <c r="A8456" t="s">
        <v>1849</v>
      </c>
      <c r="B8456" t="s">
        <v>1875</v>
      </c>
      <c r="C8456" t="str">
        <f t="shared" ref="C8456:C8461" si="427">"50755560000000"</f>
        <v>50755560000000</v>
      </c>
      <c r="D8456" t="s">
        <v>3476</v>
      </c>
      <c r="E8456" t="str">
        <f>"50755560112573"</f>
        <v>50755560112573</v>
      </c>
      <c r="F8456" s="8">
        <v>765</v>
      </c>
      <c r="G8456" s="8">
        <v>12098</v>
      </c>
      <c r="H8456" s="8">
        <v>1104</v>
      </c>
      <c r="I8456" s="8">
        <v>4571</v>
      </c>
    </row>
    <row r="8457" spans="1:9" x14ac:dyDescent="0.2">
      <c r="A8457" t="s">
        <v>1849</v>
      </c>
      <c r="B8457" t="s">
        <v>1875</v>
      </c>
      <c r="C8457" t="str">
        <f t="shared" si="427"/>
        <v>50755560000000</v>
      </c>
      <c r="D8457" t="s">
        <v>9222</v>
      </c>
      <c r="E8457" t="str">
        <f>"50755566052989"</f>
        <v>50755566052989</v>
      </c>
      <c r="F8457" s="8">
        <v>3432</v>
      </c>
      <c r="G8457" s="8">
        <v>7251</v>
      </c>
      <c r="H8457" s="8">
        <v>1104</v>
      </c>
      <c r="I8457" s="8">
        <v>4571</v>
      </c>
    </row>
    <row r="8458" spans="1:9" x14ac:dyDescent="0.2">
      <c r="A8458" t="s">
        <v>1849</v>
      </c>
      <c r="B8458" t="s">
        <v>1875</v>
      </c>
      <c r="C8458" t="str">
        <f t="shared" si="427"/>
        <v>50755560000000</v>
      </c>
      <c r="D8458" t="s">
        <v>9223</v>
      </c>
      <c r="E8458" t="str">
        <f>"50755565036850"</f>
        <v>50755565036850</v>
      </c>
      <c r="F8458" s="8">
        <v>1069</v>
      </c>
      <c r="G8458" s="8">
        <v>7786</v>
      </c>
      <c r="H8458" s="8">
        <v>1104</v>
      </c>
      <c r="I8458" s="8">
        <v>4571</v>
      </c>
    </row>
    <row r="8459" spans="1:9" x14ac:dyDescent="0.2">
      <c r="A8459" t="s">
        <v>1849</v>
      </c>
      <c r="B8459" t="s">
        <v>1875</v>
      </c>
      <c r="C8459" t="str">
        <f t="shared" si="427"/>
        <v>50755560000000</v>
      </c>
      <c r="D8459" t="s">
        <v>9224</v>
      </c>
      <c r="E8459" t="str">
        <f>"50755560118810"</f>
        <v>50755560118810</v>
      </c>
      <c r="F8459" s="8">
        <v>1253</v>
      </c>
      <c r="G8459" s="8">
        <v>7174</v>
      </c>
      <c r="H8459" s="8">
        <v>1104</v>
      </c>
      <c r="I8459" s="8">
        <v>4571</v>
      </c>
    </row>
    <row r="8460" spans="1:9" x14ac:dyDescent="0.2">
      <c r="A8460" t="s">
        <v>1849</v>
      </c>
      <c r="B8460" t="s">
        <v>1875</v>
      </c>
      <c r="C8460" t="str">
        <f t="shared" si="427"/>
        <v>50755560000000</v>
      </c>
      <c r="D8460" t="s">
        <v>7921</v>
      </c>
      <c r="E8460" t="str">
        <f>"50755566052971"</f>
        <v>50755566052971</v>
      </c>
      <c r="F8460" s="8">
        <v>952</v>
      </c>
      <c r="G8460" s="8">
        <v>6870</v>
      </c>
      <c r="H8460" s="8">
        <v>1104</v>
      </c>
      <c r="I8460" s="8">
        <v>4571</v>
      </c>
    </row>
    <row r="8461" spans="1:9" x14ac:dyDescent="0.2">
      <c r="A8461" t="s">
        <v>1849</v>
      </c>
      <c r="B8461" t="s">
        <v>1875</v>
      </c>
      <c r="C8461" t="str">
        <f t="shared" si="427"/>
        <v>50755560000000</v>
      </c>
      <c r="D8461" t="s">
        <v>9225</v>
      </c>
      <c r="E8461" t="str">
        <f>"50755560113852"</f>
        <v>50755560113852</v>
      </c>
      <c r="F8461" s="8">
        <v>1027</v>
      </c>
      <c r="G8461" s="8">
        <v>6607</v>
      </c>
      <c r="H8461" s="8">
        <v>1104</v>
      </c>
      <c r="I8461" s="8">
        <v>4571</v>
      </c>
    </row>
    <row r="8462" spans="1:9" x14ac:dyDescent="0.2">
      <c r="A8462" t="s">
        <v>1849</v>
      </c>
      <c r="B8462" t="s">
        <v>1876</v>
      </c>
      <c r="C8462" t="str">
        <f>"50712330000000"</f>
        <v>50712330000000</v>
      </c>
      <c r="D8462" t="s">
        <v>1876</v>
      </c>
      <c r="E8462" t="str">
        <f>"50712336053011"</f>
        <v>50712336053011</v>
      </c>
      <c r="F8462" s="8">
        <v>621</v>
      </c>
      <c r="G8462" s="8">
        <v>0</v>
      </c>
      <c r="H8462" s="8">
        <v>729</v>
      </c>
      <c r="I8462" s="8">
        <v>9959</v>
      </c>
    </row>
    <row r="8463" spans="1:9" x14ac:dyDescent="0.2">
      <c r="A8463" t="s">
        <v>1849</v>
      </c>
      <c r="B8463" t="s">
        <v>1876</v>
      </c>
      <c r="C8463" t="str">
        <f>"50712330000000"</f>
        <v>50712330000000</v>
      </c>
      <c r="D8463" t="s">
        <v>9226</v>
      </c>
      <c r="E8463" t="str">
        <f>"50712330121525"</f>
        <v>50712330121525</v>
      </c>
      <c r="F8463" s="8">
        <v>0</v>
      </c>
      <c r="G8463" s="8">
        <v>0</v>
      </c>
      <c r="H8463" s="8">
        <v>729</v>
      </c>
      <c r="I8463" s="8">
        <v>9959</v>
      </c>
    </row>
    <row r="8464" spans="1:9" x14ac:dyDescent="0.2">
      <c r="A8464" t="s">
        <v>1849</v>
      </c>
      <c r="B8464" t="s">
        <v>1877</v>
      </c>
      <c r="C8464" t="str">
        <f t="shared" ref="C8464:C8469" si="428">"50712660000000"</f>
        <v>50712660000000</v>
      </c>
      <c r="D8464" t="s">
        <v>9227</v>
      </c>
      <c r="E8464" t="str">
        <f>"50712660120063"</f>
        <v>50712660120063</v>
      </c>
      <c r="F8464" s="8">
        <v>2142</v>
      </c>
      <c r="G8464" s="8">
        <v>15426</v>
      </c>
      <c r="H8464" s="8">
        <v>620</v>
      </c>
      <c r="I8464" s="8">
        <v>1634</v>
      </c>
    </row>
    <row r="8465" spans="1:9" x14ac:dyDescent="0.2">
      <c r="A8465" t="s">
        <v>1849</v>
      </c>
      <c r="B8465" t="s">
        <v>1877</v>
      </c>
      <c r="C8465" t="str">
        <f t="shared" si="428"/>
        <v>50712660000000</v>
      </c>
      <c r="D8465" t="s">
        <v>9228</v>
      </c>
      <c r="E8465" t="str">
        <f>"50712666053037"</f>
        <v>50712666053037</v>
      </c>
      <c r="F8465" s="8">
        <v>2943</v>
      </c>
      <c r="G8465" s="8">
        <v>12373</v>
      </c>
      <c r="H8465" s="8">
        <v>620</v>
      </c>
      <c r="I8465" s="8">
        <v>1634</v>
      </c>
    </row>
    <row r="8466" spans="1:9" x14ac:dyDescent="0.2">
      <c r="A8466" t="s">
        <v>1849</v>
      </c>
      <c r="B8466" t="s">
        <v>1877</v>
      </c>
      <c r="C8466" t="str">
        <f t="shared" si="428"/>
        <v>50712660000000</v>
      </c>
      <c r="D8466" t="s">
        <v>9229</v>
      </c>
      <c r="E8466" t="str">
        <f>"50712666106934"</f>
        <v>50712666106934</v>
      </c>
      <c r="F8466" s="8">
        <v>2131</v>
      </c>
      <c r="G8466" s="8">
        <v>10784</v>
      </c>
      <c r="H8466" s="8">
        <v>620</v>
      </c>
      <c r="I8466" s="8">
        <v>1634</v>
      </c>
    </row>
    <row r="8467" spans="1:9" x14ac:dyDescent="0.2">
      <c r="A8467" t="s">
        <v>1849</v>
      </c>
      <c r="B8467" t="s">
        <v>1877</v>
      </c>
      <c r="C8467" t="str">
        <f t="shared" si="428"/>
        <v>50712660000000</v>
      </c>
      <c r="D8467" t="s">
        <v>9230</v>
      </c>
      <c r="E8467" t="str">
        <f>"50712660133660"</f>
        <v>50712660133660</v>
      </c>
      <c r="F8467" s="8">
        <v>1663</v>
      </c>
      <c r="G8467" s="8">
        <v>9787</v>
      </c>
      <c r="H8467" s="8">
        <v>620</v>
      </c>
      <c r="I8467" s="8">
        <v>1634</v>
      </c>
    </row>
    <row r="8468" spans="1:9" x14ac:dyDescent="0.2">
      <c r="A8468" t="s">
        <v>1849</v>
      </c>
      <c r="B8468" t="s">
        <v>1877</v>
      </c>
      <c r="C8468" t="str">
        <f t="shared" si="428"/>
        <v>50712660000000</v>
      </c>
      <c r="D8468" t="s">
        <v>9231</v>
      </c>
      <c r="E8468" t="str">
        <f>"50712666113823"</f>
        <v>50712666113823</v>
      </c>
      <c r="F8468" s="8">
        <v>1715</v>
      </c>
      <c r="G8468" s="8">
        <v>9470</v>
      </c>
      <c r="H8468" s="8">
        <v>620</v>
      </c>
      <c r="I8468" s="8">
        <v>1634</v>
      </c>
    </row>
    <row r="8469" spans="1:9" x14ac:dyDescent="0.2">
      <c r="A8469" t="s">
        <v>1849</v>
      </c>
      <c r="B8469" t="s">
        <v>1877</v>
      </c>
      <c r="C8469" t="str">
        <f t="shared" si="428"/>
        <v>50712660000000</v>
      </c>
      <c r="D8469" t="s">
        <v>9232</v>
      </c>
      <c r="E8469" t="str">
        <f>"50712666120844"</f>
        <v>50712666120844</v>
      </c>
      <c r="F8469" s="8">
        <v>1401</v>
      </c>
      <c r="G8469" s="8">
        <v>9721</v>
      </c>
      <c r="H8469" s="8">
        <v>620</v>
      </c>
      <c r="I8469" s="8">
        <v>1634</v>
      </c>
    </row>
    <row r="8470" spans="1:9" x14ac:dyDescent="0.2">
      <c r="A8470" t="s">
        <v>1849</v>
      </c>
      <c r="B8470" t="s">
        <v>1878</v>
      </c>
      <c r="C8470" t="str">
        <f>"50712740000000"</f>
        <v>50712740000000</v>
      </c>
      <c r="D8470" t="s">
        <v>9233</v>
      </c>
      <c r="E8470" t="str">
        <f>"50712740121558"</f>
        <v>50712740121558</v>
      </c>
      <c r="F8470" s="8">
        <v>0</v>
      </c>
      <c r="G8470" s="8">
        <v>0</v>
      </c>
      <c r="H8470" s="8">
        <v>1660</v>
      </c>
      <c r="I8470" s="8">
        <v>9726</v>
      </c>
    </row>
    <row r="8471" spans="1:9" x14ac:dyDescent="0.2">
      <c r="A8471" t="s">
        <v>1849</v>
      </c>
      <c r="B8471" t="s">
        <v>1878</v>
      </c>
      <c r="C8471" t="str">
        <f>"50712740000000"</f>
        <v>50712740000000</v>
      </c>
      <c r="D8471" t="s">
        <v>1878</v>
      </c>
      <c r="E8471" t="str">
        <f>"50712746053045"</f>
        <v>50712746053045</v>
      </c>
      <c r="F8471" s="8">
        <v>0</v>
      </c>
      <c r="G8471" s="8">
        <v>0</v>
      </c>
      <c r="H8471" s="8">
        <v>1660</v>
      </c>
      <c r="I8471" s="8">
        <v>9726</v>
      </c>
    </row>
    <row r="8472" spans="1:9" x14ac:dyDescent="0.2">
      <c r="A8472" t="s">
        <v>1849</v>
      </c>
      <c r="B8472" t="s">
        <v>1880</v>
      </c>
      <c r="C8472" t="str">
        <f>"50105040000000"</f>
        <v>50105040000000</v>
      </c>
      <c r="D8472" t="s">
        <v>9234</v>
      </c>
      <c r="E8472" t="str">
        <f>"50105046069546"</f>
        <v>50105046069546</v>
      </c>
      <c r="F8472" s="8">
        <v>16</v>
      </c>
      <c r="G8472" s="8">
        <v>51951</v>
      </c>
      <c r="H8472" s="8">
        <v>0</v>
      </c>
      <c r="I8472" s="8">
        <v>0</v>
      </c>
    </row>
    <row r="8473" spans="1:9" x14ac:dyDescent="0.2">
      <c r="A8473" t="s">
        <v>1849</v>
      </c>
      <c r="B8473" t="s">
        <v>1880</v>
      </c>
      <c r="C8473" t="str">
        <f>"50105040000000"</f>
        <v>50105040000000</v>
      </c>
      <c r="D8473" t="s">
        <v>9235</v>
      </c>
      <c r="E8473" t="str">
        <f>"50105045030085"</f>
        <v>50105045030085</v>
      </c>
      <c r="F8473" s="8">
        <v>4670</v>
      </c>
      <c r="G8473" s="8">
        <v>24830</v>
      </c>
      <c r="H8473" s="8">
        <v>0</v>
      </c>
      <c r="I8473" s="8">
        <v>0</v>
      </c>
    </row>
    <row r="8474" spans="1:9" x14ac:dyDescent="0.2">
      <c r="A8474" t="s">
        <v>1849</v>
      </c>
      <c r="B8474" t="s">
        <v>1880</v>
      </c>
      <c r="C8474" t="str">
        <f>"50105040000000"</f>
        <v>50105040000000</v>
      </c>
      <c r="D8474" t="s">
        <v>9236</v>
      </c>
      <c r="E8474" t="str">
        <f>"50105045030069"</f>
        <v>50105045030069</v>
      </c>
      <c r="F8474" s="8">
        <v>2926</v>
      </c>
      <c r="G8474" s="8">
        <v>18191</v>
      </c>
      <c r="H8474" s="8">
        <v>0</v>
      </c>
      <c r="I8474" s="8">
        <v>0</v>
      </c>
    </row>
    <row r="8475" spans="1:9" x14ac:dyDescent="0.2">
      <c r="A8475" t="s">
        <v>1849</v>
      </c>
      <c r="B8475" t="s">
        <v>1880</v>
      </c>
      <c r="C8475" t="str">
        <f>"50105040000000"</f>
        <v>50105040000000</v>
      </c>
      <c r="D8475" t="s">
        <v>9237</v>
      </c>
      <c r="E8475" t="str">
        <f>"50105045030226"</f>
        <v>50105045030226</v>
      </c>
      <c r="F8475" s="8">
        <v>3712</v>
      </c>
      <c r="G8475" s="8">
        <v>15854</v>
      </c>
      <c r="H8475" s="8">
        <v>0</v>
      </c>
      <c r="I8475" s="8">
        <v>0</v>
      </c>
    </row>
    <row r="8476" spans="1:9" x14ac:dyDescent="0.2">
      <c r="A8476" t="s">
        <v>1849</v>
      </c>
      <c r="B8476" t="s">
        <v>1880</v>
      </c>
      <c r="C8476" t="str">
        <f>"50105040000000"</f>
        <v>50105040000000</v>
      </c>
      <c r="D8476" t="s">
        <v>9238</v>
      </c>
      <c r="E8476" t="str">
        <f>"50105040131235"</f>
        <v>50105040131235</v>
      </c>
      <c r="F8476" s="8">
        <v>2682</v>
      </c>
      <c r="G8476" s="8">
        <v>16302</v>
      </c>
      <c r="H8476" s="8">
        <v>0</v>
      </c>
      <c r="I8476" s="8">
        <v>0</v>
      </c>
    </row>
    <row r="8477" spans="1:9" x14ac:dyDescent="0.2">
      <c r="A8477" t="s">
        <v>1849</v>
      </c>
      <c r="B8477" t="s">
        <v>1881</v>
      </c>
      <c r="C8477" t="str">
        <f t="shared" ref="C8477:C8482" si="429">"50712820000000"</f>
        <v>50712820000000</v>
      </c>
      <c r="D8477" t="s">
        <v>9239</v>
      </c>
      <c r="E8477" t="str">
        <f>"50712826053078"</f>
        <v>50712826053078</v>
      </c>
      <c r="F8477" s="8">
        <v>420</v>
      </c>
      <c r="G8477" s="8">
        <v>8304</v>
      </c>
      <c r="H8477" s="8">
        <v>1280</v>
      </c>
      <c r="I8477" s="8">
        <v>4092</v>
      </c>
    </row>
    <row r="8478" spans="1:9" x14ac:dyDescent="0.2">
      <c r="A8478" t="s">
        <v>1849</v>
      </c>
      <c r="B8478" t="s">
        <v>1881</v>
      </c>
      <c r="C8478" t="str">
        <f t="shared" si="429"/>
        <v>50712820000000</v>
      </c>
      <c r="D8478" t="s">
        <v>9240</v>
      </c>
      <c r="E8478" t="str">
        <f>"50712826108302"</f>
        <v>50712826108302</v>
      </c>
      <c r="F8478" s="8">
        <v>535</v>
      </c>
      <c r="G8478" s="8">
        <v>6932</v>
      </c>
      <c r="H8478" s="8">
        <v>1280</v>
      </c>
      <c r="I8478" s="8">
        <v>4092</v>
      </c>
    </row>
    <row r="8479" spans="1:9" x14ac:dyDescent="0.2">
      <c r="A8479" t="s">
        <v>1849</v>
      </c>
      <c r="B8479" t="s">
        <v>1881</v>
      </c>
      <c r="C8479" t="str">
        <f t="shared" si="429"/>
        <v>50712820000000</v>
      </c>
      <c r="D8479" t="s">
        <v>9241</v>
      </c>
      <c r="E8479" t="str">
        <f>"50712826098297"</f>
        <v>50712826098297</v>
      </c>
      <c r="F8479" s="8">
        <v>896</v>
      </c>
      <c r="G8479" s="8">
        <v>6491</v>
      </c>
      <c r="H8479" s="8">
        <v>1280</v>
      </c>
      <c r="I8479" s="8">
        <v>4092</v>
      </c>
    </row>
    <row r="8480" spans="1:9" x14ac:dyDescent="0.2">
      <c r="A8480" t="s">
        <v>1849</v>
      </c>
      <c r="B8480" t="s">
        <v>1881</v>
      </c>
      <c r="C8480" t="str">
        <f t="shared" si="429"/>
        <v>50712820000000</v>
      </c>
      <c r="D8480" t="s">
        <v>9242</v>
      </c>
      <c r="E8480" t="str">
        <f>"50712826067250"</f>
        <v>50712826067250</v>
      </c>
      <c r="F8480" s="8">
        <v>611</v>
      </c>
      <c r="G8480" s="8">
        <v>6758</v>
      </c>
      <c r="H8480" s="8">
        <v>1280</v>
      </c>
      <c r="I8480" s="8">
        <v>4092</v>
      </c>
    </row>
    <row r="8481" spans="1:9" x14ac:dyDescent="0.2">
      <c r="A8481" t="s">
        <v>1849</v>
      </c>
      <c r="B8481" t="s">
        <v>1881</v>
      </c>
      <c r="C8481" t="str">
        <f t="shared" si="429"/>
        <v>50712820000000</v>
      </c>
      <c r="D8481" t="s">
        <v>9243</v>
      </c>
      <c r="E8481" t="str">
        <f>"50712826053060"</f>
        <v>50712826053060</v>
      </c>
      <c r="F8481" s="8">
        <v>480</v>
      </c>
      <c r="G8481" s="8">
        <v>6843</v>
      </c>
      <c r="H8481" s="8">
        <v>1280</v>
      </c>
      <c r="I8481" s="8">
        <v>4092</v>
      </c>
    </row>
    <row r="8482" spans="1:9" x14ac:dyDescent="0.2">
      <c r="A8482" t="s">
        <v>1849</v>
      </c>
      <c r="B8482" t="s">
        <v>1881</v>
      </c>
      <c r="C8482" t="str">
        <f t="shared" si="429"/>
        <v>50712820000000</v>
      </c>
      <c r="D8482" t="s">
        <v>9244</v>
      </c>
      <c r="E8482" t="str">
        <f>"50712820105700"</f>
        <v>50712820105700</v>
      </c>
      <c r="F8482" s="8">
        <v>339</v>
      </c>
      <c r="G8482" s="8">
        <v>6486</v>
      </c>
      <c r="H8482" s="8">
        <v>1280</v>
      </c>
      <c r="I8482" s="8">
        <v>4092</v>
      </c>
    </row>
    <row r="8483" spans="1:9" x14ac:dyDescent="0.2">
      <c r="A8483" t="s">
        <v>1849</v>
      </c>
      <c r="B8483" t="s">
        <v>1882</v>
      </c>
      <c r="C8483" t="str">
        <f t="shared" ref="C8483:C8495" si="430">"50712900000000"</f>
        <v>50712900000000</v>
      </c>
      <c r="D8483" t="s">
        <v>9245</v>
      </c>
      <c r="E8483" t="str">
        <f>"50712906053110"</f>
        <v>50712906053110</v>
      </c>
      <c r="F8483" s="8">
        <v>274</v>
      </c>
      <c r="G8483" s="8">
        <v>9123</v>
      </c>
      <c r="H8483" s="8">
        <v>959</v>
      </c>
      <c r="I8483" s="8">
        <v>4384</v>
      </c>
    </row>
    <row r="8484" spans="1:9" x14ac:dyDescent="0.2">
      <c r="A8484" t="s">
        <v>1849</v>
      </c>
      <c r="B8484" t="s">
        <v>1882</v>
      </c>
      <c r="C8484" t="str">
        <f t="shared" si="430"/>
        <v>50712900000000</v>
      </c>
      <c r="D8484" t="s">
        <v>9246</v>
      </c>
      <c r="E8484" t="str">
        <f>"50712906053102"</f>
        <v>50712906053102</v>
      </c>
      <c r="F8484" s="8">
        <v>257</v>
      </c>
      <c r="G8484" s="8">
        <v>8556</v>
      </c>
      <c r="H8484" s="8">
        <v>959</v>
      </c>
      <c r="I8484" s="8">
        <v>4384</v>
      </c>
    </row>
    <row r="8485" spans="1:9" x14ac:dyDescent="0.2">
      <c r="A8485" t="s">
        <v>1849</v>
      </c>
      <c r="B8485" t="s">
        <v>1882</v>
      </c>
      <c r="C8485" t="str">
        <f t="shared" si="430"/>
        <v>50712900000000</v>
      </c>
      <c r="D8485" t="s">
        <v>9247</v>
      </c>
      <c r="E8485" t="str">
        <f>"50712906071583"</f>
        <v>50712906071583</v>
      </c>
      <c r="F8485" s="8">
        <v>256</v>
      </c>
      <c r="G8485" s="8">
        <v>8535</v>
      </c>
      <c r="H8485" s="8">
        <v>959</v>
      </c>
      <c r="I8485" s="8">
        <v>4384</v>
      </c>
    </row>
    <row r="8486" spans="1:9" x14ac:dyDescent="0.2">
      <c r="A8486" t="s">
        <v>1849</v>
      </c>
      <c r="B8486" t="s">
        <v>1882</v>
      </c>
      <c r="C8486" t="str">
        <f t="shared" si="430"/>
        <v>50712900000000</v>
      </c>
      <c r="D8486" t="s">
        <v>9248</v>
      </c>
      <c r="E8486" t="str">
        <f>"50712906053128"</f>
        <v>50712906053128</v>
      </c>
      <c r="F8486" s="8">
        <v>235</v>
      </c>
      <c r="G8486" s="8">
        <v>7835</v>
      </c>
      <c r="H8486" s="8">
        <v>959</v>
      </c>
      <c r="I8486" s="8">
        <v>4384</v>
      </c>
    </row>
    <row r="8487" spans="1:9" x14ac:dyDescent="0.2">
      <c r="A8487" t="s">
        <v>1849</v>
      </c>
      <c r="B8487" t="s">
        <v>1882</v>
      </c>
      <c r="C8487" t="str">
        <f t="shared" si="430"/>
        <v>50712900000000</v>
      </c>
      <c r="D8487" t="s">
        <v>5594</v>
      </c>
      <c r="E8487" t="str">
        <f>"50712906053086"</f>
        <v>50712906053086</v>
      </c>
      <c r="F8487" s="8">
        <v>219</v>
      </c>
      <c r="G8487" s="8">
        <v>7302</v>
      </c>
      <c r="H8487" s="8">
        <v>959</v>
      </c>
      <c r="I8487" s="8">
        <v>4384</v>
      </c>
    </row>
    <row r="8488" spans="1:9" x14ac:dyDescent="0.2">
      <c r="A8488" t="s">
        <v>1849</v>
      </c>
      <c r="B8488" t="s">
        <v>1882</v>
      </c>
      <c r="C8488" t="str">
        <f t="shared" si="430"/>
        <v>50712900000000</v>
      </c>
      <c r="D8488" t="s">
        <v>9249</v>
      </c>
      <c r="E8488" t="str">
        <f>"50712906095517"</f>
        <v>50712906095517</v>
      </c>
      <c r="F8488" s="8">
        <v>213</v>
      </c>
      <c r="G8488" s="8">
        <v>7106</v>
      </c>
      <c r="H8488" s="8">
        <v>959</v>
      </c>
      <c r="I8488" s="8">
        <v>4384</v>
      </c>
    </row>
    <row r="8489" spans="1:9" x14ac:dyDescent="0.2">
      <c r="A8489" t="s">
        <v>1849</v>
      </c>
      <c r="B8489" t="s">
        <v>1882</v>
      </c>
      <c r="C8489" t="str">
        <f t="shared" si="430"/>
        <v>50712900000000</v>
      </c>
      <c r="D8489" t="s">
        <v>9250</v>
      </c>
      <c r="E8489" t="str">
        <f>"50712900113803"</f>
        <v>50712900113803</v>
      </c>
      <c r="F8489" s="8">
        <v>187</v>
      </c>
      <c r="G8489" s="8">
        <v>6231</v>
      </c>
      <c r="H8489" s="8">
        <v>959</v>
      </c>
      <c r="I8489" s="8">
        <v>4384</v>
      </c>
    </row>
    <row r="8490" spans="1:9" x14ac:dyDescent="0.2">
      <c r="A8490" t="s">
        <v>1849</v>
      </c>
      <c r="B8490" t="s">
        <v>1882</v>
      </c>
      <c r="C8490" t="str">
        <f t="shared" si="430"/>
        <v>50712900000000</v>
      </c>
      <c r="D8490" t="s">
        <v>1656</v>
      </c>
      <c r="E8490" t="str">
        <f>"50712906111009"</f>
        <v>50712906111009</v>
      </c>
      <c r="F8490" s="8">
        <v>178</v>
      </c>
      <c r="G8490" s="8">
        <v>5930</v>
      </c>
      <c r="H8490" s="8">
        <v>959</v>
      </c>
      <c r="I8490" s="8">
        <v>4384</v>
      </c>
    </row>
    <row r="8491" spans="1:9" x14ac:dyDescent="0.2">
      <c r="A8491" t="s">
        <v>1849</v>
      </c>
      <c r="B8491" t="s">
        <v>1882</v>
      </c>
      <c r="C8491" t="str">
        <f t="shared" si="430"/>
        <v>50712900000000</v>
      </c>
      <c r="D8491" t="s">
        <v>2821</v>
      </c>
      <c r="E8491" t="str">
        <f>"50712906120430"</f>
        <v>50712906120430</v>
      </c>
      <c r="F8491" s="8">
        <v>160</v>
      </c>
      <c r="G8491" s="8">
        <v>5324</v>
      </c>
      <c r="H8491" s="8">
        <v>959</v>
      </c>
      <c r="I8491" s="8">
        <v>4384</v>
      </c>
    </row>
    <row r="8492" spans="1:9" x14ac:dyDescent="0.2">
      <c r="A8492" t="s">
        <v>1849</v>
      </c>
      <c r="B8492" t="s">
        <v>1882</v>
      </c>
      <c r="C8492" t="str">
        <f t="shared" si="430"/>
        <v>50712900000000</v>
      </c>
      <c r="D8492" t="s">
        <v>9251</v>
      </c>
      <c r="E8492" t="str">
        <f>"50712900113795"</f>
        <v>50712900113795</v>
      </c>
      <c r="F8492" s="8">
        <v>134</v>
      </c>
      <c r="G8492" s="8">
        <v>4455</v>
      </c>
      <c r="H8492" s="8">
        <v>959</v>
      </c>
      <c r="I8492" s="8">
        <v>4384</v>
      </c>
    </row>
    <row r="8493" spans="1:9" x14ac:dyDescent="0.2">
      <c r="A8493" t="s">
        <v>1849</v>
      </c>
      <c r="B8493" t="s">
        <v>1882</v>
      </c>
      <c r="C8493" t="str">
        <f t="shared" si="430"/>
        <v>50712900000000</v>
      </c>
      <c r="D8493" t="s">
        <v>9252</v>
      </c>
      <c r="E8493" t="str">
        <f>"50712900108761"</f>
        <v>50712900108761</v>
      </c>
      <c r="F8493" s="8">
        <v>119</v>
      </c>
      <c r="G8493" s="8">
        <v>3972</v>
      </c>
      <c r="H8493" s="8">
        <v>959</v>
      </c>
      <c r="I8493" s="8">
        <v>4384</v>
      </c>
    </row>
    <row r="8494" spans="1:9" x14ac:dyDescent="0.2">
      <c r="A8494" t="s">
        <v>1849</v>
      </c>
      <c r="B8494" t="s">
        <v>1882</v>
      </c>
      <c r="C8494" t="str">
        <f t="shared" si="430"/>
        <v>50712900000000</v>
      </c>
      <c r="D8494" t="s">
        <v>9253</v>
      </c>
      <c r="E8494" t="str">
        <f>"50712906053094"</f>
        <v>50712906053094</v>
      </c>
      <c r="F8494" s="8">
        <v>111</v>
      </c>
      <c r="G8494" s="8">
        <v>3682</v>
      </c>
      <c r="H8494" s="8">
        <v>959</v>
      </c>
      <c r="I8494" s="8">
        <v>4384</v>
      </c>
    </row>
    <row r="8495" spans="1:9" x14ac:dyDescent="0.2">
      <c r="A8495" t="s">
        <v>1849</v>
      </c>
      <c r="B8495" t="s">
        <v>1882</v>
      </c>
      <c r="C8495" t="str">
        <f t="shared" si="430"/>
        <v>50712900000000</v>
      </c>
      <c r="D8495" t="s">
        <v>9254</v>
      </c>
      <c r="E8495" t="str">
        <f>"50712906111017"</f>
        <v>50712906111017</v>
      </c>
      <c r="F8495" s="8">
        <v>106</v>
      </c>
      <c r="G8495" s="8">
        <v>3517</v>
      </c>
      <c r="H8495" s="8">
        <v>959</v>
      </c>
      <c r="I8495" s="8">
        <v>4384</v>
      </c>
    </row>
    <row r="8496" spans="1:9" x14ac:dyDescent="0.2">
      <c r="A8496" t="s">
        <v>1849</v>
      </c>
      <c r="B8496" t="s">
        <v>1883</v>
      </c>
      <c r="C8496" t="str">
        <f t="shared" ref="C8496:C8509" si="431">"50757390000000"</f>
        <v>50757390000000</v>
      </c>
      <c r="D8496" t="s">
        <v>9255</v>
      </c>
      <c r="E8496" t="str">
        <f>"50757395036884"</f>
        <v>50757395036884</v>
      </c>
      <c r="F8496" s="8">
        <v>441</v>
      </c>
      <c r="G8496" s="8">
        <v>10510</v>
      </c>
      <c r="H8496" s="8">
        <v>1072</v>
      </c>
      <c r="I8496" s="8">
        <v>3967</v>
      </c>
    </row>
    <row r="8497" spans="1:9" x14ac:dyDescent="0.2">
      <c r="A8497" t="s">
        <v>1849</v>
      </c>
      <c r="B8497" t="s">
        <v>1883</v>
      </c>
      <c r="C8497" t="str">
        <f t="shared" si="431"/>
        <v>50757390000000</v>
      </c>
      <c r="D8497" t="s">
        <v>9256</v>
      </c>
      <c r="E8497" t="str">
        <f>"50757396053169"</f>
        <v>50757396053169</v>
      </c>
      <c r="F8497" s="8">
        <v>559</v>
      </c>
      <c r="G8497" s="8">
        <v>6548</v>
      </c>
      <c r="H8497" s="8">
        <v>1410</v>
      </c>
      <c r="I8497" s="8">
        <v>6816</v>
      </c>
    </row>
    <row r="8498" spans="1:9" x14ac:dyDescent="0.2">
      <c r="A8498" t="s">
        <v>1849</v>
      </c>
      <c r="B8498" t="s">
        <v>1883</v>
      </c>
      <c r="C8498" t="str">
        <f t="shared" si="431"/>
        <v>50757390000000</v>
      </c>
      <c r="D8498" t="s">
        <v>9257</v>
      </c>
      <c r="E8498" t="str">
        <f>"50757396053151"</f>
        <v>50757396053151</v>
      </c>
      <c r="F8498" s="8">
        <v>349</v>
      </c>
      <c r="G8498" s="8">
        <v>5724</v>
      </c>
      <c r="H8498" s="8">
        <v>1501</v>
      </c>
      <c r="I8498" s="8">
        <v>7623</v>
      </c>
    </row>
    <row r="8499" spans="1:9" x14ac:dyDescent="0.2">
      <c r="A8499" t="s">
        <v>1849</v>
      </c>
      <c r="B8499" t="s">
        <v>1883</v>
      </c>
      <c r="C8499" t="str">
        <f t="shared" si="431"/>
        <v>50757390000000</v>
      </c>
      <c r="D8499" t="s">
        <v>9258</v>
      </c>
      <c r="E8499" t="str">
        <f>"50757396053193"</f>
        <v>50757396053193</v>
      </c>
      <c r="F8499" s="8">
        <v>309</v>
      </c>
      <c r="G8499" s="8">
        <v>5742</v>
      </c>
      <c r="H8499" s="8">
        <v>1033</v>
      </c>
      <c r="I8499" s="8">
        <v>6803</v>
      </c>
    </row>
    <row r="8500" spans="1:9" x14ac:dyDescent="0.2">
      <c r="A8500" t="s">
        <v>1849</v>
      </c>
      <c r="B8500" t="s">
        <v>1883</v>
      </c>
      <c r="C8500" t="str">
        <f t="shared" si="431"/>
        <v>50757390000000</v>
      </c>
      <c r="D8500" t="s">
        <v>9259</v>
      </c>
      <c r="E8500" t="str">
        <f>"50757396102743"</f>
        <v>50757396102743</v>
      </c>
      <c r="F8500" s="8">
        <v>174</v>
      </c>
      <c r="G8500" s="8">
        <v>5879</v>
      </c>
      <c r="H8500" s="8">
        <v>1319</v>
      </c>
      <c r="I8500" s="8">
        <v>6240</v>
      </c>
    </row>
    <row r="8501" spans="1:9" x14ac:dyDescent="0.2">
      <c r="A8501" t="s">
        <v>1849</v>
      </c>
      <c r="B8501" t="s">
        <v>1883</v>
      </c>
      <c r="C8501" t="str">
        <f t="shared" si="431"/>
        <v>50757390000000</v>
      </c>
      <c r="D8501" t="s">
        <v>9260</v>
      </c>
      <c r="E8501" t="str">
        <f>"50757390108175"</f>
        <v>50757390108175</v>
      </c>
      <c r="F8501" s="8">
        <v>48</v>
      </c>
      <c r="G8501" s="8">
        <v>5618</v>
      </c>
      <c r="H8501" s="8">
        <v>963</v>
      </c>
      <c r="I8501" s="8">
        <v>6338</v>
      </c>
    </row>
    <row r="8502" spans="1:9" x14ac:dyDescent="0.2">
      <c r="A8502" t="s">
        <v>1849</v>
      </c>
      <c r="B8502" t="s">
        <v>1883</v>
      </c>
      <c r="C8502" t="str">
        <f t="shared" si="431"/>
        <v>50757390000000</v>
      </c>
      <c r="D8502" t="s">
        <v>9261</v>
      </c>
      <c r="E8502" t="str">
        <f>"50757396118814"</f>
        <v>50757396118814</v>
      </c>
      <c r="F8502" s="8">
        <v>181</v>
      </c>
      <c r="G8502" s="8">
        <v>6512</v>
      </c>
      <c r="H8502" s="8">
        <v>1237</v>
      </c>
      <c r="I8502" s="8">
        <v>4786</v>
      </c>
    </row>
    <row r="8503" spans="1:9" x14ac:dyDescent="0.2">
      <c r="A8503" t="s">
        <v>1849</v>
      </c>
      <c r="B8503" t="s">
        <v>1883</v>
      </c>
      <c r="C8503" t="str">
        <f t="shared" si="431"/>
        <v>50757390000000</v>
      </c>
      <c r="D8503" t="s">
        <v>9262</v>
      </c>
      <c r="E8503" t="str">
        <f>"50757395037700"</f>
        <v>50757395037700</v>
      </c>
      <c r="F8503" s="8">
        <v>86</v>
      </c>
      <c r="G8503" s="8">
        <v>6088</v>
      </c>
      <c r="H8503" s="8">
        <v>1092</v>
      </c>
      <c r="I8503" s="8">
        <v>5367</v>
      </c>
    </row>
    <row r="8504" spans="1:9" x14ac:dyDescent="0.2">
      <c r="A8504" t="s">
        <v>1849</v>
      </c>
      <c r="B8504" t="s">
        <v>1883</v>
      </c>
      <c r="C8504" t="str">
        <f t="shared" si="431"/>
        <v>50757390000000</v>
      </c>
      <c r="D8504" t="s">
        <v>9263</v>
      </c>
      <c r="E8504" t="str">
        <f>"50757396053136"</f>
        <v>50757396053136</v>
      </c>
      <c r="F8504" s="8">
        <v>160</v>
      </c>
      <c r="G8504" s="8">
        <v>6182</v>
      </c>
      <c r="H8504" s="8">
        <v>1060</v>
      </c>
      <c r="I8504" s="8">
        <v>4808</v>
      </c>
    </row>
    <row r="8505" spans="1:9" x14ac:dyDescent="0.2">
      <c r="A8505" t="s">
        <v>1849</v>
      </c>
      <c r="B8505" t="s">
        <v>1883</v>
      </c>
      <c r="C8505" t="str">
        <f t="shared" si="431"/>
        <v>50757390000000</v>
      </c>
      <c r="D8505" t="s">
        <v>9264</v>
      </c>
      <c r="E8505" t="str">
        <f>"50757395030283"</f>
        <v>50757395030283</v>
      </c>
      <c r="F8505" s="8">
        <v>40</v>
      </c>
      <c r="G8505" s="8">
        <v>6574</v>
      </c>
      <c r="H8505" s="8">
        <v>1020</v>
      </c>
      <c r="I8505" s="8">
        <v>4457</v>
      </c>
    </row>
    <row r="8506" spans="1:9" x14ac:dyDescent="0.2">
      <c r="A8506" t="s">
        <v>1849</v>
      </c>
      <c r="B8506" t="s">
        <v>1883</v>
      </c>
      <c r="C8506" t="str">
        <f t="shared" si="431"/>
        <v>50757390000000</v>
      </c>
      <c r="D8506" t="s">
        <v>9265</v>
      </c>
      <c r="E8506" t="str">
        <f>"50757396053177"</f>
        <v>50757396053177</v>
      </c>
      <c r="F8506" s="8">
        <v>147</v>
      </c>
      <c r="G8506" s="8">
        <v>5372</v>
      </c>
      <c r="H8506" s="8">
        <v>885</v>
      </c>
      <c r="I8506" s="8">
        <v>5561</v>
      </c>
    </row>
    <row r="8507" spans="1:9" x14ac:dyDescent="0.2">
      <c r="A8507" t="s">
        <v>1849</v>
      </c>
      <c r="B8507" t="s">
        <v>1883</v>
      </c>
      <c r="C8507" t="str">
        <f t="shared" si="431"/>
        <v>50757390000000</v>
      </c>
      <c r="D8507" t="s">
        <v>9266</v>
      </c>
      <c r="E8507" t="str">
        <f>"50757396115208"</f>
        <v>50757396115208</v>
      </c>
      <c r="F8507" s="8">
        <v>59</v>
      </c>
      <c r="G8507" s="8">
        <v>5795</v>
      </c>
      <c r="H8507" s="8">
        <v>1075</v>
      </c>
      <c r="I8507" s="8">
        <v>4747</v>
      </c>
    </row>
    <row r="8508" spans="1:9" x14ac:dyDescent="0.2">
      <c r="A8508" t="s">
        <v>1849</v>
      </c>
      <c r="B8508" t="s">
        <v>1883</v>
      </c>
      <c r="C8508" t="str">
        <f t="shared" si="431"/>
        <v>50757390000000</v>
      </c>
      <c r="D8508" t="s">
        <v>9267</v>
      </c>
      <c r="E8508" t="str">
        <f>"50757396053185"</f>
        <v>50757396053185</v>
      </c>
      <c r="F8508" s="8">
        <v>101</v>
      </c>
      <c r="G8508" s="8">
        <v>6019</v>
      </c>
      <c r="H8508" s="8">
        <v>868</v>
      </c>
      <c r="I8508" s="8">
        <v>4019</v>
      </c>
    </row>
    <row r="8509" spans="1:9" x14ac:dyDescent="0.2">
      <c r="A8509" t="s">
        <v>1849</v>
      </c>
      <c r="B8509" t="s">
        <v>1883</v>
      </c>
      <c r="C8509" t="str">
        <f t="shared" si="431"/>
        <v>50757390000000</v>
      </c>
      <c r="D8509" t="s">
        <v>9268</v>
      </c>
      <c r="E8509" t="str">
        <f>"50757390114561"</f>
        <v>50757390114561</v>
      </c>
      <c r="F8509" s="8">
        <v>6</v>
      </c>
      <c r="G8509" s="8">
        <v>6092</v>
      </c>
      <c r="H8509" s="8">
        <v>936</v>
      </c>
      <c r="I8509" s="8">
        <v>3286</v>
      </c>
    </row>
    <row r="8510" spans="1:9" x14ac:dyDescent="0.2">
      <c r="A8510" t="s">
        <v>1849</v>
      </c>
      <c r="B8510" t="s">
        <v>1885</v>
      </c>
      <c r="C8510" t="str">
        <f>"50713240000000"</f>
        <v>50713240000000</v>
      </c>
      <c r="D8510" t="s">
        <v>9269</v>
      </c>
      <c r="E8510" t="str">
        <f>"50713246053201"</f>
        <v>50713246053201</v>
      </c>
      <c r="F8510" s="8">
        <v>1438</v>
      </c>
      <c r="G8510" s="8">
        <v>11245</v>
      </c>
      <c r="H8510" s="8">
        <v>0</v>
      </c>
      <c r="I8510" s="8">
        <v>0</v>
      </c>
    </row>
    <row r="8511" spans="1:9" x14ac:dyDescent="0.2">
      <c r="A8511" t="s">
        <v>1849</v>
      </c>
      <c r="B8511" t="s">
        <v>1886</v>
      </c>
      <c r="C8511" t="str">
        <f>"50755720000000"</f>
        <v>50755720000000</v>
      </c>
      <c r="D8511" t="s">
        <v>9270</v>
      </c>
      <c r="E8511" t="str">
        <f>"50755720117689"</f>
        <v>50755720117689</v>
      </c>
      <c r="F8511" s="8">
        <v>3314</v>
      </c>
      <c r="G8511" s="8">
        <v>17951</v>
      </c>
      <c r="H8511" s="8">
        <v>1102</v>
      </c>
      <c r="I8511" s="8">
        <v>6400</v>
      </c>
    </row>
    <row r="8512" spans="1:9" x14ac:dyDescent="0.2">
      <c r="A8512" t="s">
        <v>1849</v>
      </c>
      <c r="B8512" t="s">
        <v>1886</v>
      </c>
      <c r="C8512" t="str">
        <f>"50755720000000"</f>
        <v>50755720000000</v>
      </c>
      <c r="D8512" t="s">
        <v>9271</v>
      </c>
      <c r="E8512" t="str">
        <f>"50755726053219"</f>
        <v>50755726053219</v>
      </c>
      <c r="F8512" s="8">
        <v>975</v>
      </c>
      <c r="G8512" s="8">
        <v>8466</v>
      </c>
      <c r="H8512" s="8">
        <v>1102</v>
      </c>
      <c r="I8512" s="8">
        <v>6400</v>
      </c>
    </row>
    <row r="8513" spans="1:9" x14ac:dyDescent="0.2">
      <c r="A8513" t="s">
        <v>1849</v>
      </c>
      <c r="B8513" t="s">
        <v>1886</v>
      </c>
      <c r="C8513" t="str">
        <f>"50755720000000"</f>
        <v>50755720000000</v>
      </c>
      <c r="D8513" t="s">
        <v>9272</v>
      </c>
      <c r="E8513" t="str">
        <f>"50755720118513"</f>
        <v>50755720118513</v>
      </c>
      <c r="F8513" s="8">
        <v>1030</v>
      </c>
      <c r="G8513" s="8">
        <v>6844</v>
      </c>
      <c r="H8513" s="8">
        <v>6400</v>
      </c>
      <c r="I8513" s="8">
        <v>1102</v>
      </c>
    </row>
    <row r="8514" spans="1:9" x14ac:dyDescent="0.2">
      <c r="A8514" t="s">
        <v>1849</v>
      </c>
      <c r="B8514" t="s">
        <v>1886</v>
      </c>
      <c r="C8514" t="str">
        <f>"50755720000000"</f>
        <v>50755720000000</v>
      </c>
      <c r="D8514" t="s">
        <v>9273</v>
      </c>
      <c r="E8514" t="str">
        <f>"50755725030259"</f>
        <v>50755725030259</v>
      </c>
      <c r="F8514" s="8">
        <v>592</v>
      </c>
      <c r="G8514" s="8">
        <v>6930</v>
      </c>
      <c r="H8514" s="8">
        <v>1102</v>
      </c>
      <c r="I8514" s="8">
        <v>6400</v>
      </c>
    </row>
    <row r="8515" spans="1:9" x14ac:dyDescent="0.2">
      <c r="A8515" t="s">
        <v>1849</v>
      </c>
      <c r="B8515" t="s">
        <v>1886</v>
      </c>
      <c r="C8515" t="str">
        <f>"50755720000000"</f>
        <v>50755720000000</v>
      </c>
      <c r="D8515" t="s">
        <v>9274</v>
      </c>
      <c r="E8515" t="str">
        <f>"50755720117770"</f>
        <v>50755720117770</v>
      </c>
      <c r="F8515" s="8">
        <v>891</v>
      </c>
      <c r="G8515" s="8">
        <v>5404</v>
      </c>
      <c r="H8515" s="8">
        <v>1102</v>
      </c>
      <c r="I8515" s="8">
        <v>6400</v>
      </c>
    </row>
    <row r="8516" spans="1:9" x14ac:dyDescent="0.2">
      <c r="A8516" t="s">
        <v>1887</v>
      </c>
      <c r="B8516" t="s">
        <v>1889</v>
      </c>
      <c r="C8516" t="str">
        <f>"51713570000000"</f>
        <v>51713570000000</v>
      </c>
      <c r="D8516" t="s">
        <v>1889</v>
      </c>
      <c r="E8516" t="str">
        <f>"51713576053235"</f>
        <v>51713576053235</v>
      </c>
      <c r="F8516" s="8" t="s">
        <v>30</v>
      </c>
      <c r="G8516" s="8" t="s">
        <v>30</v>
      </c>
      <c r="H8516" s="8" t="s">
        <v>30</v>
      </c>
      <c r="I8516" s="8" t="s">
        <v>30</v>
      </c>
    </row>
    <row r="8517" spans="1:9" x14ac:dyDescent="0.2">
      <c r="A8517" t="s">
        <v>1887</v>
      </c>
      <c r="B8517" t="s">
        <v>1890</v>
      </c>
      <c r="C8517" t="str">
        <f>"51713650000000"</f>
        <v>51713650000000</v>
      </c>
      <c r="D8517" t="s">
        <v>1890</v>
      </c>
      <c r="E8517" t="str">
        <f>"51713656053243"</f>
        <v>51713656053243</v>
      </c>
      <c r="F8517" s="8">
        <v>1443</v>
      </c>
      <c r="G8517" s="8">
        <v>12055</v>
      </c>
      <c r="H8517" s="8">
        <v>0</v>
      </c>
      <c r="I8517" s="8">
        <v>0</v>
      </c>
    </row>
    <row r="8518" spans="1:9" x14ac:dyDescent="0.2">
      <c r="A8518" t="s">
        <v>1887</v>
      </c>
      <c r="B8518" t="s">
        <v>1892</v>
      </c>
      <c r="C8518" t="str">
        <f>"51713730000000"</f>
        <v>51713730000000</v>
      </c>
      <c r="D8518" t="s">
        <v>9275</v>
      </c>
      <c r="E8518" t="str">
        <f>"51713735132758"</f>
        <v>51713735132758</v>
      </c>
      <c r="F8518" s="8">
        <v>453</v>
      </c>
      <c r="G8518" s="8">
        <v>6245</v>
      </c>
      <c r="H8518" s="8">
        <v>0</v>
      </c>
      <c r="I8518" s="8">
        <v>0</v>
      </c>
    </row>
    <row r="8519" spans="1:9" x14ac:dyDescent="0.2">
      <c r="A8519" t="s">
        <v>1887</v>
      </c>
      <c r="B8519" t="s">
        <v>1894</v>
      </c>
      <c r="C8519" t="str">
        <f>"51713810000000"</f>
        <v>51713810000000</v>
      </c>
      <c r="D8519" t="s">
        <v>1894</v>
      </c>
      <c r="E8519" t="str">
        <f>"51713816053250"</f>
        <v>51713816053250</v>
      </c>
      <c r="F8519" s="8">
        <v>814</v>
      </c>
      <c r="G8519" s="8">
        <v>9234</v>
      </c>
      <c r="H8519" s="8">
        <v>0</v>
      </c>
      <c r="I8519" s="8">
        <v>0</v>
      </c>
    </row>
    <row r="8520" spans="1:9" x14ac:dyDescent="0.2">
      <c r="A8520" t="s">
        <v>1887</v>
      </c>
      <c r="B8520" t="s">
        <v>1895</v>
      </c>
      <c r="C8520" t="str">
        <f t="shared" ref="C8520:C8525" si="432">"51713990000000"</f>
        <v>51713990000000</v>
      </c>
      <c r="D8520" t="s">
        <v>9276</v>
      </c>
      <c r="E8520" t="str">
        <f>"51713995130067"</f>
        <v>51713995130067</v>
      </c>
      <c r="F8520" s="8">
        <v>250</v>
      </c>
      <c r="G8520" s="8">
        <v>9816</v>
      </c>
      <c r="H8520" s="8">
        <v>1626</v>
      </c>
      <c r="I8520" s="8">
        <v>4584</v>
      </c>
    </row>
    <row r="8521" spans="1:9" x14ac:dyDescent="0.2">
      <c r="A8521" t="s">
        <v>1887</v>
      </c>
      <c r="B8521" t="s">
        <v>1895</v>
      </c>
      <c r="C8521" t="str">
        <f t="shared" si="432"/>
        <v>51713990000000</v>
      </c>
      <c r="D8521" t="s">
        <v>9277</v>
      </c>
      <c r="E8521" t="str">
        <f>"51713995130059"</f>
        <v>51713995130059</v>
      </c>
      <c r="F8521" s="8">
        <v>250</v>
      </c>
      <c r="G8521" s="8">
        <v>9816</v>
      </c>
      <c r="H8521" s="8">
        <v>1626</v>
      </c>
      <c r="I8521" s="8">
        <v>4584</v>
      </c>
    </row>
    <row r="8522" spans="1:9" x14ac:dyDescent="0.2">
      <c r="A8522" t="s">
        <v>1887</v>
      </c>
      <c r="B8522" t="s">
        <v>1895</v>
      </c>
      <c r="C8522" t="str">
        <f t="shared" si="432"/>
        <v>51713990000000</v>
      </c>
      <c r="D8522" t="s">
        <v>8305</v>
      </c>
      <c r="E8522" t="str">
        <f>"51713996053268"</f>
        <v>51713996053268</v>
      </c>
      <c r="F8522" s="8">
        <v>117</v>
      </c>
      <c r="G8522" s="8">
        <v>7664</v>
      </c>
      <c r="H8522" s="8">
        <v>1626</v>
      </c>
      <c r="I8522" s="8">
        <v>4584</v>
      </c>
    </row>
    <row r="8523" spans="1:9" x14ac:dyDescent="0.2">
      <c r="A8523" t="s">
        <v>1887</v>
      </c>
      <c r="B8523" t="s">
        <v>1895</v>
      </c>
      <c r="C8523" t="str">
        <f t="shared" si="432"/>
        <v>51713990000000</v>
      </c>
      <c r="D8523" t="s">
        <v>8640</v>
      </c>
      <c r="E8523" t="str">
        <f>"51713995135256"</f>
        <v>51713995135256</v>
      </c>
      <c r="F8523" s="8">
        <v>222</v>
      </c>
      <c r="G8523" s="8">
        <v>6866</v>
      </c>
      <c r="H8523" s="8">
        <v>1626</v>
      </c>
      <c r="I8523" s="8">
        <v>4584</v>
      </c>
    </row>
    <row r="8524" spans="1:9" x14ac:dyDescent="0.2">
      <c r="A8524" t="s">
        <v>1887</v>
      </c>
      <c r="B8524" t="s">
        <v>1895</v>
      </c>
      <c r="C8524" t="str">
        <f t="shared" si="432"/>
        <v>51713990000000</v>
      </c>
      <c r="D8524" t="s">
        <v>9278</v>
      </c>
      <c r="E8524" t="str">
        <f>"51713996053276"</f>
        <v>51713996053276</v>
      </c>
      <c r="F8524" s="8">
        <v>289</v>
      </c>
      <c r="G8524" s="8">
        <v>6714</v>
      </c>
      <c r="H8524" s="8">
        <v>1626</v>
      </c>
      <c r="I8524" s="8">
        <v>4584</v>
      </c>
    </row>
    <row r="8525" spans="1:9" x14ac:dyDescent="0.2">
      <c r="A8525" t="s">
        <v>1887</v>
      </c>
      <c r="B8525" t="s">
        <v>1895</v>
      </c>
      <c r="C8525" t="str">
        <f t="shared" si="432"/>
        <v>51713990000000</v>
      </c>
      <c r="D8525" t="s">
        <v>9279</v>
      </c>
      <c r="E8525" t="str">
        <f>"51713996053284"</f>
        <v>51713996053284</v>
      </c>
      <c r="F8525" s="8">
        <v>251</v>
      </c>
      <c r="G8525" s="8">
        <v>6645</v>
      </c>
      <c r="H8525" s="8">
        <v>1626</v>
      </c>
      <c r="I8525" s="8">
        <v>4584</v>
      </c>
    </row>
    <row r="8526" spans="1:9" x14ac:dyDescent="0.2">
      <c r="A8526" t="s">
        <v>1887</v>
      </c>
      <c r="B8526" t="s">
        <v>1896</v>
      </c>
      <c r="C8526" t="str">
        <f>"51714070000000"</f>
        <v>51714070000000</v>
      </c>
      <c r="D8526" t="s">
        <v>1896</v>
      </c>
      <c r="E8526" t="str">
        <f>"51714076053292"</f>
        <v>51714076053292</v>
      </c>
      <c r="F8526" s="8">
        <v>1042</v>
      </c>
      <c r="G8526" s="8">
        <v>12402</v>
      </c>
      <c r="H8526" s="8">
        <v>0</v>
      </c>
      <c r="I8526" s="8">
        <v>0</v>
      </c>
    </row>
    <row r="8527" spans="1:9" x14ac:dyDescent="0.2">
      <c r="A8527" t="s">
        <v>1887</v>
      </c>
      <c r="B8527" t="s">
        <v>1897</v>
      </c>
      <c r="C8527" t="str">
        <f>"51714150000000"</f>
        <v>51714150000000</v>
      </c>
      <c r="D8527" t="s">
        <v>1897</v>
      </c>
      <c r="E8527" t="str">
        <f>"51714156053300"</f>
        <v>51714156053300</v>
      </c>
      <c r="F8527" s="8">
        <v>3002</v>
      </c>
      <c r="G8527" s="8">
        <v>13123</v>
      </c>
      <c r="H8527" s="8">
        <v>0</v>
      </c>
      <c r="I8527" s="8">
        <v>0</v>
      </c>
    </row>
    <row r="8528" spans="1:9" x14ac:dyDescent="0.2">
      <c r="A8528" t="s">
        <v>1887</v>
      </c>
      <c r="B8528" t="s">
        <v>1898</v>
      </c>
      <c r="C8528" t="str">
        <f>"51714230000000"</f>
        <v>51714230000000</v>
      </c>
      <c r="D8528" t="s">
        <v>1898</v>
      </c>
      <c r="E8528" t="str">
        <f>"51714236053318"</f>
        <v>51714236053318</v>
      </c>
      <c r="F8528" s="8">
        <v>858</v>
      </c>
      <c r="G8528" s="8">
        <v>8166</v>
      </c>
      <c r="H8528" s="8">
        <v>0</v>
      </c>
      <c r="I8528" s="8">
        <v>0</v>
      </c>
    </row>
    <row r="8529" spans="1:9" x14ac:dyDescent="0.2">
      <c r="A8529" t="s">
        <v>1887</v>
      </c>
      <c r="B8529" t="s">
        <v>1899</v>
      </c>
      <c r="C8529" t="str">
        <f>"51714310000000"</f>
        <v>51714310000000</v>
      </c>
      <c r="D8529" t="s">
        <v>9280</v>
      </c>
      <c r="E8529" t="str">
        <f>"51714316053326"</f>
        <v>51714316053326</v>
      </c>
      <c r="F8529" s="8">
        <v>404</v>
      </c>
      <c r="G8529" s="8">
        <v>10368</v>
      </c>
      <c r="H8529" s="8">
        <v>0</v>
      </c>
      <c r="I8529" s="8">
        <v>0</v>
      </c>
    </row>
    <row r="8530" spans="1:9" x14ac:dyDescent="0.2">
      <c r="A8530" t="s">
        <v>1887</v>
      </c>
      <c r="B8530" t="s">
        <v>1901</v>
      </c>
      <c r="C8530" t="str">
        <f>"51105120000000"</f>
        <v>51105120000000</v>
      </c>
      <c r="D8530" t="s">
        <v>9281</v>
      </c>
      <c r="E8530" t="str">
        <f>"51105126069454"</f>
        <v>51105126069454</v>
      </c>
      <c r="F8530" s="8">
        <v>1293</v>
      </c>
      <c r="G8530" s="8">
        <v>49566</v>
      </c>
      <c r="H8530" s="8">
        <v>0</v>
      </c>
      <c r="I8530" s="8">
        <v>0</v>
      </c>
    </row>
    <row r="8531" spans="1:9" x14ac:dyDescent="0.2">
      <c r="A8531" t="s">
        <v>1887</v>
      </c>
      <c r="B8531" t="s">
        <v>1901</v>
      </c>
      <c r="C8531" t="str">
        <f>"51105120000000"</f>
        <v>51105120000000</v>
      </c>
      <c r="D8531" t="s">
        <v>9282</v>
      </c>
      <c r="E8531" t="str">
        <f>"51105120114207"</f>
        <v>51105120114207</v>
      </c>
      <c r="F8531" s="8">
        <v>8063</v>
      </c>
      <c r="G8531" s="8">
        <v>15605</v>
      </c>
      <c r="H8531" s="8">
        <v>0</v>
      </c>
      <c r="I8531" s="8">
        <v>0</v>
      </c>
    </row>
    <row r="8532" spans="1:9" x14ac:dyDescent="0.2">
      <c r="A8532" t="s">
        <v>1887</v>
      </c>
      <c r="B8532" t="s">
        <v>1901</v>
      </c>
      <c r="C8532" t="str">
        <f>"51105120000000"</f>
        <v>51105120000000</v>
      </c>
      <c r="D8532" t="s">
        <v>9283</v>
      </c>
      <c r="E8532" t="str">
        <f>"51105120140152"</f>
        <v>51105120140152</v>
      </c>
      <c r="F8532" s="8">
        <v>1000</v>
      </c>
      <c r="G8532" s="8">
        <v>10369</v>
      </c>
      <c r="H8532" s="8">
        <v>0</v>
      </c>
      <c r="I8532" s="8">
        <v>0</v>
      </c>
    </row>
    <row r="8533" spans="1:9" x14ac:dyDescent="0.2">
      <c r="A8533" t="s">
        <v>1887</v>
      </c>
      <c r="B8533" t="s">
        <v>1903</v>
      </c>
      <c r="C8533" t="str">
        <f>"51714490000000"</f>
        <v>51714490000000</v>
      </c>
      <c r="D8533" t="s">
        <v>9284</v>
      </c>
      <c r="E8533" t="str">
        <f>"51714495137500"</f>
        <v>51714495137500</v>
      </c>
      <c r="F8533" s="8">
        <v>328.35514018691589</v>
      </c>
      <c r="G8533" s="8">
        <v>5519.1068090787721</v>
      </c>
      <c r="H8533" s="8">
        <v>544.91989319092124</v>
      </c>
      <c r="I8533" s="8">
        <v>4642.8437917222964</v>
      </c>
    </row>
    <row r="8534" spans="1:9" x14ac:dyDescent="0.2">
      <c r="A8534" t="s">
        <v>1887</v>
      </c>
      <c r="B8534" t="s">
        <v>1903</v>
      </c>
      <c r="C8534" t="str">
        <f>"51714490000000"</f>
        <v>51714490000000</v>
      </c>
      <c r="D8534" t="s">
        <v>9285</v>
      </c>
      <c r="E8534" t="str">
        <f>"51714495130042"</f>
        <v>51714495130042</v>
      </c>
      <c r="F8534" s="8">
        <v>10702</v>
      </c>
      <c r="G8534" s="8">
        <v>308934</v>
      </c>
      <c r="H8534" s="8">
        <v>32141</v>
      </c>
      <c r="I8534" s="8">
        <v>273848</v>
      </c>
    </row>
    <row r="8535" spans="1:9" x14ac:dyDescent="0.2">
      <c r="A8535" t="s">
        <v>1887</v>
      </c>
      <c r="B8535" t="s">
        <v>1906</v>
      </c>
      <c r="C8535" t="str">
        <f>"51714560000000"</f>
        <v>51714560000000</v>
      </c>
      <c r="D8535" t="s">
        <v>9286</v>
      </c>
      <c r="E8535" t="str">
        <f>"51714566053433"</f>
        <v>51714566053433</v>
      </c>
      <c r="F8535" s="8">
        <v>2372</v>
      </c>
      <c r="G8535" s="8">
        <v>12496</v>
      </c>
      <c r="H8535" s="8">
        <v>0</v>
      </c>
      <c r="I8535" s="8">
        <v>0</v>
      </c>
    </row>
    <row r="8536" spans="1:9" x14ac:dyDescent="0.2">
      <c r="A8536" t="s">
        <v>1887</v>
      </c>
      <c r="B8536" t="s">
        <v>1908</v>
      </c>
      <c r="C8536" t="str">
        <f t="shared" ref="C8536:C8551" si="433">"51714640000000"</f>
        <v>51714640000000</v>
      </c>
      <c r="D8536" t="s">
        <v>9287</v>
      </c>
      <c r="E8536" t="str">
        <f>"51714645130018"</f>
        <v>51714645130018</v>
      </c>
      <c r="F8536" s="8">
        <v>16</v>
      </c>
      <c r="G8536" s="8">
        <v>19373</v>
      </c>
      <c r="H8536" s="8">
        <v>1117</v>
      </c>
      <c r="I8536" s="8">
        <v>3731</v>
      </c>
    </row>
    <row r="8537" spans="1:9" x14ac:dyDescent="0.2">
      <c r="A8537" t="s">
        <v>1887</v>
      </c>
      <c r="B8537" t="s">
        <v>1908</v>
      </c>
      <c r="C8537" t="str">
        <f t="shared" si="433"/>
        <v>51714640000000</v>
      </c>
      <c r="D8537" t="s">
        <v>9288</v>
      </c>
      <c r="E8537" t="str">
        <f>"51714645130075"</f>
        <v>51714645130075</v>
      </c>
      <c r="F8537" s="8">
        <v>3</v>
      </c>
      <c r="G8537" s="8">
        <v>7838</v>
      </c>
      <c r="H8537" s="8">
        <v>1117</v>
      </c>
      <c r="I8537" s="8">
        <v>3731</v>
      </c>
    </row>
    <row r="8538" spans="1:9" x14ac:dyDescent="0.2">
      <c r="A8538" t="s">
        <v>1887</v>
      </c>
      <c r="B8538" t="s">
        <v>1908</v>
      </c>
      <c r="C8538" t="str">
        <f t="shared" si="433"/>
        <v>51714640000000</v>
      </c>
      <c r="D8538" t="s">
        <v>2243</v>
      </c>
      <c r="E8538" t="str">
        <f>"51714646053409"</f>
        <v>51714646053409</v>
      </c>
      <c r="F8538" s="8">
        <v>134</v>
      </c>
      <c r="G8538" s="8">
        <v>7705</v>
      </c>
      <c r="H8538" s="8">
        <v>1117</v>
      </c>
      <c r="I8538" s="8">
        <v>3731</v>
      </c>
    </row>
    <row r="8539" spans="1:9" x14ac:dyDescent="0.2">
      <c r="A8539" t="s">
        <v>1887</v>
      </c>
      <c r="B8539" t="s">
        <v>1908</v>
      </c>
      <c r="C8539" t="str">
        <f t="shared" si="433"/>
        <v>51714640000000</v>
      </c>
      <c r="D8539" t="s">
        <v>9289</v>
      </c>
      <c r="E8539" t="str">
        <f>"51714646053383"</f>
        <v>51714646053383</v>
      </c>
      <c r="F8539" s="8">
        <v>198</v>
      </c>
      <c r="G8539" s="8">
        <v>7591</v>
      </c>
      <c r="H8539" s="8">
        <v>1117</v>
      </c>
      <c r="I8539" s="8">
        <v>3731</v>
      </c>
    </row>
    <row r="8540" spans="1:9" x14ac:dyDescent="0.2">
      <c r="A8540" t="s">
        <v>1887</v>
      </c>
      <c r="B8540" t="s">
        <v>1908</v>
      </c>
      <c r="C8540" t="str">
        <f t="shared" si="433"/>
        <v>51714640000000</v>
      </c>
      <c r="D8540" t="s">
        <v>9290</v>
      </c>
      <c r="E8540" t="str">
        <f>"51714646053342"</f>
        <v>51714646053342</v>
      </c>
      <c r="F8540" s="8">
        <v>131</v>
      </c>
      <c r="G8540" s="8">
        <v>7394</v>
      </c>
      <c r="H8540" s="8">
        <v>1117</v>
      </c>
      <c r="I8540" s="8">
        <v>3731</v>
      </c>
    </row>
    <row r="8541" spans="1:9" x14ac:dyDescent="0.2">
      <c r="A8541" t="s">
        <v>1887</v>
      </c>
      <c r="B8541" t="s">
        <v>1908</v>
      </c>
      <c r="C8541" t="str">
        <f t="shared" si="433"/>
        <v>51714640000000</v>
      </c>
      <c r="D8541" t="s">
        <v>9291</v>
      </c>
      <c r="E8541" t="str">
        <f>"51714646053391"</f>
        <v>51714646053391</v>
      </c>
      <c r="F8541" s="8">
        <v>730</v>
      </c>
      <c r="G8541" s="8">
        <v>6706</v>
      </c>
      <c r="H8541" s="8">
        <v>1117</v>
      </c>
      <c r="I8541" s="8">
        <v>3731</v>
      </c>
    </row>
    <row r="8542" spans="1:9" x14ac:dyDescent="0.2">
      <c r="A8542" t="s">
        <v>1887</v>
      </c>
      <c r="B8542" t="s">
        <v>1908</v>
      </c>
      <c r="C8542" t="str">
        <f t="shared" si="433"/>
        <v>51714640000000</v>
      </c>
      <c r="D8542" t="s">
        <v>9292</v>
      </c>
      <c r="E8542" t="str">
        <f>"51714640107722"</f>
        <v>51714640107722</v>
      </c>
      <c r="F8542" s="8">
        <v>87</v>
      </c>
      <c r="G8542" s="8">
        <v>7335</v>
      </c>
      <c r="H8542" s="8">
        <v>1117</v>
      </c>
      <c r="I8542" s="8">
        <v>3731</v>
      </c>
    </row>
    <row r="8543" spans="1:9" x14ac:dyDescent="0.2">
      <c r="A8543" t="s">
        <v>1887</v>
      </c>
      <c r="B8543" t="s">
        <v>1908</v>
      </c>
      <c r="C8543" t="str">
        <f t="shared" si="433"/>
        <v>51714640000000</v>
      </c>
      <c r="D8543" t="s">
        <v>9293</v>
      </c>
      <c r="E8543" t="str">
        <f>"51714646053441"</f>
        <v>51714646053441</v>
      </c>
      <c r="F8543" s="8">
        <v>72</v>
      </c>
      <c r="G8543" s="8">
        <v>7326</v>
      </c>
      <c r="H8543" s="8">
        <v>1117</v>
      </c>
      <c r="I8543" s="8">
        <v>3731</v>
      </c>
    </row>
    <row r="8544" spans="1:9" x14ac:dyDescent="0.2">
      <c r="A8544" t="s">
        <v>1887</v>
      </c>
      <c r="B8544" t="s">
        <v>1908</v>
      </c>
      <c r="C8544" t="str">
        <f t="shared" si="433"/>
        <v>51714640000000</v>
      </c>
      <c r="D8544" t="s">
        <v>9294</v>
      </c>
      <c r="E8544" t="str">
        <f>"51714640100537"</f>
        <v>51714640100537</v>
      </c>
      <c r="F8544" s="8">
        <v>179</v>
      </c>
      <c r="G8544" s="8">
        <v>7118</v>
      </c>
      <c r="H8544" s="8">
        <v>1117</v>
      </c>
      <c r="I8544" s="8">
        <v>3731</v>
      </c>
    </row>
    <row r="8545" spans="1:9" x14ac:dyDescent="0.2">
      <c r="A8545" t="s">
        <v>1887</v>
      </c>
      <c r="B8545" t="s">
        <v>1908</v>
      </c>
      <c r="C8545" t="str">
        <f t="shared" si="433"/>
        <v>51714640000000</v>
      </c>
      <c r="D8545" t="s">
        <v>9295</v>
      </c>
      <c r="E8545" t="str">
        <f>"51714640113134"</f>
        <v>51714640113134</v>
      </c>
      <c r="F8545" s="8">
        <v>160</v>
      </c>
      <c r="G8545" s="8">
        <v>7097</v>
      </c>
      <c r="H8545" s="8">
        <v>1117</v>
      </c>
      <c r="I8545" s="8">
        <v>3731</v>
      </c>
    </row>
    <row r="8546" spans="1:9" x14ac:dyDescent="0.2">
      <c r="A8546" t="s">
        <v>1887</v>
      </c>
      <c r="B8546" t="s">
        <v>1908</v>
      </c>
      <c r="C8546" t="str">
        <f t="shared" si="433"/>
        <v>51714640000000</v>
      </c>
      <c r="D8546" t="s">
        <v>9296</v>
      </c>
      <c r="E8546" t="str">
        <f>"51714645139001"</f>
        <v>51714645139001</v>
      </c>
      <c r="F8546" s="8">
        <v>296</v>
      </c>
      <c r="G8546" s="8">
        <v>6894</v>
      </c>
      <c r="H8546" s="8">
        <v>1117</v>
      </c>
      <c r="I8546" s="8">
        <v>3731</v>
      </c>
    </row>
    <row r="8547" spans="1:9" x14ac:dyDescent="0.2">
      <c r="A8547" t="s">
        <v>1887</v>
      </c>
      <c r="B8547" t="s">
        <v>1908</v>
      </c>
      <c r="C8547" t="str">
        <f t="shared" si="433"/>
        <v>51714640000000</v>
      </c>
      <c r="D8547" t="s">
        <v>9297</v>
      </c>
      <c r="E8547" t="str">
        <f>"51714646053417"</f>
        <v>51714646053417</v>
      </c>
      <c r="F8547" s="8">
        <v>87</v>
      </c>
      <c r="G8547" s="8">
        <v>7055</v>
      </c>
      <c r="H8547" s="8">
        <v>1117</v>
      </c>
      <c r="I8547" s="8">
        <v>3731</v>
      </c>
    </row>
    <row r="8548" spans="1:9" x14ac:dyDescent="0.2">
      <c r="A8548" t="s">
        <v>1887</v>
      </c>
      <c r="B8548" t="s">
        <v>1908</v>
      </c>
      <c r="C8548" t="str">
        <f t="shared" si="433"/>
        <v>51714640000000</v>
      </c>
      <c r="D8548" t="s">
        <v>4554</v>
      </c>
      <c r="E8548" t="str">
        <f>"51714646053425"</f>
        <v>51714646053425</v>
      </c>
      <c r="F8548" s="8">
        <v>357</v>
      </c>
      <c r="G8548" s="8">
        <v>6402</v>
      </c>
      <c r="H8548" s="8">
        <v>1117</v>
      </c>
      <c r="I8548" s="8">
        <v>3731</v>
      </c>
    </row>
    <row r="8549" spans="1:9" x14ac:dyDescent="0.2">
      <c r="A8549" t="s">
        <v>1887</v>
      </c>
      <c r="B8549" t="s">
        <v>1908</v>
      </c>
      <c r="C8549" t="str">
        <f t="shared" si="433"/>
        <v>51714640000000</v>
      </c>
      <c r="D8549" t="s">
        <v>4121</v>
      </c>
      <c r="E8549" t="str">
        <f>"51714646053367"</f>
        <v>51714646053367</v>
      </c>
      <c r="F8549" s="8">
        <v>110</v>
      </c>
      <c r="G8549" s="8">
        <v>6549</v>
      </c>
      <c r="H8549" s="8">
        <v>1117</v>
      </c>
      <c r="I8549" s="8">
        <v>3731</v>
      </c>
    </row>
    <row r="8550" spans="1:9" x14ac:dyDescent="0.2">
      <c r="A8550" t="s">
        <v>1887</v>
      </c>
      <c r="B8550" t="s">
        <v>1908</v>
      </c>
      <c r="C8550" t="str">
        <f t="shared" si="433"/>
        <v>51714640000000</v>
      </c>
      <c r="D8550" t="s">
        <v>9298</v>
      </c>
      <c r="E8550" t="str">
        <f>"51714646067268"</f>
        <v>51714646067268</v>
      </c>
      <c r="F8550" s="8">
        <v>74</v>
      </c>
      <c r="G8550" s="8">
        <v>6525</v>
      </c>
      <c r="H8550" s="8">
        <v>1117</v>
      </c>
      <c r="I8550" s="8">
        <v>3731</v>
      </c>
    </row>
    <row r="8551" spans="1:9" x14ac:dyDescent="0.2">
      <c r="A8551" t="s">
        <v>1887</v>
      </c>
      <c r="B8551" t="s">
        <v>1908</v>
      </c>
      <c r="C8551" t="str">
        <f t="shared" si="433"/>
        <v>51714640000000</v>
      </c>
      <c r="D8551" t="s">
        <v>9299</v>
      </c>
      <c r="E8551" t="str">
        <f>"51714646053359"</f>
        <v>51714646053359</v>
      </c>
      <c r="F8551" s="8">
        <v>146</v>
      </c>
      <c r="G8551" s="8">
        <v>6279</v>
      </c>
      <c r="H8551" s="8">
        <v>1117</v>
      </c>
      <c r="I8551" s="8">
        <v>3731</v>
      </c>
    </row>
    <row r="8552" spans="1:9" x14ac:dyDescent="0.2">
      <c r="A8552" t="s">
        <v>1909</v>
      </c>
      <c r="B8552" t="s">
        <v>1910</v>
      </c>
      <c r="C8552" t="str">
        <f>"52714720000000"</f>
        <v>52714720000000</v>
      </c>
      <c r="D8552" t="s">
        <v>9300</v>
      </c>
      <c r="E8552" t="str">
        <f>"52714726053615"</f>
        <v>52714726053615</v>
      </c>
      <c r="F8552" s="8">
        <v>0</v>
      </c>
      <c r="G8552" s="8">
        <v>9940</v>
      </c>
      <c r="H8552" s="8">
        <v>116</v>
      </c>
      <c r="I8552" s="8">
        <v>2551</v>
      </c>
    </row>
    <row r="8553" spans="1:9" x14ac:dyDescent="0.2">
      <c r="A8553" t="s">
        <v>1909</v>
      </c>
      <c r="B8553" t="s">
        <v>1910</v>
      </c>
      <c r="C8553" t="str">
        <f>"52714720000000"</f>
        <v>52714720000000</v>
      </c>
      <c r="D8553" t="s">
        <v>9301</v>
      </c>
      <c r="E8553" t="str">
        <f>"52714720134403"</f>
        <v>52714720134403</v>
      </c>
      <c r="F8553" s="8">
        <v>0</v>
      </c>
      <c r="G8553" s="8">
        <v>7906</v>
      </c>
      <c r="H8553" s="8">
        <v>116</v>
      </c>
      <c r="I8553" s="8">
        <v>2551</v>
      </c>
    </row>
    <row r="8554" spans="1:9" x14ac:dyDescent="0.2">
      <c r="A8554" t="s">
        <v>1909</v>
      </c>
      <c r="B8554" t="s">
        <v>1910</v>
      </c>
      <c r="C8554" t="str">
        <f>"52714720000000"</f>
        <v>52714720000000</v>
      </c>
      <c r="D8554" t="s">
        <v>9302</v>
      </c>
      <c r="E8554" t="str">
        <f>"52714726066328"</f>
        <v>52714726066328</v>
      </c>
      <c r="F8554" s="8">
        <v>354</v>
      </c>
      <c r="G8554" s="8">
        <v>7050</v>
      </c>
      <c r="H8554" s="8">
        <v>116</v>
      </c>
      <c r="I8554" s="8">
        <v>2551</v>
      </c>
    </row>
    <row r="8555" spans="1:9" x14ac:dyDescent="0.2">
      <c r="A8555" t="s">
        <v>1909</v>
      </c>
      <c r="B8555" t="s">
        <v>1910</v>
      </c>
      <c r="C8555" t="str">
        <f>"52714720000000"</f>
        <v>52714720000000</v>
      </c>
      <c r="D8555" t="s">
        <v>1910</v>
      </c>
      <c r="E8555" t="str">
        <f>"52714726053466"</f>
        <v>52714726053466</v>
      </c>
      <c r="F8555" s="8">
        <v>342</v>
      </c>
      <c r="G8555" s="8">
        <v>6859</v>
      </c>
      <c r="H8555" s="8">
        <v>116</v>
      </c>
      <c r="I8555" s="8">
        <v>2551</v>
      </c>
    </row>
    <row r="8556" spans="1:9" x14ac:dyDescent="0.2">
      <c r="A8556" t="s">
        <v>1909</v>
      </c>
      <c r="B8556" t="s">
        <v>1911</v>
      </c>
      <c r="C8556" t="str">
        <f t="shared" ref="C8556:C8561" si="434">"52714980000000"</f>
        <v>52714980000000</v>
      </c>
      <c r="D8556" t="s">
        <v>9303</v>
      </c>
      <c r="E8556" t="str">
        <f>"52714986114466"</f>
        <v>52714986114466</v>
      </c>
      <c r="F8556" s="8">
        <v>0</v>
      </c>
      <c r="G8556" s="8">
        <v>39313</v>
      </c>
      <c r="H8556" s="8">
        <v>1599</v>
      </c>
      <c r="I8556" s="8">
        <v>4919</v>
      </c>
    </row>
    <row r="8557" spans="1:9" x14ac:dyDescent="0.2">
      <c r="A8557" t="s">
        <v>1909</v>
      </c>
      <c r="B8557" t="s">
        <v>1911</v>
      </c>
      <c r="C8557" t="str">
        <f t="shared" si="434"/>
        <v>52714980000000</v>
      </c>
      <c r="D8557" t="s">
        <v>9304</v>
      </c>
      <c r="E8557" t="str">
        <f>"52714986112486"</f>
        <v>52714986112486</v>
      </c>
      <c r="F8557" s="8">
        <v>0</v>
      </c>
      <c r="G8557" s="8">
        <v>7134</v>
      </c>
      <c r="H8557" s="8">
        <v>1599</v>
      </c>
      <c r="I8557" s="8">
        <v>4919</v>
      </c>
    </row>
    <row r="8558" spans="1:9" x14ac:dyDescent="0.2">
      <c r="A8558" t="s">
        <v>1909</v>
      </c>
      <c r="B8558" t="s">
        <v>1911</v>
      </c>
      <c r="C8558" t="str">
        <f t="shared" si="434"/>
        <v>52714980000000</v>
      </c>
      <c r="D8558" t="s">
        <v>9305</v>
      </c>
      <c r="E8558" t="str">
        <f>"52714986053490"</f>
        <v>52714986053490</v>
      </c>
      <c r="F8558" s="8">
        <v>236</v>
      </c>
      <c r="G8558" s="8">
        <v>6083</v>
      </c>
      <c r="H8558" s="8">
        <v>1599</v>
      </c>
      <c r="I8558" s="8">
        <v>4919</v>
      </c>
    </row>
    <row r="8559" spans="1:9" x14ac:dyDescent="0.2">
      <c r="A8559" t="s">
        <v>1909</v>
      </c>
      <c r="B8559" t="s">
        <v>1911</v>
      </c>
      <c r="C8559" t="str">
        <f t="shared" si="434"/>
        <v>52714980000000</v>
      </c>
      <c r="D8559" t="s">
        <v>9306</v>
      </c>
      <c r="E8559" t="str">
        <f>"52714986053482"</f>
        <v>52714986053482</v>
      </c>
      <c r="F8559" s="8">
        <v>317</v>
      </c>
      <c r="G8559" s="8">
        <v>5831</v>
      </c>
      <c r="H8559" s="8">
        <v>1599</v>
      </c>
      <c r="I8559" s="8">
        <v>4919</v>
      </c>
    </row>
    <row r="8560" spans="1:9" x14ac:dyDescent="0.2">
      <c r="A8560" t="s">
        <v>1909</v>
      </c>
      <c r="B8560" t="s">
        <v>1911</v>
      </c>
      <c r="C8560" t="str">
        <f t="shared" si="434"/>
        <v>52714980000000</v>
      </c>
      <c r="D8560" t="s">
        <v>9307</v>
      </c>
      <c r="E8560" t="str">
        <f>"52714986093546"</f>
        <v>52714986093546</v>
      </c>
      <c r="F8560" s="8">
        <v>450</v>
      </c>
      <c r="G8560" s="8">
        <v>5651</v>
      </c>
      <c r="H8560" s="8">
        <v>1599</v>
      </c>
      <c r="I8560" s="8">
        <v>4919</v>
      </c>
    </row>
    <row r="8561" spans="1:9" x14ac:dyDescent="0.2">
      <c r="A8561" t="s">
        <v>1909</v>
      </c>
      <c r="B8561" t="s">
        <v>1911</v>
      </c>
      <c r="C8561" t="str">
        <f t="shared" si="434"/>
        <v>52714980000000</v>
      </c>
      <c r="D8561" t="s">
        <v>9308</v>
      </c>
      <c r="E8561" t="str">
        <f>"52714980102301"</f>
        <v>52714980102301</v>
      </c>
      <c r="F8561" s="8">
        <v>322</v>
      </c>
      <c r="G8561" s="8">
        <v>5131</v>
      </c>
      <c r="H8561" s="8">
        <v>1599</v>
      </c>
      <c r="I8561" s="8">
        <v>4919</v>
      </c>
    </row>
    <row r="8562" spans="1:9" x14ac:dyDescent="0.2">
      <c r="A8562" t="s">
        <v>1909</v>
      </c>
      <c r="B8562" t="s">
        <v>1912</v>
      </c>
      <c r="C8562" t="str">
        <f>"52715060000000"</f>
        <v>52715060000000</v>
      </c>
      <c r="D8562" t="s">
        <v>9309</v>
      </c>
      <c r="E8562" t="str">
        <f>"52715065231709"</f>
        <v>52715065231709</v>
      </c>
      <c r="F8562" s="8">
        <v>2851</v>
      </c>
      <c r="G8562" s="8">
        <v>9167</v>
      </c>
      <c r="H8562" s="8">
        <v>0</v>
      </c>
      <c r="I8562" s="8">
        <v>1010</v>
      </c>
    </row>
    <row r="8563" spans="1:9" x14ac:dyDescent="0.2">
      <c r="A8563" t="s">
        <v>1909</v>
      </c>
      <c r="B8563" t="s">
        <v>1912</v>
      </c>
      <c r="C8563" t="str">
        <f>"52715060000000"</f>
        <v>52715060000000</v>
      </c>
      <c r="D8563" t="s">
        <v>9310</v>
      </c>
      <c r="E8563" t="str">
        <f>"52715065231675"</f>
        <v>52715065231675</v>
      </c>
      <c r="F8563" s="8">
        <v>2088</v>
      </c>
      <c r="G8563" s="8">
        <v>9167</v>
      </c>
      <c r="H8563" s="8">
        <v>0</v>
      </c>
      <c r="I8563" s="8">
        <v>1322</v>
      </c>
    </row>
    <row r="8564" spans="1:9" x14ac:dyDescent="0.2">
      <c r="A8564" t="s">
        <v>1909</v>
      </c>
      <c r="B8564" t="s">
        <v>1912</v>
      </c>
      <c r="C8564" t="str">
        <f>"52715060000000"</f>
        <v>52715060000000</v>
      </c>
      <c r="D8564" t="s">
        <v>9311</v>
      </c>
      <c r="E8564" t="str">
        <f>"52715060137414"</f>
        <v>52715060137414</v>
      </c>
      <c r="F8564" s="8">
        <v>2088</v>
      </c>
      <c r="G8564" s="8">
        <v>9167</v>
      </c>
      <c r="H8564" s="8">
        <v>0</v>
      </c>
      <c r="I8564" s="8">
        <v>379</v>
      </c>
    </row>
    <row r="8565" spans="1:9" x14ac:dyDescent="0.2">
      <c r="A8565" t="s">
        <v>1909</v>
      </c>
      <c r="B8565" t="s">
        <v>1913</v>
      </c>
      <c r="C8565" t="str">
        <f t="shared" ref="C8565:C8570" si="435">"52715220000000"</f>
        <v>52715220000000</v>
      </c>
      <c r="D8565" t="s">
        <v>9312</v>
      </c>
      <c r="E8565" t="str">
        <f>"52715226114342"</f>
        <v>52715226114342</v>
      </c>
      <c r="F8565" s="8">
        <v>0</v>
      </c>
      <c r="G8565" s="8">
        <v>19273</v>
      </c>
      <c r="H8565" s="8">
        <v>0</v>
      </c>
      <c r="I8565" s="8">
        <v>4355</v>
      </c>
    </row>
    <row r="8566" spans="1:9" x14ac:dyDescent="0.2">
      <c r="A8566" t="s">
        <v>1909</v>
      </c>
      <c r="B8566" t="s">
        <v>1913</v>
      </c>
      <c r="C8566" t="str">
        <f t="shared" si="435"/>
        <v>52715220000000</v>
      </c>
      <c r="D8566" t="s">
        <v>9313</v>
      </c>
      <c r="E8566" t="str">
        <f>"52715220114223"</f>
        <v>52715220114223</v>
      </c>
      <c r="F8566" s="8">
        <v>0</v>
      </c>
      <c r="G8566" s="8">
        <v>19273</v>
      </c>
      <c r="H8566" s="8">
        <v>0</v>
      </c>
      <c r="I8566" s="8">
        <v>4064</v>
      </c>
    </row>
    <row r="8567" spans="1:9" x14ac:dyDescent="0.2">
      <c r="A8567" t="s">
        <v>1909</v>
      </c>
      <c r="B8567" t="s">
        <v>1913</v>
      </c>
      <c r="C8567" t="str">
        <f t="shared" si="435"/>
        <v>52715220000000</v>
      </c>
      <c r="D8567" t="s">
        <v>9314</v>
      </c>
      <c r="E8567" t="str">
        <f>"52715226053474"</f>
        <v>52715226053474</v>
      </c>
      <c r="F8567" s="8">
        <v>2044</v>
      </c>
      <c r="G8567" s="8">
        <v>9492</v>
      </c>
      <c r="H8567" s="8">
        <v>701</v>
      </c>
      <c r="I8567" s="8">
        <v>3256</v>
      </c>
    </row>
    <row r="8568" spans="1:9" x14ac:dyDescent="0.2">
      <c r="A8568" t="s">
        <v>1909</v>
      </c>
      <c r="B8568" t="s">
        <v>1913</v>
      </c>
      <c r="C8568" t="str">
        <f t="shared" si="435"/>
        <v>52715220000000</v>
      </c>
      <c r="D8568" t="s">
        <v>9315</v>
      </c>
      <c r="E8568" t="str">
        <f>"52715226111629"</f>
        <v>52715226111629</v>
      </c>
      <c r="F8568" s="8">
        <v>1541</v>
      </c>
      <c r="G8568" s="8">
        <v>7154</v>
      </c>
      <c r="H8568" s="8">
        <v>739</v>
      </c>
      <c r="I8568" s="8">
        <v>3432</v>
      </c>
    </row>
    <row r="8569" spans="1:9" x14ac:dyDescent="0.2">
      <c r="A8569" t="s">
        <v>1909</v>
      </c>
      <c r="B8569" t="s">
        <v>1913</v>
      </c>
      <c r="C8569" t="str">
        <f t="shared" si="435"/>
        <v>52715220000000</v>
      </c>
      <c r="D8569" t="s">
        <v>1629</v>
      </c>
      <c r="E8569" t="str">
        <f>"52715226053516"</f>
        <v>52715226053516</v>
      </c>
      <c r="F8569" s="8">
        <v>1492</v>
      </c>
      <c r="G8569" s="8">
        <v>6927</v>
      </c>
      <c r="H8569" s="8">
        <v>739</v>
      </c>
      <c r="I8569" s="8">
        <v>3432</v>
      </c>
    </row>
    <row r="8570" spans="1:9" x14ac:dyDescent="0.2">
      <c r="A8570" t="s">
        <v>1909</v>
      </c>
      <c r="B8570" t="s">
        <v>1913</v>
      </c>
      <c r="C8570" t="str">
        <f t="shared" si="435"/>
        <v>52715220000000</v>
      </c>
      <c r="D8570" t="s">
        <v>9316</v>
      </c>
      <c r="E8570" t="str">
        <f>"52715220132597"</f>
        <v>52715220132597</v>
      </c>
      <c r="F8570" s="8">
        <v>0</v>
      </c>
      <c r="G8570" s="8">
        <v>9374</v>
      </c>
      <c r="H8570" s="8">
        <v>0</v>
      </c>
      <c r="I8570" s="8">
        <v>0</v>
      </c>
    </row>
    <row r="8571" spans="1:9" x14ac:dyDescent="0.2">
      <c r="A8571" t="s">
        <v>1909</v>
      </c>
      <c r="B8571" t="s">
        <v>1914</v>
      </c>
      <c r="C8571" t="str">
        <f>"52715300000000"</f>
        <v>52715300000000</v>
      </c>
      <c r="D8571" t="s">
        <v>9317</v>
      </c>
      <c r="E8571" t="str">
        <f>"52715306053524"</f>
        <v>52715306053524</v>
      </c>
      <c r="F8571" s="8">
        <v>1296</v>
      </c>
      <c r="G8571" s="8">
        <v>11192</v>
      </c>
      <c r="H8571" s="8">
        <v>0</v>
      </c>
      <c r="I8571" s="8">
        <v>0</v>
      </c>
    </row>
    <row r="8572" spans="1:9" x14ac:dyDescent="0.2">
      <c r="A8572" t="s">
        <v>1909</v>
      </c>
      <c r="B8572" t="s">
        <v>1915</v>
      </c>
      <c r="C8572" t="str">
        <f>"52715480000000"</f>
        <v>52715480000000</v>
      </c>
      <c r="D8572" t="s">
        <v>9318</v>
      </c>
      <c r="E8572" t="str">
        <f>"52715486053532"</f>
        <v>52715486053532</v>
      </c>
      <c r="F8572" s="8">
        <v>1895</v>
      </c>
      <c r="G8572" s="8">
        <v>11003</v>
      </c>
      <c r="H8572" s="8">
        <v>0</v>
      </c>
      <c r="I8572" s="8">
        <v>0</v>
      </c>
    </row>
    <row r="8573" spans="1:9" x14ac:dyDescent="0.2">
      <c r="A8573" t="s">
        <v>1909</v>
      </c>
      <c r="B8573" t="s">
        <v>1916</v>
      </c>
      <c r="C8573" t="str">
        <f>"52715550000000"</f>
        <v>52715550000000</v>
      </c>
      <c r="D8573" t="s">
        <v>1916</v>
      </c>
      <c r="E8573" t="str">
        <f>"52715556053540"</f>
        <v>52715556053540</v>
      </c>
      <c r="F8573" s="8">
        <v>13110</v>
      </c>
      <c r="G8573" s="8">
        <v>896</v>
      </c>
      <c r="H8573" s="8">
        <v>0</v>
      </c>
      <c r="I8573" s="8">
        <v>0</v>
      </c>
    </row>
    <row r="8574" spans="1:9" x14ac:dyDescent="0.2">
      <c r="A8574" t="s">
        <v>1909</v>
      </c>
      <c r="B8574" t="s">
        <v>1917</v>
      </c>
      <c r="C8574" t="str">
        <f>"52715630000000"</f>
        <v>52715630000000</v>
      </c>
      <c r="D8574" t="s">
        <v>8844</v>
      </c>
      <c r="E8574" t="str">
        <f>"52715636053557"</f>
        <v>52715636053557</v>
      </c>
      <c r="F8574" s="8">
        <v>1070</v>
      </c>
      <c r="G8574" s="8">
        <v>10382</v>
      </c>
      <c r="H8574" s="8">
        <v>0</v>
      </c>
      <c r="I8574" s="8">
        <v>0</v>
      </c>
    </row>
    <row r="8575" spans="1:9" x14ac:dyDescent="0.2">
      <c r="A8575" t="s">
        <v>1909</v>
      </c>
      <c r="B8575" t="s">
        <v>1918</v>
      </c>
      <c r="C8575" t="str">
        <f>"52715710000000"</f>
        <v>52715710000000</v>
      </c>
      <c r="D8575" t="s">
        <v>3918</v>
      </c>
      <c r="E8575" t="str">
        <f>"52715716053565"</f>
        <v>52715716053565</v>
      </c>
      <c r="F8575" s="8">
        <v>476.17028985507244</v>
      </c>
      <c r="G8575" s="8">
        <v>8139.025362318841</v>
      </c>
      <c r="H8575" s="8">
        <v>28.210144927536231</v>
      </c>
      <c r="I8575" s="8">
        <v>2713.039855072464</v>
      </c>
    </row>
    <row r="8576" spans="1:9" x14ac:dyDescent="0.2">
      <c r="A8576" t="s">
        <v>1909</v>
      </c>
      <c r="B8576" t="s">
        <v>1918</v>
      </c>
      <c r="C8576" t="str">
        <f>"52715710000000"</f>
        <v>52715710000000</v>
      </c>
      <c r="D8576" t="s">
        <v>9319</v>
      </c>
      <c r="E8576" t="str">
        <f>"52715715235106"</f>
        <v>52715715235106</v>
      </c>
      <c r="F8576" s="8">
        <v>172.00934579439252</v>
      </c>
      <c r="G8576" s="8">
        <v>9558.1962616822439</v>
      </c>
      <c r="H8576" s="8">
        <v>28.210280373831775</v>
      </c>
      <c r="I8576" s="8">
        <v>2804.4906542056074</v>
      </c>
    </row>
    <row r="8577" spans="1:9" x14ac:dyDescent="0.2">
      <c r="A8577" t="s">
        <v>1909</v>
      </c>
      <c r="B8577" t="s">
        <v>1918</v>
      </c>
      <c r="C8577" t="str">
        <f>"52715710000000"</f>
        <v>52715710000000</v>
      </c>
      <c r="D8577" t="s">
        <v>9320</v>
      </c>
      <c r="E8577" t="str">
        <f>"52715716053581"</f>
        <v>52715716053581</v>
      </c>
      <c r="F8577" s="8">
        <v>1019.1363636363636</v>
      </c>
      <c r="G8577" s="8">
        <v>8966.424242424242</v>
      </c>
      <c r="H8577" s="8">
        <v>28.212121212121211</v>
      </c>
      <c r="I8577" s="8">
        <v>2804.4848484848485</v>
      </c>
    </row>
    <row r="8578" spans="1:9" x14ac:dyDescent="0.2">
      <c r="A8578" t="s">
        <v>1909</v>
      </c>
      <c r="B8578" t="s">
        <v>1919</v>
      </c>
      <c r="C8578" t="str">
        <f>"52716390000000"</f>
        <v>52716390000000</v>
      </c>
      <c r="D8578" t="s">
        <v>9321</v>
      </c>
      <c r="E8578" t="str">
        <f>"52716395237151"</f>
        <v>52716395237151</v>
      </c>
      <c r="F8578" s="8">
        <v>1433</v>
      </c>
      <c r="G8578" s="8">
        <v>8590</v>
      </c>
      <c r="H8578" s="8">
        <v>445</v>
      </c>
      <c r="I8578" s="8">
        <v>2400</v>
      </c>
    </row>
    <row r="8579" spans="1:9" x14ac:dyDescent="0.2">
      <c r="A8579" t="s">
        <v>1909</v>
      </c>
      <c r="B8579" t="s">
        <v>1919</v>
      </c>
      <c r="C8579" t="str">
        <f>"52716390000000"</f>
        <v>52716390000000</v>
      </c>
      <c r="D8579" t="s">
        <v>9322</v>
      </c>
      <c r="E8579" t="str">
        <f>"52716395237201"</f>
        <v>52716395237201</v>
      </c>
      <c r="F8579" s="8">
        <v>1987</v>
      </c>
      <c r="G8579" s="8">
        <v>7534</v>
      </c>
      <c r="H8579" s="8">
        <v>445</v>
      </c>
      <c r="I8579" s="8">
        <v>2400</v>
      </c>
    </row>
    <row r="8580" spans="1:9" x14ac:dyDescent="0.2">
      <c r="A8580" t="s">
        <v>1909</v>
      </c>
      <c r="B8580" t="s">
        <v>1920</v>
      </c>
      <c r="C8580" t="str">
        <f>"52716210000000"</f>
        <v>52716210000000</v>
      </c>
      <c r="D8580" t="s">
        <v>9323</v>
      </c>
      <c r="E8580" t="str">
        <f>"52716216114250"</f>
        <v>52716216114250</v>
      </c>
      <c r="F8580" s="8">
        <v>15646</v>
      </c>
      <c r="G8580" s="8">
        <v>170668</v>
      </c>
      <c r="H8580" s="8">
        <v>1137</v>
      </c>
      <c r="I8580" s="8">
        <v>3244</v>
      </c>
    </row>
    <row r="8581" spans="1:9" x14ac:dyDescent="0.2">
      <c r="A8581" t="s">
        <v>1909</v>
      </c>
      <c r="B8581" t="s">
        <v>1920</v>
      </c>
      <c r="C8581" t="str">
        <f>"52716210000000"</f>
        <v>52716210000000</v>
      </c>
      <c r="D8581" t="s">
        <v>9324</v>
      </c>
      <c r="E8581" t="str">
        <f>"52716216106686"</f>
        <v>52716216106686</v>
      </c>
      <c r="F8581" s="8">
        <v>1532</v>
      </c>
      <c r="G8581" s="8">
        <v>9870</v>
      </c>
      <c r="H8581" s="8">
        <v>1137</v>
      </c>
      <c r="I8581" s="8">
        <v>3244</v>
      </c>
    </row>
    <row r="8582" spans="1:9" x14ac:dyDescent="0.2">
      <c r="A8582" t="s">
        <v>1909</v>
      </c>
      <c r="B8582" t="s">
        <v>1920</v>
      </c>
      <c r="C8582" t="str">
        <f>"52716210000000"</f>
        <v>52716210000000</v>
      </c>
      <c r="D8582" t="s">
        <v>9325</v>
      </c>
      <c r="E8582" t="str">
        <f>"52716216053631"</f>
        <v>52716216053631</v>
      </c>
      <c r="F8582" s="8">
        <v>1530</v>
      </c>
      <c r="G8582" s="8">
        <v>9726</v>
      </c>
      <c r="H8582" s="8">
        <v>1137</v>
      </c>
      <c r="I8582" s="8">
        <v>3244</v>
      </c>
    </row>
    <row r="8583" spans="1:9" x14ac:dyDescent="0.2">
      <c r="A8583" t="s">
        <v>1909</v>
      </c>
      <c r="B8583" t="s">
        <v>1920</v>
      </c>
      <c r="C8583" t="str">
        <f>"52716210000000"</f>
        <v>52716210000000</v>
      </c>
      <c r="D8583" t="s">
        <v>9326</v>
      </c>
      <c r="E8583" t="str">
        <f>"52716216053656"</f>
        <v>52716216053656</v>
      </c>
      <c r="F8583" s="8">
        <v>1179</v>
      </c>
      <c r="G8583" s="8">
        <v>7969</v>
      </c>
      <c r="H8583" s="8">
        <v>1137</v>
      </c>
      <c r="I8583" s="8">
        <v>3244</v>
      </c>
    </row>
    <row r="8584" spans="1:9" x14ac:dyDescent="0.2">
      <c r="A8584" t="s">
        <v>1909</v>
      </c>
      <c r="B8584" t="s">
        <v>1920</v>
      </c>
      <c r="C8584" t="str">
        <f>"52716210000000"</f>
        <v>52716210000000</v>
      </c>
      <c r="D8584" t="s">
        <v>9327</v>
      </c>
      <c r="E8584" t="str">
        <f>"52716216053623"</f>
        <v>52716216053623</v>
      </c>
      <c r="F8584" s="8">
        <v>1165</v>
      </c>
      <c r="G8584" s="8">
        <v>7926</v>
      </c>
      <c r="H8584" s="8">
        <v>1137</v>
      </c>
      <c r="I8584" s="8">
        <v>3244</v>
      </c>
    </row>
    <row r="8585" spans="1:9" x14ac:dyDescent="0.2">
      <c r="A8585" t="s">
        <v>1909</v>
      </c>
      <c r="B8585" t="s">
        <v>1921</v>
      </c>
      <c r="C8585" t="str">
        <f>"52716470000000"</f>
        <v>52716470000000</v>
      </c>
      <c r="D8585" t="s">
        <v>1921</v>
      </c>
      <c r="E8585" t="str">
        <f>"52716476053664"</f>
        <v>52716476053664</v>
      </c>
      <c r="F8585" s="8">
        <v>1127</v>
      </c>
      <c r="G8585" s="8">
        <v>8552</v>
      </c>
      <c r="H8585" s="8">
        <v>0</v>
      </c>
      <c r="I8585" s="8">
        <v>0</v>
      </c>
    </row>
    <row r="8586" spans="1:9" x14ac:dyDescent="0.2">
      <c r="A8586" t="s">
        <v>1909</v>
      </c>
      <c r="B8586" t="s">
        <v>1922</v>
      </c>
      <c r="C8586" t="str">
        <f>"52716540000000"</f>
        <v>52716540000000</v>
      </c>
      <c r="D8586" t="s">
        <v>1922</v>
      </c>
      <c r="E8586" t="str">
        <f>"52716546053672"</f>
        <v>52716546053672</v>
      </c>
      <c r="F8586" s="8">
        <v>1108</v>
      </c>
      <c r="G8586" s="8">
        <v>9969</v>
      </c>
      <c r="H8586" s="8">
        <v>0</v>
      </c>
      <c r="I8586" s="8">
        <v>0</v>
      </c>
    </row>
    <row r="8587" spans="1:9" x14ac:dyDescent="0.2">
      <c r="A8587" t="s">
        <v>1909</v>
      </c>
      <c r="B8587" t="s">
        <v>1923</v>
      </c>
      <c r="C8587" t="str">
        <f>"52105200000000"</f>
        <v>52105200000000</v>
      </c>
      <c r="D8587" t="s">
        <v>9328</v>
      </c>
      <c r="E8587" t="str">
        <f>"52105206069462"</f>
        <v>52105206069462</v>
      </c>
      <c r="F8587" s="8">
        <v>5776</v>
      </c>
      <c r="G8587" s="8">
        <v>36982</v>
      </c>
      <c r="H8587" s="8">
        <v>0</v>
      </c>
      <c r="I8587" s="8">
        <v>2480</v>
      </c>
    </row>
    <row r="8588" spans="1:9" x14ac:dyDescent="0.2">
      <c r="A8588" t="s">
        <v>1909</v>
      </c>
      <c r="B8588" t="s">
        <v>1923</v>
      </c>
      <c r="C8588" t="str">
        <f>"52105200000000"</f>
        <v>52105200000000</v>
      </c>
      <c r="D8588" t="s">
        <v>9329</v>
      </c>
      <c r="E8588" t="str">
        <f>"52105205230016"</f>
        <v>52105205230016</v>
      </c>
      <c r="F8588" s="8">
        <v>11168</v>
      </c>
      <c r="G8588" s="8">
        <v>24459</v>
      </c>
      <c r="H8588" s="8">
        <v>0</v>
      </c>
      <c r="I8588" s="8">
        <v>3776</v>
      </c>
    </row>
    <row r="8589" spans="1:9" x14ac:dyDescent="0.2">
      <c r="A8589" t="s">
        <v>1909</v>
      </c>
      <c r="B8589" t="s">
        <v>1923</v>
      </c>
      <c r="C8589" t="str">
        <f>"52105200000000"</f>
        <v>52105200000000</v>
      </c>
      <c r="D8589" t="s">
        <v>9330</v>
      </c>
      <c r="E8589" t="str">
        <f>"52105206119606"</f>
        <v>52105206119606</v>
      </c>
      <c r="F8589" s="8">
        <v>65</v>
      </c>
      <c r="G8589" s="8">
        <v>10321</v>
      </c>
      <c r="H8589" s="8">
        <v>0</v>
      </c>
      <c r="I8589" s="8">
        <v>476</v>
      </c>
    </row>
    <row r="8590" spans="1:9" x14ac:dyDescent="0.2">
      <c r="A8590" t="s">
        <v>1925</v>
      </c>
      <c r="B8590" t="s">
        <v>1926</v>
      </c>
      <c r="C8590" t="str">
        <f>"53716620000000"</f>
        <v>53716620000000</v>
      </c>
      <c r="D8590" t="s">
        <v>1926</v>
      </c>
      <c r="E8590" t="str">
        <f>"53716626053680"</f>
        <v>53716626053680</v>
      </c>
      <c r="F8590" s="8">
        <v>1710</v>
      </c>
      <c r="G8590" s="8">
        <v>17755</v>
      </c>
      <c r="H8590" s="8">
        <v>90</v>
      </c>
      <c r="I8590" s="8">
        <v>5621</v>
      </c>
    </row>
    <row r="8591" spans="1:9" x14ac:dyDescent="0.2">
      <c r="A8591" t="s">
        <v>1925</v>
      </c>
      <c r="B8591" t="s">
        <v>1928</v>
      </c>
      <c r="C8591" t="str">
        <f>"53716700000000"</f>
        <v>53716700000000</v>
      </c>
      <c r="D8591" t="s">
        <v>1928</v>
      </c>
      <c r="E8591" t="str">
        <f>"53716706053706"</f>
        <v>53716706053706</v>
      </c>
      <c r="F8591" s="8">
        <v>2253</v>
      </c>
      <c r="G8591" s="8">
        <v>23111</v>
      </c>
      <c r="H8591" s="8">
        <v>0</v>
      </c>
      <c r="I8591" s="8">
        <v>6661</v>
      </c>
    </row>
    <row r="8592" spans="1:9" x14ac:dyDescent="0.2">
      <c r="A8592" t="s">
        <v>1925</v>
      </c>
      <c r="B8592" t="s">
        <v>1929</v>
      </c>
      <c r="C8592" t="str">
        <f>"53716960000000"</f>
        <v>53716960000000</v>
      </c>
      <c r="D8592" t="s">
        <v>1929</v>
      </c>
      <c r="E8592" t="str">
        <f>"53716966053722"</f>
        <v>53716966053722</v>
      </c>
      <c r="F8592" s="8">
        <v>1546</v>
      </c>
      <c r="G8592" s="8">
        <v>11415</v>
      </c>
      <c r="H8592" s="8">
        <v>60</v>
      </c>
      <c r="I8592" s="8">
        <v>2916</v>
      </c>
    </row>
    <row r="8593" spans="1:9" x14ac:dyDescent="0.2">
      <c r="A8593" t="s">
        <v>1925</v>
      </c>
      <c r="B8593" t="s">
        <v>1930</v>
      </c>
      <c r="C8593" t="str">
        <f>"53717380000000"</f>
        <v>53717380000000</v>
      </c>
      <c r="D8593" t="s">
        <v>1930</v>
      </c>
      <c r="E8593" t="str">
        <f>"53717386053771"</f>
        <v>53717386053771</v>
      </c>
      <c r="F8593" s="8">
        <v>1576</v>
      </c>
      <c r="G8593" s="8">
        <v>13771</v>
      </c>
      <c r="H8593" s="8">
        <v>0</v>
      </c>
      <c r="I8593" s="8">
        <v>0</v>
      </c>
    </row>
    <row r="8594" spans="1:9" x14ac:dyDescent="0.2">
      <c r="A8594" t="s">
        <v>1925</v>
      </c>
      <c r="B8594" t="s">
        <v>1931</v>
      </c>
      <c r="C8594" t="str">
        <f>"53717460000000"</f>
        <v>53717460000000</v>
      </c>
      <c r="D8594" t="s">
        <v>1931</v>
      </c>
      <c r="E8594" t="str">
        <f>"53717466053789"</f>
        <v>53717466053789</v>
      </c>
      <c r="F8594" s="8">
        <v>4705</v>
      </c>
      <c r="G8594" s="8">
        <v>10882</v>
      </c>
      <c r="H8594" s="8">
        <v>219</v>
      </c>
      <c r="I8594" s="8">
        <v>4867</v>
      </c>
    </row>
    <row r="8595" spans="1:9" x14ac:dyDescent="0.2">
      <c r="A8595" t="s">
        <v>1925</v>
      </c>
      <c r="B8595" t="s">
        <v>1932</v>
      </c>
      <c r="C8595" t="str">
        <f>"53750280000000"</f>
        <v>53750280000000</v>
      </c>
      <c r="D8595" t="s">
        <v>9331</v>
      </c>
      <c r="E8595" t="str">
        <f>"53750285337407"</f>
        <v>53750285337407</v>
      </c>
      <c r="F8595" s="8">
        <v>2842</v>
      </c>
      <c r="G8595" s="8">
        <v>16986</v>
      </c>
      <c r="H8595" s="8">
        <v>0</v>
      </c>
      <c r="I8595" s="8">
        <v>3883</v>
      </c>
    </row>
    <row r="8596" spans="1:9" x14ac:dyDescent="0.2">
      <c r="A8596" t="s">
        <v>1925</v>
      </c>
      <c r="B8596" t="s">
        <v>1932</v>
      </c>
      <c r="C8596" t="str">
        <f>"53750280000000"</f>
        <v>53750280000000</v>
      </c>
      <c r="D8596" t="s">
        <v>9332</v>
      </c>
      <c r="E8596" t="str">
        <f>"53750286053730"</f>
        <v>53750286053730</v>
      </c>
      <c r="F8596" s="8">
        <v>1257</v>
      </c>
      <c r="G8596" s="8">
        <v>8067</v>
      </c>
      <c r="H8596" s="8">
        <v>0</v>
      </c>
      <c r="I8596" s="8">
        <v>3883</v>
      </c>
    </row>
    <row r="8597" spans="1:9" x14ac:dyDescent="0.2">
      <c r="A8597" t="s">
        <v>1925</v>
      </c>
      <c r="B8597" t="s">
        <v>1932</v>
      </c>
      <c r="C8597" t="str">
        <f>"53750280000000"</f>
        <v>53750280000000</v>
      </c>
      <c r="D8597" t="s">
        <v>3266</v>
      </c>
      <c r="E8597" t="str">
        <f>"53750285330022"</f>
        <v>53750285330022</v>
      </c>
      <c r="F8597" s="8">
        <v>36</v>
      </c>
      <c r="G8597" s="8">
        <v>6033</v>
      </c>
      <c r="H8597" s="8">
        <v>0</v>
      </c>
      <c r="I8597" s="8">
        <v>3805</v>
      </c>
    </row>
    <row r="8598" spans="1:9" x14ac:dyDescent="0.2">
      <c r="A8598" t="s">
        <v>1925</v>
      </c>
      <c r="B8598" t="s">
        <v>1933</v>
      </c>
      <c r="C8598" t="str">
        <f>"53738330000000"</f>
        <v>53738330000000</v>
      </c>
      <c r="D8598" t="s">
        <v>9333</v>
      </c>
      <c r="E8598" t="str">
        <f>"53738335337423"</f>
        <v>53738335337423</v>
      </c>
      <c r="F8598" s="8">
        <v>1653</v>
      </c>
      <c r="G8598" s="8">
        <v>13742</v>
      </c>
      <c r="H8598" s="8">
        <v>817</v>
      </c>
      <c r="I8598" s="8">
        <v>10938</v>
      </c>
    </row>
    <row r="8599" spans="1:9" x14ac:dyDescent="0.2">
      <c r="A8599" t="s">
        <v>1925</v>
      </c>
      <c r="B8599" t="s">
        <v>1933</v>
      </c>
      <c r="C8599" t="str">
        <f>"53738330000000"</f>
        <v>53738330000000</v>
      </c>
      <c r="D8599" t="s">
        <v>9334</v>
      </c>
      <c r="E8599" t="str">
        <f>"53738336053805"</f>
        <v>53738336053805</v>
      </c>
      <c r="F8599" s="8">
        <v>2370</v>
      </c>
      <c r="G8599" s="8">
        <v>12009</v>
      </c>
      <c r="H8599" s="8">
        <v>817</v>
      </c>
      <c r="I8599" s="8">
        <v>10938</v>
      </c>
    </row>
    <row r="8600" spans="1:9" x14ac:dyDescent="0.2">
      <c r="A8600" t="s">
        <v>1925</v>
      </c>
      <c r="B8600" t="s">
        <v>1933</v>
      </c>
      <c r="C8600" t="str">
        <f>"53738330000000"</f>
        <v>53738330000000</v>
      </c>
      <c r="D8600" t="s">
        <v>9335</v>
      </c>
      <c r="E8600" t="str">
        <f>"53738336053755"</f>
        <v>53738336053755</v>
      </c>
      <c r="F8600" s="8">
        <v>1043</v>
      </c>
      <c r="G8600" s="8">
        <v>11692</v>
      </c>
      <c r="H8600" s="8">
        <v>817</v>
      </c>
      <c r="I8600" s="8">
        <v>10938</v>
      </c>
    </row>
    <row r="8601" spans="1:9" x14ac:dyDescent="0.2">
      <c r="A8601" t="s">
        <v>1925</v>
      </c>
      <c r="B8601" t="s">
        <v>1933</v>
      </c>
      <c r="C8601" t="str">
        <f>"53738330000000"</f>
        <v>53738330000000</v>
      </c>
      <c r="D8601" t="s">
        <v>9336</v>
      </c>
      <c r="E8601" t="str">
        <f>"53738335330030"</f>
        <v>53738335330030</v>
      </c>
      <c r="F8601" s="8">
        <v>600</v>
      </c>
      <c r="G8601" s="8">
        <v>11127</v>
      </c>
      <c r="H8601" s="8">
        <v>817</v>
      </c>
      <c r="I8601" s="8">
        <v>10938</v>
      </c>
    </row>
    <row r="8602" spans="1:9" x14ac:dyDescent="0.2">
      <c r="A8602" t="s">
        <v>1925</v>
      </c>
      <c r="B8602" t="s">
        <v>1934</v>
      </c>
      <c r="C8602" t="str">
        <f>"53765130000000"</f>
        <v>53765130000000</v>
      </c>
      <c r="D8602" t="s">
        <v>9337</v>
      </c>
      <c r="E8602" t="str">
        <f>"53765135337456"</f>
        <v>53765135337456</v>
      </c>
      <c r="F8602" s="8">
        <v>2393</v>
      </c>
      <c r="G8602" s="8">
        <v>10696</v>
      </c>
      <c r="H8602" s="8">
        <v>353</v>
      </c>
      <c r="I8602" s="8">
        <v>658</v>
      </c>
    </row>
    <row r="8603" spans="1:9" x14ac:dyDescent="0.2">
      <c r="A8603" t="s">
        <v>1925</v>
      </c>
      <c r="B8603" t="s">
        <v>1934</v>
      </c>
      <c r="C8603" t="str">
        <f>"53765130000000"</f>
        <v>53765130000000</v>
      </c>
      <c r="D8603" t="s">
        <v>9338</v>
      </c>
      <c r="E8603" t="str">
        <f>"53765136053821"</f>
        <v>53765136053821</v>
      </c>
      <c r="F8603" s="8">
        <v>2380</v>
      </c>
      <c r="G8603" s="8">
        <v>9373</v>
      </c>
      <c r="H8603" s="8">
        <v>353</v>
      </c>
      <c r="I8603" s="8">
        <v>658</v>
      </c>
    </row>
    <row r="8604" spans="1:9" x14ac:dyDescent="0.2">
      <c r="A8604" t="s">
        <v>1925</v>
      </c>
      <c r="B8604" t="s">
        <v>1934</v>
      </c>
      <c r="C8604" t="str">
        <f>"53765130000000"</f>
        <v>53765130000000</v>
      </c>
      <c r="D8604" t="s">
        <v>9339</v>
      </c>
      <c r="E8604" t="str">
        <f>"53765135330014"</f>
        <v>53765135330014</v>
      </c>
      <c r="F8604" s="8">
        <v>2920</v>
      </c>
      <c r="G8604" s="8">
        <v>7972</v>
      </c>
      <c r="H8604" s="8">
        <v>353</v>
      </c>
      <c r="I8604" s="8">
        <v>658</v>
      </c>
    </row>
    <row r="8605" spans="1:9" x14ac:dyDescent="0.2">
      <c r="A8605" t="s">
        <v>1925</v>
      </c>
      <c r="B8605" t="s">
        <v>1934</v>
      </c>
      <c r="C8605" t="str">
        <f>"53765130000000"</f>
        <v>53765130000000</v>
      </c>
      <c r="D8605" t="s">
        <v>9340</v>
      </c>
      <c r="E8605" t="str">
        <f>"53765136053714"</f>
        <v>53765136053714</v>
      </c>
      <c r="F8605" s="8" t="s">
        <v>30</v>
      </c>
      <c r="G8605" s="8" t="s">
        <v>30</v>
      </c>
      <c r="H8605" s="8" t="s">
        <v>30</v>
      </c>
      <c r="I8605" s="8" t="s">
        <v>30</v>
      </c>
    </row>
    <row r="8606" spans="1:9" x14ac:dyDescent="0.2">
      <c r="A8606" t="s">
        <v>1925</v>
      </c>
      <c r="B8606" t="s">
        <v>1935</v>
      </c>
      <c r="C8606" t="str">
        <f>"53717610000000"</f>
        <v>53717610000000</v>
      </c>
      <c r="D8606" t="s">
        <v>1935</v>
      </c>
      <c r="E8606" t="str">
        <f>"53717616053813"</f>
        <v>53717616053813</v>
      </c>
      <c r="F8606" s="8">
        <v>1604</v>
      </c>
      <c r="G8606" s="8">
        <v>10068</v>
      </c>
      <c r="H8606" s="8">
        <v>0</v>
      </c>
      <c r="I8606" s="8">
        <v>5517</v>
      </c>
    </row>
    <row r="8607" spans="1:9" x14ac:dyDescent="0.2">
      <c r="A8607" t="s">
        <v>1925</v>
      </c>
      <c r="B8607" t="s">
        <v>1936</v>
      </c>
      <c r="C8607" t="str">
        <f>"53105380000000"</f>
        <v>53105380000000</v>
      </c>
      <c r="D8607" t="s">
        <v>9341</v>
      </c>
      <c r="E8607" t="str">
        <f>"53105380132423"</f>
        <v>53105380132423</v>
      </c>
      <c r="F8607" s="8">
        <v>296</v>
      </c>
      <c r="G8607" s="8">
        <v>31905</v>
      </c>
      <c r="H8607" s="8">
        <v>780</v>
      </c>
      <c r="I8607" s="8">
        <v>8719</v>
      </c>
    </row>
    <row r="8608" spans="1:9" x14ac:dyDescent="0.2">
      <c r="A8608" t="s">
        <v>1925</v>
      </c>
      <c r="B8608" t="s">
        <v>1936</v>
      </c>
      <c r="C8608" t="str">
        <f>"53105380000000"</f>
        <v>53105380000000</v>
      </c>
      <c r="D8608" t="s">
        <v>9342</v>
      </c>
      <c r="E8608" t="str">
        <f>"53105385330048"</f>
        <v>53105385330048</v>
      </c>
      <c r="F8608" s="8" t="s">
        <v>30</v>
      </c>
      <c r="G8608" s="8" t="s">
        <v>30</v>
      </c>
      <c r="H8608" s="8" t="s">
        <v>30</v>
      </c>
      <c r="I8608" s="8" t="s">
        <v>30</v>
      </c>
    </row>
    <row r="8609" spans="1:9" x14ac:dyDescent="0.2">
      <c r="A8609" t="s">
        <v>1925</v>
      </c>
      <c r="B8609" t="s">
        <v>1936</v>
      </c>
      <c r="C8609" t="str">
        <f>"53105380000000"</f>
        <v>53105380000000</v>
      </c>
      <c r="D8609" t="s">
        <v>9343</v>
      </c>
      <c r="E8609" t="str">
        <f>"53105386069421"</f>
        <v>53105386069421</v>
      </c>
      <c r="F8609" s="8" t="s">
        <v>30</v>
      </c>
      <c r="G8609" s="8" t="s">
        <v>30</v>
      </c>
      <c r="H8609" s="8" t="s">
        <v>30</v>
      </c>
      <c r="I8609" s="8" t="s">
        <v>30</v>
      </c>
    </row>
    <row r="8610" spans="1:9" x14ac:dyDescent="0.2">
      <c r="A8610" t="s">
        <v>1937</v>
      </c>
      <c r="B8610" t="s">
        <v>1938</v>
      </c>
      <c r="C8610" t="str">
        <f>"54717950000000"</f>
        <v>54717950000000</v>
      </c>
      <c r="D8610" t="s">
        <v>1938</v>
      </c>
      <c r="E8610" t="str">
        <f>"54717956053839"</f>
        <v>54717956053839</v>
      </c>
      <c r="F8610" s="8">
        <v>3088</v>
      </c>
      <c r="G8610" s="8">
        <v>16576</v>
      </c>
      <c r="H8610" s="8">
        <v>0</v>
      </c>
      <c r="I8610" s="8">
        <v>0</v>
      </c>
    </row>
    <row r="8611" spans="1:9" x14ac:dyDescent="0.2">
      <c r="A8611" t="s">
        <v>1937</v>
      </c>
      <c r="B8611" t="s">
        <v>1939</v>
      </c>
      <c r="C8611" t="str">
        <f>"54718030000000"</f>
        <v>54718030000000</v>
      </c>
      <c r="D8611" t="s">
        <v>9344</v>
      </c>
      <c r="E8611" t="str">
        <f>"54718036053847"</f>
        <v>54718036053847</v>
      </c>
      <c r="F8611" s="8">
        <v>809</v>
      </c>
      <c r="G8611" s="8">
        <v>6434</v>
      </c>
      <c r="H8611" s="8">
        <v>2626</v>
      </c>
      <c r="I8611" s="8">
        <v>6837</v>
      </c>
    </row>
    <row r="8612" spans="1:9" x14ac:dyDescent="0.2">
      <c r="A8612" t="s">
        <v>1937</v>
      </c>
      <c r="B8612" t="s">
        <v>1939</v>
      </c>
      <c r="C8612" t="str">
        <f>"54718030000000"</f>
        <v>54718030000000</v>
      </c>
      <c r="D8612" t="s">
        <v>9345</v>
      </c>
      <c r="E8612" t="str">
        <f>"54718035430301"</f>
        <v>54718035430301</v>
      </c>
      <c r="F8612" s="8">
        <v>0</v>
      </c>
      <c r="G8612" s="8">
        <v>5558</v>
      </c>
      <c r="H8612" s="8">
        <v>2626</v>
      </c>
      <c r="I8612" s="8">
        <v>6837</v>
      </c>
    </row>
    <row r="8613" spans="1:9" x14ac:dyDescent="0.2">
      <c r="A8613" t="s">
        <v>1937</v>
      </c>
      <c r="B8613" t="s">
        <v>1939</v>
      </c>
      <c r="C8613" t="str">
        <f>"54718030000000"</f>
        <v>54718030000000</v>
      </c>
      <c r="D8613" t="s">
        <v>9346</v>
      </c>
      <c r="E8613" t="str">
        <f>"54718035430111"</f>
        <v>54718035430111</v>
      </c>
      <c r="F8613" s="8" t="s">
        <v>30</v>
      </c>
      <c r="G8613" s="8" t="s">
        <v>30</v>
      </c>
      <c r="H8613" s="8" t="s">
        <v>30</v>
      </c>
      <c r="I8613" s="8" t="s">
        <v>30</v>
      </c>
    </row>
    <row r="8614" spans="1:9" x14ac:dyDescent="0.2">
      <c r="A8614" t="s">
        <v>1937</v>
      </c>
      <c r="B8614" t="s">
        <v>1940</v>
      </c>
      <c r="C8614" t="str">
        <f>"54718110000000"</f>
        <v>54718110000000</v>
      </c>
      <c r="D8614" t="s">
        <v>1940</v>
      </c>
      <c r="E8614" t="str">
        <f>"54718116053854"</f>
        <v>54718116053854</v>
      </c>
      <c r="F8614" s="8">
        <v>2473</v>
      </c>
      <c r="G8614" s="8">
        <v>12818</v>
      </c>
      <c r="H8614" s="8">
        <v>0</v>
      </c>
      <c r="I8614" s="8">
        <v>0</v>
      </c>
    </row>
    <row r="8615" spans="1:9" x14ac:dyDescent="0.2">
      <c r="A8615" t="s">
        <v>1937</v>
      </c>
      <c r="B8615" t="s">
        <v>1942</v>
      </c>
      <c r="C8615" t="str">
        <f>"54718290000000"</f>
        <v>54718290000000</v>
      </c>
      <c r="D8615" t="s">
        <v>1942</v>
      </c>
      <c r="E8615" t="str">
        <f>"54718296053862"</f>
        <v>54718296053862</v>
      </c>
      <c r="F8615" s="8">
        <v>1014</v>
      </c>
      <c r="G8615" s="8">
        <v>10885</v>
      </c>
      <c r="H8615" s="8">
        <v>0</v>
      </c>
      <c r="I8615" s="8">
        <v>0</v>
      </c>
    </row>
    <row r="8616" spans="1:9" x14ac:dyDescent="0.2">
      <c r="A8616" t="s">
        <v>1937</v>
      </c>
      <c r="B8616" t="s">
        <v>1943</v>
      </c>
      <c r="C8616" t="str">
        <f t="shared" ref="C8616:C8622" si="436">"54718370000000"</f>
        <v>54718370000000</v>
      </c>
      <c r="D8616" t="s">
        <v>9347</v>
      </c>
      <c r="E8616" t="str">
        <f>"54718376114078"</f>
        <v>54718376114078</v>
      </c>
      <c r="F8616" s="8">
        <v>568</v>
      </c>
      <c r="G8616" s="8">
        <v>7199</v>
      </c>
      <c r="H8616" s="8">
        <v>951</v>
      </c>
      <c r="I8616" s="8">
        <v>4769</v>
      </c>
    </row>
    <row r="8617" spans="1:9" x14ac:dyDescent="0.2">
      <c r="A8617" t="s">
        <v>1937</v>
      </c>
      <c r="B8617" t="s">
        <v>1943</v>
      </c>
      <c r="C8617" t="str">
        <f t="shared" si="436"/>
        <v>54718370000000</v>
      </c>
      <c r="D8617" t="s">
        <v>1655</v>
      </c>
      <c r="E8617" t="str">
        <f>"54718376105506"</f>
        <v>54718376105506</v>
      </c>
      <c r="F8617" s="8">
        <v>585</v>
      </c>
      <c r="G8617" s="8">
        <v>6909</v>
      </c>
      <c r="H8617" s="8">
        <v>951</v>
      </c>
      <c r="I8617" s="8">
        <v>4769</v>
      </c>
    </row>
    <row r="8618" spans="1:9" x14ac:dyDescent="0.2">
      <c r="A8618" t="s">
        <v>1937</v>
      </c>
      <c r="B8618" t="s">
        <v>1943</v>
      </c>
      <c r="C8618" t="str">
        <f t="shared" si="436"/>
        <v>54718370000000</v>
      </c>
      <c r="D8618" t="s">
        <v>1943</v>
      </c>
      <c r="E8618" t="str">
        <f>"54718376053870"</f>
        <v>54718376053870</v>
      </c>
      <c r="F8618" s="8">
        <v>501</v>
      </c>
      <c r="G8618" s="8">
        <v>6744</v>
      </c>
      <c r="H8618" s="8">
        <v>951</v>
      </c>
      <c r="I8618" s="8">
        <v>4769</v>
      </c>
    </row>
    <row r="8619" spans="1:9" x14ac:dyDescent="0.2">
      <c r="A8619" t="s">
        <v>1937</v>
      </c>
      <c r="B8619" t="s">
        <v>1943</v>
      </c>
      <c r="C8619" t="str">
        <f t="shared" si="436"/>
        <v>54718370000000</v>
      </c>
      <c r="D8619" t="s">
        <v>9348</v>
      </c>
      <c r="E8619" t="str">
        <f>"54718376100267"</f>
        <v>54718376100267</v>
      </c>
      <c r="F8619" s="8">
        <v>198</v>
      </c>
      <c r="G8619" s="8">
        <v>6923</v>
      </c>
      <c r="H8619" s="8">
        <v>951</v>
      </c>
      <c r="I8619" s="8">
        <v>4769</v>
      </c>
    </row>
    <row r="8620" spans="1:9" x14ac:dyDescent="0.2">
      <c r="A8620" t="s">
        <v>1937</v>
      </c>
      <c r="B8620" t="s">
        <v>1943</v>
      </c>
      <c r="C8620" t="str">
        <f t="shared" si="436"/>
        <v>54718370000000</v>
      </c>
      <c r="D8620" t="s">
        <v>9349</v>
      </c>
      <c r="E8620" t="str">
        <f>"54718376120232"</f>
        <v>54718376120232</v>
      </c>
      <c r="F8620" s="8">
        <v>659</v>
      </c>
      <c r="G8620" s="8">
        <v>6174</v>
      </c>
      <c r="H8620" s="8">
        <v>951</v>
      </c>
      <c r="I8620" s="8">
        <v>4769</v>
      </c>
    </row>
    <row r="8621" spans="1:9" x14ac:dyDescent="0.2">
      <c r="A8621" t="s">
        <v>1937</v>
      </c>
      <c r="B8621" t="s">
        <v>1943</v>
      </c>
      <c r="C8621" t="str">
        <f t="shared" si="436"/>
        <v>54718370000000</v>
      </c>
      <c r="D8621" t="s">
        <v>9350</v>
      </c>
      <c r="E8621" t="str">
        <f>"54718370109009"</f>
        <v>54718370109009</v>
      </c>
      <c r="F8621" s="8">
        <v>163</v>
      </c>
      <c r="G8621" s="8">
        <v>6635</v>
      </c>
      <c r="H8621" s="8">
        <v>951</v>
      </c>
      <c r="I8621" s="8">
        <v>4769</v>
      </c>
    </row>
    <row r="8622" spans="1:9" x14ac:dyDescent="0.2">
      <c r="A8622" t="s">
        <v>1937</v>
      </c>
      <c r="B8622" t="s">
        <v>1943</v>
      </c>
      <c r="C8622" t="str">
        <f t="shared" si="436"/>
        <v>54718370000000</v>
      </c>
      <c r="D8622" t="s">
        <v>9351</v>
      </c>
      <c r="E8622" t="str">
        <f>"54718370110452"</f>
        <v>54718370110452</v>
      </c>
      <c r="F8622" s="8" t="s">
        <v>30</v>
      </c>
      <c r="G8622" s="8" t="s">
        <v>30</v>
      </c>
      <c r="H8622" s="8" t="s">
        <v>30</v>
      </c>
      <c r="I8622" s="8" t="s">
        <v>30</v>
      </c>
    </row>
    <row r="8623" spans="1:9" x14ac:dyDescent="0.2">
      <c r="A8623" t="s">
        <v>1937</v>
      </c>
      <c r="B8623" t="s">
        <v>1945</v>
      </c>
      <c r="C8623" t="str">
        <f>"54718520000000"</f>
        <v>54718520000000</v>
      </c>
      <c r="D8623" t="s">
        <v>1945</v>
      </c>
      <c r="E8623" t="str">
        <f>"54718526053896"</f>
        <v>54718526053896</v>
      </c>
      <c r="F8623" s="8">
        <v>593</v>
      </c>
      <c r="G8623" s="8">
        <v>9936</v>
      </c>
      <c r="H8623" s="8">
        <v>0</v>
      </c>
      <c r="I8623" s="8">
        <v>0</v>
      </c>
    </row>
    <row r="8624" spans="1:9" x14ac:dyDescent="0.2">
      <c r="A8624" t="s">
        <v>1937</v>
      </c>
      <c r="B8624" t="s">
        <v>1947</v>
      </c>
      <c r="C8624" t="str">
        <f t="shared" ref="C8624:C8631" si="437">"54718600000000"</f>
        <v>54718600000000</v>
      </c>
      <c r="D8624" t="s">
        <v>9352</v>
      </c>
      <c r="E8624" t="str">
        <f>"54718605430806"</f>
        <v>54718605430806</v>
      </c>
      <c r="F8624" s="8">
        <v>881</v>
      </c>
      <c r="G8624" s="8">
        <v>31360</v>
      </c>
      <c r="H8624" s="8">
        <v>2428</v>
      </c>
      <c r="I8624" s="8">
        <v>2957</v>
      </c>
    </row>
    <row r="8625" spans="1:9" x14ac:dyDescent="0.2">
      <c r="A8625" t="s">
        <v>1937</v>
      </c>
      <c r="B8625" t="s">
        <v>1947</v>
      </c>
      <c r="C8625" t="str">
        <f t="shared" si="437"/>
        <v>54718600000000</v>
      </c>
      <c r="D8625" t="s">
        <v>9353</v>
      </c>
      <c r="E8625" t="str">
        <f>"54718605430244"</f>
        <v>54718605430244</v>
      </c>
      <c r="F8625" s="8">
        <v>198</v>
      </c>
      <c r="G8625" s="8">
        <v>14557</v>
      </c>
      <c r="H8625" s="8">
        <v>2428</v>
      </c>
      <c r="I8625" s="8">
        <v>2957</v>
      </c>
    </row>
    <row r="8626" spans="1:9" x14ac:dyDescent="0.2">
      <c r="A8626" t="s">
        <v>1937</v>
      </c>
      <c r="B8626" t="s">
        <v>1947</v>
      </c>
      <c r="C8626" t="str">
        <f t="shared" si="437"/>
        <v>54718600000000</v>
      </c>
      <c r="D8626" t="s">
        <v>6072</v>
      </c>
      <c r="E8626" t="str">
        <f>"54718605430095"</f>
        <v>54718605430095</v>
      </c>
      <c r="F8626" s="8">
        <v>4374</v>
      </c>
      <c r="G8626" s="8">
        <v>6287</v>
      </c>
      <c r="H8626" s="8">
        <v>2428</v>
      </c>
      <c r="I8626" s="8">
        <v>2957</v>
      </c>
    </row>
    <row r="8627" spans="1:9" x14ac:dyDescent="0.2">
      <c r="A8627" t="s">
        <v>1937</v>
      </c>
      <c r="B8627" t="s">
        <v>1947</v>
      </c>
      <c r="C8627" t="str">
        <f t="shared" si="437"/>
        <v>54718600000000</v>
      </c>
      <c r="D8627" t="s">
        <v>9354</v>
      </c>
      <c r="E8627" t="str">
        <f>"54718606053904"</f>
        <v>54718606053904</v>
      </c>
      <c r="F8627" s="8">
        <v>1599</v>
      </c>
      <c r="G8627" s="8">
        <v>8683</v>
      </c>
      <c r="H8627" s="8">
        <v>2428</v>
      </c>
      <c r="I8627" s="8">
        <v>2957</v>
      </c>
    </row>
    <row r="8628" spans="1:9" x14ac:dyDescent="0.2">
      <c r="A8628" t="s">
        <v>1937</v>
      </c>
      <c r="B8628" t="s">
        <v>1947</v>
      </c>
      <c r="C8628" t="str">
        <f t="shared" si="437"/>
        <v>54718600000000</v>
      </c>
      <c r="D8628" t="s">
        <v>9355</v>
      </c>
      <c r="E8628" t="str">
        <f>"54718605433230"</f>
        <v>54718605433230</v>
      </c>
      <c r="F8628" s="8">
        <v>1133</v>
      </c>
      <c r="G8628" s="8">
        <v>7977</v>
      </c>
      <c r="H8628" s="8">
        <v>2428</v>
      </c>
      <c r="I8628" s="8">
        <v>2957</v>
      </c>
    </row>
    <row r="8629" spans="1:9" x14ac:dyDescent="0.2">
      <c r="A8629" t="s">
        <v>1937</v>
      </c>
      <c r="B8629" t="s">
        <v>1947</v>
      </c>
      <c r="C8629" t="str">
        <f t="shared" si="437"/>
        <v>54718600000000</v>
      </c>
      <c r="D8629" t="s">
        <v>9356</v>
      </c>
      <c r="E8629" t="str">
        <f>"54718606112684"</f>
        <v>54718606112684</v>
      </c>
      <c r="F8629" s="8">
        <v>1233</v>
      </c>
      <c r="G8629" s="8">
        <v>7849</v>
      </c>
      <c r="H8629" s="8">
        <v>2428</v>
      </c>
      <c r="I8629" s="8">
        <v>2957</v>
      </c>
    </row>
    <row r="8630" spans="1:9" x14ac:dyDescent="0.2">
      <c r="A8630" t="s">
        <v>1937</v>
      </c>
      <c r="B8630" t="s">
        <v>1947</v>
      </c>
      <c r="C8630" t="str">
        <f t="shared" si="437"/>
        <v>54718600000000</v>
      </c>
      <c r="D8630" t="s">
        <v>3909</v>
      </c>
      <c r="E8630" t="str">
        <f>"54718606053938"</f>
        <v>54718606053938</v>
      </c>
      <c r="F8630" s="8">
        <v>1144</v>
      </c>
      <c r="G8630" s="8">
        <v>7921</v>
      </c>
      <c r="H8630" s="8">
        <v>2428</v>
      </c>
      <c r="I8630" s="8">
        <v>2957</v>
      </c>
    </row>
    <row r="8631" spans="1:9" x14ac:dyDescent="0.2">
      <c r="A8631" t="s">
        <v>1937</v>
      </c>
      <c r="B8631" t="s">
        <v>1947</v>
      </c>
      <c r="C8631" t="str">
        <f t="shared" si="437"/>
        <v>54718600000000</v>
      </c>
      <c r="D8631" t="s">
        <v>9357</v>
      </c>
      <c r="E8631" t="str">
        <f>"54718606118111"</f>
        <v>54718606118111</v>
      </c>
      <c r="F8631" s="8">
        <v>4601</v>
      </c>
      <c r="G8631" s="8">
        <v>3021</v>
      </c>
      <c r="H8631" s="8">
        <v>2428</v>
      </c>
      <c r="I8631" s="8">
        <v>2957</v>
      </c>
    </row>
    <row r="8632" spans="1:9" x14ac:dyDescent="0.2">
      <c r="A8632" t="s">
        <v>1937</v>
      </c>
      <c r="B8632" t="s">
        <v>1948</v>
      </c>
      <c r="C8632" t="str">
        <f t="shared" ref="C8632:C8641" si="438">"54755310000000"</f>
        <v>54755310000000</v>
      </c>
      <c r="D8632" t="s">
        <v>9358</v>
      </c>
      <c r="E8632" t="str">
        <f>"54755315431119"</f>
        <v>54755315431119</v>
      </c>
      <c r="F8632" s="8">
        <v>262</v>
      </c>
      <c r="G8632" s="8">
        <v>30533</v>
      </c>
      <c r="H8632" s="8">
        <v>2193</v>
      </c>
      <c r="I8632" s="8">
        <v>3605</v>
      </c>
    </row>
    <row r="8633" spans="1:9" x14ac:dyDescent="0.2">
      <c r="A8633" t="s">
        <v>1937</v>
      </c>
      <c r="B8633" t="s">
        <v>1948</v>
      </c>
      <c r="C8633" t="str">
        <f t="shared" si="438"/>
        <v>54755310000000</v>
      </c>
      <c r="D8633" t="s">
        <v>9359</v>
      </c>
      <c r="E8633" t="str">
        <f>"54755310102186"</f>
        <v>54755310102186</v>
      </c>
      <c r="F8633" s="8">
        <v>731</v>
      </c>
      <c r="G8633" s="8">
        <v>14768</v>
      </c>
      <c r="H8633" s="8">
        <v>2193</v>
      </c>
      <c r="I8633" s="8">
        <v>3605</v>
      </c>
    </row>
    <row r="8634" spans="1:9" x14ac:dyDescent="0.2">
      <c r="A8634" t="s">
        <v>1937</v>
      </c>
      <c r="B8634" t="s">
        <v>1948</v>
      </c>
      <c r="C8634" t="str">
        <f t="shared" si="438"/>
        <v>54755310000000</v>
      </c>
      <c r="D8634" t="s">
        <v>4849</v>
      </c>
      <c r="E8634" t="str">
        <f>"54755316053961"</f>
        <v>54755316053961</v>
      </c>
      <c r="F8634" s="8">
        <v>167</v>
      </c>
      <c r="G8634" s="8">
        <v>6561</v>
      </c>
      <c r="H8634" s="8">
        <v>2193</v>
      </c>
      <c r="I8634" s="8">
        <v>3605</v>
      </c>
    </row>
    <row r="8635" spans="1:9" x14ac:dyDescent="0.2">
      <c r="A8635" t="s">
        <v>1937</v>
      </c>
      <c r="B8635" t="s">
        <v>1948</v>
      </c>
      <c r="C8635" t="str">
        <f t="shared" si="438"/>
        <v>54755310000000</v>
      </c>
      <c r="D8635" t="s">
        <v>1194</v>
      </c>
      <c r="E8635" t="str">
        <f>"54755316053979"</f>
        <v>54755316053979</v>
      </c>
      <c r="F8635" s="8">
        <v>278</v>
      </c>
      <c r="G8635" s="8">
        <v>6386</v>
      </c>
      <c r="H8635" s="8">
        <v>2193</v>
      </c>
      <c r="I8635" s="8">
        <v>3605</v>
      </c>
    </row>
    <row r="8636" spans="1:9" x14ac:dyDescent="0.2">
      <c r="A8636" t="s">
        <v>1937</v>
      </c>
      <c r="B8636" t="s">
        <v>1948</v>
      </c>
      <c r="C8636" t="str">
        <f t="shared" si="438"/>
        <v>54755310000000</v>
      </c>
      <c r="D8636" t="s">
        <v>2244</v>
      </c>
      <c r="E8636" t="str">
        <f>"54755310102707"</f>
        <v>54755310102707</v>
      </c>
      <c r="F8636" s="8">
        <v>224</v>
      </c>
      <c r="G8636" s="8">
        <v>6432</v>
      </c>
      <c r="H8636" s="8">
        <v>2193</v>
      </c>
      <c r="I8636" s="8">
        <v>3605</v>
      </c>
    </row>
    <row r="8637" spans="1:9" x14ac:dyDescent="0.2">
      <c r="A8637" t="s">
        <v>1937</v>
      </c>
      <c r="B8637" t="s">
        <v>1948</v>
      </c>
      <c r="C8637" t="str">
        <f t="shared" si="438"/>
        <v>54755310000000</v>
      </c>
      <c r="D8637" t="s">
        <v>9360</v>
      </c>
      <c r="E8637" t="str">
        <f>"54755315431184"</f>
        <v>54755315431184</v>
      </c>
      <c r="F8637" s="8">
        <v>145</v>
      </c>
      <c r="G8637" s="8">
        <v>6193</v>
      </c>
      <c r="H8637" s="8">
        <v>2193</v>
      </c>
      <c r="I8637" s="8">
        <v>3605</v>
      </c>
    </row>
    <row r="8638" spans="1:9" x14ac:dyDescent="0.2">
      <c r="A8638" t="s">
        <v>1937</v>
      </c>
      <c r="B8638" t="s">
        <v>1948</v>
      </c>
      <c r="C8638" t="str">
        <f t="shared" si="438"/>
        <v>54755310000000</v>
      </c>
      <c r="D8638" t="s">
        <v>2348</v>
      </c>
      <c r="E8638" t="str">
        <f>"54755316054001"</f>
        <v>54755316054001</v>
      </c>
      <c r="F8638" s="8">
        <v>175</v>
      </c>
      <c r="G8638" s="8">
        <v>6104</v>
      </c>
      <c r="H8638" s="8">
        <v>2193</v>
      </c>
      <c r="I8638" s="8">
        <v>3605</v>
      </c>
    </row>
    <row r="8639" spans="1:9" x14ac:dyDescent="0.2">
      <c r="A8639" t="s">
        <v>1937</v>
      </c>
      <c r="B8639" t="s">
        <v>1948</v>
      </c>
      <c r="C8639" t="str">
        <f t="shared" si="438"/>
        <v>54755310000000</v>
      </c>
      <c r="D8639" t="s">
        <v>2243</v>
      </c>
      <c r="E8639" t="str">
        <f>"54755316053987"</f>
        <v>54755316053987</v>
      </c>
      <c r="F8639" s="8">
        <v>172</v>
      </c>
      <c r="G8639" s="8">
        <v>5944</v>
      </c>
      <c r="H8639" s="8">
        <v>2193</v>
      </c>
      <c r="I8639" s="8">
        <v>3605</v>
      </c>
    </row>
    <row r="8640" spans="1:9" x14ac:dyDescent="0.2">
      <c r="A8640" t="s">
        <v>1937</v>
      </c>
      <c r="B8640" t="s">
        <v>1948</v>
      </c>
      <c r="C8640" t="str">
        <f t="shared" si="438"/>
        <v>54755310000000</v>
      </c>
      <c r="D8640" t="s">
        <v>9361</v>
      </c>
      <c r="E8640" t="str">
        <f>"54755316053995"</f>
        <v>54755316053995</v>
      </c>
      <c r="F8640" s="8">
        <v>139</v>
      </c>
      <c r="G8640" s="8">
        <v>5888</v>
      </c>
      <c r="H8640" s="8">
        <v>2193</v>
      </c>
      <c r="I8640" s="8">
        <v>3605</v>
      </c>
    </row>
    <row r="8641" spans="1:9" x14ac:dyDescent="0.2">
      <c r="A8641" t="s">
        <v>1937</v>
      </c>
      <c r="B8641" t="s">
        <v>1948</v>
      </c>
      <c r="C8641" t="str">
        <f t="shared" si="438"/>
        <v>54755310000000</v>
      </c>
      <c r="D8641" t="s">
        <v>2347</v>
      </c>
      <c r="E8641" t="str">
        <f>"54755316107650"</f>
        <v>54755316107650</v>
      </c>
      <c r="F8641" s="8">
        <v>216</v>
      </c>
      <c r="G8641" s="8">
        <v>5556</v>
      </c>
      <c r="H8641" s="8">
        <v>2193</v>
      </c>
      <c r="I8641" s="8">
        <v>3605</v>
      </c>
    </row>
    <row r="8642" spans="1:9" x14ac:dyDescent="0.2">
      <c r="A8642" t="s">
        <v>1937</v>
      </c>
      <c r="B8642" t="s">
        <v>1949</v>
      </c>
      <c r="C8642" t="str">
        <f>"54718940000000"</f>
        <v>54718940000000</v>
      </c>
      <c r="D8642" t="s">
        <v>1949</v>
      </c>
      <c r="E8642" t="str">
        <f>"54718946054019"</f>
        <v>54718946054019</v>
      </c>
      <c r="F8642" s="8">
        <v>2898</v>
      </c>
      <c r="G8642" s="8">
        <v>13636</v>
      </c>
      <c r="H8642" s="8">
        <v>0</v>
      </c>
      <c r="I8642" s="8">
        <v>0</v>
      </c>
    </row>
    <row r="8643" spans="1:9" x14ac:dyDescent="0.2">
      <c r="A8643" t="s">
        <v>1937</v>
      </c>
      <c r="B8643" t="s">
        <v>1950</v>
      </c>
      <c r="C8643" t="str">
        <f>"54719020000000"</f>
        <v>54719020000000</v>
      </c>
      <c r="D8643" t="s">
        <v>9362</v>
      </c>
      <c r="E8643" t="str">
        <f>"54719026054035"</f>
        <v>54719026054035</v>
      </c>
      <c r="F8643" s="8">
        <v>874</v>
      </c>
      <c r="G8643" s="8">
        <v>6308</v>
      </c>
      <c r="H8643" s="8">
        <v>4806</v>
      </c>
      <c r="I8643" s="8">
        <v>5126</v>
      </c>
    </row>
    <row r="8644" spans="1:9" x14ac:dyDescent="0.2">
      <c r="A8644" t="s">
        <v>1937</v>
      </c>
      <c r="B8644" t="s">
        <v>1950</v>
      </c>
      <c r="C8644" t="str">
        <f>"54719020000000"</f>
        <v>54719020000000</v>
      </c>
      <c r="D8644" t="s">
        <v>9363</v>
      </c>
      <c r="E8644" t="str">
        <f>"54719025430335"</f>
        <v>54719025430335</v>
      </c>
      <c r="F8644" s="8">
        <v>1551</v>
      </c>
      <c r="G8644" s="8">
        <v>4433</v>
      </c>
      <c r="H8644" s="8">
        <v>4806</v>
      </c>
      <c r="I8644" s="8">
        <v>5126</v>
      </c>
    </row>
    <row r="8645" spans="1:9" x14ac:dyDescent="0.2">
      <c r="A8645" t="s">
        <v>1937</v>
      </c>
      <c r="B8645" t="s">
        <v>1950</v>
      </c>
      <c r="C8645" t="str">
        <f>"54719020000000"</f>
        <v>54719020000000</v>
      </c>
      <c r="D8645" t="s">
        <v>1950</v>
      </c>
      <c r="E8645" t="str">
        <f>"54719026054027"</f>
        <v>54719026054027</v>
      </c>
      <c r="F8645" s="8">
        <v>890</v>
      </c>
      <c r="G8645" s="8">
        <v>3544</v>
      </c>
      <c r="H8645" s="8">
        <v>4806</v>
      </c>
      <c r="I8645" s="8">
        <v>5126</v>
      </c>
    </row>
    <row r="8646" spans="1:9" x14ac:dyDescent="0.2">
      <c r="A8646" t="s">
        <v>1937</v>
      </c>
      <c r="B8646" t="s">
        <v>1950</v>
      </c>
      <c r="C8646" t="str">
        <f>"54719020000000"</f>
        <v>54719020000000</v>
      </c>
      <c r="D8646" t="s">
        <v>9364</v>
      </c>
      <c r="E8646" t="str">
        <f>"54719020101303"</f>
        <v>54719020101303</v>
      </c>
      <c r="F8646" s="8" t="s">
        <v>30</v>
      </c>
      <c r="G8646" s="8" t="s">
        <v>30</v>
      </c>
      <c r="H8646" s="8" t="s">
        <v>30</v>
      </c>
      <c r="I8646" s="8" t="s">
        <v>30</v>
      </c>
    </row>
    <row r="8647" spans="1:9" x14ac:dyDescent="0.2">
      <c r="A8647" t="s">
        <v>1937</v>
      </c>
      <c r="B8647" t="s">
        <v>1952</v>
      </c>
      <c r="C8647" t="str">
        <f t="shared" ref="C8647:C8653" si="439">"54768360000000"</f>
        <v>54768360000000</v>
      </c>
      <c r="D8647" t="s">
        <v>9365</v>
      </c>
      <c r="E8647" t="str">
        <f>"54768365430319"</f>
        <v>54768365430319</v>
      </c>
      <c r="F8647" s="8">
        <v>0</v>
      </c>
      <c r="G8647" s="8">
        <v>36750</v>
      </c>
      <c r="H8647" s="8">
        <v>1380</v>
      </c>
      <c r="I8647" s="8">
        <v>3528</v>
      </c>
    </row>
    <row r="8648" spans="1:9" x14ac:dyDescent="0.2">
      <c r="A8648" t="s">
        <v>1937</v>
      </c>
      <c r="B8648" t="s">
        <v>1952</v>
      </c>
      <c r="C8648" t="str">
        <f t="shared" si="439"/>
        <v>54768360000000</v>
      </c>
      <c r="D8648" t="s">
        <v>9366</v>
      </c>
      <c r="E8648" t="str">
        <f>"54768365431614"</f>
        <v>54768365431614</v>
      </c>
      <c r="F8648" s="8">
        <v>886</v>
      </c>
      <c r="G8648" s="8">
        <v>21281</v>
      </c>
      <c r="H8648" s="8">
        <v>1380</v>
      </c>
      <c r="I8648" s="8">
        <v>3528</v>
      </c>
    </row>
    <row r="8649" spans="1:9" x14ac:dyDescent="0.2">
      <c r="A8649" t="s">
        <v>1937</v>
      </c>
      <c r="B8649" t="s">
        <v>1952</v>
      </c>
      <c r="C8649" t="str">
        <f t="shared" si="439"/>
        <v>54768360000000</v>
      </c>
      <c r="D8649" t="s">
        <v>9367</v>
      </c>
      <c r="E8649" t="str">
        <f>"54768365431598"</f>
        <v>54768365431598</v>
      </c>
      <c r="F8649" s="8">
        <v>578</v>
      </c>
      <c r="G8649" s="8">
        <v>7928</v>
      </c>
      <c r="H8649" s="8">
        <v>1380</v>
      </c>
      <c r="I8649" s="8">
        <v>3528</v>
      </c>
    </row>
    <row r="8650" spans="1:9" x14ac:dyDescent="0.2">
      <c r="A8650" t="s">
        <v>1937</v>
      </c>
      <c r="B8650" t="s">
        <v>1952</v>
      </c>
      <c r="C8650" t="str">
        <f t="shared" si="439"/>
        <v>54768360000000</v>
      </c>
      <c r="D8650" t="s">
        <v>2243</v>
      </c>
      <c r="E8650" t="str">
        <f>"54768366054043"</f>
        <v>54768366054043</v>
      </c>
      <c r="F8650" s="8">
        <v>571</v>
      </c>
      <c r="G8650" s="8">
        <v>7580</v>
      </c>
      <c r="H8650" s="8">
        <v>1380</v>
      </c>
      <c r="I8650" s="8">
        <v>3528</v>
      </c>
    </row>
    <row r="8651" spans="1:9" x14ac:dyDescent="0.2">
      <c r="A8651" t="s">
        <v>1937</v>
      </c>
      <c r="B8651" t="s">
        <v>1952</v>
      </c>
      <c r="C8651" t="str">
        <f t="shared" si="439"/>
        <v>54768360000000</v>
      </c>
      <c r="D8651" t="s">
        <v>9368</v>
      </c>
      <c r="E8651" t="str">
        <f>"54768366054050"</f>
        <v>54768366054050</v>
      </c>
      <c r="F8651" s="8">
        <v>359</v>
      </c>
      <c r="G8651" s="8">
        <v>7108</v>
      </c>
      <c r="H8651" s="8">
        <v>1380</v>
      </c>
      <c r="I8651" s="8">
        <v>3528</v>
      </c>
    </row>
    <row r="8652" spans="1:9" x14ac:dyDescent="0.2">
      <c r="A8652" t="s">
        <v>1937</v>
      </c>
      <c r="B8652" t="s">
        <v>1952</v>
      </c>
      <c r="C8652" t="str">
        <f t="shared" si="439"/>
        <v>54768360000000</v>
      </c>
      <c r="D8652" t="s">
        <v>5236</v>
      </c>
      <c r="E8652" t="str">
        <f>"54768366110290"</f>
        <v>54768366110290</v>
      </c>
      <c r="F8652" s="8">
        <v>329</v>
      </c>
      <c r="G8652" s="8">
        <v>6628</v>
      </c>
      <c r="H8652" s="8">
        <v>1380</v>
      </c>
      <c r="I8652" s="8">
        <v>3528</v>
      </c>
    </row>
    <row r="8653" spans="1:9" x14ac:dyDescent="0.2">
      <c r="A8653" t="s">
        <v>1937</v>
      </c>
      <c r="B8653" t="s">
        <v>1952</v>
      </c>
      <c r="C8653" t="str">
        <f t="shared" si="439"/>
        <v>54768360000000</v>
      </c>
      <c r="D8653" t="s">
        <v>9369</v>
      </c>
      <c r="E8653" t="str">
        <f>"54768365430087"</f>
        <v>54768365430087</v>
      </c>
      <c r="F8653" s="8">
        <v>0</v>
      </c>
      <c r="G8653" s="8">
        <v>114</v>
      </c>
      <c r="H8653" s="8">
        <v>1380</v>
      </c>
      <c r="I8653" s="8">
        <v>3528</v>
      </c>
    </row>
    <row r="8654" spans="1:9" x14ac:dyDescent="0.2">
      <c r="A8654" t="s">
        <v>1937</v>
      </c>
      <c r="B8654" t="s">
        <v>1953</v>
      </c>
      <c r="C8654" t="str">
        <f t="shared" ref="C8654:C8659" si="440">"54753250000000"</f>
        <v>54753250000000</v>
      </c>
      <c r="D8654" t="s">
        <v>9370</v>
      </c>
      <c r="E8654" t="str">
        <f>"54753256100275"</f>
        <v>54753256100275</v>
      </c>
      <c r="F8654" s="8">
        <v>518</v>
      </c>
      <c r="G8654" s="8">
        <v>8067</v>
      </c>
      <c r="H8654" s="8">
        <v>1513</v>
      </c>
      <c r="I8654" s="8">
        <v>4667</v>
      </c>
    </row>
    <row r="8655" spans="1:9" x14ac:dyDescent="0.2">
      <c r="A8655" t="s">
        <v>1937</v>
      </c>
      <c r="B8655" t="s">
        <v>1953</v>
      </c>
      <c r="C8655" t="str">
        <f t="shared" si="440"/>
        <v>54753250000000</v>
      </c>
      <c r="D8655" t="s">
        <v>9371</v>
      </c>
      <c r="E8655" t="str">
        <f>"54753255430210"</f>
        <v>54753255430210</v>
      </c>
      <c r="F8655" s="8">
        <v>604</v>
      </c>
      <c r="G8655" s="8">
        <v>7955</v>
      </c>
      <c r="H8655" s="8">
        <v>1513</v>
      </c>
      <c r="I8655" s="8">
        <v>4667</v>
      </c>
    </row>
    <row r="8656" spans="1:9" x14ac:dyDescent="0.2">
      <c r="A8656" t="s">
        <v>1937</v>
      </c>
      <c r="B8656" t="s">
        <v>1953</v>
      </c>
      <c r="C8656" t="str">
        <f t="shared" si="440"/>
        <v>54753250000000</v>
      </c>
      <c r="D8656" t="s">
        <v>9372</v>
      </c>
      <c r="E8656" t="str">
        <f>"54753255430277"</f>
        <v>54753255430277</v>
      </c>
      <c r="F8656" s="8">
        <v>141</v>
      </c>
      <c r="G8656" s="8">
        <v>8366</v>
      </c>
      <c r="H8656" s="8">
        <v>1513</v>
      </c>
      <c r="I8656" s="8">
        <v>4667</v>
      </c>
    </row>
    <row r="8657" spans="1:9" x14ac:dyDescent="0.2">
      <c r="A8657" t="s">
        <v>1937</v>
      </c>
      <c r="B8657" t="s">
        <v>1953</v>
      </c>
      <c r="C8657" t="str">
        <f t="shared" si="440"/>
        <v>54753250000000</v>
      </c>
      <c r="D8657" t="s">
        <v>9373</v>
      </c>
      <c r="E8657" t="str">
        <f>"54753256054084"</f>
        <v>54753256054084</v>
      </c>
      <c r="F8657" s="8">
        <v>712</v>
      </c>
      <c r="G8657" s="8">
        <v>7705</v>
      </c>
      <c r="H8657" s="8">
        <v>1513</v>
      </c>
      <c r="I8657" s="8">
        <v>4667</v>
      </c>
    </row>
    <row r="8658" spans="1:9" x14ac:dyDescent="0.2">
      <c r="A8658" t="s">
        <v>1937</v>
      </c>
      <c r="B8658" t="s">
        <v>1953</v>
      </c>
      <c r="C8658" t="str">
        <f t="shared" si="440"/>
        <v>54753250000000</v>
      </c>
      <c r="D8658" t="s">
        <v>9374</v>
      </c>
      <c r="E8658" t="str">
        <f>"54753256054076"</f>
        <v>54753256054076</v>
      </c>
      <c r="F8658" s="8">
        <v>686</v>
      </c>
      <c r="G8658" s="8">
        <v>7327</v>
      </c>
      <c r="H8658" s="8">
        <v>1513</v>
      </c>
      <c r="I8658" s="8">
        <v>4667</v>
      </c>
    </row>
    <row r="8659" spans="1:9" x14ac:dyDescent="0.2">
      <c r="A8659" t="s">
        <v>1937</v>
      </c>
      <c r="B8659" t="s">
        <v>1953</v>
      </c>
      <c r="C8659" t="str">
        <f t="shared" si="440"/>
        <v>54753250000000</v>
      </c>
      <c r="D8659" t="s">
        <v>2821</v>
      </c>
      <c r="E8659" t="str">
        <f>"54753250106021"</f>
        <v>54753250106021</v>
      </c>
      <c r="F8659" s="8">
        <v>929</v>
      </c>
      <c r="G8659" s="8">
        <v>6361</v>
      </c>
      <c r="H8659" s="8">
        <v>1513</v>
      </c>
      <c r="I8659" s="8">
        <v>4667</v>
      </c>
    </row>
    <row r="8660" spans="1:9" x14ac:dyDescent="0.2">
      <c r="A8660" t="s">
        <v>1937</v>
      </c>
      <c r="B8660" t="s">
        <v>1582</v>
      </c>
      <c r="C8660" t="str">
        <f>"54719440000000"</f>
        <v>54719440000000</v>
      </c>
      <c r="D8660" t="s">
        <v>1582</v>
      </c>
      <c r="E8660" t="str">
        <f>"54719446054092"</f>
        <v>54719446054092</v>
      </c>
      <c r="F8660" s="8">
        <v>1414</v>
      </c>
      <c r="G8660" s="8">
        <v>10368</v>
      </c>
      <c r="H8660" s="8">
        <v>0</v>
      </c>
      <c r="I8660" s="8">
        <v>0</v>
      </c>
    </row>
    <row r="8661" spans="1:9" x14ac:dyDescent="0.2">
      <c r="A8661" t="s">
        <v>1937</v>
      </c>
      <c r="B8661" t="s">
        <v>1954</v>
      </c>
      <c r="C8661" t="str">
        <f>"54719510000000"</f>
        <v>54719510000000</v>
      </c>
      <c r="D8661" t="s">
        <v>1954</v>
      </c>
      <c r="E8661" t="str">
        <f>"54719516054100"</f>
        <v>54719516054100</v>
      </c>
      <c r="F8661" s="8">
        <v>2087</v>
      </c>
      <c r="G8661" s="8">
        <v>14311</v>
      </c>
      <c r="H8661" s="8">
        <v>0</v>
      </c>
      <c r="I8661" s="8">
        <v>0</v>
      </c>
    </row>
    <row r="8662" spans="1:9" x14ac:dyDescent="0.2">
      <c r="A8662" t="s">
        <v>1937</v>
      </c>
      <c r="B8662" t="s">
        <v>1955</v>
      </c>
      <c r="C8662" t="str">
        <f>"54719690000000"</f>
        <v>54719690000000</v>
      </c>
      <c r="D8662" t="s">
        <v>9375</v>
      </c>
      <c r="E8662" t="str">
        <f>"54719696054126"</f>
        <v>54719696054126</v>
      </c>
      <c r="F8662" s="8">
        <v>2475</v>
      </c>
      <c r="G8662" s="8">
        <v>12964</v>
      </c>
      <c r="H8662" s="8">
        <v>0</v>
      </c>
      <c r="I8662" s="8">
        <v>0</v>
      </c>
    </row>
    <row r="8663" spans="1:9" x14ac:dyDescent="0.2">
      <c r="A8663" t="s">
        <v>1937</v>
      </c>
      <c r="B8663" t="s">
        <v>1811</v>
      </c>
      <c r="C8663" t="str">
        <f>"54719850000000"</f>
        <v>54719850000000</v>
      </c>
      <c r="D8663" t="s">
        <v>1811</v>
      </c>
      <c r="E8663" t="str">
        <f>"54719856054134"</f>
        <v>54719856054134</v>
      </c>
      <c r="F8663" s="8">
        <v>1085</v>
      </c>
      <c r="G8663" s="8">
        <v>7045</v>
      </c>
      <c r="H8663" s="8">
        <v>0</v>
      </c>
      <c r="I8663" s="8">
        <v>0</v>
      </c>
    </row>
    <row r="8664" spans="1:9" x14ac:dyDescent="0.2">
      <c r="A8664" t="s">
        <v>1937</v>
      </c>
      <c r="B8664" t="s">
        <v>1956</v>
      </c>
      <c r="C8664" t="str">
        <f t="shared" ref="C8664:C8673" si="441">"54719930000000"</f>
        <v>54719930000000</v>
      </c>
      <c r="D8664" t="s">
        <v>9376</v>
      </c>
      <c r="E8664" t="str">
        <f>"54719935430194"</f>
        <v>54719935430194</v>
      </c>
      <c r="F8664" s="8">
        <v>406</v>
      </c>
      <c r="G8664" s="8">
        <v>15225</v>
      </c>
      <c r="H8664" s="8">
        <v>4676</v>
      </c>
      <c r="I8664" s="8">
        <v>5538</v>
      </c>
    </row>
    <row r="8665" spans="1:9" x14ac:dyDescent="0.2">
      <c r="A8665" t="s">
        <v>1937</v>
      </c>
      <c r="B8665" t="s">
        <v>1956</v>
      </c>
      <c r="C8665" t="str">
        <f t="shared" si="441"/>
        <v>54719930000000</v>
      </c>
      <c r="D8665" t="s">
        <v>9377</v>
      </c>
      <c r="E8665" t="str">
        <f>"54719935430236"</f>
        <v>54719935430236</v>
      </c>
      <c r="F8665" s="8">
        <v>423</v>
      </c>
      <c r="G8665" s="8">
        <v>12724</v>
      </c>
      <c r="H8665" s="8">
        <v>4676</v>
      </c>
      <c r="I8665" s="8">
        <v>5538</v>
      </c>
    </row>
    <row r="8666" spans="1:9" x14ac:dyDescent="0.2">
      <c r="A8666" t="s">
        <v>1937</v>
      </c>
      <c r="B8666" t="s">
        <v>1956</v>
      </c>
      <c r="C8666" t="str">
        <f t="shared" si="441"/>
        <v>54719930000000</v>
      </c>
      <c r="D8666" t="s">
        <v>9378</v>
      </c>
      <c r="E8666" t="str">
        <f>"54719930124776"</f>
        <v>54719930124776</v>
      </c>
      <c r="F8666" s="8">
        <v>364</v>
      </c>
      <c r="G8666" s="8">
        <v>11556</v>
      </c>
      <c r="H8666" s="8">
        <v>4676</v>
      </c>
      <c r="I8666" s="8">
        <v>5538</v>
      </c>
    </row>
    <row r="8667" spans="1:9" x14ac:dyDescent="0.2">
      <c r="A8667" t="s">
        <v>1937</v>
      </c>
      <c r="B8667" t="s">
        <v>1956</v>
      </c>
      <c r="C8667" t="str">
        <f t="shared" si="441"/>
        <v>54719930000000</v>
      </c>
      <c r="D8667" t="s">
        <v>2243</v>
      </c>
      <c r="E8667" t="str">
        <f>"54719936107262"</f>
        <v>54719936107262</v>
      </c>
      <c r="F8667" s="8">
        <v>827</v>
      </c>
      <c r="G8667" s="8">
        <v>10135</v>
      </c>
      <c r="H8667" s="8">
        <v>4676</v>
      </c>
      <c r="I8667" s="8">
        <v>5538</v>
      </c>
    </row>
    <row r="8668" spans="1:9" x14ac:dyDescent="0.2">
      <c r="A8668" t="s">
        <v>1937</v>
      </c>
      <c r="B8668" t="s">
        <v>1956</v>
      </c>
      <c r="C8668" t="str">
        <f t="shared" si="441"/>
        <v>54719930000000</v>
      </c>
      <c r="D8668" t="s">
        <v>9379</v>
      </c>
      <c r="E8668" t="str">
        <f>"54719935432414"</f>
        <v>54719935432414</v>
      </c>
      <c r="F8668" s="8">
        <v>824</v>
      </c>
      <c r="G8668" s="8">
        <v>9871</v>
      </c>
      <c r="H8668" s="8">
        <v>4676</v>
      </c>
      <c r="I8668" s="8">
        <v>5538</v>
      </c>
    </row>
    <row r="8669" spans="1:9" x14ac:dyDescent="0.2">
      <c r="A8669" t="s">
        <v>1937</v>
      </c>
      <c r="B8669" t="s">
        <v>1956</v>
      </c>
      <c r="C8669" t="str">
        <f t="shared" si="441"/>
        <v>54719930000000</v>
      </c>
      <c r="D8669" t="s">
        <v>8148</v>
      </c>
      <c r="E8669" t="str">
        <f>"54719930123653"</f>
        <v>54719930123653</v>
      </c>
      <c r="F8669" s="8">
        <v>493</v>
      </c>
      <c r="G8669" s="8">
        <v>9925</v>
      </c>
      <c r="H8669" s="8">
        <v>4676</v>
      </c>
      <c r="I8669" s="8">
        <v>5538</v>
      </c>
    </row>
    <row r="8670" spans="1:9" x14ac:dyDescent="0.2">
      <c r="A8670" t="s">
        <v>1937</v>
      </c>
      <c r="B8670" t="s">
        <v>1956</v>
      </c>
      <c r="C8670" t="str">
        <f t="shared" si="441"/>
        <v>54719930000000</v>
      </c>
      <c r="D8670" t="s">
        <v>2851</v>
      </c>
      <c r="E8670" t="str">
        <f>"54719930123661"</f>
        <v>54719930123661</v>
      </c>
      <c r="F8670" s="8">
        <v>854</v>
      </c>
      <c r="G8670" s="8">
        <v>9016</v>
      </c>
      <c r="H8670" s="8">
        <v>4676</v>
      </c>
      <c r="I8670" s="8">
        <v>5538</v>
      </c>
    </row>
    <row r="8671" spans="1:9" x14ac:dyDescent="0.2">
      <c r="A8671" t="s">
        <v>1937</v>
      </c>
      <c r="B8671" t="s">
        <v>1956</v>
      </c>
      <c r="C8671" t="str">
        <f t="shared" si="441"/>
        <v>54719930000000</v>
      </c>
      <c r="D8671" t="s">
        <v>2094</v>
      </c>
      <c r="E8671" t="str">
        <f>"54719936054159"</f>
        <v>54719936054159</v>
      </c>
      <c r="F8671" s="8">
        <v>555</v>
      </c>
      <c r="G8671" s="8">
        <v>9171</v>
      </c>
      <c r="H8671" s="8">
        <v>4676</v>
      </c>
      <c r="I8671" s="8">
        <v>5538</v>
      </c>
    </row>
    <row r="8672" spans="1:9" x14ac:dyDescent="0.2">
      <c r="A8672" t="s">
        <v>1937</v>
      </c>
      <c r="B8672" t="s">
        <v>1956</v>
      </c>
      <c r="C8672" t="str">
        <f t="shared" si="441"/>
        <v>54719930000000</v>
      </c>
      <c r="D8672" t="s">
        <v>1194</v>
      </c>
      <c r="E8672" t="str">
        <f>"54719936054142"</f>
        <v>54719936054142</v>
      </c>
      <c r="F8672" s="8">
        <v>473</v>
      </c>
      <c r="G8672" s="8">
        <v>8940</v>
      </c>
      <c r="H8672" s="8">
        <v>4676</v>
      </c>
      <c r="I8672" s="8">
        <v>5538</v>
      </c>
    </row>
    <row r="8673" spans="1:9" x14ac:dyDescent="0.2">
      <c r="A8673" t="s">
        <v>1937</v>
      </c>
      <c r="B8673" t="s">
        <v>1956</v>
      </c>
      <c r="C8673" t="str">
        <f t="shared" si="441"/>
        <v>54719930000000</v>
      </c>
      <c r="D8673" t="s">
        <v>2347</v>
      </c>
      <c r="E8673" t="str">
        <f>"54719930123646"</f>
        <v>54719930123646</v>
      </c>
      <c r="F8673" s="8">
        <v>416</v>
      </c>
      <c r="G8673" s="8">
        <v>8780</v>
      </c>
      <c r="H8673" s="8">
        <v>4676</v>
      </c>
      <c r="I8673" s="8">
        <v>5538</v>
      </c>
    </row>
    <row r="8674" spans="1:9" x14ac:dyDescent="0.2">
      <c r="A8674" t="s">
        <v>1937</v>
      </c>
      <c r="B8674" t="s">
        <v>1958</v>
      </c>
      <c r="C8674" t="str">
        <f>"54720090000000"</f>
        <v>54720090000000</v>
      </c>
      <c r="D8674" t="s">
        <v>9380</v>
      </c>
      <c r="E8674" t="str">
        <f>"54720096054167"</f>
        <v>54720096054167</v>
      </c>
      <c r="F8674" s="8">
        <v>2451</v>
      </c>
      <c r="G8674" s="8">
        <v>10121</v>
      </c>
      <c r="H8674" s="8">
        <v>0</v>
      </c>
      <c r="I8674" s="8">
        <v>0</v>
      </c>
    </row>
    <row r="8675" spans="1:9" x14ac:dyDescent="0.2">
      <c r="A8675" t="s">
        <v>1937</v>
      </c>
      <c r="B8675" t="s">
        <v>1959</v>
      </c>
      <c r="C8675" t="str">
        <f>"54720170000000"</f>
        <v>54720170000000</v>
      </c>
      <c r="D8675" t="s">
        <v>8386</v>
      </c>
      <c r="E8675" t="str">
        <f>"54720176054175"</f>
        <v>54720176054175</v>
      </c>
      <c r="F8675" s="8">
        <v>1669</v>
      </c>
      <c r="G8675" s="8">
        <v>9950</v>
      </c>
      <c r="H8675" s="8">
        <v>0</v>
      </c>
      <c r="I8675" s="8">
        <v>0</v>
      </c>
    </row>
    <row r="8676" spans="1:9" x14ac:dyDescent="0.2">
      <c r="A8676" t="s">
        <v>1937</v>
      </c>
      <c r="B8676" t="s">
        <v>1960</v>
      </c>
      <c r="C8676" t="str">
        <f>"54720250000000"</f>
        <v>54720250000000</v>
      </c>
      <c r="D8676" t="s">
        <v>1960</v>
      </c>
      <c r="E8676" t="str">
        <f>"54720256054183"</f>
        <v>54720256054183</v>
      </c>
      <c r="F8676" s="8">
        <v>1487</v>
      </c>
      <c r="G8676" s="8">
        <v>7885</v>
      </c>
      <c r="H8676" s="8">
        <v>0</v>
      </c>
      <c r="I8676" s="8">
        <v>0</v>
      </c>
    </row>
    <row r="8677" spans="1:9" x14ac:dyDescent="0.2">
      <c r="A8677" t="s">
        <v>1937</v>
      </c>
      <c r="B8677" t="s">
        <v>1961</v>
      </c>
      <c r="C8677" t="str">
        <f>"54720330000000"</f>
        <v>54720330000000</v>
      </c>
      <c r="D8677" t="s">
        <v>8699</v>
      </c>
      <c r="E8677" t="str">
        <f>"54720336054191"</f>
        <v>54720336054191</v>
      </c>
      <c r="F8677" s="8">
        <v>1944</v>
      </c>
      <c r="G8677" s="8">
        <v>11422</v>
      </c>
      <c r="H8677" s="8">
        <v>0</v>
      </c>
      <c r="I8677" s="8">
        <v>0</v>
      </c>
    </row>
    <row r="8678" spans="1:9" x14ac:dyDescent="0.2">
      <c r="A8678" t="s">
        <v>1937</v>
      </c>
      <c r="B8678" t="s">
        <v>1962</v>
      </c>
      <c r="C8678" t="str">
        <f>"54720410000000"</f>
        <v>54720410000000</v>
      </c>
      <c r="D8678" t="s">
        <v>9381</v>
      </c>
      <c r="E8678" t="str">
        <f>"54720416054209"</f>
        <v>54720416054209</v>
      </c>
      <c r="F8678" s="8">
        <v>1990</v>
      </c>
      <c r="G8678" s="8">
        <v>7595</v>
      </c>
      <c r="H8678" s="8">
        <v>3517</v>
      </c>
      <c r="I8678" s="8">
        <v>2890</v>
      </c>
    </row>
    <row r="8679" spans="1:9" x14ac:dyDescent="0.2">
      <c r="A8679" t="s">
        <v>1937</v>
      </c>
      <c r="B8679" t="s">
        <v>1962</v>
      </c>
      <c r="C8679" t="str">
        <f>"54720410000000"</f>
        <v>54720410000000</v>
      </c>
      <c r="D8679" t="s">
        <v>9382</v>
      </c>
      <c r="E8679" t="str">
        <f>"54720410114165"</f>
        <v>54720410114165</v>
      </c>
      <c r="F8679" s="8">
        <v>1472</v>
      </c>
      <c r="G8679" s="8">
        <v>7113</v>
      </c>
      <c r="H8679" s="8">
        <v>3517</v>
      </c>
      <c r="I8679" s="8">
        <v>2890</v>
      </c>
    </row>
    <row r="8680" spans="1:9" x14ac:dyDescent="0.2">
      <c r="A8680" t="s">
        <v>1937</v>
      </c>
      <c r="B8680" t="s">
        <v>1963</v>
      </c>
      <c r="C8680" t="str">
        <f>"54720580000000"</f>
        <v>54720580000000</v>
      </c>
      <c r="D8680" t="s">
        <v>1963</v>
      </c>
      <c r="E8680" t="str">
        <f>"54720586054217"</f>
        <v>54720586054217</v>
      </c>
      <c r="F8680" s="8">
        <v>1150</v>
      </c>
      <c r="G8680" s="8">
        <v>12521</v>
      </c>
      <c r="H8680" s="8">
        <v>0</v>
      </c>
      <c r="I8680" s="8">
        <v>0</v>
      </c>
    </row>
    <row r="8681" spans="1:9" x14ac:dyDescent="0.2">
      <c r="A8681" t="s">
        <v>1937</v>
      </c>
      <c r="B8681" t="s">
        <v>1963</v>
      </c>
      <c r="C8681" t="str">
        <f>"54720580000000"</f>
        <v>54720580000000</v>
      </c>
      <c r="D8681" t="s">
        <v>9383</v>
      </c>
      <c r="E8681" t="str">
        <f>"54720580111740"</f>
        <v>54720580111740</v>
      </c>
      <c r="F8681" s="8" t="s">
        <v>30</v>
      </c>
      <c r="G8681" s="8" t="s">
        <v>30</v>
      </c>
      <c r="H8681" s="8" t="s">
        <v>30</v>
      </c>
      <c r="I8681" s="8" t="s">
        <v>30</v>
      </c>
    </row>
    <row r="8682" spans="1:9" x14ac:dyDescent="0.2">
      <c r="A8682" t="s">
        <v>1937</v>
      </c>
      <c r="B8682" t="s">
        <v>1964</v>
      </c>
      <c r="C8682" t="str">
        <f t="shared" ref="C8682:C8703" si="442">"54755230000000"</f>
        <v>54755230000000</v>
      </c>
      <c r="D8682" t="s">
        <v>9384</v>
      </c>
      <c r="E8682" t="str">
        <f>"54755235430228"</f>
        <v>54755235430228</v>
      </c>
      <c r="F8682" s="8">
        <v>1028</v>
      </c>
      <c r="G8682" s="8">
        <v>33086</v>
      </c>
      <c r="H8682" s="8">
        <v>1019</v>
      </c>
      <c r="I8682" s="8">
        <v>3121</v>
      </c>
    </row>
    <row r="8683" spans="1:9" x14ac:dyDescent="0.2">
      <c r="A8683" t="s">
        <v>1937</v>
      </c>
      <c r="B8683" t="s">
        <v>1964</v>
      </c>
      <c r="C8683" t="str">
        <f t="shared" si="442"/>
        <v>54755230000000</v>
      </c>
      <c r="D8683" t="s">
        <v>9385</v>
      </c>
      <c r="E8683" t="str">
        <f>"54755235430624"</f>
        <v>54755235430624</v>
      </c>
      <c r="F8683" s="8">
        <v>2144</v>
      </c>
      <c r="G8683" s="8">
        <v>12132</v>
      </c>
      <c r="H8683" s="8">
        <v>1019</v>
      </c>
      <c r="I8683" s="8">
        <v>3121</v>
      </c>
    </row>
    <row r="8684" spans="1:9" x14ac:dyDescent="0.2">
      <c r="A8684" t="s">
        <v>1937</v>
      </c>
      <c r="B8684" t="s">
        <v>1964</v>
      </c>
      <c r="C8684" t="str">
        <f t="shared" si="442"/>
        <v>54755230000000</v>
      </c>
      <c r="D8684" t="s">
        <v>9386</v>
      </c>
      <c r="E8684" t="str">
        <f>"54755235434931"</f>
        <v>54755235434931</v>
      </c>
      <c r="F8684" s="8">
        <v>1723</v>
      </c>
      <c r="G8684" s="8">
        <v>10212</v>
      </c>
      <c r="H8684" s="8">
        <v>1019</v>
      </c>
      <c r="I8684" s="8">
        <v>3121</v>
      </c>
    </row>
    <row r="8685" spans="1:9" x14ac:dyDescent="0.2">
      <c r="A8685" t="s">
        <v>1937</v>
      </c>
      <c r="B8685" t="s">
        <v>1964</v>
      </c>
      <c r="C8685" t="str">
        <f t="shared" si="442"/>
        <v>54755230000000</v>
      </c>
      <c r="D8685" t="s">
        <v>9387</v>
      </c>
      <c r="E8685" t="str">
        <f>"54755230137968"</f>
        <v>54755230137968</v>
      </c>
      <c r="F8685" s="8">
        <v>1131</v>
      </c>
      <c r="G8685" s="8">
        <v>9900</v>
      </c>
      <c r="H8685" s="8">
        <v>1019</v>
      </c>
      <c r="I8685" s="8">
        <v>3121</v>
      </c>
    </row>
    <row r="8686" spans="1:9" x14ac:dyDescent="0.2">
      <c r="A8686" t="s">
        <v>1937</v>
      </c>
      <c r="B8686" t="s">
        <v>1964</v>
      </c>
      <c r="C8686" t="str">
        <f t="shared" si="442"/>
        <v>54755230000000</v>
      </c>
      <c r="D8686" t="s">
        <v>9388</v>
      </c>
      <c r="E8686" t="str">
        <f>"54755230114348"</f>
        <v>54755230114348</v>
      </c>
      <c r="F8686" s="8">
        <v>1184</v>
      </c>
      <c r="G8686" s="8">
        <v>9551</v>
      </c>
      <c r="H8686" s="8">
        <v>1019</v>
      </c>
      <c r="I8686" s="8">
        <v>3121</v>
      </c>
    </row>
    <row r="8687" spans="1:9" x14ac:dyDescent="0.2">
      <c r="A8687" t="s">
        <v>1937</v>
      </c>
      <c r="B8687" t="s">
        <v>1964</v>
      </c>
      <c r="C8687" t="str">
        <f t="shared" si="442"/>
        <v>54755230000000</v>
      </c>
      <c r="D8687" t="s">
        <v>9389</v>
      </c>
      <c r="E8687" t="str">
        <f>"54755230116590"</f>
        <v>54755230116590</v>
      </c>
      <c r="F8687" s="8">
        <v>911</v>
      </c>
      <c r="G8687" s="8">
        <v>8804</v>
      </c>
      <c r="H8687" s="8">
        <v>1019</v>
      </c>
      <c r="I8687" s="8">
        <v>3121</v>
      </c>
    </row>
    <row r="8688" spans="1:9" x14ac:dyDescent="0.2">
      <c r="A8688" t="s">
        <v>1937</v>
      </c>
      <c r="B8688" t="s">
        <v>1964</v>
      </c>
      <c r="C8688" t="str">
        <f t="shared" si="442"/>
        <v>54755230000000</v>
      </c>
      <c r="D8688" t="s">
        <v>9390</v>
      </c>
      <c r="E8688" t="str">
        <f>"54755236054274"</f>
        <v>54755236054274</v>
      </c>
      <c r="F8688" s="8">
        <v>1313</v>
      </c>
      <c r="G8688" s="8">
        <v>7646</v>
      </c>
      <c r="H8688" s="8">
        <v>1019</v>
      </c>
      <c r="I8688" s="8">
        <v>3121</v>
      </c>
    </row>
    <row r="8689" spans="1:9" x14ac:dyDescent="0.2">
      <c r="A8689" t="s">
        <v>1937</v>
      </c>
      <c r="B8689" t="s">
        <v>1964</v>
      </c>
      <c r="C8689" t="str">
        <f t="shared" si="442"/>
        <v>54755230000000</v>
      </c>
      <c r="D8689" t="s">
        <v>1988</v>
      </c>
      <c r="E8689" t="str">
        <f>"54755236054233"</f>
        <v>54755236054233</v>
      </c>
      <c r="F8689" s="8">
        <v>1583</v>
      </c>
      <c r="G8689" s="8">
        <v>6822</v>
      </c>
      <c r="H8689" s="8">
        <v>1019</v>
      </c>
      <c r="I8689" s="8">
        <v>3121</v>
      </c>
    </row>
    <row r="8690" spans="1:9" x14ac:dyDescent="0.2">
      <c r="A8690" t="s">
        <v>1937</v>
      </c>
      <c r="B8690" t="s">
        <v>1964</v>
      </c>
      <c r="C8690" t="str">
        <f t="shared" si="442"/>
        <v>54755230000000</v>
      </c>
      <c r="D8690" t="s">
        <v>7041</v>
      </c>
      <c r="E8690" t="str">
        <f>"54755235430251"</f>
        <v>54755235430251</v>
      </c>
      <c r="F8690" s="8">
        <v>1210</v>
      </c>
      <c r="G8690" s="8">
        <v>6874</v>
      </c>
      <c r="H8690" s="8">
        <v>1019</v>
      </c>
      <c r="I8690" s="8">
        <v>3121</v>
      </c>
    </row>
    <row r="8691" spans="1:9" x14ac:dyDescent="0.2">
      <c r="A8691" t="s">
        <v>1937</v>
      </c>
      <c r="B8691" t="s">
        <v>1964</v>
      </c>
      <c r="C8691" t="str">
        <f t="shared" si="442"/>
        <v>54755230000000</v>
      </c>
      <c r="D8691" t="s">
        <v>2605</v>
      </c>
      <c r="E8691" t="str">
        <f>"54755230110692"</f>
        <v>54755230110692</v>
      </c>
      <c r="F8691" s="8">
        <v>1344</v>
      </c>
      <c r="G8691" s="8">
        <v>6628</v>
      </c>
      <c r="H8691" s="8">
        <v>1019</v>
      </c>
      <c r="I8691" s="8">
        <v>3121</v>
      </c>
    </row>
    <row r="8692" spans="1:9" x14ac:dyDescent="0.2">
      <c r="A8692" t="s">
        <v>1937</v>
      </c>
      <c r="B8692" t="s">
        <v>1964</v>
      </c>
      <c r="C8692" t="str">
        <f t="shared" si="442"/>
        <v>54755230000000</v>
      </c>
      <c r="D8692" t="s">
        <v>9391</v>
      </c>
      <c r="E8692" t="str">
        <f>"54755236107379"</f>
        <v>54755236107379</v>
      </c>
      <c r="F8692" s="8">
        <v>1964</v>
      </c>
      <c r="G8692" s="8">
        <v>5881</v>
      </c>
      <c r="H8692" s="8">
        <v>1019</v>
      </c>
      <c r="I8692" s="8">
        <v>3121</v>
      </c>
    </row>
    <row r="8693" spans="1:9" x14ac:dyDescent="0.2">
      <c r="A8693" t="s">
        <v>1937</v>
      </c>
      <c r="B8693" t="s">
        <v>1964</v>
      </c>
      <c r="C8693" t="str">
        <f t="shared" si="442"/>
        <v>54755230000000</v>
      </c>
      <c r="D8693" t="s">
        <v>9392</v>
      </c>
      <c r="E8693" t="str">
        <f>"54755236054290"</f>
        <v>54755236054290</v>
      </c>
      <c r="F8693" s="8">
        <v>1335</v>
      </c>
      <c r="G8693" s="8">
        <v>6358</v>
      </c>
      <c r="H8693" s="8">
        <v>1019</v>
      </c>
      <c r="I8693" s="8">
        <v>3121</v>
      </c>
    </row>
    <row r="8694" spans="1:9" x14ac:dyDescent="0.2">
      <c r="A8694" t="s">
        <v>1937</v>
      </c>
      <c r="B8694" t="s">
        <v>1964</v>
      </c>
      <c r="C8694" t="str">
        <f t="shared" si="442"/>
        <v>54755230000000</v>
      </c>
      <c r="D8694" t="s">
        <v>3474</v>
      </c>
      <c r="E8694" t="str">
        <f>"54755236054266"</f>
        <v>54755236054266</v>
      </c>
      <c r="F8694" s="8">
        <v>1565</v>
      </c>
      <c r="G8694" s="8">
        <v>5977</v>
      </c>
      <c r="H8694" s="8">
        <v>1019</v>
      </c>
      <c r="I8694" s="8">
        <v>3121</v>
      </c>
    </row>
    <row r="8695" spans="1:9" x14ac:dyDescent="0.2">
      <c r="A8695" t="s">
        <v>1937</v>
      </c>
      <c r="B8695" t="s">
        <v>1964</v>
      </c>
      <c r="C8695" t="str">
        <f t="shared" si="442"/>
        <v>54755230000000</v>
      </c>
      <c r="D8695" t="s">
        <v>9393</v>
      </c>
      <c r="E8695" t="str">
        <f>"54755236054241"</f>
        <v>54755236054241</v>
      </c>
      <c r="F8695" s="8">
        <v>1517</v>
      </c>
      <c r="G8695" s="8">
        <v>5835</v>
      </c>
      <c r="H8695" s="8">
        <v>1019</v>
      </c>
      <c r="I8695" s="8">
        <v>3121</v>
      </c>
    </row>
    <row r="8696" spans="1:9" x14ac:dyDescent="0.2">
      <c r="A8696" t="s">
        <v>1937</v>
      </c>
      <c r="B8696" t="s">
        <v>1964</v>
      </c>
      <c r="C8696" t="str">
        <f t="shared" si="442"/>
        <v>54755230000000</v>
      </c>
      <c r="D8696" t="s">
        <v>9394</v>
      </c>
      <c r="E8696" t="str">
        <f>"54755236054225"</f>
        <v>54755236054225</v>
      </c>
      <c r="F8696" s="8">
        <v>1169</v>
      </c>
      <c r="G8696" s="8">
        <v>6170</v>
      </c>
      <c r="H8696" s="8">
        <v>1019</v>
      </c>
      <c r="I8696" s="8">
        <v>3121</v>
      </c>
    </row>
    <row r="8697" spans="1:9" x14ac:dyDescent="0.2">
      <c r="A8697" t="s">
        <v>1937</v>
      </c>
      <c r="B8697" t="s">
        <v>1964</v>
      </c>
      <c r="C8697" t="str">
        <f t="shared" si="442"/>
        <v>54755230000000</v>
      </c>
      <c r="D8697" t="s">
        <v>9395</v>
      </c>
      <c r="E8697" t="str">
        <f>"54755230102574"</f>
        <v>54755230102574</v>
      </c>
      <c r="F8697" s="8">
        <v>1173</v>
      </c>
      <c r="G8697" s="8">
        <v>5988</v>
      </c>
      <c r="H8697" s="8">
        <v>1019</v>
      </c>
      <c r="I8697" s="8">
        <v>3121</v>
      </c>
    </row>
    <row r="8698" spans="1:9" x14ac:dyDescent="0.2">
      <c r="A8698" t="s">
        <v>1937</v>
      </c>
      <c r="B8698" t="s">
        <v>1964</v>
      </c>
      <c r="C8698" t="str">
        <f t="shared" si="442"/>
        <v>54755230000000</v>
      </c>
      <c r="D8698" t="s">
        <v>3877</v>
      </c>
      <c r="E8698" t="str">
        <f>"54755236114193"</f>
        <v>54755236114193</v>
      </c>
      <c r="F8698" s="8">
        <v>1243</v>
      </c>
      <c r="G8698" s="8">
        <v>5816</v>
      </c>
      <c r="H8698" s="8">
        <v>1019</v>
      </c>
      <c r="I8698" s="8">
        <v>3121</v>
      </c>
    </row>
    <row r="8699" spans="1:9" x14ac:dyDescent="0.2">
      <c r="A8699" t="s">
        <v>1937</v>
      </c>
      <c r="B8699" t="s">
        <v>1964</v>
      </c>
      <c r="C8699" t="str">
        <f t="shared" si="442"/>
        <v>54755230000000</v>
      </c>
      <c r="D8699" t="s">
        <v>9396</v>
      </c>
      <c r="E8699" t="str">
        <f>"54755235432786"</f>
        <v>54755235432786</v>
      </c>
      <c r="F8699" s="8">
        <v>1037</v>
      </c>
      <c r="G8699" s="8">
        <v>5924</v>
      </c>
      <c r="H8699" s="8">
        <v>1019</v>
      </c>
      <c r="I8699" s="8">
        <v>3121</v>
      </c>
    </row>
    <row r="8700" spans="1:9" x14ac:dyDescent="0.2">
      <c r="A8700" t="s">
        <v>1937</v>
      </c>
      <c r="B8700" t="s">
        <v>1964</v>
      </c>
      <c r="C8700" t="str">
        <f t="shared" si="442"/>
        <v>54755230000000</v>
      </c>
      <c r="D8700" t="s">
        <v>9397</v>
      </c>
      <c r="E8700" t="str">
        <f>"54755236054282"</f>
        <v>54755236054282</v>
      </c>
      <c r="F8700" s="8">
        <v>1247</v>
      </c>
      <c r="G8700" s="8">
        <v>5711</v>
      </c>
      <c r="H8700" s="8">
        <v>1019</v>
      </c>
      <c r="I8700" s="8">
        <v>3121</v>
      </c>
    </row>
    <row r="8701" spans="1:9" x14ac:dyDescent="0.2">
      <c r="A8701" t="s">
        <v>1937</v>
      </c>
      <c r="B8701" t="s">
        <v>1964</v>
      </c>
      <c r="C8701" t="str">
        <f t="shared" si="442"/>
        <v>54755230000000</v>
      </c>
      <c r="D8701" t="s">
        <v>9398</v>
      </c>
      <c r="E8701" t="str">
        <f>"54755236054308"</f>
        <v>54755236054308</v>
      </c>
      <c r="F8701" s="8">
        <v>1253</v>
      </c>
      <c r="G8701" s="8">
        <v>5580</v>
      </c>
      <c r="H8701" s="8">
        <v>1019</v>
      </c>
      <c r="I8701" s="8">
        <v>3121</v>
      </c>
    </row>
    <row r="8702" spans="1:9" x14ac:dyDescent="0.2">
      <c r="A8702" t="s">
        <v>1937</v>
      </c>
      <c r="B8702" t="s">
        <v>1964</v>
      </c>
      <c r="C8702" t="str">
        <f t="shared" si="442"/>
        <v>54755230000000</v>
      </c>
      <c r="D8702" t="s">
        <v>9399</v>
      </c>
      <c r="E8702" t="str">
        <f>"54755235434113"</f>
        <v>54755235434113</v>
      </c>
      <c r="F8702" s="8">
        <v>1067</v>
      </c>
      <c r="G8702" s="8">
        <v>5523</v>
      </c>
      <c r="H8702" s="8">
        <v>1019</v>
      </c>
      <c r="I8702" s="8">
        <v>3121</v>
      </c>
    </row>
    <row r="8703" spans="1:9" x14ac:dyDescent="0.2">
      <c r="A8703" t="s">
        <v>1937</v>
      </c>
      <c r="B8703" t="s">
        <v>1964</v>
      </c>
      <c r="C8703" t="str">
        <f t="shared" si="442"/>
        <v>54755230000000</v>
      </c>
      <c r="D8703" t="s">
        <v>5698</v>
      </c>
      <c r="E8703" t="str">
        <f>"54755236054258"</f>
        <v>54755236054258</v>
      </c>
      <c r="F8703" s="8">
        <v>1287</v>
      </c>
      <c r="G8703" s="8">
        <v>5079</v>
      </c>
      <c r="H8703" s="8">
        <v>1019</v>
      </c>
      <c r="I8703" s="8">
        <v>3121</v>
      </c>
    </row>
    <row r="8704" spans="1:9" x14ac:dyDescent="0.2">
      <c r="A8704" t="s">
        <v>1937</v>
      </c>
      <c r="B8704" t="s">
        <v>1965</v>
      </c>
      <c r="C8704" t="str">
        <f>"54720820000000"</f>
        <v>54720820000000</v>
      </c>
      <c r="D8704" t="s">
        <v>1965</v>
      </c>
      <c r="E8704" t="str">
        <f>"54720826114672"</f>
        <v>54720826114672</v>
      </c>
      <c r="F8704" s="8">
        <v>3207</v>
      </c>
      <c r="G8704" s="8">
        <v>14656</v>
      </c>
      <c r="H8704" s="8">
        <v>0</v>
      </c>
      <c r="I8704" s="8">
        <v>0</v>
      </c>
    </row>
    <row r="8705" spans="1:9" x14ac:dyDescent="0.2">
      <c r="A8705" t="s">
        <v>1937</v>
      </c>
      <c r="B8705" t="s">
        <v>1966</v>
      </c>
      <c r="C8705" t="str">
        <f>"54720900000000"</f>
        <v>54720900000000</v>
      </c>
      <c r="D8705" t="s">
        <v>1966</v>
      </c>
      <c r="E8705" t="str">
        <f>"54720906054324"</f>
        <v>54720906054324</v>
      </c>
      <c r="F8705" s="8">
        <v>1371</v>
      </c>
      <c r="G8705" s="8">
        <v>9742</v>
      </c>
      <c r="H8705" s="8">
        <v>0</v>
      </c>
      <c r="I8705" s="8">
        <v>0</v>
      </c>
    </row>
    <row r="8706" spans="1:9" x14ac:dyDescent="0.2">
      <c r="A8706" t="s">
        <v>1937</v>
      </c>
      <c r="B8706" t="s">
        <v>1967</v>
      </c>
      <c r="C8706" t="str">
        <f>"54721080000000"</f>
        <v>54721080000000</v>
      </c>
      <c r="D8706" t="s">
        <v>1967</v>
      </c>
      <c r="E8706" t="str">
        <f>"54721086054332"</f>
        <v>54721086054332</v>
      </c>
      <c r="F8706" s="8">
        <v>1475</v>
      </c>
      <c r="G8706" s="8">
        <v>12253</v>
      </c>
      <c r="H8706" s="8">
        <v>0</v>
      </c>
      <c r="I8706" s="8">
        <v>0</v>
      </c>
    </row>
    <row r="8707" spans="1:9" x14ac:dyDescent="0.2">
      <c r="A8707" t="s">
        <v>1937</v>
      </c>
      <c r="B8707" t="s">
        <v>1968</v>
      </c>
      <c r="C8707" t="str">
        <f>"54721160000000"</f>
        <v>54721160000000</v>
      </c>
      <c r="D8707" t="s">
        <v>1968</v>
      </c>
      <c r="E8707" t="str">
        <f>"54721160134973"</f>
        <v>54721160134973</v>
      </c>
      <c r="F8707" s="8">
        <v>3883</v>
      </c>
      <c r="G8707" s="8">
        <v>23136</v>
      </c>
      <c r="H8707" s="8">
        <v>0</v>
      </c>
      <c r="I8707" s="8">
        <v>0</v>
      </c>
    </row>
    <row r="8708" spans="1:9" x14ac:dyDescent="0.2">
      <c r="A8708" t="s">
        <v>1937</v>
      </c>
      <c r="B8708" t="s">
        <v>1968</v>
      </c>
      <c r="C8708" t="str">
        <f>"54721160000000"</f>
        <v>54721160000000</v>
      </c>
      <c r="D8708" t="s">
        <v>9400</v>
      </c>
      <c r="E8708" t="str">
        <f>"54721166054340"</f>
        <v>54721166054340</v>
      </c>
      <c r="F8708" s="8">
        <v>873</v>
      </c>
      <c r="G8708" s="8">
        <v>10082</v>
      </c>
      <c r="H8708" s="8">
        <v>0</v>
      </c>
      <c r="I8708" s="8">
        <v>0</v>
      </c>
    </row>
    <row r="8709" spans="1:9" x14ac:dyDescent="0.2">
      <c r="A8709" t="s">
        <v>1937</v>
      </c>
      <c r="B8709" t="s">
        <v>1969</v>
      </c>
      <c r="C8709" t="str">
        <f>"54721320000000"</f>
        <v>54721320000000</v>
      </c>
      <c r="D8709" t="s">
        <v>9401</v>
      </c>
      <c r="E8709" t="str">
        <f>"54721326054365"</f>
        <v>54721326054365</v>
      </c>
      <c r="F8709" s="8">
        <v>2865</v>
      </c>
      <c r="G8709" s="8">
        <v>10434</v>
      </c>
      <c r="H8709" s="8">
        <v>0</v>
      </c>
      <c r="I8709" s="8">
        <v>0</v>
      </c>
    </row>
    <row r="8710" spans="1:9" x14ac:dyDescent="0.2">
      <c r="A8710" t="s">
        <v>1937</v>
      </c>
      <c r="B8710" t="s">
        <v>1970</v>
      </c>
      <c r="C8710" t="str">
        <f>"54721400000000"</f>
        <v>54721400000000</v>
      </c>
      <c r="D8710" t="s">
        <v>1970</v>
      </c>
      <c r="E8710" t="str">
        <f>"54721406054373"</f>
        <v>54721406054373</v>
      </c>
      <c r="F8710" s="8">
        <v>2754</v>
      </c>
      <c r="G8710" s="8">
        <v>12010</v>
      </c>
      <c r="H8710" s="8">
        <v>0</v>
      </c>
      <c r="I8710" s="8">
        <v>0</v>
      </c>
    </row>
    <row r="8711" spans="1:9" x14ac:dyDescent="0.2">
      <c r="A8711" t="s">
        <v>1937</v>
      </c>
      <c r="B8711" t="s">
        <v>1971</v>
      </c>
      <c r="C8711" t="str">
        <f>"54721570000000"</f>
        <v>54721570000000</v>
      </c>
      <c r="D8711" t="s">
        <v>9402</v>
      </c>
      <c r="E8711" t="str">
        <f>"54721570114595"</f>
        <v>54721570114595</v>
      </c>
      <c r="F8711" s="8">
        <v>2198</v>
      </c>
      <c r="G8711" s="8">
        <v>10894</v>
      </c>
      <c r="H8711" s="8">
        <v>0</v>
      </c>
      <c r="I8711" s="8">
        <v>0</v>
      </c>
    </row>
    <row r="8712" spans="1:9" x14ac:dyDescent="0.2">
      <c r="A8712" t="s">
        <v>1937</v>
      </c>
      <c r="B8712" t="s">
        <v>1971</v>
      </c>
      <c r="C8712" t="str">
        <f>"54721570000000"</f>
        <v>54721570000000</v>
      </c>
      <c r="D8712" t="s">
        <v>9403</v>
      </c>
      <c r="E8712" t="str">
        <f>"54721576120646"</f>
        <v>54721576120646</v>
      </c>
      <c r="F8712" s="8" t="s">
        <v>30</v>
      </c>
      <c r="G8712" s="8" t="s">
        <v>30</v>
      </c>
      <c r="H8712" s="8" t="s">
        <v>30</v>
      </c>
      <c r="I8712" s="8" t="s">
        <v>30</v>
      </c>
    </row>
    <row r="8713" spans="1:9" x14ac:dyDescent="0.2">
      <c r="A8713" t="s">
        <v>1937</v>
      </c>
      <c r="B8713" t="s">
        <v>1972</v>
      </c>
      <c r="C8713" t="str">
        <f>"54721730000000"</f>
        <v>54721730000000</v>
      </c>
      <c r="D8713" t="s">
        <v>9404</v>
      </c>
      <c r="E8713" t="str">
        <f>"54721736054399"</f>
        <v>54721736054399</v>
      </c>
      <c r="F8713" s="8">
        <v>1069</v>
      </c>
      <c r="G8713" s="8">
        <v>10698</v>
      </c>
      <c r="H8713" s="8">
        <v>0</v>
      </c>
      <c r="I8713" s="8">
        <v>0</v>
      </c>
    </row>
    <row r="8714" spans="1:9" x14ac:dyDescent="0.2">
      <c r="A8714" t="s">
        <v>1937</v>
      </c>
      <c r="B8714" t="s">
        <v>1973</v>
      </c>
      <c r="C8714" t="str">
        <f>"54721810000000"</f>
        <v>54721810000000</v>
      </c>
      <c r="D8714" t="s">
        <v>5898</v>
      </c>
      <c r="E8714" t="str">
        <f>"54721816054407"</f>
        <v>54721816054407</v>
      </c>
      <c r="F8714" s="8">
        <v>2628</v>
      </c>
      <c r="G8714" s="8">
        <v>11875</v>
      </c>
      <c r="H8714" s="8">
        <v>0</v>
      </c>
      <c r="I8714" s="8">
        <v>0</v>
      </c>
    </row>
    <row r="8715" spans="1:9" x14ac:dyDescent="0.2">
      <c r="A8715" t="s">
        <v>1937</v>
      </c>
      <c r="B8715" t="s">
        <v>1975</v>
      </c>
      <c r="C8715" t="str">
        <f>"54721990000000"</f>
        <v>54721990000000</v>
      </c>
      <c r="D8715" t="s">
        <v>9405</v>
      </c>
      <c r="E8715" t="str">
        <f>"54721996054415"</f>
        <v>54721996054415</v>
      </c>
      <c r="F8715" s="8">
        <v>1634</v>
      </c>
      <c r="G8715" s="8">
        <v>8627</v>
      </c>
      <c r="H8715" s="8">
        <v>1366</v>
      </c>
      <c r="I8715" s="8">
        <v>4638</v>
      </c>
    </row>
    <row r="8716" spans="1:9" x14ac:dyDescent="0.2">
      <c r="A8716" t="s">
        <v>1937</v>
      </c>
      <c r="B8716" t="s">
        <v>1975</v>
      </c>
      <c r="C8716" t="str">
        <f>"54721990000000"</f>
        <v>54721990000000</v>
      </c>
      <c r="D8716" t="s">
        <v>9406</v>
      </c>
      <c r="E8716" t="str">
        <f>"54721996112510"</f>
        <v>54721996112510</v>
      </c>
      <c r="F8716" s="8">
        <v>850</v>
      </c>
      <c r="G8716" s="8">
        <v>6868</v>
      </c>
      <c r="H8716" s="8">
        <v>1366</v>
      </c>
      <c r="I8716" s="8">
        <v>4638</v>
      </c>
    </row>
    <row r="8717" spans="1:9" x14ac:dyDescent="0.2">
      <c r="A8717" t="s">
        <v>1937</v>
      </c>
      <c r="B8717" t="s">
        <v>1976</v>
      </c>
      <c r="C8717" t="str">
        <f>"54722070000000"</f>
        <v>54722070000000</v>
      </c>
      <c r="D8717" t="s">
        <v>9407</v>
      </c>
      <c r="E8717" t="str">
        <f>"54722076054423"</f>
        <v>54722076054423</v>
      </c>
      <c r="F8717" s="8">
        <v>1207</v>
      </c>
      <c r="G8717" s="8">
        <v>12424</v>
      </c>
      <c r="H8717" s="8">
        <v>0</v>
      </c>
      <c r="I8717" s="8">
        <v>0</v>
      </c>
    </row>
    <row r="8718" spans="1:9" x14ac:dyDescent="0.2">
      <c r="A8718" t="s">
        <v>1937</v>
      </c>
      <c r="B8718" t="s">
        <v>1977</v>
      </c>
      <c r="C8718" t="str">
        <f>"54722150000000"</f>
        <v>54722150000000</v>
      </c>
      <c r="D8718" t="s">
        <v>1977</v>
      </c>
      <c r="E8718" t="str">
        <f>"54722156054431"</f>
        <v>54722156054431</v>
      </c>
      <c r="F8718" s="8">
        <v>1686</v>
      </c>
      <c r="G8718" s="8">
        <v>11535</v>
      </c>
      <c r="H8718" s="8">
        <v>0</v>
      </c>
      <c r="I8718" s="8">
        <v>0</v>
      </c>
    </row>
    <row r="8719" spans="1:9" x14ac:dyDescent="0.2">
      <c r="A8719" t="s">
        <v>1937</v>
      </c>
      <c r="B8719" t="s">
        <v>1978</v>
      </c>
      <c r="C8719" t="str">
        <f>"54722230000000"</f>
        <v>54722230000000</v>
      </c>
      <c r="D8719" t="s">
        <v>9408</v>
      </c>
      <c r="E8719" t="str">
        <f>"54722236054449"</f>
        <v>54722236054449</v>
      </c>
      <c r="F8719" s="8">
        <v>1818</v>
      </c>
      <c r="G8719" s="8">
        <v>11549</v>
      </c>
      <c r="H8719" s="8">
        <v>0</v>
      </c>
      <c r="I8719" s="8">
        <v>0</v>
      </c>
    </row>
    <row r="8720" spans="1:9" x14ac:dyDescent="0.2">
      <c r="A8720" t="s">
        <v>1937</v>
      </c>
      <c r="B8720" t="s">
        <v>1979</v>
      </c>
      <c r="C8720" t="str">
        <f t="shared" ref="C8720:C8736" si="443">"54722310000000"</f>
        <v>54722310000000</v>
      </c>
      <c r="D8720" t="s">
        <v>9409</v>
      </c>
      <c r="E8720" t="str">
        <f>"54722310125211"</f>
        <v>54722310125211</v>
      </c>
      <c r="F8720" s="8">
        <v>1289</v>
      </c>
      <c r="G8720" s="8">
        <v>39640</v>
      </c>
      <c r="H8720" s="8">
        <v>1940</v>
      </c>
      <c r="I8720" s="8">
        <v>4251</v>
      </c>
    </row>
    <row r="8721" spans="1:9" x14ac:dyDescent="0.2">
      <c r="A8721" t="s">
        <v>1937</v>
      </c>
      <c r="B8721" t="s">
        <v>1979</v>
      </c>
      <c r="C8721" t="str">
        <f t="shared" si="443"/>
        <v>54722310000000</v>
      </c>
      <c r="D8721" t="s">
        <v>2243</v>
      </c>
      <c r="E8721" t="str">
        <f>"54722316054498"</f>
        <v>54722316054498</v>
      </c>
      <c r="F8721" s="8">
        <v>588</v>
      </c>
      <c r="G8721" s="8">
        <v>6937</v>
      </c>
      <c r="H8721" s="8">
        <v>1940</v>
      </c>
      <c r="I8721" s="8">
        <v>4251</v>
      </c>
    </row>
    <row r="8722" spans="1:9" x14ac:dyDescent="0.2">
      <c r="A8722" t="s">
        <v>1937</v>
      </c>
      <c r="B8722" t="s">
        <v>1979</v>
      </c>
      <c r="C8722" t="str">
        <f t="shared" si="443"/>
        <v>54722310000000</v>
      </c>
      <c r="D8722" t="s">
        <v>9278</v>
      </c>
      <c r="E8722" t="str">
        <f>"54722316108385"</f>
        <v>54722316108385</v>
      </c>
      <c r="F8722" s="8">
        <v>341</v>
      </c>
      <c r="G8722" s="8">
        <v>7072</v>
      </c>
      <c r="H8722" s="8">
        <v>1940</v>
      </c>
      <c r="I8722" s="8">
        <v>4251</v>
      </c>
    </row>
    <row r="8723" spans="1:9" x14ac:dyDescent="0.2">
      <c r="A8723" t="s">
        <v>1937</v>
      </c>
      <c r="B8723" t="s">
        <v>1979</v>
      </c>
      <c r="C8723" t="str">
        <f t="shared" si="443"/>
        <v>54722310000000</v>
      </c>
      <c r="D8723" t="s">
        <v>2347</v>
      </c>
      <c r="E8723" t="str">
        <f>"54722316054514"</f>
        <v>54722316054514</v>
      </c>
      <c r="F8723" s="8">
        <v>803</v>
      </c>
      <c r="G8723" s="8">
        <v>6146</v>
      </c>
      <c r="H8723" s="8">
        <v>1940</v>
      </c>
      <c r="I8723" s="8">
        <v>4251</v>
      </c>
    </row>
    <row r="8724" spans="1:9" x14ac:dyDescent="0.2">
      <c r="A8724" t="s">
        <v>1937</v>
      </c>
      <c r="B8724" t="s">
        <v>1979</v>
      </c>
      <c r="C8724" t="str">
        <f t="shared" si="443"/>
        <v>54722310000000</v>
      </c>
      <c r="D8724" t="s">
        <v>1006</v>
      </c>
      <c r="E8724" t="str">
        <f>"54722316105381"</f>
        <v>54722316105381</v>
      </c>
      <c r="F8724" s="8">
        <v>471</v>
      </c>
      <c r="G8724" s="8">
        <v>6346</v>
      </c>
      <c r="H8724" s="8">
        <v>1940</v>
      </c>
      <c r="I8724" s="8">
        <v>4251</v>
      </c>
    </row>
    <row r="8725" spans="1:9" x14ac:dyDescent="0.2">
      <c r="A8725" t="s">
        <v>1937</v>
      </c>
      <c r="B8725" t="s">
        <v>1979</v>
      </c>
      <c r="C8725" t="str">
        <f t="shared" si="443"/>
        <v>54722310000000</v>
      </c>
      <c r="D8725" t="s">
        <v>5877</v>
      </c>
      <c r="E8725" t="str">
        <f>"54722316114656"</f>
        <v>54722316114656</v>
      </c>
      <c r="F8725" s="8">
        <v>704</v>
      </c>
      <c r="G8725" s="8">
        <v>6079</v>
      </c>
      <c r="H8725" s="8">
        <v>1940</v>
      </c>
      <c r="I8725" s="8">
        <v>4251</v>
      </c>
    </row>
    <row r="8726" spans="1:9" x14ac:dyDescent="0.2">
      <c r="A8726" t="s">
        <v>1937</v>
      </c>
      <c r="B8726" t="s">
        <v>1979</v>
      </c>
      <c r="C8726" t="str">
        <f t="shared" si="443"/>
        <v>54722310000000</v>
      </c>
      <c r="D8726" t="s">
        <v>9410</v>
      </c>
      <c r="E8726" t="str">
        <f>"54722316054472"</f>
        <v>54722316054472</v>
      </c>
      <c r="F8726" s="8">
        <v>690</v>
      </c>
      <c r="G8726" s="8">
        <v>6035</v>
      </c>
      <c r="H8726" s="8">
        <v>1940</v>
      </c>
      <c r="I8726" s="8">
        <v>4251</v>
      </c>
    </row>
    <row r="8727" spans="1:9" x14ac:dyDescent="0.2">
      <c r="A8727" t="s">
        <v>1937</v>
      </c>
      <c r="B8727" t="s">
        <v>1979</v>
      </c>
      <c r="C8727" t="str">
        <f t="shared" si="443"/>
        <v>54722310000000</v>
      </c>
      <c r="D8727" t="s">
        <v>2142</v>
      </c>
      <c r="E8727" t="str">
        <f>"54722310113639"</f>
        <v>54722310113639</v>
      </c>
      <c r="F8727" s="8">
        <v>693</v>
      </c>
      <c r="G8727" s="8">
        <v>5922</v>
      </c>
      <c r="H8727" s="8">
        <v>1940</v>
      </c>
      <c r="I8727" s="8">
        <v>4251</v>
      </c>
    </row>
    <row r="8728" spans="1:9" x14ac:dyDescent="0.2">
      <c r="A8728" t="s">
        <v>1937</v>
      </c>
      <c r="B8728" t="s">
        <v>1979</v>
      </c>
      <c r="C8728" t="str">
        <f t="shared" si="443"/>
        <v>54722310000000</v>
      </c>
      <c r="D8728" t="s">
        <v>9411</v>
      </c>
      <c r="E8728" t="str">
        <f>"54722316054464"</f>
        <v>54722316054464</v>
      </c>
      <c r="F8728" s="8">
        <v>812</v>
      </c>
      <c r="G8728" s="8">
        <v>5790</v>
      </c>
      <c r="H8728" s="8">
        <v>1940</v>
      </c>
      <c r="I8728" s="8">
        <v>4251</v>
      </c>
    </row>
    <row r="8729" spans="1:9" x14ac:dyDescent="0.2">
      <c r="A8729" t="s">
        <v>1937</v>
      </c>
      <c r="B8729" t="s">
        <v>1979</v>
      </c>
      <c r="C8729" t="str">
        <f t="shared" si="443"/>
        <v>54722310000000</v>
      </c>
      <c r="D8729" t="s">
        <v>367</v>
      </c>
      <c r="E8729" t="str">
        <f>"54722316054506"</f>
        <v>54722316054506</v>
      </c>
      <c r="F8729" s="8">
        <v>483</v>
      </c>
      <c r="G8729" s="8">
        <v>5833</v>
      </c>
      <c r="H8729" s="8">
        <v>1940</v>
      </c>
      <c r="I8729" s="8">
        <v>4251</v>
      </c>
    </row>
    <row r="8730" spans="1:9" x14ac:dyDescent="0.2">
      <c r="A8730" t="s">
        <v>1937</v>
      </c>
      <c r="B8730" t="s">
        <v>1979</v>
      </c>
      <c r="C8730" t="str">
        <f t="shared" si="443"/>
        <v>54722310000000</v>
      </c>
      <c r="D8730" t="s">
        <v>9412</v>
      </c>
      <c r="E8730" t="str">
        <f>"54722316054456"</f>
        <v>54722316054456</v>
      </c>
      <c r="F8730" s="8">
        <v>446</v>
      </c>
      <c r="G8730" s="8">
        <v>5758</v>
      </c>
      <c r="H8730" s="8">
        <v>1940</v>
      </c>
      <c r="I8730" s="8">
        <v>4251</v>
      </c>
    </row>
    <row r="8731" spans="1:9" x14ac:dyDescent="0.2">
      <c r="A8731" t="s">
        <v>1937</v>
      </c>
      <c r="B8731" t="s">
        <v>1979</v>
      </c>
      <c r="C8731" t="str">
        <f t="shared" si="443"/>
        <v>54722310000000</v>
      </c>
      <c r="D8731" t="s">
        <v>9413</v>
      </c>
      <c r="E8731" t="str">
        <f>"54722316106553"</f>
        <v>54722316106553</v>
      </c>
      <c r="F8731" s="8">
        <v>424</v>
      </c>
      <c r="G8731" s="8">
        <v>5675</v>
      </c>
      <c r="H8731" s="8">
        <v>1940</v>
      </c>
      <c r="I8731" s="8">
        <v>4251</v>
      </c>
    </row>
    <row r="8732" spans="1:9" x14ac:dyDescent="0.2">
      <c r="A8732" t="s">
        <v>1937</v>
      </c>
      <c r="B8732" t="s">
        <v>1979</v>
      </c>
      <c r="C8732" t="str">
        <f t="shared" si="443"/>
        <v>54722310000000</v>
      </c>
      <c r="D8732" t="s">
        <v>9414</v>
      </c>
      <c r="E8732" t="str">
        <f>"54722310100495"</f>
        <v>54722310100495</v>
      </c>
      <c r="F8732" s="8">
        <v>561</v>
      </c>
      <c r="G8732" s="8">
        <v>5465</v>
      </c>
      <c r="H8732" s="8">
        <v>1940</v>
      </c>
      <c r="I8732" s="8">
        <v>4251</v>
      </c>
    </row>
    <row r="8733" spans="1:9" x14ac:dyDescent="0.2">
      <c r="A8733" t="s">
        <v>1937</v>
      </c>
      <c r="B8733" t="s">
        <v>1979</v>
      </c>
      <c r="C8733" t="str">
        <f t="shared" si="443"/>
        <v>54722310000000</v>
      </c>
      <c r="D8733" t="s">
        <v>9415</v>
      </c>
      <c r="E8733" t="str">
        <f>"54722316054480"</f>
        <v>54722316054480</v>
      </c>
      <c r="F8733" s="8">
        <v>600</v>
      </c>
      <c r="G8733" s="8">
        <v>5315</v>
      </c>
      <c r="H8733" s="8">
        <v>1940</v>
      </c>
      <c r="I8733" s="8">
        <v>4251</v>
      </c>
    </row>
    <row r="8734" spans="1:9" x14ac:dyDescent="0.2">
      <c r="A8734" t="s">
        <v>1937</v>
      </c>
      <c r="B8734" t="s">
        <v>1979</v>
      </c>
      <c r="C8734" t="str">
        <f t="shared" si="443"/>
        <v>54722310000000</v>
      </c>
      <c r="D8734" t="s">
        <v>2348</v>
      </c>
      <c r="E8734" t="str">
        <f>"54722316054522"</f>
        <v>54722316054522</v>
      </c>
      <c r="F8734" s="8">
        <v>478</v>
      </c>
      <c r="G8734" s="8">
        <v>5324</v>
      </c>
      <c r="H8734" s="8">
        <v>1940</v>
      </c>
      <c r="I8734" s="8">
        <v>4251</v>
      </c>
    </row>
    <row r="8735" spans="1:9" x14ac:dyDescent="0.2">
      <c r="A8735" t="s">
        <v>1937</v>
      </c>
      <c r="B8735" t="s">
        <v>1979</v>
      </c>
      <c r="C8735" t="str">
        <f t="shared" si="443"/>
        <v>54722310000000</v>
      </c>
      <c r="D8735" t="s">
        <v>9416</v>
      </c>
      <c r="E8735" t="str">
        <f>"54722310127621"</f>
        <v>54722310127621</v>
      </c>
      <c r="F8735" s="8">
        <v>430</v>
      </c>
      <c r="G8735" s="8">
        <v>5165</v>
      </c>
      <c r="H8735" s="8">
        <v>1940</v>
      </c>
      <c r="I8735" s="8">
        <v>4251</v>
      </c>
    </row>
    <row r="8736" spans="1:9" x14ac:dyDescent="0.2">
      <c r="A8736" t="s">
        <v>1937</v>
      </c>
      <c r="B8736" t="s">
        <v>1979</v>
      </c>
      <c r="C8736" t="str">
        <f t="shared" si="443"/>
        <v>54722310000000</v>
      </c>
      <c r="D8736" t="s">
        <v>9417</v>
      </c>
      <c r="E8736" t="str">
        <f>"54722316116768"</f>
        <v>54722316116768</v>
      </c>
      <c r="F8736" s="8">
        <v>0</v>
      </c>
      <c r="G8736" s="8">
        <v>0</v>
      </c>
      <c r="H8736" s="8">
        <v>1940</v>
      </c>
      <c r="I8736" s="8">
        <v>4251</v>
      </c>
    </row>
    <row r="8737" spans="1:9" x14ac:dyDescent="0.2">
      <c r="A8737" t="s">
        <v>1937</v>
      </c>
      <c r="B8737" t="s">
        <v>1980</v>
      </c>
      <c r="C8737" t="str">
        <f>"54105460000000"</f>
        <v>54105460000000</v>
      </c>
      <c r="D8737" t="s">
        <v>6314</v>
      </c>
      <c r="E8737" t="str">
        <f>"54105465430327"</f>
        <v>54105465430327</v>
      </c>
      <c r="F8737" s="8">
        <v>2359.6682242990655</v>
      </c>
      <c r="G8737" s="8">
        <v>15470.257009345794</v>
      </c>
      <c r="H8737" s="8">
        <v>0</v>
      </c>
      <c r="I8737" s="8">
        <v>0</v>
      </c>
    </row>
    <row r="8738" spans="1:9" x14ac:dyDescent="0.2">
      <c r="A8738" t="s">
        <v>1937</v>
      </c>
      <c r="B8738" t="s">
        <v>1980</v>
      </c>
      <c r="C8738" t="str">
        <f>"54105460000000"</f>
        <v>54105460000000</v>
      </c>
      <c r="D8738" t="s">
        <v>9418</v>
      </c>
      <c r="E8738" t="str">
        <f>"54105460119602"</f>
        <v>54105460119602</v>
      </c>
      <c r="F8738" s="8">
        <v>296.74380165289256</v>
      </c>
      <c r="G8738" s="8">
        <v>9459.7272727272721</v>
      </c>
      <c r="H8738" s="8">
        <v>0</v>
      </c>
      <c r="I8738" s="8">
        <v>0</v>
      </c>
    </row>
    <row r="8739" spans="1:9" x14ac:dyDescent="0.2">
      <c r="A8739" t="s">
        <v>1937</v>
      </c>
      <c r="B8739" t="s">
        <v>1980</v>
      </c>
      <c r="C8739" t="str">
        <f>"54105460000000"</f>
        <v>54105460000000</v>
      </c>
      <c r="D8739" t="s">
        <v>9419</v>
      </c>
      <c r="E8739" t="str">
        <f>"54105465430061"</f>
        <v>54105465430061</v>
      </c>
      <c r="F8739" s="8">
        <v>10394</v>
      </c>
      <c r="G8739" s="8">
        <v>44527</v>
      </c>
      <c r="H8739" s="8">
        <v>0</v>
      </c>
      <c r="I8739" s="8">
        <v>0</v>
      </c>
    </row>
    <row r="8740" spans="1:9" x14ac:dyDescent="0.2">
      <c r="A8740" t="s">
        <v>1937</v>
      </c>
      <c r="B8740" t="s">
        <v>1980</v>
      </c>
      <c r="C8740" t="str">
        <f>"54105460000000"</f>
        <v>54105460000000</v>
      </c>
      <c r="D8740" t="s">
        <v>2747</v>
      </c>
      <c r="E8740" t="str">
        <f>"54105466069439"</f>
        <v>54105466069439</v>
      </c>
      <c r="F8740" s="8">
        <v>1267</v>
      </c>
      <c r="G8740" s="8">
        <v>40471</v>
      </c>
      <c r="H8740" s="8">
        <v>0</v>
      </c>
      <c r="I8740" s="8">
        <v>0</v>
      </c>
    </row>
    <row r="8741" spans="1:9" x14ac:dyDescent="0.2">
      <c r="A8741" t="s">
        <v>1937</v>
      </c>
      <c r="B8741" t="s">
        <v>1980</v>
      </c>
      <c r="C8741" t="str">
        <f>"54105460000000"</f>
        <v>54105460000000</v>
      </c>
      <c r="D8741" t="s">
        <v>9420</v>
      </c>
      <c r="E8741" t="str">
        <f>"54105465430343"</f>
        <v>54105465430343</v>
      </c>
      <c r="F8741" s="8">
        <v>12609</v>
      </c>
      <c r="G8741" s="8">
        <v>26473</v>
      </c>
      <c r="H8741" s="8">
        <v>0</v>
      </c>
      <c r="I8741" s="8">
        <v>0</v>
      </c>
    </row>
    <row r="8742" spans="1:9" x14ac:dyDescent="0.2">
      <c r="A8742" t="s">
        <v>1937</v>
      </c>
      <c r="B8742" t="s">
        <v>1981</v>
      </c>
      <c r="C8742" t="str">
        <f t="shared" ref="C8742:C8748" si="444">"54722490000000"</f>
        <v>54722490000000</v>
      </c>
      <c r="D8742" t="s">
        <v>9421</v>
      </c>
      <c r="E8742" t="str">
        <f>"54722495430145"</f>
        <v>54722495430145</v>
      </c>
      <c r="F8742" s="8">
        <v>5619</v>
      </c>
      <c r="G8742" s="8">
        <v>39399</v>
      </c>
      <c r="H8742" s="8">
        <v>300</v>
      </c>
      <c r="I8742" s="8">
        <v>745</v>
      </c>
    </row>
    <row r="8743" spans="1:9" x14ac:dyDescent="0.2">
      <c r="A8743" t="s">
        <v>1937</v>
      </c>
      <c r="B8743" t="s">
        <v>1981</v>
      </c>
      <c r="C8743" t="str">
        <f t="shared" si="444"/>
        <v>54722490000000</v>
      </c>
      <c r="D8743" t="s">
        <v>9422</v>
      </c>
      <c r="E8743" t="str">
        <f>"54722490107649"</f>
        <v>54722490107649</v>
      </c>
      <c r="F8743" s="8">
        <v>2959</v>
      </c>
      <c r="G8743" s="8">
        <v>20055</v>
      </c>
      <c r="H8743" s="8">
        <v>300</v>
      </c>
      <c r="I8743" s="8">
        <v>745</v>
      </c>
    </row>
    <row r="8744" spans="1:9" x14ac:dyDescent="0.2">
      <c r="A8744" t="s">
        <v>1937</v>
      </c>
      <c r="B8744" t="s">
        <v>1981</v>
      </c>
      <c r="C8744" t="str">
        <f t="shared" si="444"/>
        <v>54722490000000</v>
      </c>
      <c r="D8744" t="s">
        <v>9423</v>
      </c>
      <c r="E8744" t="str">
        <f>"54722490133793"</f>
        <v>54722490133793</v>
      </c>
      <c r="F8744" s="8">
        <v>1650</v>
      </c>
      <c r="G8744" s="8">
        <v>12185</v>
      </c>
      <c r="H8744" s="8">
        <v>300</v>
      </c>
      <c r="I8744" s="8">
        <v>745</v>
      </c>
    </row>
    <row r="8745" spans="1:9" x14ac:dyDescent="0.2">
      <c r="A8745" t="s">
        <v>1937</v>
      </c>
      <c r="B8745" t="s">
        <v>1981</v>
      </c>
      <c r="C8745" t="str">
        <f t="shared" si="444"/>
        <v>54722490000000</v>
      </c>
      <c r="D8745" t="s">
        <v>9424</v>
      </c>
      <c r="E8745" t="str">
        <f>"54722495435409"</f>
        <v>54722495435409</v>
      </c>
      <c r="F8745" s="8">
        <v>1455</v>
      </c>
      <c r="G8745" s="8">
        <v>11192</v>
      </c>
      <c r="H8745" s="8">
        <v>300</v>
      </c>
      <c r="I8745" s="8">
        <v>745</v>
      </c>
    </row>
    <row r="8746" spans="1:9" x14ac:dyDescent="0.2">
      <c r="A8746" t="s">
        <v>1937</v>
      </c>
      <c r="B8746" t="s">
        <v>1981</v>
      </c>
      <c r="C8746" t="str">
        <f t="shared" si="444"/>
        <v>54722490000000</v>
      </c>
      <c r="D8746" t="s">
        <v>9425</v>
      </c>
      <c r="E8746" t="str">
        <f>"54722490116368"</f>
        <v>54722490116368</v>
      </c>
      <c r="F8746" s="8">
        <v>1485</v>
      </c>
      <c r="G8746" s="8">
        <v>10222</v>
      </c>
      <c r="H8746" s="8">
        <v>300</v>
      </c>
      <c r="I8746" s="8">
        <v>745</v>
      </c>
    </row>
    <row r="8747" spans="1:9" x14ac:dyDescent="0.2">
      <c r="A8747" t="s">
        <v>1937</v>
      </c>
      <c r="B8747" t="s">
        <v>1981</v>
      </c>
      <c r="C8747" t="str">
        <f t="shared" si="444"/>
        <v>54722490000000</v>
      </c>
      <c r="D8747" t="s">
        <v>9426</v>
      </c>
      <c r="E8747" t="str">
        <f>"54722495435466"</f>
        <v>54722495435466</v>
      </c>
      <c r="F8747" s="8">
        <v>1271</v>
      </c>
      <c r="G8747" s="8">
        <v>9490</v>
      </c>
      <c r="H8747" s="8">
        <v>300</v>
      </c>
      <c r="I8747" s="8">
        <v>745</v>
      </c>
    </row>
    <row r="8748" spans="1:9" x14ac:dyDescent="0.2">
      <c r="A8748" t="s">
        <v>1937</v>
      </c>
      <c r="B8748" t="s">
        <v>1981</v>
      </c>
      <c r="C8748" t="str">
        <f t="shared" si="444"/>
        <v>54722490000000</v>
      </c>
      <c r="D8748" t="s">
        <v>9427</v>
      </c>
      <c r="E8748" t="str">
        <f>"54722490130708"</f>
        <v>54722490130708</v>
      </c>
      <c r="F8748" s="8">
        <v>1823</v>
      </c>
      <c r="G8748" s="8">
        <v>3159</v>
      </c>
      <c r="H8748" s="8">
        <v>300</v>
      </c>
      <c r="I8748" s="8">
        <v>745</v>
      </c>
    </row>
    <row r="8749" spans="1:9" x14ac:dyDescent="0.2">
      <c r="A8749" t="s">
        <v>1937</v>
      </c>
      <c r="B8749" t="s">
        <v>1983</v>
      </c>
      <c r="C8749" t="str">
        <f t="shared" ref="C8749:C8790" si="445">"54722560000000"</f>
        <v>54722560000000</v>
      </c>
      <c r="D8749" t="s">
        <v>9428</v>
      </c>
      <c r="E8749" t="str">
        <f>"54722560139212"</f>
        <v>54722560139212</v>
      </c>
      <c r="F8749" s="8">
        <v>88</v>
      </c>
      <c r="G8749" s="8">
        <v>23682</v>
      </c>
      <c r="H8749" s="8">
        <v>1472</v>
      </c>
      <c r="I8749" s="8">
        <v>4865</v>
      </c>
    </row>
    <row r="8750" spans="1:9" x14ac:dyDescent="0.2">
      <c r="A8750" t="s">
        <v>1937</v>
      </c>
      <c r="B8750" t="s">
        <v>1983</v>
      </c>
      <c r="C8750" t="str">
        <f t="shared" si="445"/>
        <v>54722560000000</v>
      </c>
      <c r="D8750" t="s">
        <v>9429</v>
      </c>
      <c r="E8750" t="str">
        <f>"54722560120659"</f>
        <v>54722560120659</v>
      </c>
      <c r="F8750" s="8">
        <v>826</v>
      </c>
      <c r="G8750" s="8">
        <v>11228</v>
      </c>
      <c r="H8750" s="8">
        <v>1472</v>
      </c>
      <c r="I8750" s="8">
        <v>4865</v>
      </c>
    </row>
    <row r="8751" spans="1:9" x14ac:dyDescent="0.2">
      <c r="A8751" t="s">
        <v>1937</v>
      </c>
      <c r="B8751" t="s">
        <v>1983</v>
      </c>
      <c r="C8751" t="str">
        <f t="shared" si="445"/>
        <v>54722560000000</v>
      </c>
      <c r="D8751" t="s">
        <v>5486</v>
      </c>
      <c r="E8751" t="str">
        <f>"54722565435839"</f>
        <v>54722565435839</v>
      </c>
      <c r="F8751" s="8">
        <v>412</v>
      </c>
      <c r="G8751" s="8">
        <v>10399</v>
      </c>
      <c r="H8751" s="8">
        <v>1472</v>
      </c>
      <c r="I8751" s="8">
        <v>4865</v>
      </c>
    </row>
    <row r="8752" spans="1:9" x14ac:dyDescent="0.2">
      <c r="A8752" t="s">
        <v>1937</v>
      </c>
      <c r="B8752" t="s">
        <v>1983</v>
      </c>
      <c r="C8752" t="str">
        <f t="shared" si="445"/>
        <v>54722560000000</v>
      </c>
      <c r="D8752" t="s">
        <v>9430</v>
      </c>
      <c r="E8752" t="str">
        <f>"54722560109751"</f>
        <v>54722560109751</v>
      </c>
      <c r="F8752" s="8">
        <v>581</v>
      </c>
      <c r="G8752" s="8">
        <v>8837</v>
      </c>
      <c r="H8752" s="8">
        <v>1472</v>
      </c>
      <c r="I8752" s="8">
        <v>4865</v>
      </c>
    </row>
    <row r="8753" spans="1:9" x14ac:dyDescent="0.2">
      <c r="A8753" t="s">
        <v>1937</v>
      </c>
      <c r="B8753" t="s">
        <v>1983</v>
      </c>
      <c r="C8753" t="str">
        <f t="shared" si="445"/>
        <v>54722560000000</v>
      </c>
      <c r="D8753" t="s">
        <v>9431</v>
      </c>
      <c r="E8753" t="str">
        <f>"54722560135863"</f>
        <v>54722560135863</v>
      </c>
      <c r="F8753" s="8">
        <v>898</v>
      </c>
      <c r="G8753" s="8">
        <v>7357</v>
      </c>
      <c r="H8753" s="8">
        <v>1472</v>
      </c>
      <c r="I8753" s="8">
        <v>4865</v>
      </c>
    </row>
    <row r="8754" spans="1:9" x14ac:dyDescent="0.2">
      <c r="A8754" t="s">
        <v>1937</v>
      </c>
      <c r="B8754" t="s">
        <v>1983</v>
      </c>
      <c r="C8754" t="str">
        <f t="shared" si="445"/>
        <v>54722560000000</v>
      </c>
      <c r="D8754" t="s">
        <v>9432</v>
      </c>
      <c r="E8754" t="str">
        <f>"54722566116909"</f>
        <v>54722566116909</v>
      </c>
      <c r="F8754" s="8">
        <v>813</v>
      </c>
      <c r="G8754" s="8">
        <v>6473</v>
      </c>
      <c r="H8754" s="8">
        <v>1472</v>
      </c>
      <c r="I8754" s="8">
        <v>4865</v>
      </c>
    </row>
    <row r="8755" spans="1:9" x14ac:dyDescent="0.2">
      <c r="A8755" t="s">
        <v>1937</v>
      </c>
      <c r="B8755" t="s">
        <v>1983</v>
      </c>
      <c r="C8755" t="str">
        <f t="shared" si="445"/>
        <v>54722560000000</v>
      </c>
      <c r="D8755" t="s">
        <v>9433</v>
      </c>
      <c r="E8755" t="str">
        <f>"54722565432828"</f>
        <v>54722565432828</v>
      </c>
      <c r="F8755" s="8">
        <v>212</v>
      </c>
      <c r="G8755" s="8">
        <v>7051</v>
      </c>
      <c r="H8755" s="8">
        <v>1472</v>
      </c>
      <c r="I8755" s="8">
        <v>4865</v>
      </c>
    </row>
    <row r="8756" spans="1:9" x14ac:dyDescent="0.2">
      <c r="A8756" t="s">
        <v>1937</v>
      </c>
      <c r="B8756" t="s">
        <v>1983</v>
      </c>
      <c r="C8756" t="str">
        <f t="shared" si="445"/>
        <v>54722560000000</v>
      </c>
      <c r="D8756" t="s">
        <v>2094</v>
      </c>
      <c r="E8756" t="str">
        <f>"54722566054720"</f>
        <v>54722566054720</v>
      </c>
      <c r="F8756" s="8">
        <v>689</v>
      </c>
      <c r="G8756" s="8">
        <v>6497</v>
      </c>
      <c r="H8756" s="8">
        <v>1472</v>
      </c>
      <c r="I8756" s="8">
        <v>4865</v>
      </c>
    </row>
    <row r="8757" spans="1:9" x14ac:dyDescent="0.2">
      <c r="A8757" t="s">
        <v>1937</v>
      </c>
      <c r="B8757" t="s">
        <v>1983</v>
      </c>
      <c r="C8757" t="str">
        <f t="shared" si="445"/>
        <v>54722560000000</v>
      </c>
      <c r="D8757" t="s">
        <v>8722</v>
      </c>
      <c r="E8757" t="str">
        <f>"54722566054746"</f>
        <v>54722566054746</v>
      </c>
      <c r="F8757" s="8">
        <v>561</v>
      </c>
      <c r="G8757" s="8">
        <v>6370</v>
      </c>
      <c r="H8757" s="8">
        <v>1472</v>
      </c>
      <c r="I8757" s="8">
        <v>4865</v>
      </c>
    </row>
    <row r="8758" spans="1:9" x14ac:dyDescent="0.2">
      <c r="A8758" t="s">
        <v>1937</v>
      </c>
      <c r="B8758" t="s">
        <v>1983</v>
      </c>
      <c r="C8758" t="str">
        <f t="shared" si="445"/>
        <v>54722560000000</v>
      </c>
      <c r="D8758" t="s">
        <v>9434</v>
      </c>
      <c r="E8758" t="str">
        <f>"54722566054670"</f>
        <v>54722566054670</v>
      </c>
      <c r="F8758" s="8">
        <v>492</v>
      </c>
      <c r="G8758" s="8">
        <v>6351</v>
      </c>
      <c r="H8758" s="8">
        <v>1472</v>
      </c>
      <c r="I8758" s="8">
        <v>4865</v>
      </c>
    </row>
    <row r="8759" spans="1:9" x14ac:dyDescent="0.2">
      <c r="A8759" t="s">
        <v>1937</v>
      </c>
      <c r="B8759" t="s">
        <v>1983</v>
      </c>
      <c r="C8759" t="str">
        <f t="shared" si="445"/>
        <v>54722560000000</v>
      </c>
      <c r="D8759" t="s">
        <v>710</v>
      </c>
      <c r="E8759" t="str">
        <f>"54722566054654"</f>
        <v>54722566054654</v>
      </c>
      <c r="F8759" s="8">
        <v>343</v>
      </c>
      <c r="G8759" s="8">
        <v>6461</v>
      </c>
      <c r="H8759" s="8">
        <v>1472</v>
      </c>
      <c r="I8759" s="8">
        <v>4865</v>
      </c>
    </row>
    <row r="8760" spans="1:9" x14ac:dyDescent="0.2">
      <c r="A8760" t="s">
        <v>1937</v>
      </c>
      <c r="B8760" t="s">
        <v>1983</v>
      </c>
      <c r="C8760" t="str">
        <f t="shared" si="445"/>
        <v>54722560000000</v>
      </c>
      <c r="D8760" t="s">
        <v>9435</v>
      </c>
      <c r="E8760" t="str">
        <f>"54722566054605"</f>
        <v>54722566054605</v>
      </c>
      <c r="F8760" s="8">
        <v>395</v>
      </c>
      <c r="G8760" s="8">
        <v>6391</v>
      </c>
      <c r="H8760" s="8">
        <v>1472</v>
      </c>
      <c r="I8760" s="8">
        <v>4865</v>
      </c>
    </row>
    <row r="8761" spans="1:9" x14ac:dyDescent="0.2">
      <c r="A8761" t="s">
        <v>1937</v>
      </c>
      <c r="B8761" t="s">
        <v>1983</v>
      </c>
      <c r="C8761" t="str">
        <f t="shared" si="445"/>
        <v>54722560000000</v>
      </c>
      <c r="D8761" t="s">
        <v>9436</v>
      </c>
      <c r="E8761" t="str">
        <f>"54722565430046"</f>
        <v>54722565430046</v>
      </c>
      <c r="F8761" s="8">
        <v>162</v>
      </c>
      <c r="G8761" s="8">
        <v>6560</v>
      </c>
      <c r="H8761" s="8">
        <v>1472</v>
      </c>
      <c r="I8761" s="8">
        <v>4865</v>
      </c>
    </row>
    <row r="8762" spans="1:9" x14ac:dyDescent="0.2">
      <c r="A8762" t="s">
        <v>1937</v>
      </c>
      <c r="B8762" t="s">
        <v>1983</v>
      </c>
      <c r="C8762" t="str">
        <f t="shared" si="445"/>
        <v>54722560000000</v>
      </c>
      <c r="D8762" t="s">
        <v>9437</v>
      </c>
      <c r="E8762" t="str">
        <f>"54722565430368"</f>
        <v>54722565430368</v>
      </c>
      <c r="F8762" s="8">
        <v>122</v>
      </c>
      <c r="G8762" s="8">
        <v>6402</v>
      </c>
      <c r="H8762" s="8">
        <v>1472</v>
      </c>
      <c r="I8762" s="8">
        <v>4865</v>
      </c>
    </row>
    <row r="8763" spans="1:9" x14ac:dyDescent="0.2">
      <c r="A8763" t="s">
        <v>1937</v>
      </c>
      <c r="B8763" t="s">
        <v>1983</v>
      </c>
      <c r="C8763" t="str">
        <f t="shared" si="445"/>
        <v>54722560000000</v>
      </c>
      <c r="D8763" t="s">
        <v>5344</v>
      </c>
      <c r="E8763" t="str">
        <f>"54722565434527"</f>
        <v>54722565434527</v>
      </c>
      <c r="F8763" s="8">
        <v>122</v>
      </c>
      <c r="G8763" s="8">
        <v>6190</v>
      </c>
      <c r="H8763" s="8">
        <v>1472</v>
      </c>
      <c r="I8763" s="8">
        <v>4865</v>
      </c>
    </row>
    <row r="8764" spans="1:9" x14ac:dyDescent="0.2">
      <c r="A8764" t="s">
        <v>1937</v>
      </c>
      <c r="B8764" t="s">
        <v>1983</v>
      </c>
      <c r="C8764" t="str">
        <f t="shared" si="445"/>
        <v>54722560000000</v>
      </c>
      <c r="D8764" t="s">
        <v>4798</v>
      </c>
      <c r="E8764" t="str">
        <f>"54722566054639"</f>
        <v>54722566054639</v>
      </c>
      <c r="F8764" s="8">
        <v>504</v>
      </c>
      <c r="G8764" s="8">
        <v>5791</v>
      </c>
      <c r="H8764" s="8">
        <v>1472</v>
      </c>
      <c r="I8764" s="8">
        <v>4865</v>
      </c>
    </row>
    <row r="8765" spans="1:9" x14ac:dyDescent="0.2">
      <c r="A8765" t="s">
        <v>1937</v>
      </c>
      <c r="B8765" t="s">
        <v>1983</v>
      </c>
      <c r="C8765" t="str">
        <f t="shared" si="445"/>
        <v>54722560000000</v>
      </c>
      <c r="D8765" t="s">
        <v>9438</v>
      </c>
      <c r="E8765" t="str">
        <f>"54722566092795"</f>
        <v>54722566092795</v>
      </c>
      <c r="F8765" s="8">
        <v>323</v>
      </c>
      <c r="G8765" s="8">
        <v>5959</v>
      </c>
      <c r="H8765" s="8">
        <v>1472</v>
      </c>
      <c r="I8765" s="8">
        <v>4865</v>
      </c>
    </row>
    <row r="8766" spans="1:9" x14ac:dyDescent="0.2">
      <c r="A8766" t="s">
        <v>1937</v>
      </c>
      <c r="B8766" t="s">
        <v>1983</v>
      </c>
      <c r="C8766" t="str">
        <f t="shared" si="445"/>
        <v>54722560000000</v>
      </c>
      <c r="D8766" t="s">
        <v>9439</v>
      </c>
      <c r="E8766" t="str">
        <f>"54722566107536"</f>
        <v>54722566107536</v>
      </c>
      <c r="F8766" s="8">
        <v>467</v>
      </c>
      <c r="G8766" s="8">
        <v>5762</v>
      </c>
      <c r="H8766" s="8">
        <v>1472</v>
      </c>
      <c r="I8766" s="8">
        <v>4865</v>
      </c>
    </row>
    <row r="8767" spans="1:9" x14ac:dyDescent="0.2">
      <c r="A8767" t="s">
        <v>1937</v>
      </c>
      <c r="B8767" t="s">
        <v>1983</v>
      </c>
      <c r="C8767" t="str">
        <f t="shared" si="445"/>
        <v>54722560000000</v>
      </c>
      <c r="D8767" t="s">
        <v>9440</v>
      </c>
      <c r="E8767" t="str">
        <f>"54722566112049"</f>
        <v>54722566112049</v>
      </c>
      <c r="F8767" s="8">
        <v>333</v>
      </c>
      <c r="G8767" s="8">
        <v>5868</v>
      </c>
      <c r="H8767" s="8">
        <v>1472</v>
      </c>
      <c r="I8767" s="8">
        <v>4865</v>
      </c>
    </row>
    <row r="8768" spans="1:9" x14ac:dyDescent="0.2">
      <c r="A8768" t="s">
        <v>1937</v>
      </c>
      <c r="B8768" t="s">
        <v>1983</v>
      </c>
      <c r="C8768" t="str">
        <f t="shared" si="445"/>
        <v>54722560000000</v>
      </c>
      <c r="D8768" t="s">
        <v>1655</v>
      </c>
      <c r="E8768" t="str">
        <f>"54722560101857"</f>
        <v>54722560101857</v>
      </c>
      <c r="F8768" s="8">
        <v>247</v>
      </c>
      <c r="G8768" s="8">
        <v>5838</v>
      </c>
      <c r="H8768" s="8">
        <v>1472</v>
      </c>
      <c r="I8768" s="8">
        <v>4865</v>
      </c>
    </row>
    <row r="8769" spans="1:9" x14ac:dyDescent="0.2">
      <c r="A8769" t="s">
        <v>1937</v>
      </c>
      <c r="B8769" t="s">
        <v>1983</v>
      </c>
      <c r="C8769" t="str">
        <f t="shared" si="445"/>
        <v>54722560000000</v>
      </c>
      <c r="D8769" t="s">
        <v>9441</v>
      </c>
      <c r="E8769" t="str">
        <f>"54722560116517"</f>
        <v>54722560116517</v>
      </c>
      <c r="F8769" s="8">
        <v>296</v>
      </c>
      <c r="G8769" s="8">
        <v>5744</v>
      </c>
      <c r="H8769" s="8">
        <v>1472</v>
      </c>
      <c r="I8769" s="8">
        <v>4865</v>
      </c>
    </row>
    <row r="8770" spans="1:9" x14ac:dyDescent="0.2">
      <c r="A8770" t="s">
        <v>1937</v>
      </c>
      <c r="B8770" t="s">
        <v>1983</v>
      </c>
      <c r="C8770" t="str">
        <f t="shared" si="445"/>
        <v>54722560000000</v>
      </c>
      <c r="D8770" t="s">
        <v>5063</v>
      </c>
      <c r="E8770" t="str">
        <f>"54722566110902"</f>
        <v>54722566110902</v>
      </c>
      <c r="F8770" s="8">
        <v>309</v>
      </c>
      <c r="G8770" s="8">
        <v>5664</v>
      </c>
      <c r="H8770" s="8">
        <v>1472</v>
      </c>
      <c r="I8770" s="8">
        <v>4865</v>
      </c>
    </row>
    <row r="8771" spans="1:9" x14ac:dyDescent="0.2">
      <c r="A8771" t="s">
        <v>1937</v>
      </c>
      <c r="B8771" t="s">
        <v>1983</v>
      </c>
      <c r="C8771" t="str">
        <f t="shared" si="445"/>
        <v>54722560000000</v>
      </c>
      <c r="D8771" t="s">
        <v>9442</v>
      </c>
      <c r="E8771" t="str">
        <f>"54722566092373"</f>
        <v>54722566092373</v>
      </c>
      <c r="F8771" s="8">
        <v>393</v>
      </c>
      <c r="G8771" s="8">
        <v>5464</v>
      </c>
      <c r="H8771" s="8">
        <v>1472</v>
      </c>
      <c r="I8771" s="8">
        <v>4865</v>
      </c>
    </row>
    <row r="8772" spans="1:9" x14ac:dyDescent="0.2">
      <c r="A8772" t="s">
        <v>1937</v>
      </c>
      <c r="B8772" t="s">
        <v>1983</v>
      </c>
      <c r="C8772" t="str">
        <f t="shared" si="445"/>
        <v>54722560000000</v>
      </c>
      <c r="D8772" t="s">
        <v>9443</v>
      </c>
      <c r="E8772" t="str">
        <f>"54722566054647"</f>
        <v>54722566054647</v>
      </c>
      <c r="F8772" s="8">
        <v>398</v>
      </c>
      <c r="G8772" s="8">
        <v>5397</v>
      </c>
      <c r="H8772" s="8">
        <v>1472</v>
      </c>
      <c r="I8772" s="8">
        <v>4865</v>
      </c>
    </row>
    <row r="8773" spans="1:9" x14ac:dyDescent="0.2">
      <c r="A8773" t="s">
        <v>1937</v>
      </c>
      <c r="B8773" t="s">
        <v>1983</v>
      </c>
      <c r="C8773" t="str">
        <f t="shared" si="445"/>
        <v>54722560000000</v>
      </c>
      <c r="D8773" t="s">
        <v>9444</v>
      </c>
      <c r="E8773" t="str">
        <f>"54722560125708"</f>
        <v>54722560125708</v>
      </c>
      <c r="F8773" s="8">
        <v>343</v>
      </c>
      <c r="G8773" s="8">
        <v>5448</v>
      </c>
      <c r="H8773" s="8">
        <v>1472</v>
      </c>
      <c r="I8773" s="8">
        <v>4865</v>
      </c>
    </row>
    <row r="8774" spans="1:9" x14ac:dyDescent="0.2">
      <c r="A8774" t="s">
        <v>1937</v>
      </c>
      <c r="B8774" t="s">
        <v>1983</v>
      </c>
      <c r="C8774" t="str">
        <f t="shared" si="445"/>
        <v>54722560000000</v>
      </c>
      <c r="D8774" t="s">
        <v>9445</v>
      </c>
      <c r="E8774" t="str">
        <f>"54722566054621"</f>
        <v>54722566054621</v>
      </c>
      <c r="F8774" s="8">
        <v>570</v>
      </c>
      <c r="G8774" s="8">
        <v>5207</v>
      </c>
      <c r="H8774" s="8">
        <v>1472</v>
      </c>
      <c r="I8774" s="8">
        <v>4865</v>
      </c>
    </row>
    <row r="8775" spans="1:9" x14ac:dyDescent="0.2">
      <c r="A8775" t="s">
        <v>1937</v>
      </c>
      <c r="B8775" t="s">
        <v>1983</v>
      </c>
      <c r="C8775" t="str">
        <f t="shared" si="445"/>
        <v>54722560000000</v>
      </c>
      <c r="D8775" t="s">
        <v>9446</v>
      </c>
      <c r="E8775" t="str">
        <f>"54722566054712"</f>
        <v>54722566054712</v>
      </c>
      <c r="F8775" s="8">
        <v>364</v>
      </c>
      <c r="G8775" s="8">
        <v>5343</v>
      </c>
      <c r="H8775" s="8">
        <v>1472</v>
      </c>
      <c r="I8775" s="8">
        <v>4865</v>
      </c>
    </row>
    <row r="8776" spans="1:9" x14ac:dyDescent="0.2">
      <c r="A8776" t="s">
        <v>1937</v>
      </c>
      <c r="B8776" t="s">
        <v>1983</v>
      </c>
      <c r="C8776" t="str">
        <f t="shared" si="445"/>
        <v>54722560000000</v>
      </c>
      <c r="D8776" t="s">
        <v>9447</v>
      </c>
      <c r="E8776" t="str">
        <f>"54722560133819"</f>
        <v>54722560133819</v>
      </c>
      <c r="F8776" s="8">
        <v>350</v>
      </c>
      <c r="G8776" s="8">
        <v>5352</v>
      </c>
      <c r="H8776" s="8">
        <v>1472</v>
      </c>
      <c r="I8776" s="8">
        <v>4865</v>
      </c>
    </row>
    <row r="8777" spans="1:9" x14ac:dyDescent="0.2">
      <c r="A8777" t="s">
        <v>1937</v>
      </c>
      <c r="B8777" t="s">
        <v>1983</v>
      </c>
      <c r="C8777" t="str">
        <f t="shared" si="445"/>
        <v>54722560000000</v>
      </c>
      <c r="D8777" t="s">
        <v>9448</v>
      </c>
      <c r="E8777" t="str">
        <f>"54722566054589"</f>
        <v>54722566054589</v>
      </c>
      <c r="F8777" s="8">
        <v>349</v>
      </c>
      <c r="G8777" s="8">
        <v>5346</v>
      </c>
      <c r="H8777" s="8">
        <v>1472</v>
      </c>
      <c r="I8777" s="8">
        <v>4865</v>
      </c>
    </row>
    <row r="8778" spans="1:9" x14ac:dyDescent="0.2">
      <c r="A8778" t="s">
        <v>1937</v>
      </c>
      <c r="B8778" t="s">
        <v>1983</v>
      </c>
      <c r="C8778" t="str">
        <f t="shared" si="445"/>
        <v>54722560000000</v>
      </c>
      <c r="D8778" t="s">
        <v>2699</v>
      </c>
      <c r="E8778" t="str">
        <f>"54722566054613"</f>
        <v>54722566054613</v>
      </c>
      <c r="F8778" s="8">
        <v>583</v>
      </c>
      <c r="G8778" s="8">
        <v>4805</v>
      </c>
      <c r="H8778" s="8">
        <v>1472</v>
      </c>
      <c r="I8778" s="8">
        <v>4865</v>
      </c>
    </row>
    <row r="8779" spans="1:9" x14ac:dyDescent="0.2">
      <c r="A8779" t="s">
        <v>1937</v>
      </c>
      <c r="B8779" t="s">
        <v>1983</v>
      </c>
      <c r="C8779" t="str">
        <f t="shared" si="445"/>
        <v>54722560000000</v>
      </c>
      <c r="D8779" t="s">
        <v>9449</v>
      </c>
      <c r="E8779" t="str">
        <f>"54722566054597"</f>
        <v>54722566054597</v>
      </c>
      <c r="F8779" s="8">
        <v>447</v>
      </c>
      <c r="G8779" s="8">
        <v>4825</v>
      </c>
      <c r="H8779" s="8">
        <v>1472</v>
      </c>
      <c r="I8779" s="8">
        <v>4865</v>
      </c>
    </row>
    <row r="8780" spans="1:9" x14ac:dyDescent="0.2">
      <c r="A8780" t="s">
        <v>1937</v>
      </c>
      <c r="B8780" t="s">
        <v>1983</v>
      </c>
      <c r="C8780" t="str">
        <f t="shared" si="445"/>
        <v>54722560000000</v>
      </c>
      <c r="D8780" t="s">
        <v>9450</v>
      </c>
      <c r="E8780" t="str">
        <f>"54722566054548"</f>
        <v>54722566054548</v>
      </c>
      <c r="F8780" s="8">
        <v>450</v>
      </c>
      <c r="G8780" s="8">
        <v>4677</v>
      </c>
      <c r="H8780" s="8">
        <v>1472</v>
      </c>
      <c r="I8780" s="8">
        <v>4865</v>
      </c>
    </row>
    <row r="8781" spans="1:9" x14ac:dyDescent="0.2">
      <c r="A8781" t="s">
        <v>1937</v>
      </c>
      <c r="B8781" t="s">
        <v>1983</v>
      </c>
      <c r="C8781" t="str">
        <f t="shared" si="445"/>
        <v>54722560000000</v>
      </c>
      <c r="D8781" t="s">
        <v>9451</v>
      </c>
      <c r="E8781" t="str">
        <f>"54722566054688"</f>
        <v>54722566054688</v>
      </c>
      <c r="F8781" s="8">
        <v>387</v>
      </c>
      <c r="G8781" s="8">
        <v>4718</v>
      </c>
      <c r="H8781" s="8">
        <v>1472</v>
      </c>
      <c r="I8781" s="8">
        <v>4865</v>
      </c>
    </row>
    <row r="8782" spans="1:9" x14ac:dyDescent="0.2">
      <c r="A8782" t="s">
        <v>1937</v>
      </c>
      <c r="B8782" t="s">
        <v>1983</v>
      </c>
      <c r="C8782" t="str">
        <f t="shared" si="445"/>
        <v>54722560000000</v>
      </c>
      <c r="D8782" t="s">
        <v>9452</v>
      </c>
      <c r="E8782" t="str">
        <f>"54722560105783"</f>
        <v>54722560105783</v>
      </c>
      <c r="F8782" s="8">
        <v>411</v>
      </c>
      <c r="G8782" s="8">
        <v>4667</v>
      </c>
      <c r="H8782" s="8">
        <v>1472</v>
      </c>
      <c r="I8782" s="8">
        <v>4865</v>
      </c>
    </row>
    <row r="8783" spans="1:9" x14ac:dyDescent="0.2">
      <c r="A8783" t="s">
        <v>1937</v>
      </c>
      <c r="B8783" t="s">
        <v>1983</v>
      </c>
      <c r="C8783" t="str">
        <f t="shared" si="445"/>
        <v>54722560000000</v>
      </c>
      <c r="D8783" t="s">
        <v>9453</v>
      </c>
      <c r="E8783" t="str">
        <f>"54722566054563"</f>
        <v>54722566054563</v>
      </c>
      <c r="F8783" s="8">
        <v>378</v>
      </c>
      <c r="G8783" s="8">
        <v>4559</v>
      </c>
      <c r="H8783" s="8">
        <v>1472</v>
      </c>
      <c r="I8783" s="8">
        <v>4865</v>
      </c>
    </row>
    <row r="8784" spans="1:9" x14ac:dyDescent="0.2">
      <c r="A8784" t="s">
        <v>1937</v>
      </c>
      <c r="B8784" t="s">
        <v>1983</v>
      </c>
      <c r="C8784" t="str">
        <f t="shared" si="445"/>
        <v>54722560000000</v>
      </c>
      <c r="D8784" t="s">
        <v>9454</v>
      </c>
      <c r="E8784" t="str">
        <f>"54722566054530"</f>
        <v>54722566054530</v>
      </c>
      <c r="F8784" s="8">
        <v>333</v>
      </c>
      <c r="G8784" s="8">
        <v>4592</v>
      </c>
      <c r="H8784" s="8">
        <v>1472</v>
      </c>
      <c r="I8784" s="8">
        <v>4865</v>
      </c>
    </row>
    <row r="8785" spans="1:9" x14ac:dyDescent="0.2">
      <c r="A8785" t="s">
        <v>1937</v>
      </c>
      <c r="B8785" t="s">
        <v>1983</v>
      </c>
      <c r="C8785" t="str">
        <f t="shared" si="445"/>
        <v>54722560000000</v>
      </c>
      <c r="D8785" t="s">
        <v>9455</v>
      </c>
      <c r="E8785" t="str">
        <f>"54722566054555"</f>
        <v>54722566054555</v>
      </c>
      <c r="F8785" s="8">
        <v>379</v>
      </c>
      <c r="G8785" s="8">
        <v>4489</v>
      </c>
      <c r="H8785" s="8">
        <v>1472</v>
      </c>
      <c r="I8785" s="8">
        <v>4865</v>
      </c>
    </row>
    <row r="8786" spans="1:9" x14ac:dyDescent="0.2">
      <c r="A8786" t="s">
        <v>1937</v>
      </c>
      <c r="B8786" t="s">
        <v>1983</v>
      </c>
      <c r="C8786" t="str">
        <f t="shared" si="445"/>
        <v>54722560000000</v>
      </c>
      <c r="D8786" t="s">
        <v>9456</v>
      </c>
      <c r="E8786" t="str">
        <f>"54722566054704"</f>
        <v>54722566054704</v>
      </c>
      <c r="F8786" s="8">
        <v>361</v>
      </c>
      <c r="G8786" s="8">
        <v>4391</v>
      </c>
      <c r="H8786" s="8">
        <v>1472</v>
      </c>
      <c r="I8786" s="8">
        <v>4865</v>
      </c>
    </row>
    <row r="8787" spans="1:9" x14ac:dyDescent="0.2">
      <c r="A8787" t="s">
        <v>1937</v>
      </c>
      <c r="B8787" t="s">
        <v>1983</v>
      </c>
      <c r="C8787" t="str">
        <f t="shared" si="445"/>
        <v>54722560000000</v>
      </c>
      <c r="D8787" t="s">
        <v>9457</v>
      </c>
      <c r="E8787" t="str">
        <f>"54722560139105"</f>
        <v>54722560139105</v>
      </c>
      <c r="F8787" s="8">
        <v>246</v>
      </c>
      <c r="G8787" s="8">
        <v>4463</v>
      </c>
      <c r="H8787" s="8">
        <v>1472</v>
      </c>
      <c r="I8787" s="8">
        <v>4865</v>
      </c>
    </row>
    <row r="8788" spans="1:9" x14ac:dyDescent="0.2">
      <c r="A8788" t="s">
        <v>1937</v>
      </c>
      <c r="B8788" t="s">
        <v>1983</v>
      </c>
      <c r="C8788" t="str">
        <f t="shared" si="445"/>
        <v>54722560000000</v>
      </c>
      <c r="D8788" t="s">
        <v>9458</v>
      </c>
      <c r="E8788" t="str">
        <f>"54722560110940"</f>
        <v>54722560110940</v>
      </c>
      <c r="F8788" s="8">
        <v>349</v>
      </c>
      <c r="G8788" s="8">
        <v>4089</v>
      </c>
      <c r="H8788" s="8">
        <v>1472</v>
      </c>
      <c r="I8788" s="8">
        <v>4865</v>
      </c>
    </row>
    <row r="8789" spans="1:9" x14ac:dyDescent="0.2">
      <c r="A8789" t="s">
        <v>1937</v>
      </c>
      <c r="B8789" t="s">
        <v>1983</v>
      </c>
      <c r="C8789" t="str">
        <f t="shared" si="445"/>
        <v>54722560000000</v>
      </c>
      <c r="D8789" t="s">
        <v>3386</v>
      </c>
      <c r="E8789" t="str">
        <f>"54722566106249"</f>
        <v>54722566106249</v>
      </c>
      <c r="F8789" s="8">
        <v>340</v>
      </c>
      <c r="G8789" s="8">
        <v>3943</v>
      </c>
      <c r="H8789" s="8">
        <v>1472</v>
      </c>
      <c r="I8789" s="8">
        <v>4865</v>
      </c>
    </row>
    <row r="8790" spans="1:9" x14ac:dyDescent="0.2">
      <c r="A8790" t="s">
        <v>1937</v>
      </c>
      <c r="B8790" t="s">
        <v>1983</v>
      </c>
      <c r="C8790" t="str">
        <f t="shared" si="445"/>
        <v>54722560000000</v>
      </c>
      <c r="D8790" t="s">
        <v>9459</v>
      </c>
      <c r="E8790" t="str">
        <f>"54722565430012"</f>
        <v>54722565430012</v>
      </c>
      <c r="F8790" s="8" t="s">
        <v>30</v>
      </c>
      <c r="G8790" s="8" t="s">
        <v>30</v>
      </c>
      <c r="H8790" s="8" t="s">
        <v>30</v>
      </c>
      <c r="I8790" s="8" t="s">
        <v>30</v>
      </c>
    </row>
    <row r="8791" spans="1:9" x14ac:dyDescent="0.2">
      <c r="A8791" t="s">
        <v>1937</v>
      </c>
      <c r="B8791" t="s">
        <v>1984</v>
      </c>
      <c r="C8791" t="str">
        <f>"54722640000000"</f>
        <v>54722640000000</v>
      </c>
      <c r="D8791" t="s">
        <v>1984</v>
      </c>
      <c r="E8791" t="str">
        <f>"54722646054753"</f>
        <v>54722646054753</v>
      </c>
      <c r="F8791" s="8">
        <v>1926</v>
      </c>
      <c r="G8791" s="8">
        <v>11583</v>
      </c>
      <c r="H8791" s="8">
        <v>0</v>
      </c>
      <c r="I8791" s="8">
        <v>0</v>
      </c>
    </row>
    <row r="8792" spans="1:9" x14ac:dyDescent="0.2">
      <c r="A8792" t="s">
        <v>1937</v>
      </c>
      <c r="B8792" t="s">
        <v>1985</v>
      </c>
      <c r="C8792" t="str">
        <f t="shared" ref="C8792:C8797" si="446">"54767940000000"</f>
        <v>54767940000000</v>
      </c>
      <c r="D8792" t="s">
        <v>9460</v>
      </c>
      <c r="E8792" t="str">
        <f>"54767945436258"</f>
        <v>54767945436258</v>
      </c>
      <c r="F8792" s="8">
        <v>4838</v>
      </c>
      <c r="G8792" s="8">
        <v>11810</v>
      </c>
      <c r="H8792" s="8">
        <v>674</v>
      </c>
      <c r="I8792" s="8">
        <v>3273</v>
      </c>
    </row>
    <row r="8793" spans="1:9" x14ac:dyDescent="0.2">
      <c r="A8793" t="s">
        <v>1937</v>
      </c>
      <c r="B8793" t="s">
        <v>1985</v>
      </c>
      <c r="C8793" t="str">
        <f t="shared" si="446"/>
        <v>54767940000000</v>
      </c>
      <c r="D8793" t="s">
        <v>9461</v>
      </c>
      <c r="E8793" t="str">
        <f>"54767945430285"</f>
        <v>54767945430285</v>
      </c>
      <c r="F8793" s="8">
        <v>4942</v>
      </c>
      <c r="G8793" s="8">
        <v>10045</v>
      </c>
      <c r="H8793" s="8">
        <v>674</v>
      </c>
      <c r="I8793" s="8">
        <v>3273</v>
      </c>
    </row>
    <row r="8794" spans="1:9" x14ac:dyDescent="0.2">
      <c r="A8794" t="s">
        <v>1937</v>
      </c>
      <c r="B8794" t="s">
        <v>1985</v>
      </c>
      <c r="C8794" t="str">
        <f t="shared" si="446"/>
        <v>54767940000000</v>
      </c>
      <c r="D8794" t="s">
        <v>9462</v>
      </c>
      <c r="E8794" t="str">
        <f>"54767946094569"</f>
        <v>54767946094569</v>
      </c>
      <c r="F8794" s="8">
        <v>3611</v>
      </c>
      <c r="G8794" s="8">
        <v>6638</v>
      </c>
      <c r="H8794" s="8">
        <v>674</v>
      </c>
      <c r="I8794" s="8">
        <v>3273</v>
      </c>
    </row>
    <row r="8795" spans="1:9" x14ac:dyDescent="0.2">
      <c r="A8795" t="s">
        <v>1937</v>
      </c>
      <c r="B8795" t="s">
        <v>1985</v>
      </c>
      <c r="C8795" t="str">
        <f t="shared" si="446"/>
        <v>54767940000000</v>
      </c>
      <c r="D8795" t="s">
        <v>5155</v>
      </c>
      <c r="E8795" t="str">
        <f>"54767946108286"</f>
        <v>54767946108286</v>
      </c>
      <c r="F8795" s="8">
        <v>2894</v>
      </c>
      <c r="G8795" s="8">
        <v>6180</v>
      </c>
      <c r="H8795" s="8">
        <v>674</v>
      </c>
      <c r="I8795" s="8">
        <v>3273</v>
      </c>
    </row>
    <row r="8796" spans="1:9" x14ac:dyDescent="0.2">
      <c r="A8796" t="s">
        <v>1937</v>
      </c>
      <c r="B8796" t="s">
        <v>1985</v>
      </c>
      <c r="C8796" t="str">
        <f t="shared" si="446"/>
        <v>54767940000000</v>
      </c>
      <c r="D8796" t="s">
        <v>9463</v>
      </c>
      <c r="E8796" t="str">
        <f>"54767945436282"</f>
        <v>54767945436282</v>
      </c>
      <c r="F8796" s="8">
        <v>2726</v>
      </c>
      <c r="G8796" s="8">
        <v>5746</v>
      </c>
      <c r="H8796" s="8">
        <v>674</v>
      </c>
      <c r="I8796" s="8">
        <v>3273</v>
      </c>
    </row>
    <row r="8797" spans="1:9" x14ac:dyDescent="0.2">
      <c r="A8797" t="s">
        <v>1937</v>
      </c>
      <c r="B8797" t="s">
        <v>1985</v>
      </c>
      <c r="C8797" t="str">
        <f t="shared" si="446"/>
        <v>54767940000000</v>
      </c>
      <c r="D8797" t="s">
        <v>9464</v>
      </c>
      <c r="E8797" t="str">
        <f>"54767946054761"</f>
        <v>54767946054761</v>
      </c>
      <c r="F8797" s="8">
        <v>2948</v>
      </c>
      <c r="G8797" s="8">
        <v>4945</v>
      </c>
      <c r="H8797" s="8">
        <v>674</v>
      </c>
      <c r="I8797" s="8">
        <v>3273</v>
      </c>
    </row>
    <row r="8798" spans="1:9" x14ac:dyDescent="0.2">
      <c r="A8798" t="s">
        <v>1937</v>
      </c>
      <c r="B8798" t="s">
        <v>1986</v>
      </c>
      <c r="C8798" t="str">
        <f>"54722980000000"</f>
        <v>54722980000000</v>
      </c>
      <c r="D8798" t="s">
        <v>9465</v>
      </c>
      <c r="E8798" t="str">
        <f>"54722986054779"</f>
        <v>54722986054779</v>
      </c>
      <c r="F8798" s="8">
        <v>2919</v>
      </c>
      <c r="G8798" s="8">
        <v>12149</v>
      </c>
      <c r="H8798" s="8">
        <v>0</v>
      </c>
      <c r="I8798" s="8">
        <v>0</v>
      </c>
    </row>
    <row r="8799" spans="1:9" x14ac:dyDescent="0.2">
      <c r="A8799" t="s">
        <v>1987</v>
      </c>
      <c r="B8799" t="s">
        <v>1988</v>
      </c>
      <c r="C8799" t="str">
        <f>"55723060000000"</f>
        <v>55723060000000</v>
      </c>
      <c r="D8799" t="s">
        <v>1988</v>
      </c>
      <c r="E8799" t="str">
        <f>"55723066054829"</f>
        <v>55723066054829</v>
      </c>
      <c r="F8799" s="8">
        <v>1847</v>
      </c>
      <c r="G8799" s="8">
        <v>12591</v>
      </c>
      <c r="H8799" s="8">
        <v>0</v>
      </c>
      <c r="I8799" s="8">
        <v>0</v>
      </c>
    </row>
    <row r="8800" spans="1:9" x14ac:dyDescent="0.2">
      <c r="A8800" t="s">
        <v>1987</v>
      </c>
      <c r="B8800" t="s">
        <v>1989</v>
      </c>
      <c r="C8800" t="str">
        <f>"55751840000000"</f>
        <v>55751840000000</v>
      </c>
      <c r="D8800" t="s">
        <v>9466</v>
      </c>
      <c r="E8800" t="str">
        <f>"55751845530084"</f>
        <v>55751845530084</v>
      </c>
      <c r="F8800" s="8">
        <v>1525</v>
      </c>
      <c r="G8800" s="8">
        <v>19725</v>
      </c>
      <c r="H8800" s="8">
        <v>2833</v>
      </c>
      <c r="I8800" s="8">
        <v>23388</v>
      </c>
    </row>
    <row r="8801" spans="1:9" x14ac:dyDescent="0.2">
      <c r="A8801" t="s">
        <v>1987</v>
      </c>
      <c r="B8801" t="s">
        <v>1989</v>
      </c>
      <c r="C8801" t="str">
        <f>"55751840000000"</f>
        <v>55751840000000</v>
      </c>
      <c r="D8801" t="s">
        <v>9467</v>
      </c>
      <c r="E8801" t="str">
        <f>"55751845530076"</f>
        <v>55751845530076</v>
      </c>
      <c r="F8801" s="8">
        <v>873</v>
      </c>
      <c r="G8801" s="8">
        <v>15297</v>
      </c>
      <c r="H8801" s="8">
        <v>2217</v>
      </c>
      <c r="I8801" s="8">
        <v>20275</v>
      </c>
    </row>
    <row r="8802" spans="1:9" x14ac:dyDescent="0.2">
      <c r="A8802" t="s">
        <v>1987</v>
      </c>
      <c r="B8802" t="s">
        <v>1989</v>
      </c>
      <c r="C8802" t="str">
        <f>"55751840000000"</f>
        <v>55751840000000</v>
      </c>
      <c r="D8802" t="s">
        <v>9468</v>
      </c>
      <c r="E8802" t="str">
        <f>"55751846054837"</f>
        <v>55751846054837</v>
      </c>
      <c r="F8802" s="8">
        <v>998</v>
      </c>
      <c r="G8802" s="8">
        <v>10625</v>
      </c>
      <c r="H8802" s="8">
        <v>2301</v>
      </c>
      <c r="I8802" s="8">
        <v>16670</v>
      </c>
    </row>
    <row r="8803" spans="1:9" x14ac:dyDescent="0.2">
      <c r="A8803" t="s">
        <v>1987</v>
      </c>
      <c r="B8803" t="s">
        <v>1990</v>
      </c>
      <c r="C8803" t="str">
        <f>"55723480000000"</f>
        <v>55723480000000</v>
      </c>
      <c r="D8803" t="s">
        <v>1708</v>
      </c>
      <c r="E8803" t="str">
        <f>"55723486054860"</f>
        <v>55723486054860</v>
      </c>
      <c r="F8803" s="8">
        <v>610</v>
      </c>
      <c r="G8803" s="8">
        <v>11647</v>
      </c>
      <c r="H8803" s="8">
        <v>0</v>
      </c>
      <c r="I8803" s="8">
        <v>1350</v>
      </c>
    </row>
    <row r="8804" spans="1:9" x14ac:dyDescent="0.2">
      <c r="A8804" t="s">
        <v>1987</v>
      </c>
      <c r="B8804" t="s">
        <v>1991</v>
      </c>
      <c r="C8804" t="str">
        <f>"55723550000000"</f>
        <v>55723550000000</v>
      </c>
      <c r="D8804" t="s">
        <v>1991</v>
      </c>
      <c r="E8804" t="str">
        <f>"55723556054894"</f>
        <v>55723556054894</v>
      </c>
      <c r="F8804" s="8">
        <v>1278</v>
      </c>
      <c r="G8804" s="8">
        <v>11488</v>
      </c>
      <c r="H8804" s="8">
        <v>0</v>
      </c>
      <c r="I8804" s="8">
        <v>0</v>
      </c>
    </row>
    <row r="8805" spans="1:9" x14ac:dyDescent="0.2">
      <c r="A8805" t="s">
        <v>1987</v>
      </c>
      <c r="B8805" t="s">
        <v>1993</v>
      </c>
      <c r="C8805" t="str">
        <f>"55723630000000"</f>
        <v>55723630000000</v>
      </c>
      <c r="D8805" t="s">
        <v>1993</v>
      </c>
      <c r="E8805" t="str">
        <f>"55723636054902"</f>
        <v>55723636054902</v>
      </c>
      <c r="F8805" s="8">
        <v>1242</v>
      </c>
      <c r="G8805" s="8">
        <v>12215</v>
      </c>
      <c r="H8805" s="8">
        <v>0</v>
      </c>
      <c r="I8805" s="8">
        <v>0</v>
      </c>
    </row>
    <row r="8806" spans="1:9" x14ac:dyDescent="0.2">
      <c r="A8806" t="s">
        <v>1987</v>
      </c>
      <c r="B8806" t="s">
        <v>1993</v>
      </c>
      <c r="C8806" t="str">
        <f>"55723630000000"</f>
        <v>55723630000000</v>
      </c>
      <c r="D8806" t="s">
        <v>9469</v>
      </c>
      <c r="E8806" t="str">
        <f>"55723636054852"</f>
        <v>55723636054852</v>
      </c>
      <c r="F8806" s="8">
        <v>0</v>
      </c>
      <c r="G8806" s="8">
        <v>9398</v>
      </c>
      <c r="H8806" s="8">
        <v>0</v>
      </c>
      <c r="I8806" s="8">
        <v>0</v>
      </c>
    </row>
    <row r="8807" spans="1:9" x14ac:dyDescent="0.2">
      <c r="A8807" t="s">
        <v>1987</v>
      </c>
      <c r="B8807" t="s">
        <v>1994</v>
      </c>
      <c r="C8807" t="str">
        <f>"55723710000000"</f>
        <v>55723710000000</v>
      </c>
      <c r="D8807" t="s">
        <v>1994</v>
      </c>
      <c r="E8807" t="str">
        <f>"55723716054910"</f>
        <v>55723716054910</v>
      </c>
      <c r="F8807" s="8">
        <v>10776</v>
      </c>
      <c r="G8807" s="8">
        <v>419</v>
      </c>
      <c r="H8807" s="8">
        <v>0</v>
      </c>
      <c r="I8807" s="8">
        <v>0</v>
      </c>
    </row>
    <row r="8808" spans="1:9" x14ac:dyDescent="0.2">
      <c r="A8808" t="s">
        <v>1987</v>
      </c>
      <c r="B8808" t="s">
        <v>1995</v>
      </c>
      <c r="C8808" t="str">
        <f>"55723890000000"</f>
        <v>55723890000000</v>
      </c>
      <c r="D8808" t="s">
        <v>9470</v>
      </c>
      <c r="E8808" t="str">
        <f>"55723895530019"</f>
        <v>55723895530019</v>
      </c>
      <c r="F8808" s="8">
        <v>2060</v>
      </c>
      <c r="G8808" s="8">
        <v>12104</v>
      </c>
      <c r="H8808" s="8">
        <v>0</v>
      </c>
      <c r="I8808" s="8">
        <v>1385</v>
      </c>
    </row>
    <row r="8809" spans="1:9" x14ac:dyDescent="0.2">
      <c r="A8809" t="s">
        <v>1987</v>
      </c>
      <c r="B8809" t="s">
        <v>1995</v>
      </c>
      <c r="C8809" t="str">
        <f>"55723890000000"</f>
        <v>55723890000000</v>
      </c>
      <c r="D8809" t="s">
        <v>5849</v>
      </c>
      <c r="E8809" t="str">
        <f>"55723895536503"</f>
        <v>55723895536503</v>
      </c>
      <c r="F8809" s="8">
        <v>577</v>
      </c>
      <c r="G8809" s="8">
        <v>7602</v>
      </c>
      <c r="H8809" s="8">
        <v>529</v>
      </c>
      <c r="I8809" s="8">
        <v>1384</v>
      </c>
    </row>
    <row r="8810" spans="1:9" x14ac:dyDescent="0.2">
      <c r="A8810" t="s">
        <v>1987</v>
      </c>
      <c r="B8810" t="s">
        <v>1995</v>
      </c>
      <c r="C8810" t="str">
        <f>"55723890000000"</f>
        <v>55723890000000</v>
      </c>
      <c r="D8810" t="s">
        <v>9471</v>
      </c>
      <c r="E8810" t="str">
        <f>"55723895530043"</f>
        <v>55723895530043</v>
      </c>
      <c r="F8810" s="8">
        <v>713</v>
      </c>
      <c r="G8810" s="8">
        <v>4308</v>
      </c>
      <c r="H8810" s="8">
        <v>0</v>
      </c>
      <c r="I8810" s="8">
        <v>284</v>
      </c>
    </row>
    <row r="8811" spans="1:9" x14ac:dyDescent="0.2">
      <c r="A8811" t="s">
        <v>1987</v>
      </c>
      <c r="B8811" t="s">
        <v>1996</v>
      </c>
      <c r="C8811" t="str">
        <f>"55723970000000"</f>
        <v>55723970000000</v>
      </c>
      <c r="D8811" t="s">
        <v>1996</v>
      </c>
      <c r="E8811" t="str">
        <f>"55723976054928"</f>
        <v>55723976054928</v>
      </c>
      <c r="F8811" s="8">
        <v>727</v>
      </c>
      <c r="G8811" s="8">
        <v>9619</v>
      </c>
      <c r="H8811" s="8">
        <v>0</v>
      </c>
      <c r="I8811" s="8">
        <v>2084</v>
      </c>
    </row>
    <row r="8812" spans="1:9" x14ac:dyDescent="0.2">
      <c r="A8812" t="s">
        <v>1987</v>
      </c>
      <c r="B8812" t="s">
        <v>1997</v>
      </c>
      <c r="C8812" t="str">
        <f>"55724050000000"</f>
        <v>55724050000000</v>
      </c>
      <c r="D8812" t="s">
        <v>1997</v>
      </c>
      <c r="E8812" t="str">
        <f>"55724056054936"</f>
        <v>55724056054936</v>
      </c>
      <c r="F8812" s="8">
        <v>2209</v>
      </c>
      <c r="G8812" s="8">
        <v>9088</v>
      </c>
      <c r="H8812" s="8">
        <v>0</v>
      </c>
      <c r="I8812" s="8">
        <v>0</v>
      </c>
    </row>
    <row r="8813" spans="1:9" x14ac:dyDescent="0.2">
      <c r="A8813" t="s">
        <v>1987</v>
      </c>
      <c r="B8813" t="s">
        <v>1998</v>
      </c>
      <c r="C8813" t="str">
        <f t="shared" ref="C8813:C8818" si="447">"55724130000000"</f>
        <v>55724130000000</v>
      </c>
      <c r="D8813" t="s">
        <v>3141</v>
      </c>
      <c r="E8813" t="str">
        <f>"55724135530092"</f>
        <v>55724135530092</v>
      </c>
      <c r="F8813" s="8">
        <v>0</v>
      </c>
      <c r="G8813" s="8">
        <v>65902</v>
      </c>
      <c r="H8813" s="8">
        <v>0</v>
      </c>
      <c r="I8813" s="8">
        <v>0</v>
      </c>
    </row>
    <row r="8814" spans="1:9" x14ac:dyDescent="0.2">
      <c r="A8814" t="s">
        <v>1987</v>
      </c>
      <c r="B8814" t="s">
        <v>1998</v>
      </c>
      <c r="C8814" t="str">
        <f t="shared" si="447"/>
        <v>55724130000000</v>
      </c>
      <c r="D8814" t="s">
        <v>9472</v>
      </c>
      <c r="E8814" t="str">
        <f>"55724135530100"</f>
        <v>55724135530100</v>
      </c>
      <c r="F8814" s="8">
        <v>0</v>
      </c>
      <c r="G8814" s="8">
        <v>56536</v>
      </c>
      <c r="H8814" s="8">
        <v>0</v>
      </c>
      <c r="I8814" s="8">
        <v>0</v>
      </c>
    </row>
    <row r="8815" spans="1:9" x14ac:dyDescent="0.2">
      <c r="A8815" t="s">
        <v>1987</v>
      </c>
      <c r="B8815" t="s">
        <v>1998</v>
      </c>
      <c r="C8815" t="str">
        <f t="shared" si="447"/>
        <v>55724130000000</v>
      </c>
      <c r="D8815" t="s">
        <v>7320</v>
      </c>
      <c r="E8815" t="str">
        <f>"55724135530175"</f>
        <v>55724135530175</v>
      </c>
      <c r="F8815" s="8">
        <v>0</v>
      </c>
      <c r="G8815" s="8">
        <v>51763</v>
      </c>
      <c r="H8815" s="8">
        <v>0</v>
      </c>
      <c r="I8815" s="8">
        <v>0</v>
      </c>
    </row>
    <row r="8816" spans="1:9" x14ac:dyDescent="0.2">
      <c r="A8816" t="s">
        <v>1987</v>
      </c>
      <c r="B8816" t="s">
        <v>1998</v>
      </c>
      <c r="C8816" t="str">
        <f t="shared" si="447"/>
        <v>55724130000000</v>
      </c>
      <c r="D8816" t="s">
        <v>9473</v>
      </c>
      <c r="E8816" t="str">
        <f>"55724135536750"</f>
        <v>55724135536750</v>
      </c>
      <c r="F8816" s="8">
        <v>1204</v>
      </c>
      <c r="G8816" s="8">
        <v>13527</v>
      </c>
      <c r="H8816" s="8">
        <v>0</v>
      </c>
      <c r="I8816" s="8">
        <v>0</v>
      </c>
    </row>
    <row r="8817" spans="1:9" x14ac:dyDescent="0.2">
      <c r="A8817" t="s">
        <v>1987</v>
      </c>
      <c r="B8817" t="s">
        <v>1998</v>
      </c>
      <c r="C8817" t="str">
        <f t="shared" si="447"/>
        <v>55724130000000</v>
      </c>
      <c r="D8817" t="s">
        <v>9474</v>
      </c>
      <c r="E8817" t="str">
        <f>"55724135530050"</f>
        <v>55724135530050</v>
      </c>
      <c r="F8817" s="8">
        <v>0</v>
      </c>
      <c r="G8817" s="8">
        <v>12003</v>
      </c>
      <c r="H8817" s="8">
        <v>0</v>
      </c>
      <c r="I8817" s="8">
        <v>0</v>
      </c>
    </row>
    <row r="8818" spans="1:9" x14ac:dyDescent="0.2">
      <c r="A8818" t="s">
        <v>1987</v>
      </c>
      <c r="B8818" t="s">
        <v>1998</v>
      </c>
      <c r="C8818" t="str">
        <f t="shared" si="447"/>
        <v>55724130000000</v>
      </c>
      <c r="D8818" t="s">
        <v>9475</v>
      </c>
      <c r="E8818" t="str">
        <f>"55724135530191"</f>
        <v>55724135530191</v>
      </c>
      <c r="F8818" s="8">
        <v>371</v>
      </c>
      <c r="G8818" s="8">
        <v>9624</v>
      </c>
      <c r="H8818" s="8">
        <v>0</v>
      </c>
      <c r="I8818" s="8">
        <v>0</v>
      </c>
    </row>
    <row r="8819" spans="1:9" x14ac:dyDescent="0.2">
      <c r="A8819" t="s">
        <v>1987</v>
      </c>
      <c r="B8819" t="s">
        <v>1999</v>
      </c>
      <c r="C8819" t="str">
        <f>"55105530000000"</f>
        <v>55105530000000</v>
      </c>
      <c r="D8819" t="s">
        <v>9476</v>
      </c>
      <c r="E8819" t="str">
        <f>"55105535530142"</f>
        <v>55105535530142</v>
      </c>
      <c r="F8819" s="8">
        <v>24348</v>
      </c>
      <c r="G8819" s="8">
        <v>88079</v>
      </c>
      <c r="H8819" s="8">
        <v>0</v>
      </c>
      <c r="I8819" s="8">
        <v>0</v>
      </c>
    </row>
    <row r="8820" spans="1:9" x14ac:dyDescent="0.2">
      <c r="A8820" t="s">
        <v>1987</v>
      </c>
      <c r="B8820" t="s">
        <v>1999</v>
      </c>
      <c r="C8820" t="str">
        <f>"55105530000000"</f>
        <v>55105530000000</v>
      </c>
      <c r="D8820" t="s">
        <v>9477</v>
      </c>
      <c r="E8820" t="str">
        <f>"55105530134569"</f>
        <v>55105530134569</v>
      </c>
      <c r="F8820" s="8">
        <v>2394</v>
      </c>
      <c r="G8820" s="8">
        <v>31924</v>
      </c>
      <c r="H8820" s="8">
        <v>1733</v>
      </c>
      <c r="I8820" s="8">
        <v>1770</v>
      </c>
    </row>
    <row r="8821" spans="1:9" x14ac:dyDescent="0.2">
      <c r="A8821" t="s">
        <v>1987</v>
      </c>
      <c r="B8821" t="s">
        <v>1999</v>
      </c>
      <c r="C8821" t="str">
        <f>"55105530000000"</f>
        <v>55105530000000</v>
      </c>
      <c r="D8821" t="s">
        <v>9478</v>
      </c>
      <c r="E8821" t="str">
        <f>"55105535530118"</f>
        <v>55105535530118</v>
      </c>
      <c r="F8821" s="8">
        <v>2394</v>
      </c>
      <c r="G8821" s="8">
        <v>29597</v>
      </c>
      <c r="H8821" s="8">
        <v>1733</v>
      </c>
      <c r="I8821" s="8">
        <v>1770</v>
      </c>
    </row>
    <row r="8822" spans="1:9" x14ac:dyDescent="0.2">
      <c r="A8822" t="s">
        <v>1987</v>
      </c>
      <c r="B8822" t="s">
        <v>2000</v>
      </c>
      <c r="C8822" t="str">
        <f>"55724210000000"</f>
        <v>55724210000000</v>
      </c>
      <c r="D8822" t="s">
        <v>2000</v>
      </c>
      <c r="E8822" t="str">
        <f>"55724216115018"</f>
        <v>55724216115018</v>
      </c>
      <c r="F8822" s="8">
        <v>989</v>
      </c>
      <c r="G8822" s="8">
        <v>11028</v>
      </c>
      <c r="H8822" s="8">
        <v>0</v>
      </c>
      <c r="I8822" s="8">
        <v>2573</v>
      </c>
    </row>
    <row r="8823" spans="1:9" x14ac:dyDescent="0.2">
      <c r="A8823" t="s">
        <v>2001</v>
      </c>
      <c r="B8823" t="s">
        <v>2004</v>
      </c>
      <c r="C8823" t="str">
        <f>"56724470000000"</f>
        <v>56724470000000</v>
      </c>
      <c r="D8823" t="s">
        <v>2004</v>
      </c>
      <c r="E8823" t="str">
        <f>"56724476054969"</f>
        <v>56724476054969</v>
      </c>
      <c r="F8823" s="8">
        <v>1066</v>
      </c>
      <c r="G8823" s="8">
        <v>10571</v>
      </c>
      <c r="H8823" s="8">
        <v>1313</v>
      </c>
      <c r="I8823" s="8">
        <v>1066</v>
      </c>
    </row>
    <row r="8824" spans="1:9" x14ac:dyDescent="0.2">
      <c r="A8824" t="s">
        <v>2001</v>
      </c>
      <c r="B8824" t="s">
        <v>2004</v>
      </c>
      <c r="C8824" t="str">
        <f>"56724470000000"</f>
        <v>56724470000000</v>
      </c>
      <c r="D8824" t="s">
        <v>9479</v>
      </c>
      <c r="E8824" t="str">
        <f>"56724476054977"</f>
        <v>56724476054977</v>
      </c>
      <c r="F8824" s="8">
        <v>1646</v>
      </c>
      <c r="G8824" s="8">
        <v>9884</v>
      </c>
      <c r="H8824" s="8">
        <v>1334</v>
      </c>
      <c r="I8824" s="8">
        <v>1066</v>
      </c>
    </row>
    <row r="8825" spans="1:9" x14ac:dyDescent="0.2">
      <c r="A8825" t="s">
        <v>2001</v>
      </c>
      <c r="B8825" t="s">
        <v>2006</v>
      </c>
      <c r="C8825" t="str">
        <f t="shared" ref="C8825:C8850" si="448">"56737590000000"</f>
        <v>56737590000000</v>
      </c>
      <c r="D8825" t="s">
        <v>9480</v>
      </c>
      <c r="E8825" t="str">
        <f>"56737595630108"</f>
        <v>56737595630108</v>
      </c>
      <c r="F8825" s="8">
        <v>144</v>
      </c>
      <c r="G8825" s="8">
        <v>21039</v>
      </c>
      <c r="H8825" s="8">
        <v>904</v>
      </c>
      <c r="I8825" s="8">
        <v>3059</v>
      </c>
    </row>
    <row r="8826" spans="1:9" x14ac:dyDescent="0.2">
      <c r="A8826" t="s">
        <v>2001</v>
      </c>
      <c r="B8826" t="s">
        <v>2006</v>
      </c>
      <c r="C8826" t="str">
        <f t="shared" si="448"/>
        <v>56737590000000</v>
      </c>
      <c r="D8826" t="s">
        <v>4144</v>
      </c>
      <c r="E8826" t="str">
        <f>"56737596055941"</f>
        <v>56737596055941</v>
      </c>
      <c r="F8826" s="8">
        <v>477</v>
      </c>
      <c r="G8826" s="8">
        <v>12231</v>
      </c>
      <c r="H8826" s="8">
        <v>904</v>
      </c>
      <c r="I8826" s="8">
        <v>3059</v>
      </c>
    </row>
    <row r="8827" spans="1:9" x14ac:dyDescent="0.2">
      <c r="A8827" t="s">
        <v>2001</v>
      </c>
      <c r="B8827" t="s">
        <v>2006</v>
      </c>
      <c r="C8827" t="str">
        <f t="shared" si="448"/>
        <v>56737590000000</v>
      </c>
      <c r="D8827" t="s">
        <v>9481</v>
      </c>
      <c r="E8827" t="str">
        <f>"56737596055875"</f>
        <v>56737596055875</v>
      </c>
      <c r="F8827" s="8">
        <v>343</v>
      </c>
      <c r="G8827" s="8">
        <v>10581</v>
      </c>
      <c r="H8827" s="8">
        <v>904</v>
      </c>
      <c r="I8827" s="8">
        <v>3059</v>
      </c>
    </row>
    <row r="8828" spans="1:9" x14ac:dyDescent="0.2">
      <c r="A8828" t="s">
        <v>2001</v>
      </c>
      <c r="B8828" t="s">
        <v>2006</v>
      </c>
      <c r="C8828" t="str">
        <f t="shared" si="448"/>
        <v>56737590000000</v>
      </c>
      <c r="D8828" t="s">
        <v>367</v>
      </c>
      <c r="E8828" t="str">
        <f>"56737596055909"</f>
        <v>56737596055909</v>
      </c>
      <c r="F8828" s="8">
        <v>346</v>
      </c>
      <c r="G8828" s="8">
        <v>10258</v>
      </c>
      <c r="H8828" s="8">
        <v>904</v>
      </c>
      <c r="I8828" s="8">
        <v>3059</v>
      </c>
    </row>
    <row r="8829" spans="1:9" x14ac:dyDescent="0.2">
      <c r="A8829" t="s">
        <v>2001</v>
      </c>
      <c r="B8829" t="s">
        <v>2006</v>
      </c>
      <c r="C8829" t="str">
        <f t="shared" si="448"/>
        <v>56737590000000</v>
      </c>
      <c r="D8829" t="s">
        <v>9482</v>
      </c>
      <c r="E8829" t="str">
        <f>"56737596055859"</f>
        <v>56737596055859</v>
      </c>
      <c r="F8829" s="8">
        <v>2</v>
      </c>
      <c r="G8829" s="8">
        <v>9841</v>
      </c>
      <c r="H8829" s="8">
        <v>904</v>
      </c>
      <c r="I8829" s="8">
        <v>3059</v>
      </c>
    </row>
    <row r="8830" spans="1:9" x14ac:dyDescent="0.2">
      <c r="A8830" t="s">
        <v>2001</v>
      </c>
      <c r="B8830" t="s">
        <v>2006</v>
      </c>
      <c r="C8830" t="str">
        <f t="shared" si="448"/>
        <v>56737590000000</v>
      </c>
      <c r="D8830" t="s">
        <v>9483</v>
      </c>
      <c r="E8830" t="str">
        <f>"56737596055966"</f>
        <v>56737596055966</v>
      </c>
      <c r="F8830" s="8">
        <v>298</v>
      </c>
      <c r="G8830" s="8">
        <v>9390</v>
      </c>
      <c r="H8830" s="8">
        <v>904</v>
      </c>
      <c r="I8830" s="8">
        <v>3059</v>
      </c>
    </row>
    <row r="8831" spans="1:9" x14ac:dyDescent="0.2">
      <c r="A8831" t="s">
        <v>2001</v>
      </c>
      <c r="B8831" t="s">
        <v>2006</v>
      </c>
      <c r="C8831" t="str">
        <f t="shared" si="448"/>
        <v>56737590000000</v>
      </c>
      <c r="D8831" t="s">
        <v>9484</v>
      </c>
      <c r="E8831" t="str">
        <f>"56737596055933"</f>
        <v>56737596055933</v>
      </c>
      <c r="F8831" s="8">
        <v>729</v>
      </c>
      <c r="G8831" s="8">
        <v>8558</v>
      </c>
      <c r="H8831" s="8">
        <v>904</v>
      </c>
      <c r="I8831" s="8">
        <v>3059</v>
      </c>
    </row>
    <row r="8832" spans="1:9" x14ac:dyDescent="0.2">
      <c r="A8832" t="s">
        <v>2001</v>
      </c>
      <c r="B8832" t="s">
        <v>2006</v>
      </c>
      <c r="C8832" t="str">
        <f t="shared" si="448"/>
        <v>56737590000000</v>
      </c>
      <c r="D8832" t="s">
        <v>9485</v>
      </c>
      <c r="E8832" t="str">
        <f>"56737596055842"</f>
        <v>56737596055842</v>
      </c>
      <c r="F8832" s="8">
        <v>225</v>
      </c>
      <c r="G8832" s="8">
        <v>8679</v>
      </c>
      <c r="H8832" s="8">
        <v>904</v>
      </c>
      <c r="I8832" s="8">
        <v>3059</v>
      </c>
    </row>
    <row r="8833" spans="1:9" x14ac:dyDescent="0.2">
      <c r="A8833" t="s">
        <v>2001</v>
      </c>
      <c r="B8833" t="s">
        <v>2006</v>
      </c>
      <c r="C8833" t="str">
        <f t="shared" si="448"/>
        <v>56737590000000</v>
      </c>
      <c r="D8833" t="s">
        <v>9486</v>
      </c>
      <c r="E8833" t="str">
        <f>"56737590123349"</f>
        <v>56737590123349</v>
      </c>
      <c r="F8833" s="8">
        <v>0</v>
      </c>
      <c r="G8833" s="8">
        <v>8535</v>
      </c>
      <c r="H8833" s="8">
        <v>904</v>
      </c>
      <c r="I8833" s="8">
        <v>3059</v>
      </c>
    </row>
    <row r="8834" spans="1:9" x14ac:dyDescent="0.2">
      <c r="A8834" t="s">
        <v>2001</v>
      </c>
      <c r="B8834" t="s">
        <v>2006</v>
      </c>
      <c r="C8834" t="str">
        <f t="shared" si="448"/>
        <v>56737590000000</v>
      </c>
      <c r="D8834" t="s">
        <v>8291</v>
      </c>
      <c r="E8834" t="str">
        <f>"56737596071286"</f>
        <v>56737596071286</v>
      </c>
      <c r="F8834" s="8">
        <v>1</v>
      </c>
      <c r="G8834" s="8">
        <v>8503</v>
      </c>
      <c r="H8834" s="8">
        <v>904</v>
      </c>
      <c r="I8834" s="8">
        <v>3059</v>
      </c>
    </row>
    <row r="8835" spans="1:9" x14ac:dyDescent="0.2">
      <c r="A8835" t="s">
        <v>2001</v>
      </c>
      <c r="B8835" t="s">
        <v>2006</v>
      </c>
      <c r="C8835" t="str">
        <f t="shared" si="448"/>
        <v>56737590000000</v>
      </c>
      <c r="D8835" t="s">
        <v>9487</v>
      </c>
      <c r="E8835" t="str">
        <f>"56737595637004"</f>
        <v>56737595637004</v>
      </c>
      <c r="F8835" s="8">
        <v>39</v>
      </c>
      <c r="G8835" s="8">
        <v>8335</v>
      </c>
      <c r="H8835" s="8">
        <v>904</v>
      </c>
      <c r="I8835" s="8">
        <v>3059</v>
      </c>
    </row>
    <row r="8836" spans="1:9" x14ac:dyDescent="0.2">
      <c r="A8836" t="s">
        <v>2001</v>
      </c>
      <c r="B8836" t="s">
        <v>2006</v>
      </c>
      <c r="C8836" t="str">
        <f t="shared" si="448"/>
        <v>56737590000000</v>
      </c>
      <c r="D8836" t="s">
        <v>3629</v>
      </c>
      <c r="E8836" t="str">
        <f>"56737596055917"</f>
        <v>56737596055917</v>
      </c>
      <c r="F8836" s="8">
        <v>395</v>
      </c>
      <c r="G8836" s="8">
        <v>7854</v>
      </c>
      <c r="H8836" s="8">
        <v>904</v>
      </c>
      <c r="I8836" s="8">
        <v>3059</v>
      </c>
    </row>
    <row r="8837" spans="1:9" x14ac:dyDescent="0.2">
      <c r="A8837" t="s">
        <v>2001</v>
      </c>
      <c r="B8837" t="s">
        <v>2006</v>
      </c>
      <c r="C8837" t="str">
        <f t="shared" si="448"/>
        <v>56737590000000</v>
      </c>
      <c r="D8837" t="s">
        <v>7030</v>
      </c>
      <c r="E8837" t="str">
        <f>"56737596055867"</f>
        <v>56737596055867</v>
      </c>
      <c r="F8837" s="8">
        <v>5</v>
      </c>
      <c r="G8837" s="8">
        <v>8165</v>
      </c>
      <c r="H8837" s="8">
        <v>904</v>
      </c>
      <c r="I8837" s="8">
        <v>3059</v>
      </c>
    </row>
    <row r="8838" spans="1:9" x14ac:dyDescent="0.2">
      <c r="A8838" t="s">
        <v>2001</v>
      </c>
      <c r="B8838" t="s">
        <v>2006</v>
      </c>
      <c r="C8838" t="str">
        <f t="shared" si="448"/>
        <v>56737590000000</v>
      </c>
      <c r="D8838" t="s">
        <v>2323</v>
      </c>
      <c r="E8838" t="str">
        <f>"56737596084933"</f>
        <v>56737596084933</v>
      </c>
      <c r="F8838" s="8">
        <v>20</v>
      </c>
      <c r="G8838" s="8">
        <v>8046</v>
      </c>
      <c r="H8838" s="8">
        <v>904</v>
      </c>
      <c r="I8838" s="8">
        <v>3059</v>
      </c>
    </row>
    <row r="8839" spans="1:9" x14ac:dyDescent="0.2">
      <c r="A8839" t="s">
        <v>2001</v>
      </c>
      <c r="B8839" t="s">
        <v>2006</v>
      </c>
      <c r="C8839" t="str">
        <f t="shared" si="448"/>
        <v>56737590000000</v>
      </c>
      <c r="D8839" t="s">
        <v>9488</v>
      </c>
      <c r="E8839" t="str">
        <f>"56737596093181"</f>
        <v>56737596093181</v>
      </c>
      <c r="F8839" s="8">
        <v>4</v>
      </c>
      <c r="G8839" s="8">
        <v>7891</v>
      </c>
      <c r="H8839" s="8">
        <v>904</v>
      </c>
      <c r="I8839" s="8">
        <v>3059</v>
      </c>
    </row>
    <row r="8840" spans="1:9" x14ac:dyDescent="0.2">
      <c r="A8840" t="s">
        <v>2001</v>
      </c>
      <c r="B8840" t="s">
        <v>2006</v>
      </c>
      <c r="C8840" t="str">
        <f t="shared" si="448"/>
        <v>56737590000000</v>
      </c>
      <c r="D8840" t="s">
        <v>5652</v>
      </c>
      <c r="E8840" t="str">
        <f>"56737596055891"</f>
        <v>56737596055891</v>
      </c>
      <c r="F8840" s="8">
        <v>2</v>
      </c>
      <c r="G8840" s="8">
        <v>7816</v>
      </c>
      <c r="H8840" s="8">
        <v>904</v>
      </c>
      <c r="I8840" s="8">
        <v>3059</v>
      </c>
    </row>
    <row r="8841" spans="1:9" x14ac:dyDescent="0.2">
      <c r="A8841" t="s">
        <v>2001</v>
      </c>
      <c r="B8841" t="s">
        <v>2006</v>
      </c>
      <c r="C8841" t="str">
        <f t="shared" si="448"/>
        <v>56737590000000</v>
      </c>
      <c r="D8841" t="s">
        <v>9489</v>
      </c>
      <c r="E8841" t="str">
        <f>"56737596093173"</f>
        <v>56737596093173</v>
      </c>
      <c r="F8841" s="8">
        <v>10</v>
      </c>
      <c r="G8841" s="8">
        <v>7778</v>
      </c>
      <c r="H8841" s="8">
        <v>904</v>
      </c>
      <c r="I8841" s="8">
        <v>3059</v>
      </c>
    </row>
    <row r="8842" spans="1:9" x14ac:dyDescent="0.2">
      <c r="A8842" t="s">
        <v>2001</v>
      </c>
      <c r="B8842" t="s">
        <v>2006</v>
      </c>
      <c r="C8842" t="str">
        <f t="shared" si="448"/>
        <v>56737590000000</v>
      </c>
      <c r="D8842" t="s">
        <v>9490</v>
      </c>
      <c r="E8842" t="str">
        <f>"56737590119396"</f>
        <v>56737590119396</v>
      </c>
      <c r="F8842" s="8">
        <v>7</v>
      </c>
      <c r="G8842" s="8">
        <v>7768</v>
      </c>
      <c r="H8842" s="8">
        <v>904</v>
      </c>
      <c r="I8842" s="8">
        <v>3059</v>
      </c>
    </row>
    <row r="8843" spans="1:9" x14ac:dyDescent="0.2">
      <c r="A8843" t="s">
        <v>2001</v>
      </c>
      <c r="B8843" t="s">
        <v>2006</v>
      </c>
      <c r="C8843" t="str">
        <f t="shared" si="448"/>
        <v>56737590000000</v>
      </c>
      <c r="D8843" t="s">
        <v>9491</v>
      </c>
      <c r="E8843" t="str">
        <f>"56737596055925"</f>
        <v>56737596055925</v>
      </c>
      <c r="F8843" s="8">
        <v>25</v>
      </c>
      <c r="G8843" s="8">
        <v>7721</v>
      </c>
      <c r="H8843" s="8">
        <v>904</v>
      </c>
      <c r="I8843" s="8">
        <v>3059</v>
      </c>
    </row>
    <row r="8844" spans="1:9" x14ac:dyDescent="0.2">
      <c r="A8844" t="s">
        <v>2001</v>
      </c>
      <c r="B8844" t="s">
        <v>2006</v>
      </c>
      <c r="C8844" t="str">
        <f t="shared" si="448"/>
        <v>56737590000000</v>
      </c>
      <c r="D8844" t="s">
        <v>9492</v>
      </c>
      <c r="E8844" t="str">
        <f>"56737596056022"</f>
        <v>56737596056022</v>
      </c>
      <c r="F8844" s="8">
        <v>1</v>
      </c>
      <c r="G8844" s="8">
        <v>7654</v>
      </c>
      <c r="H8844" s="8">
        <v>904</v>
      </c>
      <c r="I8844" s="8">
        <v>3059</v>
      </c>
    </row>
    <row r="8845" spans="1:9" x14ac:dyDescent="0.2">
      <c r="A8845" t="s">
        <v>2001</v>
      </c>
      <c r="B8845" t="s">
        <v>2006</v>
      </c>
      <c r="C8845" t="str">
        <f t="shared" si="448"/>
        <v>56737590000000</v>
      </c>
      <c r="D8845" t="s">
        <v>9493</v>
      </c>
      <c r="E8845" t="str">
        <f>"56737595633748"</f>
        <v>56737595633748</v>
      </c>
      <c r="F8845" s="8">
        <v>44</v>
      </c>
      <c r="G8845" s="8">
        <v>7570</v>
      </c>
      <c r="H8845" s="8">
        <v>904</v>
      </c>
      <c r="I8845" s="8">
        <v>3059</v>
      </c>
    </row>
    <row r="8846" spans="1:9" x14ac:dyDescent="0.2">
      <c r="A8846" t="s">
        <v>2001</v>
      </c>
      <c r="B8846" t="s">
        <v>2006</v>
      </c>
      <c r="C8846" t="str">
        <f t="shared" si="448"/>
        <v>56737590000000</v>
      </c>
      <c r="D8846" t="s">
        <v>9494</v>
      </c>
      <c r="E8846" t="str">
        <f>"56737596118582"</f>
        <v>56737596118582</v>
      </c>
      <c r="F8846" s="8">
        <v>7</v>
      </c>
      <c r="G8846" s="8">
        <v>7450</v>
      </c>
      <c r="H8846" s="8">
        <v>904</v>
      </c>
      <c r="I8846" s="8">
        <v>3059</v>
      </c>
    </row>
    <row r="8847" spans="1:9" x14ac:dyDescent="0.2">
      <c r="A8847" t="s">
        <v>2001</v>
      </c>
      <c r="B8847" t="s">
        <v>2006</v>
      </c>
      <c r="C8847" t="str">
        <f t="shared" si="448"/>
        <v>56737590000000</v>
      </c>
      <c r="D8847" t="s">
        <v>1006</v>
      </c>
      <c r="E8847" t="str">
        <f>"56737596093165"</f>
        <v>56737596093165</v>
      </c>
      <c r="F8847" s="8">
        <v>2</v>
      </c>
      <c r="G8847" s="8">
        <v>7394</v>
      </c>
      <c r="H8847" s="8">
        <v>904</v>
      </c>
      <c r="I8847" s="8">
        <v>3059</v>
      </c>
    </row>
    <row r="8848" spans="1:9" x14ac:dyDescent="0.2">
      <c r="A8848" t="s">
        <v>2001</v>
      </c>
      <c r="B8848" t="s">
        <v>2006</v>
      </c>
      <c r="C8848" t="str">
        <f t="shared" si="448"/>
        <v>56737590000000</v>
      </c>
      <c r="D8848" t="s">
        <v>9495</v>
      </c>
      <c r="E8848" t="str">
        <f>"56737596115760"</f>
        <v>56737596115760</v>
      </c>
      <c r="F8848" s="8">
        <v>23</v>
      </c>
      <c r="G8848" s="8">
        <v>7129</v>
      </c>
      <c r="H8848" s="8">
        <v>904</v>
      </c>
      <c r="I8848" s="8">
        <v>3059</v>
      </c>
    </row>
    <row r="8849" spans="1:9" x14ac:dyDescent="0.2">
      <c r="A8849" t="s">
        <v>2001</v>
      </c>
      <c r="B8849" t="s">
        <v>2006</v>
      </c>
      <c r="C8849" t="str">
        <f t="shared" si="448"/>
        <v>56737590000000</v>
      </c>
      <c r="D8849" t="s">
        <v>9496</v>
      </c>
      <c r="E8849" t="str">
        <f>"56737595630116"</f>
        <v>56737595630116</v>
      </c>
      <c r="F8849" s="8">
        <v>8</v>
      </c>
      <c r="G8849" s="8">
        <v>7107</v>
      </c>
      <c r="H8849" s="8">
        <v>904</v>
      </c>
      <c r="I8849" s="8">
        <v>3059</v>
      </c>
    </row>
    <row r="8850" spans="1:9" x14ac:dyDescent="0.2">
      <c r="A8850" t="s">
        <v>2001</v>
      </c>
      <c r="B8850" t="s">
        <v>2006</v>
      </c>
      <c r="C8850" t="str">
        <f t="shared" si="448"/>
        <v>56737590000000</v>
      </c>
      <c r="D8850" t="s">
        <v>2605</v>
      </c>
      <c r="E8850" t="str">
        <f>"56737596067300"</f>
        <v>56737596067300</v>
      </c>
      <c r="F8850" s="8">
        <v>21</v>
      </c>
      <c r="G8850" s="8">
        <v>6894</v>
      </c>
      <c r="H8850" s="8">
        <v>904</v>
      </c>
      <c r="I8850" s="8">
        <v>3059</v>
      </c>
    </row>
    <row r="8851" spans="1:9" x14ac:dyDescent="0.2">
      <c r="A8851" t="s">
        <v>2001</v>
      </c>
      <c r="B8851" t="s">
        <v>2007</v>
      </c>
      <c r="C8851" t="str">
        <f t="shared" ref="C8851:C8858" si="449">"56724540000000"</f>
        <v>56724540000000</v>
      </c>
      <c r="D8851" t="s">
        <v>3053</v>
      </c>
      <c r="E8851" t="str">
        <f>"56724545630173"</f>
        <v>56724545630173</v>
      </c>
      <c r="F8851" s="8">
        <v>4232</v>
      </c>
      <c r="G8851" s="8">
        <v>16119</v>
      </c>
      <c r="H8851" s="8">
        <v>552</v>
      </c>
      <c r="I8851" s="8">
        <v>3463</v>
      </c>
    </row>
    <row r="8852" spans="1:9" x14ac:dyDescent="0.2">
      <c r="A8852" t="s">
        <v>2001</v>
      </c>
      <c r="B8852" t="s">
        <v>2007</v>
      </c>
      <c r="C8852" t="str">
        <f t="shared" si="449"/>
        <v>56724540000000</v>
      </c>
      <c r="D8852" t="s">
        <v>9497</v>
      </c>
      <c r="E8852" t="str">
        <f>"56724546054993"</f>
        <v>56724546054993</v>
      </c>
      <c r="F8852" s="8">
        <v>2901</v>
      </c>
      <c r="G8852" s="8">
        <v>10842</v>
      </c>
      <c r="H8852" s="8">
        <v>781</v>
      </c>
      <c r="I8852" s="8">
        <v>3340</v>
      </c>
    </row>
    <row r="8853" spans="1:9" x14ac:dyDescent="0.2">
      <c r="A8853" t="s">
        <v>2001</v>
      </c>
      <c r="B8853" t="s">
        <v>2007</v>
      </c>
      <c r="C8853" t="str">
        <f t="shared" si="449"/>
        <v>56724540000000</v>
      </c>
      <c r="D8853" t="s">
        <v>9498</v>
      </c>
      <c r="E8853" t="str">
        <f>"56724546054985"</f>
        <v>56724546054985</v>
      </c>
      <c r="F8853" s="8">
        <v>4369</v>
      </c>
      <c r="G8853" s="8">
        <v>8975</v>
      </c>
      <c r="H8853" s="8">
        <v>552</v>
      </c>
      <c r="I8853" s="8">
        <v>3463</v>
      </c>
    </row>
    <row r="8854" spans="1:9" x14ac:dyDescent="0.2">
      <c r="A8854" t="s">
        <v>2001</v>
      </c>
      <c r="B8854" t="s">
        <v>2007</v>
      </c>
      <c r="C8854" t="str">
        <f t="shared" si="449"/>
        <v>56724540000000</v>
      </c>
      <c r="D8854" t="s">
        <v>9499</v>
      </c>
      <c r="E8854" t="str">
        <f>"56724540109520"</f>
        <v>56724540109520</v>
      </c>
      <c r="F8854" s="8">
        <v>3056</v>
      </c>
      <c r="G8854" s="8">
        <v>7976</v>
      </c>
      <c r="H8854" s="8">
        <v>552</v>
      </c>
      <c r="I8854" s="8">
        <v>3362</v>
      </c>
    </row>
    <row r="8855" spans="1:9" x14ac:dyDescent="0.2">
      <c r="A8855" t="s">
        <v>2001</v>
      </c>
      <c r="B8855" t="s">
        <v>2007</v>
      </c>
      <c r="C8855" t="str">
        <f t="shared" si="449"/>
        <v>56724540000000</v>
      </c>
      <c r="D8855" t="s">
        <v>2575</v>
      </c>
      <c r="E8855" t="str">
        <f>"56724546055008"</f>
        <v>56724546055008</v>
      </c>
      <c r="F8855" s="8">
        <v>2903</v>
      </c>
      <c r="G8855" s="8">
        <v>8169</v>
      </c>
      <c r="H8855" s="8">
        <v>552</v>
      </c>
      <c r="I8855" s="8">
        <v>3206</v>
      </c>
    </row>
    <row r="8856" spans="1:9" x14ac:dyDescent="0.2">
      <c r="A8856" t="s">
        <v>2001</v>
      </c>
      <c r="B8856" t="s">
        <v>2007</v>
      </c>
      <c r="C8856" t="str">
        <f t="shared" si="449"/>
        <v>56724540000000</v>
      </c>
      <c r="D8856" t="s">
        <v>9500</v>
      </c>
      <c r="E8856" t="str">
        <f>"56724546060321"</f>
        <v>56724546060321</v>
      </c>
      <c r="F8856" s="8">
        <v>1800</v>
      </c>
      <c r="G8856" s="8">
        <v>8804</v>
      </c>
      <c r="H8856" s="8">
        <v>552</v>
      </c>
      <c r="I8856" s="8">
        <v>3463</v>
      </c>
    </row>
    <row r="8857" spans="1:9" x14ac:dyDescent="0.2">
      <c r="A8857" t="s">
        <v>2001</v>
      </c>
      <c r="B8857" t="s">
        <v>2007</v>
      </c>
      <c r="C8857" t="str">
        <f t="shared" si="449"/>
        <v>56724540000000</v>
      </c>
      <c r="D8857" t="s">
        <v>9501</v>
      </c>
      <c r="E8857" t="str">
        <f>"56724545632021"</f>
        <v>56724545632021</v>
      </c>
      <c r="F8857" s="8">
        <v>1332</v>
      </c>
      <c r="G8857" s="8">
        <v>8758</v>
      </c>
      <c r="H8857" s="8">
        <v>554</v>
      </c>
      <c r="I8857" s="8">
        <v>3633</v>
      </c>
    </row>
    <row r="8858" spans="1:9" x14ac:dyDescent="0.2">
      <c r="A8858" t="s">
        <v>2001</v>
      </c>
      <c r="B8858" t="s">
        <v>2007</v>
      </c>
      <c r="C8858" t="str">
        <f t="shared" si="449"/>
        <v>56724540000000</v>
      </c>
      <c r="D8858" t="s">
        <v>9502</v>
      </c>
      <c r="E8858" t="str">
        <f>"56724540124750"</f>
        <v>56724540124750</v>
      </c>
      <c r="F8858" s="8">
        <v>11</v>
      </c>
      <c r="G8858" s="8">
        <v>7473</v>
      </c>
      <c r="H8858" s="8">
        <v>552</v>
      </c>
      <c r="I8858" s="8">
        <v>3463</v>
      </c>
    </row>
    <row r="8859" spans="1:9" x14ac:dyDescent="0.2">
      <c r="A8859" t="s">
        <v>2001</v>
      </c>
      <c r="B8859" t="s">
        <v>2009</v>
      </c>
      <c r="C8859" t="str">
        <f t="shared" ref="C8859:C8869" si="450">"56724620000000"</f>
        <v>56724620000000</v>
      </c>
      <c r="D8859" t="s">
        <v>9503</v>
      </c>
      <c r="E8859" t="str">
        <f>"56724626055107"</f>
        <v>56724626055107</v>
      </c>
      <c r="F8859" s="8">
        <v>114</v>
      </c>
      <c r="G8859" s="8">
        <v>6354</v>
      </c>
      <c r="H8859" s="8">
        <v>1438</v>
      </c>
      <c r="I8859" s="8">
        <v>9731</v>
      </c>
    </row>
    <row r="8860" spans="1:9" x14ac:dyDescent="0.2">
      <c r="A8860" t="s">
        <v>2001</v>
      </c>
      <c r="B8860" t="s">
        <v>2009</v>
      </c>
      <c r="C8860" t="str">
        <f t="shared" si="450"/>
        <v>56724620000000</v>
      </c>
      <c r="D8860" t="s">
        <v>9504</v>
      </c>
      <c r="E8860" t="str">
        <f>"56724626055032"</f>
        <v>56724626055032</v>
      </c>
      <c r="F8860" s="8">
        <v>146</v>
      </c>
      <c r="G8860" s="8">
        <v>5543</v>
      </c>
      <c r="H8860" s="8">
        <v>1430</v>
      </c>
      <c r="I8860" s="8">
        <v>7955</v>
      </c>
    </row>
    <row r="8861" spans="1:9" x14ac:dyDescent="0.2">
      <c r="A8861" t="s">
        <v>2001</v>
      </c>
      <c r="B8861" t="s">
        <v>2009</v>
      </c>
      <c r="C8861" t="str">
        <f t="shared" si="450"/>
        <v>56724620000000</v>
      </c>
      <c r="D8861" t="s">
        <v>2009</v>
      </c>
      <c r="E8861" t="str">
        <f>"56724626055073"</f>
        <v>56724626055073</v>
      </c>
      <c r="F8861" s="8">
        <v>68</v>
      </c>
      <c r="G8861" s="8">
        <v>5979</v>
      </c>
      <c r="H8861" s="8">
        <v>1397</v>
      </c>
      <c r="I8861" s="8">
        <v>7125</v>
      </c>
    </row>
    <row r="8862" spans="1:9" x14ac:dyDescent="0.2">
      <c r="A8862" t="s">
        <v>2001</v>
      </c>
      <c r="B8862" t="s">
        <v>2009</v>
      </c>
      <c r="C8862" t="str">
        <f t="shared" si="450"/>
        <v>56724620000000</v>
      </c>
      <c r="D8862" t="s">
        <v>9505</v>
      </c>
      <c r="E8862" t="str">
        <f>"56724626055065"</f>
        <v>56724626055065</v>
      </c>
      <c r="F8862" s="8">
        <v>0</v>
      </c>
      <c r="G8862" s="8">
        <v>5874</v>
      </c>
      <c r="H8862" s="8">
        <v>1359</v>
      </c>
      <c r="I8862" s="8">
        <v>6860</v>
      </c>
    </row>
    <row r="8863" spans="1:9" x14ac:dyDescent="0.2">
      <c r="A8863" t="s">
        <v>2001</v>
      </c>
      <c r="B8863" t="s">
        <v>2009</v>
      </c>
      <c r="C8863" t="str">
        <f t="shared" si="450"/>
        <v>56724620000000</v>
      </c>
      <c r="D8863" t="s">
        <v>2402</v>
      </c>
      <c r="E8863" t="str">
        <f>"56724626055099"</f>
        <v>56724626055099</v>
      </c>
      <c r="F8863" s="8">
        <v>153</v>
      </c>
      <c r="G8863" s="8">
        <v>5406</v>
      </c>
      <c r="H8863" s="8">
        <v>1401</v>
      </c>
      <c r="I8863" s="8">
        <v>7073</v>
      </c>
    </row>
    <row r="8864" spans="1:9" x14ac:dyDescent="0.2">
      <c r="A8864" t="s">
        <v>2001</v>
      </c>
      <c r="B8864" t="s">
        <v>2009</v>
      </c>
      <c r="C8864" t="str">
        <f t="shared" si="450"/>
        <v>56724620000000</v>
      </c>
      <c r="D8864" t="s">
        <v>9506</v>
      </c>
      <c r="E8864" t="str">
        <f>"56724626055081"</f>
        <v>56724626055081</v>
      </c>
      <c r="F8864" s="8">
        <v>129</v>
      </c>
      <c r="G8864" s="8">
        <v>5627</v>
      </c>
      <c r="H8864" s="8">
        <v>1397</v>
      </c>
      <c r="I8864" s="8">
        <v>6452</v>
      </c>
    </row>
    <row r="8865" spans="1:9" x14ac:dyDescent="0.2">
      <c r="A8865" t="s">
        <v>2001</v>
      </c>
      <c r="B8865" t="s">
        <v>2009</v>
      </c>
      <c r="C8865" t="str">
        <f t="shared" si="450"/>
        <v>56724620000000</v>
      </c>
      <c r="D8865" t="s">
        <v>9507</v>
      </c>
      <c r="E8865" t="str">
        <f>"56724626055016"</f>
        <v>56724626055016</v>
      </c>
      <c r="F8865" s="8">
        <v>120</v>
      </c>
      <c r="G8865" s="8">
        <v>5252</v>
      </c>
      <c r="H8865" s="8">
        <v>1399</v>
      </c>
      <c r="I8865" s="8">
        <v>6771</v>
      </c>
    </row>
    <row r="8866" spans="1:9" x14ac:dyDescent="0.2">
      <c r="A8866" t="s">
        <v>2001</v>
      </c>
      <c r="B8866" t="s">
        <v>2009</v>
      </c>
      <c r="C8866" t="str">
        <f t="shared" si="450"/>
        <v>56724620000000</v>
      </c>
      <c r="D8866" t="s">
        <v>3642</v>
      </c>
      <c r="E8866" t="str">
        <f>"56724626055115"</f>
        <v>56724626055115</v>
      </c>
      <c r="F8866" s="8">
        <v>105</v>
      </c>
      <c r="G8866" s="8">
        <v>5049</v>
      </c>
      <c r="H8866" s="8">
        <v>1403</v>
      </c>
      <c r="I8866" s="8">
        <v>6776</v>
      </c>
    </row>
    <row r="8867" spans="1:9" x14ac:dyDescent="0.2">
      <c r="A8867" t="s">
        <v>2001</v>
      </c>
      <c r="B8867" t="s">
        <v>2009</v>
      </c>
      <c r="C8867" t="str">
        <f t="shared" si="450"/>
        <v>56724620000000</v>
      </c>
      <c r="D8867" t="s">
        <v>9508</v>
      </c>
      <c r="E8867" t="str">
        <f>"56724626055024"</f>
        <v>56724626055024</v>
      </c>
      <c r="F8867" s="8">
        <v>91</v>
      </c>
      <c r="G8867" s="8">
        <v>5376</v>
      </c>
      <c r="H8867" s="8">
        <v>1409</v>
      </c>
      <c r="I8867" s="8">
        <v>6242</v>
      </c>
    </row>
    <row r="8868" spans="1:9" x14ac:dyDescent="0.2">
      <c r="A8868" t="s">
        <v>2001</v>
      </c>
      <c r="B8868" t="s">
        <v>2009</v>
      </c>
      <c r="C8868" t="str">
        <f t="shared" si="450"/>
        <v>56724620000000</v>
      </c>
      <c r="D8868" t="s">
        <v>9509</v>
      </c>
      <c r="E8868" t="str">
        <f>"56724626055057"</f>
        <v>56724626055057</v>
      </c>
      <c r="F8868" s="8">
        <v>119</v>
      </c>
      <c r="G8868" s="8">
        <v>4665</v>
      </c>
      <c r="H8868" s="8">
        <v>1401</v>
      </c>
      <c r="I8868" s="8">
        <v>6082</v>
      </c>
    </row>
    <row r="8869" spans="1:9" x14ac:dyDescent="0.2">
      <c r="A8869" t="s">
        <v>2001</v>
      </c>
      <c r="B8869" t="s">
        <v>2009</v>
      </c>
      <c r="C8869" t="str">
        <f t="shared" si="450"/>
        <v>56724620000000</v>
      </c>
      <c r="D8869" t="s">
        <v>9510</v>
      </c>
      <c r="E8869" t="str">
        <f>"56724626055040"</f>
        <v>56724626055040</v>
      </c>
      <c r="F8869" s="8">
        <v>26</v>
      </c>
      <c r="G8869" s="8">
        <v>3919</v>
      </c>
      <c r="H8869" s="8">
        <v>1417</v>
      </c>
      <c r="I8869" s="8">
        <v>6513</v>
      </c>
    </row>
    <row r="8870" spans="1:9" x14ac:dyDescent="0.2">
      <c r="A8870" t="s">
        <v>2001</v>
      </c>
      <c r="B8870" t="s">
        <v>2012</v>
      </c>
      <c r="C8870" t="str">
        <f>"56724700000000"</f>
        <v>56724700000000</v>
      </c>
      <c r="D8870" t="s">
        <v>3759</v>
      </c>
      <c r="E8870" t="str">
        <f>"56724706055123"</f>
        <v>56724706055123</v>
      </c>
      <c r="F8870" s="8">
        <v>854</v>
      </c>
      <c r="G8870" s="8">
        <v>9361</v>
      </c>
      <c r="H8870" s="8">
        <v>6</v>
      </c>
      <c r="I8870" s="8">
        <v>1129</v>
      </c>
    </row>
    <row r="8871" spans="1:9" x14ac:dyDescent="0.2">
      <c r="A8871" t="s">
        <v>2001</v>
      </c>
      <c r="B8871" t="s">
        <v>2013</v>
      </c>
      <c r="C8871" t="str">
        <f t="shared" ref="C8871:C8880" si="451">"56739400000000"</f>
        <v>56739400000000</v>
      </c>
      <c r="D8871" t="s">
        <v>9511</v>
      </c>
      <c r="E8871" t="str">
        <f>"56739405630371"</f>
        <v>56739405630371</v>
      </c>
      <c r="F8871" s="8">
        <v>0</v>
      </c>
      <c r="G8871" s="8">
        <v>9322</v>
      </c>
      <c r="H8871" s="8">
        <v>282</v>
      </c>
      <c r="I8871" s="8">
        <v>2732</v>
      </c>
    </row>
    <row r="8872" spans="1:9" x14ac:dyDescent="0.2">
      <c r="A8872" t="s">
        <v>2001</v>
      </c>
      <c r="B8872" t="s">
        <v>2013</v>
      </c>
      <c r="C8872" t="str">
        <f t="shared" si="451"/>
        <v>56739400000000</v>
      </c>
      <c r="D8872" t="s">
        <v>9512</v>
      </c>
      <c r="E8872" t="str">
        <f>"56739405633250"</f>
        <v>56739405633250</v>
      </c>
      <c r="F8872" s="8">
        <v>469</v>
      </c>
      <c r="G8872" s="8">
        <v>7769</v>
      </c>
      <c r="H8872" s="8">
        <v>868</v>
      </c>
      <c r="I8872" s="8">
        <v>2732</v>
      </c>
    </row>
    <row r="8873" spans="1:9" x14ac:dyDescent="0.2">
      <c r="A8873" t="s">
        <v>2001</v>
      </c>
      <c r="B8873" t="s">
        <v>2013</v>
      </c>
      <c r="C8873" t="str">
        <f t="shared" si="451"/>
        <v>56739400000000</v>
      </c>
      <c r="D8873" t="s">
        <v>9513</v>
      </c>
      <c r="E8873" t="str">
        <f>"56739406055131"</f>
        <v>56739406055131</v>
      </c>
      <c r="F8873" s="8">
        <v>704</v>
      </c>
      <c r="G8873" s="8">
        <v>7353</v>
      </c>
      <c r="H8873" s="8">
        <v>868</v>
      </c>
      <c r="I8873" s="8">
        <v>2732</v>
      </c>
    </row>
    <row r="8874" spans="1:9" x14ac:dyDescent="0.2">
      <c r="A8874" t="s">
        <v>2001</v>
      </c>
      <c r="B8874" t="s">
        <v>2013</v>
      </c>
      <c r="C8874" t="str">
        <f t="shared" si="451"/>
        <v>56739400000000</v>
      </c>
      <c r="D8874" t="s">
        <v>9514</v>
      </c>
      <c r="E8874" t="str">
        <f>"56739406115430"</f>
        <v>56739406115430</v>
      </c>
      <c r="F8874" s="8">
        <v>88</v>
      </c>
      <c r="G8874" s="8">
        <v>7818</v>
      </c>
      <c r="H8874" s="8">
        <v>868</v>
      </c>
      <c r="I8874" s="8">
        <v>2732</v>
      </c>
    </row>
    <row r="8875" spans="1:9" x14ac:dyDescent="0.2">
      <c r="A8875" t="s">
        <v>2001</v>
      </c>
      <c r="B8875" t="s">
        <v>2013</v>
      </c>
      <c r="C8875" t="str">
        <f t="shared" si="451"/>
        <v>56739400000000</v>
      </c>
      <c r="D8875" t="s">
        <v>9515</v>
      </c>
      <c r="E8875" t="str">
        <f>"56739406106447"</f>
        <v>56739406106447</v>
      </c>
      <c r="F8875" s="8">
        <v>312</v>
      </c>
      <c r="G8875" s="8">
        <v>7553</v>
      </c>
      <c r="H8875" s="8">
        <v>868</v>
      </c>
      <c r="I8875" s="8">
        <v>2732</v>
      </c>
    </row>
    <row r="8876" spans="1:9" x14ac:dyDescent="0.2">
      <c r="A8876" t="s">
        <v>2001</v>
      </c>
      <c r="B8876" t="s">
        <v>2013</v>
      </c>
      <c r="C8876" t="str">
        <f t="shared" si="451"/>
        <v>56739400000000</v>
      </c>
      <c r="D8876" t="s">
        <v>9516</v>
      </c>
      <c r="E8876" t="str">
        <f>"56739406109847"</f>
        <v>56739406109847</v>
      </c>
      <c r="F8876" s="8">
        <v>393</v>
      </c>
      <c r="G8876" s="8">
        <v>7340</v>
      </c>
      <c r="H8876" s="8">
        <v>868</v>
      </c>
      <c r="I8876" s="8">
        <v>2732</v>
      </c>
    </row>
    <row r="8877" spans="1:9" x14ac:dyDescent="0.2">
      <c r="A8877" t="s">
        <v>2001</v>
      </c>
      <c r="B8877" t="s">
        <v>2013</v>
      </c>
      <c r="C8877" t="str">
        <f t="shared" si="451"/>
        <v>56739400000000</v>
      </c>
      <c r="D8877" t="s">
        <v>9517</v>
      </c>
      <c r="E8877" t="str">
        <f>"56739406055149"</f>
        <v>56739406055149</v>
      </c>
      <c r="F8877" s="8">
        <v>277</v>
      </c>
      <c r="G8877" s="8">
        <v>7231</v>
      </c>
      <c r="H8877" s="8">
        <v>868</v>
      </c>
      <c r="I8877" s="8">
        <v>2732</v>
      </c>
    </row>
    <row r="8878" spans="1:9" x14ac:dyDescent="0.2">
      <c r="A8878" t="s">
        <v>2001</v>
      </c>
      <c r="B8878" t="s">
        <v>2013</v>
      </c>
      <c r="C8878" t="str">
        <f t="shared" si="451"/>
        <v>56739400000000</v>
      </c>
      <c r="D8878" t="s">
        <v>5161</v>
      </c>
      <c r="E8878" t="str">
        <f>"56739406102230"</f>
        <v>56739406102230</v>
      </c>
      <c r="F8878" s="8">
        <v>737</v>
      </c>
      <c r="G8878" s="8">
        <v>6618</v>
      </c>
      <c r="H8878" s="8">
        <v>868</v>
      </c>
      <c r="I8878" s="8">
        <v>2732</v>
      </c>
    </row>
    <row r="8879" spans="1:9" x14ac:dyDescent="0.2">
      <c r="A8879" t="s">
        <v>2001</v>
      </c>
      <c r="B8879" t="s">
        <v>2013</v>
      </c>
      <c r="C8879" t="str">
        <f t="shared" si="451"/>
        <v>56739400000000</v>
      </c>
      <c r="D8879" t="s">
        <v>9518</v>
      </c>
      <c r="E8879" t="str">
        <f>"56739406106439"</f>
        <v>56739406106439</v>
      </c>
      <c r="F8879" s="8">
        <v>218</v>
      </c>
      <c r="G8879" s="8">
        <v>7064</v>
      </c>
      <c r="H8879" s="8">
        <v>868</v>
      </c>
      <c r="I8879" s="8">
        <v>2732</v>
      </c>
    </row>
    <row r="8880" spans="1:9" x14ac:dyDescent="0.2">
      <c r="A8880" t="s">
        <v>2001</v>
      </c>
      <c r="B8880" t="s">
        <v>2013</v>
      </c>
      <c r="C8880" t="str">
        <f t="shared" si="451"/>
        <v>56739400000000</v>
      </c>
      <c r="D8880" t="s">
        <v>7665</v>
      </c>
      <c r="E8880" t="str">
        <f>"56739406112189"</f>
        <v>56739406112189</v>
      </c>
      <c r="F8880" s="8">
        <v>292</v>
      </c>
      <c r="G8880" s="8">
        <v>6844</v>
      </c>
      <c r="H8880" s="8">
        <v>868</v>
      </c>
      <c r="I8880" s="8">
        <v>2732</v>
      </c>
    </row>
    <row r="8881" spans="1:9" x14ac:dyDescent="0.2">
      <c r="A8881" t="s">
        <v>2001</v>
      </c>
      <c r="B8881" t="s">
        <v>2014</v>
      </c>
      <c r="C8881" t="str">
        <f>"56725040000000"</f>
        <v>56725040000000</v>
      </c>
      <c r="D8881" t="s">
        <v>2014</v>
      </c>
      <c r="E8881" t="str">
        <f>"56725046055156"</f>
        <v>56725046055156</v>
      </c>
      <c r="F8881" s="8">
        <v>851</v>
      </c>
      <c r="G8881" s="8">
        <v>8471</v>
      </c>
      <c r="H8881" s="8">
        <v>4</v>
      </c>
      <c r="I8881" s="8">
        <v>743</v>
      </c>
    </row>
    <row r="8882" spans="1:9" x14ac:dyDescent="0.2">
      <c r="A8882" t="s">
        <v>2001</v>
      </c>
      <c r="B8882" t="s">
        <v>2015</v>
      </c>
      <c r="C8882" t="str">
        <f t="shared" ref="C8882:C8888" si="452">"56738740000000"</f>
        <v>56738740000000</v>
      </c>
      <c r="D8882" t="s">
        <v>9519</v>
      </c>
      <c r="E8882" t="str">
        <f>"56738745630199"</f>
        <v>56738745630199</v>
      </c>
      <c r="F8882" s="8">
        <v>2427</v>
      </c>
      <c r="G8882" s="8">
        <v>23635</v>
      </c>
      <c r="H8882" s="8">
        <v>334</v>
      </c>
      <c r="I8882" s="8">
        <v>2478</v>
      </c>
    </row>
    <row r="8883" spans="1:9" x14ac:dyDescent="0.2">
      <c r="A8883" t="s">
        <v>2001</v>
      </c>
      <c r="B8883" t="s">
        <v>2015</v>
      </c>
      <c r="C8883" t="str">
        <f t="shared" si="452"/>
        <v>56738740000000</v>
      </c>
      <c r="D8883" t="s">
        <v>4899</v>
      </c>
      <c r="E8883" t="str">
        <f>"56738746107528"</f>
        <v>56738746107528</v>
      </c>
      <c r="F8883" s="8">
        <v>914</v>
      </c>
      <c r="G8883" s="8">
        <v>7286</v>
      </c>
      <c r="H8883" s="8">
        <v>334</v>
      </c>
      <c r="I8883" s="8">
        <v>2478</v>
      </c>
    </row>
    <row r="8884" spans="1:9" x14ac:dyDescent="0.2">
      <c r="A8884" t="s">
        <v>2001</v>
      </c>
      <c r="B8884" t="s">
        <v>2015</v>
      </c>
      <c r="C8884" t="str">
        <f t="shared" si="452"/>
        <v>56738740000000</v>
      </c>
      <c r="D8884" t="s">
        <v>5321</v>
      </c>
      <c r="E8884" t="str">
        <f>"56738746055677"</f>
        <v>56738746055677</v>
      </c>
      <c r="F8884" s="8">
        <v>551</v>
      </c>
      <c r="G8884" s="8">
        <v>7180</v>
      </c>
      <c r="H8884" s="8">
        <v>334</v>
      </c>
      <c r="I8884" s="8">
        <v>2478</v>
      </c>
    </row>
    <row r="8885" spans="1:9" x14ac:dyDescent="0.2">
      <c r="A8885" t="s">
        <v>2001</v>
      </c>
      <c r="B8885" t="s">
        <v>2015</v>
      </c>
      <c r="C8885" t="str">
        <f t="shared" si="452"/>
        <v>56738740000000</v>
      </c>
      <c r="D8885" t="s">
        <v>9520</v>
      </c>
      <c r="E8885" t="str">
        <f>"56738745630132"</f>
        <v>56738745630132</v>
      </c>
      <c r="F8885" s="8">
        <v>303</v>
      </c>
      <c r="G8885" s="8">
        <v>7336</v>
      </c>
      <c r="H8885" s="8">
        <v>334</v>
      </c>
      <c r="I8885" s="8">
        <v>2478</v>
      </c>
    </row>
    <row r="8886" spans="1:9" x14ac:dyDescent="0.2">
      <c r="A8886" t="s">
        <v>2001</v>
      </c>
      <c r="B8886" t="s">
        <v>2015</v>
      </c>
      <c r="C8886" t="str">
        <f t="shared" si="452"/>
        <v>56738740000000</v>
      </c>
      <c r="D8886" t="s">
        <v>9521</v>
      </c>
      <c r="E8886" t="str">
        <f>"56738746111496"</f>
        <v>56738746111496</v>
      </c>
      <c r="F8886" s="8">
        <v>513</v>
      </c>
      <c r="G8886" s="8">
        <v>6924</v>
      </c>
      <c r="H8886" s="8">
        <v>334</v>
      </c>
      <c r="I8886" s="8">
        <v>2478</v>
      </c>
    </row>
    <row r="8887" spans="1:9" x14ac:dyDescent="0.2">
      <c r="A8887" t="s">
        <v>2001</v>
      </c>
      <c r="B8887" t="s">
        <v>2015</v>
      </c>
      <c r="C8887" t="str">
        <f t="shared" si="452"/>
        <v>56738740000000</v>
      </c>
      <c r="D8887" t="s">
        <v>9522</v>
      </c>
      <c r="E8887" t="str">
        <f>"56738746098255"</f>
        <v>56738746098255</v>
      </c>
      <c r="F8887" s="8">
        <v>375</v>
      </c>
      <c r="G8887" s="8">
        <v>6692</v>
      </c>
      <c r="H8887" s="8">
        <v>334</v>
      </c>
      <c r="I8887" s="8">
        <v>2478</v>
      </c>
    </row>
    <row r="8888" spans="1:9" x14ac:dyDescent="0.2">
      <c r="A8888" t="s">
        <v>2001</v>
      </c>
      <c r="B8888" t="s">
        <v>2015</v>
      </c>
      <c r="C8888" t="str">
        <f t="shared" si="452"/>
        <v>56738740000000</v>
      </c>
      <c r="D8888" t="s">
        <v>9523</v>
      </c>
      <c r="E8888" t="str">
        <f>"56738745630256"</f>
        <v>56738745630256</v>
      </c>
      <c r="F8888" s="8">
        <v>681</v>
      </c>
      <c r="G8888" s="8">
        <v>4393</v>
      </c>
      <c r="H8888" s="8">
        <v>334</v>
      </c>
      <c r="I8888" s="8">
        <v>2478</v>
      </c>
    </row>
    <row r="8889" spans="1:9" x14ac:dyDescent="0.2">
      <c r="A8889" t="s">
        <v>2001</v>
      </c>
      <c r="B8889" t="s">
        <v>1030</v>
      </c>
      <c r="C8889" t="str">
        <f>"56725120000000"</f>
        <v>56725120000000</v>
      </c>
      <c r="D8889" t="s">
        <v>9524</v>
      </c>
      <c r="E8889" t="str">
        <f>"56725126055164"</f>
        <v>56725126055164</v>
      </c>
      <c r="F8889" s="8">
        <v>2605</v>
      </c>
      <c r="G8889" s="8">
        <v>10270</v>
      </c>
      <c r="H8889" s="8">
        <v>498</v>
      </c>
      <c r="I8889" s="8">
        <v>1543</v>
      </c>
    </row>
    <row r="8890" spans="1:9" x14ac:dyDescent="0.2">
      <c r="A8890" t="s">
        <v>2001</v>
      </c>
      <c r="B8890" t="s">
        <v>1030</v>
      </c>
      <c r="C8890" t="str">
        <f>"56725120000000"</f>
        <v>56725120000000</v>
      </c>
      <c r="D8890" t="s">
        <v>4772</v>
      </c>
      <c r="E8890" t="str">
        <f>"56725126055172"</f>
        <v>56725126055172</v>
      </c>
      <c r="F8890" s="8">
        <v>2309</v>
      </c>
      <c r="G8890" s="8">
        <v>9715</v>
      </c>
      <c r="H8890" s="8">
        <v>498</v>
      </c>
      <c r="I8890" s="8">
        <v>1543</v>
      </c>
    </row>
    <row r="8891" spans="1:9" x14ac:dyDescent="0.2">
      <c r="A8891" t="s">
        <v>2001</v>
      </c>
      <c r="B8891" t="s">
        <v>1030</v>
      </c>
      <c r="C8891" t="str">
        <f>"56725120000000"</f>
        <v>56725120000000</v>
      </c>
      <c r="D8891" t="s">
        <v>9525</v>
      </c>
      <c r="E8891" t="str">
        <f>"56725126055180"</f>
        <v>56725126055180</v>
      </c>
      <c r="F8891" s="8">
        <v>2215</v>
      </c>
      <c r="G8891" s="8">
        <v>9730</v>
      </c>
      <c r="H8891" s="8">
        <v>498</v>
      </c>
      <c r="I8891" s="8">
        <v>1543</v>
      </c>
    </row>
    <row r="8892" spans="1:9" x14ac:dyDescent="0.2">
      <c r="A8892" t="s">
        <v>2001</v>
      </c>
      <c r="B8892" t="s">
        <v>1030</v>
      </c>
      <c r="C8892" t="str">
        <f>"56725120000000"</f>
        <v>56725120000000</v>
      </c>
      <c r="D8892" t="s">
        <v>9526</v>
      </c>
      <c r="E8892" t="str">
        <f>"56725126084891"</f>
        <v>56725126084891</v>
      </c>
      <c r="F8892" s="8">
        <v>2024</v>
      </c>
      <c r="G8892" s="8">
        <v>9505</v>
      </c>
      <c r="H8892" s="8">
        <v>498</v>
      </c>
      <c r="I8892" s="8">
        <v>1543</v>
      </c>
    </row>
    <row r="8893" spans="1:9" x14ac:dyDescent="0.2">
      <c r="A8893" t="s">
        <v>2001</v>
      </c>
      <c r="B8893" t="s">
        <v>2016</v>
      </c>
      <c r="C8893" t="str">
        <f t="shared" ref="C8893:C8900" si="453">"56725200000000"</f>
        <v>56725200000000</v>
      </c>
      <c r="D8893" t="s">
        <v>6654</v>
      </c>
      <c r="E8893" t="str">
        <f>"56725205631817"</f>
        <v>56725205631817</v>
      </c>
      <c r="F8893" s="8">
        <v>81</v>
      </c>
      <c r="G8893" s="8">
        <v>11102</v>
      </c>
      <c r="H8893" s="8">
        <v>0</v>
      </c>
      <c r="I8893" s="8">
        <v>940</v>
      </c>
    </row>
    <row r="8894" spans="1:9" x14ac:dyDescent="0.2">
      <c r="A8894" t="s">
        <v>2001</v>
      </c>
      <c r="B8894" t="s">
        <v>2016</v>
      </c>
      <c r="C8894" t="str">
        <f t="shared" si="453"/>
        <v>56725200000000</v>
      </c>
      <c r="D8894" t="s">
        <v>9527</v>
      </c>
      <c r="E8894" t="str">
        <f>"56725206055198"</f>
        <v>56725206055198</v>
      </c>
      <c r="F8894" s="8">
        <v>1121</v>
      </c>
      <c r="G8894" s="8">
        <v>8000</v>
      </c>
      <c r="H8894" s="8">
        <v>0</v>
      </c>
      <c r="I8894" s="8">
        <v>940</v>
      </c>
    </row>
    <row r="8895" spans="1:9" x14ac:dyDescent="0.2">
      <c r="A8895" t="s">
        <v>2001</v>
      </c>
      <c r="B8895" t="s">
        <v>2016</v>
      </c>
      <c r="C8895" t="str">
        <f t="shared" si="453"/>
        <v>56725200000000</v>
      </c>
      <c r="D8895" t="s">
        <v>9528</v>
      </c>
      <c r="E8895" t="str">
        <f>"56725206055248"</f>
        <v>56725206055248</v>
      </c>
      <c r="F8895" s="8">
        <v>690</v>
      </c>
      <c r="G8895" s="8">
        <v>7391</v>
      </c>
      <c r="H8895" s="8">
        <v>0</v>
      </c>
      <c r="I8895" s="8">
        <v>940</v>
      </c>
    </row>
    <row r="8896" spans="1:9" x14ac:dyDescent="0.2">
      <c r="A8896" t="s">
        <v>2001</v>
      </c>
      <c r="B8896" t="s">
        <v>2016</v>
      </c>
      <c r="C8896" t="str">
        <f t="shared" si="453"/>
        <v>56725200000000</v>
      </c>
      <c r="D8896" t="s">
        <v>4389</v>
      </c>
      <c r="E8896" t="str">
        <f>"56725206055222"</f>
        <v>56725206055222</v>
      </c>
      <c r="F8896" s="8">
        <v>418</v>
      </c>
      <c r="G8896" s="8">
        <v>6904</v>
      </c>
      <c r="H8896" s="8">
        <v>0</v>
      </c>
      <c r="I8896" s="8">
        <v>940</v>
      </c>
    </row>
    <row r="8897" spans="1:9" x14ac:dyDescent="0.2">
      <c r="A8897" t="s">
        <v>2001</v>
      </c>
      <c r="B8897" t="s">
        <v>2016</v>
      </c>
      <c r="C8897" t="str">
        <f t="shared" si="453"/>
        <v>56725200000000</v>
      </c>
      <c r="D8897" t="s">
        <v>9529</v>
      </c>
      <c r="E8897" t="str">
        <f>"56725206060339"</f>
        <v>56725206060339</v>
      </c>
      <c r="F8897" s="8">
        <v>878</v>
      </c>
      <c r="G8897" s="8">
        <v>6305</v>
      </c>
      <c r="H8897" s="8">
        <v>0</v>
      </c>
      <c r="I8897" s="8">
        <v>940</v>
      </c>
    </row>
    <row r="8898" spans="1:9" x14ac:dyDescent="0.2">
      <c r="A8898" t="s">
        <v>2001</v>
      </c>
      <c r="B8898" t="s">
        <v>2016</v>
      </c>
      <c r="C8898" t="str">
        <f t="shared" si="453"/>
        <v>56725200000000</v>
      </c>
      <c r="D8898" t="s">
        <v>9530</v>
      </c>
      <c r="E8898" t="str">
        <f>"56725205634076"</f>
        <v>56725205634076</v>
      </c>
      <c r="F8898" s="8">
        <v>860</v>
      </c>
      <c r="G8898" s="8">
        <v>6180</v>
      </c>
      <c r="H8898" s="8">
        <v>0</v>
      </c>
      <c r="I8898" s="8">
        <v>940</v>
      </c>
    </row>
    <row r="8899" spans="1:9" x14ac:dyDescent="0.2">
      <c r="A8899" t="s">
        <v>2001</v>
      </c>
      <c r="B8899" t="s">
        <v>2016</v>
      </c>
      <c r="C8899" t="str">
        <f t="shared" si="453"/>
        <v>56725200000000</v>
      </c>
      <c r="D8899" t="s">
        <v>9531</v>
      </c>
      <c r="E8899" t="str">
        <f>"56725206055206"</f>
        <v>56725206055206</v>
      </c>
      <c r="F8899" s="8">
        <v>664</v>
      </c>
      <c r="G8899" s="8">
        <v>6203</v>
      </c>
      <c r="H8899" s="8">
        <v>0</v>
      </c>
      <c r="I8899" s="8">
        <v>940</v>
      </c>
    </row>
    <row r="8900" spans="1:9" x14ac:dyDescent="0.2">
      <c r="A8900" t="s">
        <v>2001</v>
      </c>
      <c r="B8900" t="s">
        <v>2016</v>
      </c>
      <c r="C8900" t="str">
        <f t="shared" si="453"/>
        <v>56725200000000</v>
      </c>
      <c r="D8900" t="s">
        <v>9532</v>
      </c>
      <c r="E8900" t="str">
        <f>"56725200139626"</f>
        <v>56725200139626</v>
      </c>
      <c r="F8900" s="8">
        <v>12</v>
      </c>
      <c r="G8900" s="8">
        <v>3208</v>
      </c>
      <c r="H8900" s="8">
        <v>0</v>
      </c>
      <c r="I8900" s="8">
        <v>940</v>
      </c>
    </row>
    <row r="8901" spans="1:9" x14ac:dyDescent="0.2">
      <c r="A8901" t="s">
        <v>2001</v>
      </c>
      <c r="B8901" t="s">
        <v>2017</v>
      </c>
      <c r="C8901" t="str">
        <f t="shared" ref="C8901:C8920" si="454">"56725380000000"</f>
        <v>56725380000000</v>
      </c>
      <c r="D8901" t="s">
        <v>9533</v>
      </c>
      <c r="E8901" t="str">
        <f>"56725386055313"</f>
        <v>56725386055313</v>
      </c>
      <c r="F8901" s="8">
        <v>1279</v>
      </c>
      <c r="G8901" s="8">
        <v>9844</v>
      </c>
      <c r="H8901" s="8">
        <v>1275</v>
      </c>
      <c r="I8901" s="8">
        <v>3586</v>
      </c>
    </row>
    <row r="8902" spans="1:9" x14ac:dyDescent="0.2">
      <c r="A8902" t="s">
        <v>2001</v>
      </c>
      <c r="B8902" t="s">
        <v>2017</v>
      </c>
      <c r="C8902" t="str">
        <f t="shared" si="454"/>
        <v>56725380000000</v>
      </c>
      <c r="D8902" t="s">
        <v>9181</v>
      </c>
      <c r="E8902" t="str">
        <f>"56725386055370"</f>
        <v>56725386055370</v>
      </c>
      <c r="F8902" s="8">
        <v>1344</v>
      </c>
      <c r="G8902" s="8">
        <v>9356</v>
      </c>
      <c r="H8902" s="8">
        <v>1275</v>
      </c>
      <c r="I8902" s="8">
        <v>3586</v>
      </c>
    </row>
    <row r="8903" spans="1:9" x14ac:dyDescent="0.2">
      <c r="A8903" t="s">
        <v>2001</v>
      </c>
      <c r="B8903" t="s">
        <v>2017</v>
      </c>
      <c r="C8903" t="str">
        <f t="shared" si="454"/>
        <v>56725380000000</v>
      </c>
      <c r="D8903" t="s">
        <v>9534</v>
      </c>
      <c r="E8903" t="str">
        <f>"56725386055347"</f>
        <v>56725386055347</v>
      </c>
      <c r="F8903" s="8">
        <v>1249</v>
      </c>
      <c r="G8903" s="8">
        <v>8989</v>
      </c>
      <c r="H8903" s="8">
        <v>1275</v>
      </c>
      <c r="I8903" s="8">
        <v>3586</v>
      </c>
    </row>
    <row r="8904" spans="1:9" x14ac:dyDescent="0.2">
      <c r="A8904" t="s">
        <v>2001</v>
      </c>
      <c r="B8904" t="s">
        <v>2017</v>
      </c>
      <c r="C8904" t="str">
        <f t="shared" si="454"/>
        <v>56725380000000</v>
      </c>
      <c r="D8904" t="s">
        <v>9535</v>
      </c>
      <c r="E8904" t="str">
        <f>"56725386111850"</f>
        <v>56725386111850</v>
      </c>
      <c r="F8904" s="8">
        <v>1039</v>
      </c>
      <c r="G8904" s="8">
        <v>9056</v>
      </c>
      <c r="H8904" s="8">
        <v>1275</v>
      </c>
      <c r="I8904" s="8">
        <v>3586</v>
      </c>
    </row>
    <row r="8905" spans="1:9" x14ac:dyDescent="0.2">
      <c r="A8905" t="s">
        <v>2001</v>
      </c>
      <c r="B8905" t="s">
        <v>2017</v>
      </c>
      <c r="C8905" t="str">
        <f t="shared" si="454"/>
        <v>56725380000000</v>
      </c>
      <c r="D8905" t="s">
        <v>3368</v>
      </c>
      <c r="E8905" t="str">
        <f>"56725386107551"</f>
        <v>56725386107551</v>
      </c>
      <c r="F8905" s="8">
        <v>985</v>
      </c>
      <c r="G8905" s="8">
        <v>9066</v>
      </c>
      <c r="H8905" s="8">
        <v>1275</v>
      </c>
      <c r="I8905" s="8">
        <v>3586</v>
      </c>
    </row>
    <row r="8906" spans="1:9" x14ac:dyDescent="0.2">
      <c r="A8906" t="s">
        <v>2001</v>
      </c>
      <c r="B8906" t="s">
        <v>2017</v>
      </c>
      <c r="C8906" t="str">
        <f t="shared" si="454"/>
        <v>56725380000000</v>
      </c>
      <c r="D8906" t="s">
        <v>9536</v>
      </c>
      <c r="E8906" t="str">
        <f>"56725386055305"</f>
        <v>56725386055305</v>
      </c>
      <c r="F8906" s="8">
        <v>1074</v>
      </c>
      <c r="G8906" s="8">
        <v>8942</v>
      </c>
      <c r="H8906" s="8">
        <v>1275</v>
      </c>
      <c r="I8906" s="8">
        <v>3586</v>
      </c>
    </row>
    <row r="8907" spans="1:9" x14ac:dyDescent="0.2">
      <c r="A8907" t="s">
        <v>2001</v>
      </c>
      <c r="B8907" t="s">
        <v>2017</v>
      </c>
      <c r="C8907" t="str">
        <f t="shared" si="454"/>
        <v>56725380000000</v>
      </c>
      <c r="D8907" t="s">
        <v>9537</v>
      </c>
      <c r="E8907" t="str">
        <f>"56725386110738"</f>
        <v>56725386110738</v>
      </c>
      <c r="F8907" s="8">
        <v>1367</v>
      </c>
      <c r="G8907" s="8">
        <v>8635</v>
      </c>
      <c r="H8907" s="8">
        <v>1275</v>
      </c>
      <c r="I8907" s="8">
        <v>3586</v>
      </c>
    </row>
    <row r="8908" spans="1:9" x14ac:dyDescent="0.2">
      <c r="A8908" t="s">
        <v>2001</v>
      </c>
      <c r="B8908" t="s">
        <v>2017</v>
      </c>
      <c r="C8908" t="str">
        <f t="shared" si="454"/>
        <v>56725380000000</v>
      </c>
      <c r="D8908" t="s">
        <v>9538</v>
      </c>
      <c r="E8908" t="str">
        <f>"56725386114029"</f>
        <v>56725386114029</v>
      </c>
      <c r="F8908" s="8">
        <v>1027</v>
      </c>
      <c r="G8908" s="8">
        <v>8893</v>
      </c>
      <c r="H8908" s="8">
        <v>1275</v>
      </c>
      <c r="I8908" s="8">
        <v>3586</v>
      </c>
    </row>
    <row r="8909" spans="1:9" x14ac:dyDescent="0.2">
      <c r="A8909" t="s">
        <v>2001</v>
      </c>
      <c r="B8909" t="s">
        <v>2017</v>
      </c>
      <c r="C8909" t="str">
        <f t="shared" si="454"/>
        <v>56725380000000</v>
      </c>
      <c r="D8909" t="s">
        <v>9539</v>
      </c>
      <c r="E8909" t="str">
        <f>"56725386055297"</f>
        <v>56725386055297</v>
      </c>
      <c r="F8909" s="8">
        <v>1385</v>
      </c>
      <c r="G8909" s="8">
        <v>8517</v>
      </c>
      <c r="H8909" s="8">
        <v>1275</v>
      </c>
      <c r="I8909" s="8">
        <v>3586</v>
      </c>
    </row>
    <row r="8910" spans="1:9" x14ac:dyDescent="0.2">
      <c r="A8910" t="s">
        <v>2001</v>
      </c>
      <c r="B8910" t="s">
        <v>2017</v>
      </c>
      <c r="C8910" t="str">
        <f t="shared" si="454"/>
        <v>56725380000000</v>
      </c>
      <c r="D8910" t="s">
        <v>4841</v>
      </c>
      <c r="E8910" t="str">
        <f>"56725380100362"</f>
        <v>56725380100362</v>
      </c>
      <c r="F8910" s="8">
        <v>1171</v>
      </c>
      <c r="G8910" s="8">
        <v>8372</v>
      </c>
      <c r="H8910" s="8">
        <v>1275</v>
      </c>
      <c r="I8910" s="8">
        <v>3586</v>
      </c>
    </row>
    <row r="8911" spans="1:9" x14ac:dyDescent="0.2">
      <c r="A8911" t="s">
        <v>2001</v>
      </c>
      <c r="B8911" t="s">
        <v>2017</v>
      </c>
      <c r="C8911" t="str">
        <f t="shared" si="454"/>
        <v>56725380000000</v>
      </c>
      <c r="D8911" t="s">
        <v>9540</v>
      </c>
      <c r="E8911" t="str">
        <f>"56725386055388"</f>
        <v>56725386055388</v>
      </c>
      <c r="F8911" s="8">
        <v>1047</v>
      </c>
      <c r="G8911" s="8">
        <v>8433</v>
      </c>
      <c r="H8911" s="8">
        <v>1275</v>
      </c>
      <c r="I8911" s="8">
        <v>3586</v>
      </c>
    </row>
    <row r="8912" spans="1:9" x14ac:dyDescent="0.2">
      <c r="A8912" t="s">
        <v>2001</v>
      </c>
      <c r="B8912" t="s">
        <v>2017</v>
      </c>
      <c r="C8912" t="str">
        <f t="shared" si="454"/>
        <v>56725380000000</v>
      </c>
      <c r="D8912" t="s">
        <v>9541</v>
      </c>
      <c r="E8912" t="str">
        <f>"56725386055289"</f>
        <v>56725386055289</v>
      </c>
      <c r="F8912" s="8">
        <v>1277</v>
      </c>
      <c r="G8912" s="8">
        <v>8052</v>
      </c>
      <c r="H8912" s="8">
        <v>1275</v>
      </c>
      <c r="I8912" s="8">
        <v>3586</v>
      </c>
    </row>
    <row r="8913" spans="1:9" x14ac:dyDescent="0.2">
      <c r="A8913" t="s">
        <v>2001</v>
      </c>
      <c r="B8913" t="s">
        <v>2017</v>
      </c>
      <c r="C8913" t="str">
        <f t="shared" si="454"/>
        <v>56725380000000</v>
      </c>
      <c r="D8913" t="s">
        <v>3580</v>
      </c>
      <c r="E8913" t="str">
        <f>"56725386055362"</f>
        <v>56725386055362</v>
      </c>
      <c r="F8913" s="8">
        <v>1568</v>
      </c>
      <c r="G8913" s="8">
        <v>7729</v>
      </c>
      <c r="H8913" s="8">
        <v>1275</v>
      </c>
      <c r="I8913" s="8">
        <v>3586</v>
      </c>
    </row>
    <row r="8914" spans="1:9" x14ac:dyDescent="0.2">
      <c r="A8914" t="s">
        <v>2001</v>
      </c>
      <c r="B8914" t="s">
        <v>2017</v>
      </c>
      <c r="C8914" t="str">
        <f t="shared" si="454"/>
        <v>56725380000000</v>
      </c>
      <c r="D8914" t="s">
        <v>9542</v>
      </c>
      <c r="E8914" t="str">
        <f>"56725386100333"</f>
        <v>56725386100333</v>
      </c>
      <c r="F8914" s="8">
        <v>1184</v>
      </c>
      <c r="G8914" s="8">
        <v>7715</v>
      </c>
      <c r="H8914" s="8">
        <v>1275</v>
      </c>
      <c r="I8914" s="8">
        <v>3586</v>
      </c>
    </row>
    <row r="8915" spans="1:9" x14ac:dyDescent="0.2">
      <c r="A8915" t="s">
        <v>2001</v>
      </c>
      <c r="B8915" t="s">
        <v>2017</v>
      </c>
      <c r="C8915" t="str">
        <f t="shared" si="454"/>
        <v>56725380000000</v>
      </c>
      <c r="D8915" t="s">
        <v>9543</v>
      </c>
      <c r="E8915" t="str">
        <f>"56725386055263"</f>
        <v>56725386055263</v>
      </c>
      <c r="F8915" s="8">
        <v>870</v>
      </c>
      <c r="G8915" s="8">
        <v>7968</v>
      </c>
      <c r="H8915" s="8">
        <v>1275</v>
      </c>
      <c r="I8915" s="8">
        <v>3586</v>
      </c>
    </row>
    <row r="8916" spans="1:9" x14ac:dyDescent="0.2">
      <c r="A8916" t="s">
        <v>2001</v>
      </c>
      <c r="B8916" t="s">
        <v>2017</v>
      </c>
      <c r="C8916" t="str">
        <f t="shared" si="454"/>
        <v>56725380000000</v>
      </c>
      <c r="D8916" t="s">
        <v>9544</v>
      </c>
      <c r="E8916" t="str">
        <f>"56725386055354"</f>
        <v>56725386055354</v>
      </c>
      <c r="F8916" s="8">
        <v>1533</v>
      </c>
      <c r="G8916" s="8">
        <v>7097</v>
      </c>
      <c r="H8916" s="8">
        <v>1275</v>
      </c>
      <c r="I8916" s="8">
        <v>3586</v>
      </c>
    </row>
    <row r="8917" spans="1:9" x14ac:dyDescent="0.2">
      <c r="A8917" t="s">
        <v>2001</v>
      </c>
      <c r="B8917" t="s">
        <v>2017</v>
      </c>
      <c r="C8917" t="str">
        <f t="shared" si="454"/>
        <v>56725380000000</v>
      </c>
      <c r="D8917" t="s">
        <v>9545</v>
      </c>
      <c r="E8917" t="str">
        <f>"56725386055271"</f>
        <v>56725386055271</v>
      </c>
      <c r="F8917" s="8">
        <v>1027</v>
      </c>
      <c r="G8917" s="8">
        <v>7579</v>
      </c>
      <c r="H8917" s="8">
        <v>1275</v>
      </c>
      <c r="I8917" s="8">
        <v>3586</v>
      </c>
    </row>
    <row r="8918" spans="1:9" x14ac:dyDescent="0.2">
      <c r="A8918" t="s">
        <v>2001</v>
      </c>
      <c r="B8918" t="s">
        <v>2017</v>
      </c>
      <c r="C8918" t="str">
        <f t="shared" si="454"/>
        <v>56725380000000</v>
      </c>
      <c r="D8918" t="s">
        <v>2698</v>
      </c>
      <c r="E8918" t="str">
        <f>"56725386055321"</f>
        <v>56725386055321</v>
      </c>
      <c r="F8918" s="8">
        <v>965</v>
      </c>
      <c r="G8918" s="8">
        <v>7490</v>
      </c>
      <c r="H8918" s="8">
        <v>1275</v>
      </c>
      <c r="I8918" s="8">
        <v>3586</v>
      </c>
    </row>
    <row r="8919" spans="1:9" x14ac:dyDescent="0.2">
      <c r="A8919" t="s">
        <v>2001</v>
      </c>
      <c r="B8919" t="s">
        <v>2017</v>
      </c>
      <c r="C8919" t="str">
        <f t="shared" si="454"/>
        <v>56725380000000</v>
      </c>
      <c r="D8919" t="s">
        <v>9546</v>
      </c>
      <c r="E8919" t="str">
        <f>"56725380119412"</f>
        <v>56725380119412</v>
      </c>
      <c r="F8919" s="8">
        <v>871</v>
      </c>
      <c r="G8919" s="8">
        <v>7195</v>
      </c>
      <c r="H8919" s="8">
        <v>1275</v>
      </c>
      <c r="I8919" s="8">
        <v>3586</v>
      </c>
    </row>
    <row r="8920" spans="1:9" x14ac:dyDescent="0.2">
      <c r="A8920" t="s">
        <v>2001</v>
      </c>
      <c r="B8920" t="s">
        <v>2017</v>
      </c>
      <c r="C8920" t="str">
        <f t="shared" si="454"/>
        <v>56725380000000</v>
      </c>
      <c r="D8920" t="s">
        <v>9547</v>
      </c>
      <c r="E8920" t="str">
        <f>"56725386055339"</f>
        <v>56725386055339</v>
      </c>
      <c r="F8920" s="8">
        <v>897</v>
      </c>
      <c r="G8920" s="8">
        <v>6908</v>
      </c>
      <c r="H8920" s="8">
        <v>1275</v>
      </c>
      <c r="I8920" s="8">
        <v>3586</v>
      </c>
    </row>
    <row r="8921" spans="1:9" x14ac:dyDescent="0.2">
      <c r="A8921" t="s">
        <v>2001</v>
      </c>
      <c r="B8921" t="s">
        <v>2018</v>
      </c>
      <c r="C8921" t="str">
        <f t="shared" ref="C8921:C8930" si="455">"56725460000000"</f>
        <v>56725460000000</v>
      </c>
      <c r="D8921" t="s">
        <v>3324</v>
      </c>
      <c r="E8921" t="str">
        <f>"56725465630066"</f>
        <v>56725465630066</v>
      </c>
      <c r="F8921" s="8">
        <v>1777</v>
      </c>
      <c r="G8921" s="8">
        <v>17231</v>
      </c>
      <c r="H8921" s="8">
        <v>1526</v>
      </c>
      <c r="I8921" s="8">
        <v>1918</v>
      </c>
    </row>
    <row r="8922" spans="1:9" x14ac:dyDescent="0.2">
      <c r="A8922" t="s">
        <v>2001</v>
      </c>
      <c r="B8922" t="s">
        <v>2018</v>
      </c>
      <c r="C8922" t="str">
        <f t="shared" si="455"/>
        <v>56725460000000</v>
      </c>
      <c r="D8922" t="s">
        <v>9548</v>
      </c>
      <c r="E8922" t="str">
        <f>"56725460125674"</f>
        <v>56725460125674</v>
      </c>
      <c r="F8922" s="8">
        <v>957</v>
      </c>
      <c r="G8922" s="8">
        <v>11815</v>
      </c>
      <c r="H8922" s="8">
        <v>1526</v>
      </c>
      <c r="I8922" s="8">
        <v>1918</v>
      </c>
    </row>
    <row r="8923" spans="1:9" x14ac:dyDescent="0.2">
      <c r="A8923" t="s">
        <v>2001</v>
      </c>
      <c r="B8923" t="s">
        <v>2018</v>
      </c>
      <c r="C8923" t="str">
        <f t="shared" si="455"/>
        <v>56725460000000</v>
      </c>
      <c r="D8923" t="s">
        <v>9549</v>
      </c>
      <c r="E8923" t="str">
        <f>"56725465634761"</f>
        <v>56725465634761</v>
      </c>
      <c r="F8923" s="8">
        <v>2083</v>
      </c>
      <c r="G8923" s="8">
        <v>9280</v>
      </c>
      <c r="H8923" s="8">
        <v>1526</v>
      </c>
      <c r="I8923" s="8">
        <v>1918</v>
      </c>
    </row>
    <row r="8924" spans="1:9" x14ac:dyDescent="0.2">
      <c r="A8924" t="s">
        <v>2001</v>
      </c>
      <c r="B8924" t="s">
        <v>2018</v>
      </c>
      <c r="C8924" t="str">
        <f t="shared" si="455"/>
        <v>56725460000000</v>
      </c>
      <c r="D8924" t="s">
        <v>9550</v>
      </c>
      <c r="E8924" t="str">
        <f>"56725465631619"</f>
        <v>56725465631619</v>
      </c>
      <c r="F8924" s="8">
        <v>1627</v>
      </c>
      <c r="G8924" s="8">
        <v>9056</v>
      </c>
      <c r="H8924" s="8">
        <v>1526</v>
      </c>
      <c r="I8924" s="8">
        <v>1918</v>
      </c>
    </row>
    <row r="8925" spans="1:9" x14ac:dyDescent="0.2">
      <c r="A8925" t="s">
        <v>2001</v>
      </c>
      <c r="B8925" t="s">
        <v>2018</v>
      </c>
      <c r="C8925" t="str">
        <f t="shared" si="455"/>
        <v>56725460000000</v>
      </c>
      <c r="D8925" t="s">
        <v>9551</v>
      </c>
      <c r="E8925" t="str">
        <f>"56725465632849"</f>
        <v>56725465632849</v>
      </c>
      <c r="F8925" s="8">
        <v>1990</v>
      </c>
      <c r="G8925" s="8">
        <v>8029</v>
      </c>
      <c r="H8925" s="8">
        <v>1526</v>
      </c>
      <c r="I8925" s="8">
        <v>1918</v>
      </c>
    </row>
    <row r="8926" spans="1:9" x14ac:dyDescent="0.2">
      <c r="A8926" t="s">
        <v>2001</v>
      </c>
      <c r="B8926" t="s">
        <v>2018</v>
      </c>
      <c r="C8926" t="str">
        <f t="shared" si="455"/>
        <v>56725460000000</v>
      </c>
      <c r="D8926" t="s">
        <v>9552</v>
      </c>
      <c r="E8926" t="str">
        <f>"56725465631742"</f>
        <v>56725465631742</v>
      </c>
      <c r="F8926" s="8">
        <v>1425</v>
      </c>
      <c r="G8926" s="8">
        <v>8455</v>
      </c>
      <c r="H8926" s="8">
        <v>1526</v>
      </c>
      <c r="I8926" s="8">
        <v>1918</v>
      </c>
    </row>
    <row r="8927" spans="1:9" x14ac:dyDescent="0.2">
      <c r="A8927" t="s">
        <v>2001</v>
      </c>
      <c r="B8927" t="s">
        <v>2018</v>
      </c>
      <c r="C8927" t="str">
        <f t="shared" si="455"/>
        <v>56725460000000</v>
      </c>
      <c r="D8927" t="s">
        <v>9553</v>
      </c>
      <c r="E8927" t="str">
        <f>"56725460131698"</f>
        <v>56725460131698</v>
      </c>
      <c r="F8927" s="8">
        <v>1586</v>
      </c>
      <c r="G8927" s="8">
        <v>8015</v>
      </c>
      <c r="H8927" s="8">
        <v>1526</v>
      </c>
      <c r="I8927" s="8">
        <v>1918</v>
      </c>
    </row>
    <row r="8928" spans="1:9" x14ac:dyDescent="0.2">
      <c r="A8928" t="s">
        <v>2001</v>
      </c>
      <c r="B8928" t="s">
        <v>2018</v>
      </c>
      <c r="C8928" t="str">
        <f t="shared" si="455"/>
        <v>56725460000000</v>
      </c>
      <c r="D8928" t="s">
        <v>9554</v>
      </c>
      <c r="E8928" t="str">
        <f>"56725465634548"</f>
        <v>56725465634548</v>
      </c>
      <c r="F8928" s="8">
        <v>1522</v>
      </c>
      <c r="G8928" s="8">
        <v>8035</v>
      </c>
      <c r="H8928" s="8">
        <v>1526</v>
      </c>
      <c r="I8928" s="8">
        <v>1918</v>
      </c>
    </row>
    <row r="8929" spans="1:9" x14ac:dyDescent="0.2">
      <c r="A8929" t="s">
        <v>2001</v>
      </c>
      <c r="B8929" t="s">
        <v>2018</v>
      </c>
      <c r="C8929" t="str">
        <f t="shared" si="455"/>
        <v>56725460000000</v>
      </c>
      <c r="D8929" t="s">
        <v>9555</v>
      </c>
      <c r="E8929" t="str">
        <f>"56725460136804"</f>
        <v>56725460136804</v>
      </c>
      <c r="F8929" s="8">
        <v>2192</v>
      </c>
      <c r="G8929" s="8">
        <v>7256</v>
      </c>
      <c r="H8929" s="8">
        <v>1526</v>
      </c>
      <c r="I8929" s="8">
        <v>1918</v>
      </c>
    </row>
    <row r="8930" spans="1:9" x14ac:dyDescent="0.2">
      <c r="A8930" t="s">
        <v>2001</v>
      </c>
      <c r="B8930" t="s">
        <v>2018</v>
      </c>
      <c r="C8930" t="str">
        <f t="shared" si="455"/>
        <v>56725460000000</v>
      </c>
      <c r="D8930" t="s">
        <v>5873</v>
      </c>
      <c r="E8930" t="str">
        <f>"56725465630389"</f>
        <v>56725465630389</v>
      </c>
      <c r="F8930" s="8">
        <v>1377</v>
      </c>
      <c r="G8930" s="8">
        <v>7479</v>
      </c>
      <c r="H8930" s="8">
        <v>1526</v>
      </c>
      <c r="I8930" s="8">
        <v>1918</v>
      </c>
    </row>
    <row r="8931" spans="1:9" x14ac:dyDescent="0.2">
      <c r="A8931" t="s">
        <v>2001</v>
      </c>
      <c r="B8931" t="s">
        <v>2020</v>
      </c>
      <c r="C8931" t="str">
        <f t="shared" ref="C8931:C8941" si="456">"56725530000000"</f>
        <v>56725530000000</v>
      </c>
      <c r="D8931" t="s">
        <v>9556</v>
      </c>
      <c r="E8931" t="str">
        <f>"56725536055396"</f>
        <v>56725536055396</v>
      </c>
      <c r="F8931" s="8">
        <v>586</v>
      </c>
      <c r="G8931" s="8">
        <v>9798</v>
      </c>
      <c r="H8931" s="8">
        <v>417</v>
      </c>
      <c r="I8931" s="8">
        <v>4438</v>
      </c>
    </row>
    <row r="8932" spans="1:9" x14ac:dyDescent="0.2">
      <c r="A8932" t="s">
        <v>2001</v>
      </c>
      <c r="B8932" t="s">
        <v>2020</v>
      </c>
      <c r="C8932" t="str">
        <f t="shared" si="456"/>
        <v>56725530000000</v>
      </c>
      <c r="D8932" t="s">
        <v>9557</v>
      </c>
      <c r="E8932" t="str">
        <f>"56725536055404"</f>
        <v>56725536055404</v>
      </c>
      <c r="F8932" s="8">
        <v>983</v>
      </c>
      <c r="G8932" s="8">
        <v>9123</v>
      </c>
      <c r="H8932" s="8">
        <v>417</v>
      </c>
      <c r="I8932" s="8">
        <v>4438</v>
      </c>
    </row>
    <row r="8933" spans="1:9" x14ac:dyDescent="0.2">
      <c r="A8933" t="s">
        <v>2001</v>
      </c>
      <c r="B8933" t="s">
        <v>2020</v>
      </c>
      <c r="C8933" t="str">
        <f t="shared" si="456"/>
        <v>56725530000000</v>
      </c>
      <c r="D8933" t="s">
        <v>9558</v>
      </c>
      <c r="E8933" t="str">
        <f>"56725536112171"</f>
        <v>56725536112171</v>
      </c>
      <c r="F8933" s="8">
        <v>441</v>
      </c>
      <c r="G8933" s="8">
        <v>7823</v>
      </c>
      <c r="H8933" s="8">
        <v>417</v>
      </c>
      <c r="I8933" s="8">
        <v>4438</v>
      </c>
    </row>
    <row r="8934" spans="1:9" x14ac:dyDescent="0.2">
      <c r="A8934" t="s">
        <v>2001</v>
      </c>
      <c r="B8934" t="s">
        <v>2020</v>
      </c>
      <c r="C8934" t="str">
        <f t="shared" si="456"/>
        <v>56725530000000</v>
      </c>
      <c r="D8934" t="s">
        <v>9559</v>
      </c>
      <c r="E8934" t="str">
        <f>"56725530110502"</f>
        <v>56725530110502</v>
      </c>
      <c r="F8934" s="8">
        <v>406</v>
      </c>
      <c r="G8934" s="8">
        <v>6627</v>
      </c>
      <c r="H8934" s="8">
        <v>417</v>
      </c>
      <c r="I8934" s="8">
        <v>4438</v>
      </c>
    </row>
    <row r="8935" spans="1:9" x14ac:dyDescent="0.2">
      <c r="A8935" t="s">
        <v>2001</v>
      </c>
      <c r="B8935" t="s">
        <v>2020</v>
      </c>
      <c r="C8935" t="str">
        <f t="shared" si="456"/>
        <v>56725530000000</v>
      </c>
      <c r="D8935" t="s">
        <v>9560</v>
      </c>
      <c r="E8935" t="str">
        <f>"56725536055438"</f>
        <v>56725536055438</v>
      </c>
      <c r="F8935" s="8">
        <v>646</v>
      </c>
      <c r="G8935" s="8">
        <v>5866</v>
      </c>
      <c r="H8935" s="8">
        <v>417</v>
      </c>
      <c r="I8935" s="8">
        <v>4438</v>
      </c>
    </row>
    <row r="8936" spans="1:9" x14ac:dyDescent="0.2">
      <c r="A8936" t="s">
        <v>2001</v>
      </c>
      <c r="B8936" t="s">
        <v>2020</v>
      </c>
      <c r="C8936" t="str">
        <f t="shared" si="456"/>
        <v>56725530000000</v>
      </c>
      <c r="D8936" t="s">
        <v>9561</v>
      </c>
      <c r="E8936" t="str">
        <f>"56725536120117"</f>
        <v>56725536120117</v>
      </c>
      <c r="F8936" s="8">
        <v>454</v>
      </c>
      <c r="G8936" s="8">
        <v>5945</v>
      </c>
      <c r="H8936" s="8">
        <v>417</v>
      </c>
      <c r="I8936" s="8">
        <v>4438</v>
      </c>
    </row>
    <row r="8937" spans="1:9" x14ac:dyDescent="0.2">
      <c r="A8937" t="s">
        <v>2001</v>
      </c>
      <c r="B8937" t="s">
        <v>2020</v>
      </c>
      <c r="C8937" t="str">
        <f t="shared" si="456"/>
        <v>56725530000000</v>
      </c>
      <c r="D8937" t="s">
        <v>9562</v>
      </c>
      <c r="E8937" t="str">
        <f>"56725536096838"</f>
        <v>56725536096838</v>
      </c>
      <c r="F8937" s="8">
        <v>279</v>
      </c>
      <c r="G8937" s="8">
        <v>6051</v>
      </c>
      <c r="H8937" s="8">
        <v>417</v>
      </c>
      <c r="I8937" s="8">
        <v>4438</v>
      </c>
    </row>
    <row r="8938" spans="1:9" x14ac:dyDescent="0.2">
      <c r="A8938" t="s">
        <v>2001</v>
      </c>
      <c r="B8938" t="s">
        <v>2020</v>
      </c>
      <c r="C8938" t="str">
        <f t="shared" si="456"/>
        <v>56725530000000</v>
      </c>
      <c r="D8938" t="s">
        <v>9563</v>
      </c>
      <c r="E8938" t="str">
        <f>"56725536055412"</f>
        <v>56725536055412</v>
      </c>
      <c r="F8938" s="8">
        <v>750</v>
      </c>
      <c r="G8938" s="8">
        <v>5410</v>
      </c>
      <c r="H8938" s="8">
        <v>417</v>
      </c>
      <c r="I8938" s="8">
        <v>4438</v>
      </c>
    </row>
    <row r="8939" spans="1:9" x14ac:dyDescent="0.2">
      <c r="A8939" t="s">
        <v>2001</v>
      </c>
      <c r="B8939" t="s">
        <v>2020</v>
      </c>
      <c r="C8939" t="str">
        <f t="shared" si="456"/>
        <v>56725530000000</v>
      </c>
      <c r="D8939" t="s">
        <v>6632</v>
      </c>
      <c r="E8939" t="str">
        <f>"56725536055461"</f>
        <v>56725536055461</v>
      </c>
      <c r="F8939" s="8">
        <v>466</v>
      </c>
      <c r="G8939" s="8">
        <v>5647</v>
      </c>
      <c r="H8939" s="8">
        <v>417</v>
      </c>
      <c r="I8939" s="8">
        <v>4438</v>
      </c>
    </row>
    <row r="8940" spans="1:9" x14ac:dyDescent="0.2">
      <c r="A8940" t="s">
        <v>2001</v>
      </c>
      <c r="B8940" t="s">
        <v>2020</v>
      </c>
      <c r="C8940" t="str">
        <f t="shared" si="456"/>
        <v>56725530000000</v>
      </c>
      <c r="D8940" t="s">
        <v>9564</v>
      </c>
      <c r="E8940" t="str">
        <f>"56725530101378"</f>
        <v>56725530101378</v>
      </c>
      <c r="F8940" s="8">
        <v>500</v>
      </c>
      <c r="G8940" s="8">
        <v>5543</v>
      </c>
      <c r="H8940" s="8">
        <v>417</v>
      </c>
      <c r="I8940" s="8">
        <v>4438</v>
      </c>
    </row>
    <row r="8941" spans="1:9" x14ac:dyDescent="0.2">
      <c r="A8941" t="s">
        <v>2001</v>
      </c>
      <c r="B8941" t="s">
        <v>2020</v>
      </c>
      <c r="C8941" t="str">
        <f t="shared" si="456"/>
        <v>56725530000000</v>
      </c>
      <c r="D8941" t="s">
        <v>9565</v>
      </c>
      <c r="E8941" t="str">
        <f>"56725536055990"</f>
        <v>56725536055990</v>
      </c>
      <c r="F8941" s="8">
        <v>218</v>
      </c>
      <c r="G8941" s="8">
        <v>5562</v>
      </c>
      <c r="H8941" s="8">
        <v>417</v>
      </c>
      <c r="I8941" s="8">
        <v>4438</v>
      </c>
    </row>
    <row r="8942" spans="1:9" x14ac:dyDescent="0.2">
      <c r="A8942" t="s">
        <v>2001</v>
      </c>
      <c r="B8942" t="s">
        <v>2021</v>
      </c>
      <c r="C8942" t="str">
        <f t="shared" ref="C8942:C8950" si="457">"56725610000000"</f>
        <v>56725610000000</v>
      </c>
      <c r="D8942" t="s">
        <v>9566</v>
      </c>
      <c r="E8942" t="str">
        <f>"56725610137018"</f>
        <v>56725610137018</v>
      </c>
      <c r="F8942" s="8">
        <v>871</v>
      </c>
      <c r="G8942" s="8">
        <v>6689</v>
      </c>
      <c r="H8942" s="8">
        <v>1254.2012195121952</v>
      </c>
      <c r="I8942" s="8">
        <v>4512.9939024390242</v>
      </c>
    </row>
    <row r="8943" spans="1:9" x14ac:dyDescent="0.2">
      <c r="A8943" t="s">
        <v>2001</v>
      </c>
      <c r="B8943" t="s">
        <v>2021</v>
      </c>
      <c r="C8943" t="str">
        <f t="shared" si="457"/>
        <v>56725610000000</v>
      </c>
      <c r="D8943" t="s">
        <v>9567</v>
      </c>
      <c r="E8943" t="str">
        <f>"56725616055495"</f>
        <v>56725616055495</v>
      </c>
      <c r="F8943" s="8">
        <v>732</v>
      </c>
      <c r="G8943" s="8">
        <v>523</v>
      </c>
      <c r="H8943" s="8">
        <v>1254.200819672131</v>
      </c>
      <c r="I8943" s="8">
        <v>4512.9945355191257</v>
      </c>
    </row>
    <row r="8944" spans="1:9" x14ac:dyDescent="0.2">
      <c r="A8944" t="s">
        <v>2001</v>
      </c>
      <c r="B8944" t="s">
        <v>2021</v>
      </c>
      <c r="C8944" t="str">
        <f t="shared" si="457"/>
        <v>56725610000000</v>
      </c>
      <c r="D8944" t="s">
        <v>9568</v>
      </c>
      <c r="E8944" t="str">
        <f>"56725616055529"</f>
        <v>56725616055529</v>
      </c>
      <c r="F8944" s="8">
        <v>641</v>
      </c>
      <c r="G8944" s="8">
        <v>8541</v>
      </c>
      <c r="H8944" s="8">
        <v>1254.2011173184358</v>
      </c>
      <c r="I8944" s="8">
        <v>4512.9944134078214</v>
      </c>
    </row>
    <row r="8945" spans="1:9" x14ac:dyDescent="0.2">
      <c r="A8945" t="s">
        <v>2001</v>
      </c>
      <c r="B8945" t="s">
        <v>2021</v>
      </c>
      <c r="C8945" t="str">
        <f t="shared" si="457"/>
        <v>56725610000000</v>
      </c>
      <c r="D8945" t="s">
        <v>2806</v>
      </c>
      <c r="E8945" t="str">
        <f>"56725610113977"</f>
        <v>56725610113977</v>
      </c>
      <c r="F8945" s="8">
        <v>379</v>
      </c>
      <c r="G8945" s="8">
        <v>8885</v>
      </c>
      <c r="H8945" s="8">
        <v>1254.2016000000001</v>
      </c>
      <c r="I8945" s="8">
        <v>4512.9935999999998</v>
      </c>
    </row>
    <row r="8946" spans="1:9" x14ac:dyDescent="0.2">
      <c r="A8946" t="s">
        <v>2001</v>
      </c>
      <c r="B8946" t="s">
        <v>2021</v>
      </c>
      <c r="C8946" t="str">
        <f t="shared" si="457"/>
        <v>56725610000000</v>
      </c>
      <c r="D8946" t="s">
        <v>9569</v>
      </c>
      <c r="E8946" t="str">
        <f>"56725616055511"</f>
        <v>56725616055511</v>
      </c>
      <c r="F8946" s="8">
        <v>764</v>
      </c>
      <c r="G8946" s="8">
        <v>7219</v>
      </c>
      <c r="H8946" s="8">
        <v>1254.2014787430685</v>
      </c>
      <c r="I8946" s="8">
        <v>4512.9944547134937</v>
      </c>
    </row>
    <row r="8947" spans="1:9" x14ac:dyDescent="0.2">
      <c r="A8947" t="s">
        <v>2001</v>
      </c>
      <c r="B8947" t="s">
        <v>2021</v>
      </c>
      <c r="C8947" t="str">
        <f t="shared" si="457"/>
        <v>56725610000000</v>
      </c>
      <c r="D8947" t="s">
        <v>9570</v>
      </c>
      <c r="E8947" t="str">
        <f>"56725616118061"</f>
        <v>56725616118061</v>
      </c>
      <c r="F8947" s="8">
        <v>318</v>
      </c>
      <c r="G8947" s="8">
        <v>7693</v>
      </c>
      <c r="H8947" s="8">
        <v>1254.2021052631578</v>
      </c>
      <c r="I8947" s="8">
        <v>4512.9936842105262</v>
      </c>
    </row>
    <row r="8948" spans="1:9" x14ac:dyDescent="0.2">
      <c r="A8948" t="s">
        <v>2001</v>
      </c>
      <c r="B8948" t="s">
        <v>2021</v>
      </c>
      <c r="C8948" t="str">
        <f t="shared" si="457"/>
        <v>56725610000000</v>
      </c>
      <c r="D8948" t="s">
        <v>9571</v>
      </c>
      <c r="E8948" t="str">
        <f>"56725616119242"</f>
        <v>56725616119242</v>
      </c>
      <c r="F8948" s="8">
        <v>554</v>
      </c>
      <c r="G8948" s="8">
        <v>7644</v>
      </c>
      <c r="H8948" s="8">
        <v>1254.2004310344828</v>
      </c>
      <c r="I8948" s="8">
        <v>4512.9935344827591</v>
      </c>
    </row>
    <row r="8949" spans="1:9" x14ac:dyDescent="0.2">
      <c r="A8949" t="s">
        <v>2001</v>
      </c>
      <c r="B8949" t="s">
        <v>2021</v>
      </c>
      <c r="C8949" t="str">
        <f t="shared" si="457"/>
        <v>56725610000000</v>
      </c>
      <c r="D8949" t="s">
        <v>9572</v>
      </c>
      <c r="E8949" t="str">
        <f>"56725616055503"</f>
        <v>56725616055503</v>
      </c>
      <c r="F8949" s="8">
        <v>178</v>
      </c>
      <c r="G8949" s="8">
        <v>9437</v>
      </c>
      <c r="H8949" s="8">
        <v>1254.2013729977116</v>
      </c>
      <c r="I8949" s="8">
        <v>4512.9931350114421</v>
      </c>
    </row>
    <row r="8950" spans="1:9" x14ac:dyDescent="0.2">
      <c r="A8950" t="s">
        <v>2001</v>
      </c>
      <c r="B8950" t="s">
        <v>2021</v>
      </c>
      <c r="C8950" t="str">
        <f t="shared" si="457"/>
        <v>56725610000000</v>
      </c>
      <c r="D8950" t="s">
        <v>9573</v>
      </c>
      <c r="E8950" t="str">
        <f>"56725610112631"</f>
        <v>56725610112631</v>
      </c>
      <c r="F8950" s="8">
        <v>371</v>
      </c>
      <c r="G8950" s="8">
        <v>8345</v>
      </c>
      <c r="H8950" s="8">
        <v>4512.994974874372</v>
      </c>
      <c r="I8950" s="8">
        <v>5789.0954773869344</v>
      </c>
    </row>
    <row r="8951" spans="1:9" x14ac:dyDescent="0.2">
      <c r="A8951" t="s">
        <v>2001</v>
      </c>
      <c r="B8951" t="s">
        <v>2023</v>
      </c>
      <c r="C8951" t="str">
        <f>"56725790000000"</f>
        <v>56725790000000</v>
      </c>
      <c r="D8951" t="s">
        <v>2023</v>
      </c>
      <c r="E8951" t="str">
        <f>"56725796055537"</f>
        <v>56725796055537</v>
      </c>
      <c r="F8951" s="8">
        <v>946</v>
      </c>
      <c r="G8951" s="8">
        <v>10993</v>
      </c>
      <c r="H8951" s="8">
        <v>7</v>
      </c>
      <c r="I8951" s="8">
        <v>803</v>
      </c>
    </row>
    <row r="8952" spans="1:9" x14ac:dyDescent="0.2">
      <c r="A8952" t="s">
        <v>2001</v>
      </c>
      <c r="B8952" t="s">
        <v>2024</v>
      </c>
      <c r="C8952" t="str">
        <f t="shared" ref="C8952:C8960" si="458">"56768280000000"</f>
        <v>56768280000000</v>
      </c>
      <c r="D8952" t="s">
        <v>9574</v>
      </c>
      <c r="E8952" t="str">
        <f>"56768285636170"</f>
        <v>56768285636170</v>
      </c>
      <c r="F8952" s="8">
        <v>104</v>
      </c>
      <c r="G8952" s="8">
        <v>10045</v>
      </c>
      <c r="H8952" s="8">
        <v>2450</v>
      </c>
      <c r="I8952" s="8">
        <v>6056</v>
      </c>
    </row>
    <row r="8953" spans="1:9" x14ac:dyDescent="0.2">
      <c r="A8953" t="s">
        <v>2001</v>
      </c>
      <c r="B8953" t="s">
        <v>2024</v>
      </c>
      <c r="C8953" t="str">
        <f t="shared" si="458"/>
        <v>56768280000000</v>
      </c>
      <c r="D8953" t="s">
        <v>9575</v>
      </c>
      <c r="E8953" t="str">
        <f>"56768286055545"</f>
        <v>56768286055545</v>
      </c>
      <c r="F8953" s="8">
        <v>235</v>
      </c>
      <c r="G8953" s="8">
        <v>7783</v>
      </c>
      <c r="H8953" s="8">
        <v>2450</v>
      </c>
      <c r="I8953" s="8">
        <v>6056</v>
      </c>
    </row>
    <row r="8954" spans="1:9" x14ac:dyDescent="0.2">
      <c r="A8954" t="s">
        <v>2001</v>
      </c>
      <c r="B8954" t="s">
        <v>2024</v>
      </c>
      <c r="C8954" t="str">
        <f t="shared" si="458"/>
        <v>56768280000000</v>
      </c>
      <c r="D8954" t="s">
        <v>9576</v>
      </c>
      <c r="E8954" t="str">
        <f>"56768286055552"</f>
        <v>56768286055552</v>
      </c>
      <c r="F8954" s="8">
        <v>46</v>
      </c>
      <c r="G8954" s="8">
        <v>7459</v>
      </c>
      <c r="H8954" s="8">
        <v>2450</v>
      </c>
      <c r="I8954" s="8">
        <v>6056</v>
      </c>
    </row>
    <row r="8955" spans="1:9" x14ac:dyDescent="0.2">
      <c r="A8955" t="s">
        <v>2001</v>
      </c>
      <c r="B8955" t="s">
        <v>2024</v>
      </c>
      <c r="C8955" t="str">
        <f t="shared" si="458"/>
        <v>56768280000000</v>
      </c>
      <c r="D8955" t="s">
        <v>9577</v>
      </c>
      <c r="E8955" t="str">
        <f>"56768286055586"</f>
        <v>56768286055586</v>
      </c>
      <c r="F8955" s="8">
        <v>82</v>
      </c>
      <c r="G8955" s="8">
        <v>7080</v>
      </c>
      <c r="H8955" s="8">
        <v>2450</v>
      </c>
      <c r="I8955" s="8">
        <v>6056</v>
      </c>
    </row>
    <row r="8956" spans="1:9" x14ac:dyDescent="0.2">
      <c r="A8956" t="s">
        <v>2001</v>
      </c>
      <c r="B8956" t="s">
        <v>2024</v>
      </c>
      <c r="C8956" t="str">
        <f t="shared" si="458"/>
        <v>56768280000000</v>
      </c>
      <c r="D8956" t="s">
        <v>9578</v>
      </c>
      <c r="E8956" t="str">
        <f>"56768286055602"</f>
        <v>56768286055602</v>
      </c>
      <c r="F8956" s="8">
        <v>29</v>
      </c>
      <c r="G8956" s="8">
        <v>7108</v>
      </c>
      <c r="H8956" s="8">
        <v>2450</v>
      </c>
      <c r="I8956" s="8">
        <v>6056</v>
      </c>
    </row>
    <row r="8957" spans="1:9" x14ac:dyDescent="0.2">
      <c r="A8957" t="s">
        <v>2001</v>
      </c>
      <c r="B8957" t="s">
        <v>2024</v>
      </c>
      <c r="C8957" t="str">
        <f t="shared" si="458"/>
        <v>56768280000000</v>
      </c>
      <c r="D8957" t="s">
        <v>9579</v>
      </c>
      <c r="E8957" t="str">
        <f>"56768286055610"</f>
        <v>56768286055610</v>
      </c>
      <c r="F8957" s="8">
        <v>54</v>
      </c>
      <c r="G8957" s="8">
        <v>7049</v>
      </c>
      <c r="H8957" s="8">
        <v>2450</v>
      </c>
      <c r="I8957" s="8">
        <v>6056</v>
      </c>
    </row>
    <row r="8958" spans="1:9" x14ac:dyDescent="0.2">
      <c r="A8958" t="s">
        <v>2001</v>
      </c>
      <c r="B8958" t="s">
        <v>2024</v>
      </c>
      <c r="C8958" t="str">
        <f t="shared" si="458"/>
        <v>56768280000000</v>
      </c>
      <c r="D8958" t="s">
        <v>9580</v>
      </c>
      <c r="E8958" t="str">
        <f>"56768286055578"</f>
        <v>56768286055578</v>
      </c>
      <c r="F8958" s="8">
        <v>65</v>
      </c>
      <c r="G8958" s="8">
        <v>6918</v>
      </c>
      <c r="H8958" s="8">
        <v>2450</v>
      </c>
      <c r="I8958" s="8">
        <v>6056</v>
      </c>
    </row>
    <row r="8959" spans="1:9" x14ac:dyDescent="0.2">
      <c r="A8959" t="s">
        <v>2001</v>
      </c>
      <c r="B8959" t="s">
        <v>2024</v>
      </c>
      <c r="C8959" t="str">
        <f t="shared" si="458"/>
        <v>56768280000000</v>
      </c>
      <c r="D8959" t="s">
        <v>9581</v>
      </c>
      <c r="E8959" t="str">
        <f>"56768286055594"</f>
        <v>56768286055594</v>
      </c>
      <c r="F8959" s="8">
        <v>108</v>
      </c>
      <c r="G8959" s="8">
        <v>6231</v>
      </c>
      <c r="H8959" s="8">
        <v>2450</v>
      </c>
      <c r="I8959" s="8">
        <v>6056</v>
      </c>
    </row>
    <row r="8960" spans="1:9" x14ac:dyDescent="0.2">
      <c r="A8960" t="s">
        <v>2001</v>
      </c>
      <c r="B8960" t="s">
        <v>2024</v>
      </c>
      <c r="C8960" t="str">
        <f t="shared" si="458"/>
        <v>56768280000000</v>
      </c>
      <c r="D8960" t="s">
        <v>9582</v>
      </c>
      <c r="E8960" t="str">
        <f>"56768285635776"</f>
        <v>56768285635776</v>
      </c>
      <c r="F8960" s="8">
        <v>125</v>
      </c>
      <c r="G8960" s="8">
        <v>5836</v>
      </c>
      <c r="H8960" s="8">
        <v>2450</v>
      </c>
      <c r="I8960" s="8">
        <v>6056</v>
      </c>
    </row>
    <row r="8961" spans="1:9" x14ac:dyDescent="0.2">
      <c r="A8961" t="s">
        <v>2001</v>
      </c>
      <c r="B8961" t="s">
        <v>2025</v>
      </c>
      <c r="C8961" t="str">
        <f t="shared" ref="C8961:C8987" si="459">"56726030000000"</f>
        <v>56726030000000</v>
      </c>
      <c r="D8961" t="s">
        <v>8548</v>
      </c>
      <c r="E8961" t="str">
        <f>"56726035634993"</f>
        <v>56726035634993</v>
      </c>
      <c r="F8961" s="8">
        <v>778</v>
      </c>
      <c r="G8961" s="8">
        <v>17708</v>
      </c>
      <c r="H8961" s="8">
        <v>808</v>
      </c>
      <c r="I8961" s="8">
        <v>3501</v>
      </c>
    </row>
    <row r="8962" spans="1:9" x14ac:dyDescent="0.2">
      <c r="A8962" t="s">
        <v>2001</v>
      </c>
      <c r="B8962" t="s">
        <v>2025</v>
      </c>
      <c r="C8962" t="str">
        <f t="shared" si="459"/>
        <v>56726030000000</v>
      </c>
      <c r="D8962" t="s">
        <v>9583</v>
      </c>
      <c r="E8962" t="str">
        <f>"56726030133264"</f>
        <v>56726030133264</v>
      </c>
      <c r="F8962" s="8">
        <v>1522</v>
      </c>
      <c r="G8962" s="8">
        <v>9844</v>
      </c>
      <c r="H8962" s="8">
        <v>808</v>
      </c>
      <c r="I8962" s="8">
        <v>3501</v>
      </c>
    </row>
    <row r="8963" spans="1:9" x14ac:dyDescent="0.2">
      <c r="A8963" t="s">
        <v>2001</v>
      </c>
      <c r="B8963" t="s">
        <v>2025</v>
      </c>
      <c r="C8963" t="str">
        <f t="shared" si="459"/>
        <v>56726030000000</v>
      </c>
      <c r="D8963" t="s">
        <v>5029</v>
      </c>
      <c r="E8963" t="str">
        <f>"56726036055636"</f>
        <v>56726036055636</v>
      </c>
      <c r="F8963" s="8">
        <v>1200</v>
      </c>
      <c r="G8963" s="8">
        <v>10070</v>
      </c>
      <c r="H8963" s="8">
        <v>808</v>
      </c>
      <c r="I8963" s="8">
        <v>3501</v>
      </c>
    </row>
    <row r="8964" spans="1:9" x14ac:dyDescent="0.2">
      <c r="A8964" t="s">
        <v>2001</v>
      </c>
      <c r="B8964" t="s">
        <v>2025</v>
      </c>
      <c r="C8964" t="str">
        <f t="shared" si="459"/>
        <v>56726030000000</v>
      </c>
      <c r="D8964" t="s">
        <v>9584</v>
      </c>
      <c r="E8964" t="str">
        <f>"56726036055776"</f>
        <v>56726036055776</v>
      </c>
      <c r="F8964" s="8">
        <v>1131</v>
      </c>
      <c r="G8964" s="8">
        <v>10078</v>
      </c>
      <c r="H8964" s="8">
        <v>808</v>
      </c>
      <c r="I8964" s="8">
        <v>3501</v>
      </c>
    </row>
    <row r="8965" spans="1:9" x14ac:dyDescent="0.2">
      <c r="A8965" t="s">
        <v>2001</v>
      </c>
      <c r="B8965" t="s">
        <v>2025</v>
      </c>
      <c r="C8965" t="str">
        <f t="shared" si="459"/>
        <v>56726030000000</v>
      </c>
      <c r="D8965" t="s">
        <v>9585</v>
      </c>
      <c r="E8965" t="str">
        <f>"56726036055727"</f>
        <v>56726036055727</v>
      </c>
      <c r="F8965" s="8">
        <v>66</v>
      </c>
      <c r="G8965" s="8">
        <v>9832</v>
      </c>
      <c r="H8965" s="8">
        <v>808</v>
      </c>
      <c r="I8965" s="8">
        <v>3501</v>
      </c>
    </row>
    <row r="8966" spans="1:9" x14ac:dyDescent="0.2">
      <c r="A8966" t="s">
        <v>2001</v>
      </c>
      <c r="B8966" t="s">
        <v>2025</v>
      </c>
      <c r="C8966" t="str">
        <f t="shared" si="459"/>
        <v>56726030000000</v>
      </c>
      <c r="D8966" t="s">
        <v>4368</v>
      </c>
      <c r="E8966" t="str">
        <f>"56726036055693"</f>
        <v>56726036055693</v>
      </c>
      <c r="F8966" s="8">
        <v>23</v>
      </c>
      <c r="G8966" s="8">
        <v>9759</v>
      </c>
      <c r="H8966" s="8">
        <v>808</v>
      </c>
      <c r="I8966" s="8">
        <v>3501</v>
      </c>
    </row>
    <row r="8967" spans="1:9" x14ac:dyDescent="0.2">
      <c r="A8967" t="s">
        <v>2001</v>
      </c>
      <c r="B8967" t="s">
        <v>2025</v>
      </c>
      <c r="C8967" t="str">
        <f t="shared" si="459"/>
        <v>56726030000000</v>
      </c>
      <c r="D8967" t="s">
        <v>3717</v>
      </c>
      <c r="E8967" t="str">
        <f>"56726036055792"</f>
        <v>56726036055792</v>
      </c>
      <c r="F8967" s="8">
        <v>112</v>
      </c>
      <c r="G8967" s="8">
        <v>8761</v>
      </c>
      <c r="H8967" s="8">
        <v>808</v>
      </c>
      <c r="I8967" s="8">
        <v>3501</v>
      </c>
    </row>
    <row r="8968" spans="1:9" x14ac:dyDescent="0.2">
      <c r="A8968" t="s">
        <v>2001</v>
      </c>
      <c r="B8968" t="s">
        <v>2025</v>
      </c>
      <c r="C8968" t="str">
        <f t="shared" si="459"/>
        <v>56726030000000</v>
      </c>
      <c r="D8968" t="s">
        <v>9586</v>
      </c>
      <c r="E8968" t="str">
        <f>"56726035630322"</f>
        <v>56726035630322</v>
      </c>
      <c r="F8968" s="8">
        <v>155</v>
      </c>
      <c r="G8968" s="8">
        <v>7990</v>
      </c>
      <c r="H8968" s="8">
        <v>808</v>
      </c>
      <c r="I8968" s="8">
        <v>3501</v>
      </c>
    </row>
    <row r="8969" spans="1:9" x14ac:dyDescent="0.2">
      <c r="A8969" t="s">
        <v>2001</v>
      </c>
      <c r="B8969" t="s">
        <v>2025</v>
      </c>
      <c r="C8969" t="str">
        <f t="shared" si="459"/>
        <v>56726030000000</v>
      </c>
      <c r="D8969" t="s">
        <v>710</v>
      </c>
      <c r="E8969" t="str">
        <f>"56726036055750"</f>
        <v>56726036055750</v>
      </c>
      <c r="F8969" s="8">
        <v>130</v>
      </c>
      <c r="G8969" s="8">
        <v>7976</v>
      </c>
      <c r="H8969" s="8">
        <v>808</v>
      </c>
      <c r="I8969" s="8">
        <v>3501</v>
      </c>
    </row>
    <row r="8970" spans="1:9" x14ac:dyDescent="0.2">
      <c r="A8970" t="s">
        <v>2001</v>
      </c>
      <c r="B8970" t="s">
        <v>2025</v>
      </c>
      <c r="C8970" t="str">
        <f t="shared" si="459"/>
        <v>56726030000000</v>
      </c>
      <c r="D8970" t="s">
        <v>9587</v>
      </c>
      <c r="E8970" t="str">
        <f>"56726036055651"</f>
        <v>56726036055651</v>
      </c>
      <c r="F8970" s="8">
        <v>1004</v>
      </c>
      <c r="G8970" s="8">
        <v>6861</v>
      </c>
      <c r="H8970" s="8">
        <v>808</v>
      </c>
      <c r="I8970" s="8">
        <v>3501</v>
      </c>
    </row>
    <row r="8971" spans="1:9" x14ac:dyDescent="0.2">
      <c r="A8971" t="s">
        <v>2001</v>
      </c>
      <c r="B8971" t="s">
        <v>2025</v>
      </c>
      <c r="C8971" t="str">
        <f t="shared" si="459"/>
        <v>56726030000000</v>
      </c>
      <c r="D8971" t="s">
        <v>5316</v>
      </c>
      <c r="E8971" t="str">
        <f>"56726036060354"</f>
        <v>56726036060354</v>
      </c>
      <c r="F8971" s="8">
        <v>172</v>
      </c>
      <c r="G8971" s="8">
        <v>7656</v>
      </c>
      <c r="H8971" s="8">
        <v>808</v>
      </c>
      <c r="I8971" s="8">
        <v>3501</v>
      </c>
    </row>
    <row r="8972" spans="1:9" x14ac:dyDescent="0.2">
      <c r="A8972" t="s">
        <v>2001</v>
      </c>
      <c r="B8972" t="s">
        <v>2025</v>
      </c>
      <c r="C8972" t="str">
        <f t="shared" si="459"/>
        <v>56726030000000</v>
      </c>
      <c r="D8972" t="s">
        <v>7415</v>
      </c>
      <c r="E8972" t="str">
        <f>"56726036055768"</f>
        <v>56726036055768</v>
      </c>
      <c r="F8972" s="8">
        <v>941</v>
      </c>
      <c r="G8972" s="8">
        <v>6861</v>
      </c>
      <c r="H8972" s="8">
        <v>808</v>
      </c>
      <c r="I8972" s="8">
        <v>3501</v>
      </c>
    </row>
    <row r="8973" spans="1:9" x14ac:dyDescent="0.2">
      <c r="A8973" t="s">
        <v>2001</v>
      </c>
      <c r="B8973" t="s">
        <v>2025</v>
      </c>
      <c r="C8973" t="str">
        <f t="shared" si="459"/>
        <v>56726030000000</v>
      </c>
      <c r="D8973" t="s">
        <v>9588</v>
      </c>
      <c r="E8973" t="str">
        <f>"56726035636188"</f>
        <v>56726035636188</v>
      </c>
      <c r="F8973" s="8">
        <v>93</v>
      </c>
      <c r="G8973" s="8">
        <v>7413</v>
      </c>
      <c r="H8973" s="8">
        <v>808</v>
      </c>
      <c r="I8973" s="8">
        <v>3501</v>
      </c>
    </row>
    <row r="8974" spans="1:9" x14ac:dyDescent="0.2">
      <c r="A8974" t="s">
        <v>2001</v>
      </c>
      <c r="B8974" t="s">
        <v>2025</v>
      </c>
      <c r="C8974" t="str">
        <f t="shared" si="459"/>
        <v>56726030000000</v>
      </c>
      <c r="D8974" t="s">
        <v>9589</v>
      </c>
      <c r="E8974" t="str">
        <f>"56726035635008"</f>
        <v>56726035635008</v>
      </c>
      <c r="F8974" s="8">
        <v>88</v>
      </c>
      <c r="G8974" s="8">
        <v>7364</v>
      </c>
      <c r="H8974" s="8">
        <v>808</v>
      </c>
      <c r="I8974" s="8">
        <v>3501</v>
      </c>
    </row>
    <row r="8975" spans="1:9" x14ac:dyDescent="0.2">
      <c r="A8975" t="s">
        <v>2001</v>
      </c>
      <c r="B8975" t="s">
        <v>2025</v>
      </c>
      <c r="C8975" t="str">
        <f t="shared" si="459"/>
        <v>56726030000000</v>
      </c>
      <c r="D8975" t="s">
        <v>2710</v>
      </c>
      <c r="E8975" t="str">
        <f>"56726036055743"</f>
        <v>56726036055743</v>
      </c>
      <c r="F8975" s="8">
        <v>122</v>
      </c>
      <c r="G8975" s="8">
        <v>7170</v>
      </c>
      <c r="H8975" s="8">
        <v>808</v>
      </c>
      <c r="I8975" s="8">
        <v>3501</v>
      </c>
    </row>
    <row r="8976" spans="1:9" x14ac:dyDescent="0.2">
      <c r="A8976" t="s">
        <v>2001</v>
      </c>
      <c r="B8976" t="s">
        <v>2025</v>
      </c>
      <c r="C8976" t="str">
        <f t="shared" si="459"/>
        <v>56726030000000</v>
      </c>
      <c r="D8976" t="s">
        <v>8409</v>
      </c>
      <c r="E8976" t="str">
        <f>"56726036055685"</f>
        <v>56726036055685</v>
      </c>
      <c r="F8976" s="8">
        <v>158</v>
      </c>
      <c r="G8976" s="8">
        <v>6991</v>
      </c>
      <c r="H8976" s="8">
        <v>808</v>
      </c>
      <c r="I8976" s="8">
        <v>3501</v>
      </c>
    </row>
    <row r="8977" spans="1:9" x14ac:dyDescent="0.2">
      <c r="A8977" t="s">
        <v>2001</v>
      </c>
      <c r="B8977" t="s">
        <v>2025</v>
      </c>
      <c r="C8977" t="str">
        <f t="shared" si="459"/>
        <v>56726030000000</v>
      </c>
      <c r="D8977" t="s">
        <v>9590</v>
      </c>
      <c r="E8977" t="str">
        <f>"56726036055800"</f>
        <v>56726036055800</v>
      </c>
      <c r="F8977" s="8">
        <v>30</v>
      </c>
      <c r="G8977" s="8">
        <v>7088</v>
      </c>
      <c r="H8977" s="8">
        <v>808</v>
      </c>
      <c r="I8977" s="8">
        <v>3501</v>
      </c>
    </row>
    <row r="8978" spans="1:9" x14ac:dyDescent="0.2">
      <c r="A8978" t="s">
        <v>2001</v>
      </c>
      <c r="B8978" t="s">
        <v>2025</v>
      </c>
      <c r="C8978" t="str">
        <f t="shared" si="459"/>
        <v>56726030000000</v>
      </c>
      <c r="D8978" t="s">
        <v>9591</v>
      </c>
      <c r="E8978" t="str">
        <f>"56726036055719"</f>
        <v>56726036055719</v>
      </c>
      <c r="F8978" s="8">
        <v>30</v>
      </c>
      <c r="G8978" s="8">
        <v>7069</v>
      </c>
      <c r="H8978" s="8">
        <v>808</v>
      </c>
      <c r="I8978" s="8">
        <v>3501</v>
      </c>
    </row>
    <row r="8979" spans="1:9" x14ac:dyDescent="0.2">
      <c r="A8979" t="s">
        <v>2001</v>
      </c>
      <c r="B8979" t="s">
        <v>2025</v>
      </c>
      <c r="C8979" t="str">
        <f t="shared" si="459"/>
        <v>56726030000000</v>
      </c>
      <c r="D8979" t="s">
        <v>9592</v>
      </c>
      <c r="E8979" t="str">
        <f>"56726036084925"</f>
        <v>56726036084925</v>
      </c>
      <c r="F8979" s="8">
        <v>144</v>
      </c>
      <c r="G8979" s="8">
        <v>6912</v>
      </c>
      <c r="H8979" s="8">
        <v>808</v>
      </c>
      <c r="I8979" s="8">
        <v>3501</v>
      </c>
    </row>
    <row r="8980" spans="1:9" x14ac:dyDescent="0.2">
      <c r="A8980" t="s">
        <v>2001</v>
      </c>
      <c r="B8980" t="s">
        <v>2025</v>
      </c>
      <c r="C8980" t="str">
        <f t="shared" si="459"/>
        <v>56726030000000</v>
      </c>
      <c r="D8980" t="s">
        <v>2592</v>
      </c>
      <c r="E8980" t="str">
        <f>"56726036060362"</f>
        <v>56726036060362</v>
      </c>
      <c r="F8980" s="8">
        <v>145</v>
      </c>
      <c r="G8980" s="8">
        <v>6525</v>
      </c>
      <c r="H8980" s="8">
        <v>808</v>
      </c>
      <c r="I8980" s="8">
        <v>3501</v>
      </c>
    </row>
    <row r="8981" spans="1:9" x14ac:dyDescent="0.2">
      <c r="A8981" t="s">
        <v>2001</v>
      </c>
      <c r="B8981" t="s">
        <v>2025</v>
      </c>
      <c r="C8981" t="str">
        <f t="shared" si="459"/>
        <v>56726030000000</v>
      </c>
      <c r="D8981" t="s">
        <v>3981</v>
      </c>
      <c r="E8981" t="str">
        <f>"56726036067292"</f>
        <v>56726036067292</v>
      </c>
      <c r="F8981" s="8">
        <v>45</v>
      </c>
      <c r="G8981" s="8">
        <v>6353</v>
      </c>
      <c r="H8981" s="8">
        <v>808</v>
      </c>
      <c r="I8981" s="8">
        <v>3501</v>
      </c>
    </row>
    <row r="8982" spans="1:9" x14ac:dyDescent="0.2">
      <c r="A8982" t="s">
        <v>2001</v>
      </c>
      <c r="B8982" t="s">
        <v>2025</v>
      </c>
      <c r="C8982" t="str">
        <f t="shared" si="459"/>
        <v>56726030000000</v>
      </c>
      <c r="D8982" t="s">
        <v>9593</v>
      </c>
      <c r="E8982" t="str">
        <f>"56726036115653"</f>
        <v>56726036115653</v>
      </c>
      <c r="F8982" s="8">
        <v>30</v>
      </c>
      <c r="G8982" s="8">
        <v>6146</v>
      </c>
      <c r="H8982" s="8">
        <v>808</v>
      </c>
      <c r="I8982" s="8">
        <v>3501</v>
      </c>
    </row>
    <row r="8983" spans="1:9" x14ac:dyDescent="0.2">
      <c r="A8983" t="s">
        <v>2001</v>
      </c>
      <c r="B8983" t="s">
        <v>2025</v>
      </c>
      <c r="C8983" t="str">
        <f t="shared" si="459"/>
        <v>56726030000000</v>
      </c>
      <c r="D8983" t="s">
        <v>8890</v>
      </c>
      <c r="E8983" t="str">
        <f>"56726036055669"</f>
        <v>56726036055669</v>
      </c>
      <c r="F8983" s="8">
        <v>47</v>
      </c>
      <c r="G8983" s="8">
        <v>6080</v>
      </c>
      <c r="H8983" s="8">
        <v>808</v>
      </c>
      <c r="I8983" s="8">
        <v>3501</v>
      </c>
    </row>
    <row r="8984" spans="1:9" x14ac:dyDescent="0.2">
      <c r="A8984" t="s">
        <v>2001</v>
      </c>
      <c r="B8984" t="s">
        <v>2025</v>
      </c>
      <c r="C8984" t="str">
        <f t="shared" si="459"/>
        <v>56726030000000</v>
      </c>
      <c r="D8984" t="s">
        <v>9594</v>
      </c>
      <c r="E8984" t="str">
        <f>"56726036084917"</f>
        <v>56726036084917</v>
      </c>
      <c r="F8984" s="8">
        <v>27</v>
      </c>
      <c r="G8984" s="8">
        <v>5608</v>
      </c>
      <c r="H8984" s="8">
        <v>808</v>
      </c>
      <c r="I8984" s="8">
        <v>3501</v>
      </c>
    </row>
    <row r="8985" spans="1:9" x14ac:dyDescent="0.2">
      <c r="A8985" t="s">
        <v>2001</v>
      </c>
      <c r="B8985" t="s">
        <v>2025</v>
      </c>
      <c r="C8985" t="str">
        <f t="shared" si="459"/>
        <v>56726030000000</v>
      </c>
      <c r="D8985" t="s">
        <v>9595</v>
      </c>
      <c r="E8985" t="str">
        <f>"56726036055818"</f>
        <v>56726036055818</v>
      </c>
      <c r="F8985" s="8">
        <v>28</v>
      </c>
      <c r="G8985" s="8">
        <v>5475</v>
      </c>
      <c r="H8985" s="8">
        <v>808</v>
      </c>
      <c r="I8985" s="8">
        <v>3501</v>
      </c>
    </row>
    <row r="8986" spans="1:9" x14ac:dyDescent="0.2">
      <c r="A8986" t="s">
        <v>2001</v>
      </c>
      <c r="B8986" t="s">
        <v>2025</v>
      </c>
      <c r="C8986" t="str">
        <f t="shared" si="459"/>
        <v>56726030000000</v>
      </c>
      <c r="D8986" t="s">
        <v>9596</v>
      </c>
      <c r="E8986" t="str">
        <f>"56726036055701"</f>
        <v>56726036055701</v>
      </c>
      <c r="F8986" s="8">
        <v>23</v>
      </c>
      <c r="G8986" s="8">
        <v>5426</v>
      </c>
      <c r="H8986" s="8">
        <v>808</v>
      </c>
      <c r="I8986" s="8">
        <v>3501</v>
      </c>
    </row>
    <row r="8987" spans="1:9" x14ac:dyDescent="0.2">
      <c r="A8987" t="s">
        <v>2001</v>
      </c>
      <c r="B8987" t="s">
        <v>2025</v>
      </c>
      <c r="C8987" t="str">
        <f t="shared" si="459"/>
        <v>56726030000000</v>
      </c>
      <c r="D8987" t="s">
        <v>5107</v>
      </c>
      <c r="E8987" t="str">
        <f>"56726035630249"</f>
        <v>56726035630249</v>
      </c>
      <c r="F8987" s="8">
        <v>14</v>
      </c>
      <c r="G8987" s="8">
        <v>4319</v>
      </c>
      <c r="H8987" s="8">
        <v>808</v>
      </c>
      <c r="I8987" s="8">
        <v>3501</v>
      </c>
    </row>
    <row r="8988" spans="1:9" x14ac:dyDescent="0.2">
      <c r="A8988" t="s">
        <v>2001</v>
      </c>
      <c r="B8988" t="s">
        <v>2026</v>
      </c>
      <c r="C8988" t="str">
        <f>"56726110000000"</f>
        <v>56726110000000</v>
      </c>
      <c r="D8988" t="s">
        <v>9597</v>
      </c>
      <c r="E8988" t="str">
        <f>"56726116055834"</f>
        <v>56726116055834</v>
      </c>
      <c r="F8988" s="8">
        <v>1702</v>
      </c>
      <c r="G8988" s="8">
        <v>11841</v>
      </c>
      <c r="H8988" s="8">
        <v>58</v>
      </c>
      <c r="I8988" s="8">
        <v>1541</v>
      </c>
    </row>
    <row r="8989" spans="1:9" x14ac:dyDescent="0.2">
      <c r="A8989" t="s">
        <v>2001</v>
      </c>
      <c r="B8989" t="s">
        <v>2030</v>
      </c>
      <c r="C8989" t="str">
        <f>"56105610000000"</f>
        <v>56105610000000</v>
      </c>
      <c r="D8989" t="s">
        <v>9598</v>
      </c>
      <c r="E8989" t="str">
        <f>"56105610135798"</f>
        <v>56105610135798</v>
      </c>
      <c r="F8989" s="8">
        <v>0</v>
      </c>
      <c r="G8989" s="8">
        <v>61336</v>
      </c>
      <c r="H8989" s="8">
        <v>0</v>
      </c>
      <c r="I8989" s="8">
        <v>0</v>
      </c>
    </row>
    <row r="8990" spans="1:9" x14ac:dyDescent="0.2">
      <c r="A8990" t="s">
        <v>2001</v>
      </c>
      <c r="B8990" t="s">
        <v>2030</v>
      </c>
      <c r="C8990" t="str">
        <f>"56105610000000"</f>
        <v>56105610000000</v>
      </c>
      <c r="D8990" t="s">
        <v>9599</v>
      </c>
      <c r="E8990" t="str">
        <f>"56105616069231"</f>
        <v>56105616069231</v>
      </c>
      <c r="F8990" s="8">
        <v>574</v>
      </c>
      <c r="G8990" s="8">
        <v>59818</v>
      </c>
      <c r="H8990" s="8">
        <v>0</v>
      </c>
      <c r="I8990" s="8">
        <v>0</v>
      </c>
    </row>
    <row r="8991" spans="1:9" x14ac:dyDescent="0.2">
      <c r="A8991" t="s">
        <v>2001</v>
      </c>
      <c r="B8991" t="s">
        <v>2030</v>
      </c>
      <c r="C8991" t="str">
        <f>"56105610000000"</f>
        <v>56105610000000</v>
      </c>
      <c r="D8991" t="s">
        <v>9600</v>
      </c>
      <c r="E8991" t="str">
        <f>"56105610135780"</f>
        <v>56105610135780</v>
      </c>
      <c r="F8991" s="8">
        <v>0</v>
      </c>
      <c r="G8991" s="8">
        <v>59928</v>
      </c>
      <c r="H8991" s="8">
        <v>0</v>
      </c>
      <c r="I8991" s="8">
        <v>0</v>
      </c>
    </row>
    <row r="8992" spans="1:9" x14ac:dyDescent="0.2">
      <c r="A8992" t="s">
        <v>2001</v>
      </c>
      <c r="B8992" t="s">
        <v>2030</v>
      </c>
      <c r="C8992" t="str">
        <f>"56105610000000"</f>
        <v>56105610000000</v>
      </c>
      <c r="D8992" t="s">
        <v>9601</v>
      </c>
      <c r="E8992" t="str">
        <f>"56105615630223"</f>
        <v>56105615630223</v>
      </c>
      <c r="F8992" s="8">
        <v>7817</v>
      </c>
      <c r="G8992" s="8">
        <v>39945</v>
      </c>
      <c r="H8992" s="8">
        <v>0</v>
      </c>
      <c r="I8992" s="8">
        <v>0</v>
      </c>
    </row>
    <row r="8993" spans="1:9" x14ac:dyDescent="0.2">
      <c r="A8993" t="s">
        <v>2001</v>
      </c>
      <c r="B8993" t="s">
        <v>2030</v>
      </c>
      <c r="C8993" t="str">
        <f>"56105610000000"</f>
        <v>56105610000000</v>
      </c>
      <c r="D8993" t="s">
        <v>9602</v>
      </c>
      <c r="E8993" t="str">
        <f>"56105615630397"</f>
        <v>56105615630397</v>
      </c>
      <c r="F8993" s="8">
        <v>8455</v>
      </c>
      <c r="G8993" s="8">
        <v>26153</v>
      </c>
      <c r="H8993" s="8">
        <v>0</v>
      </c>
      <c r="I8993" s="8">
        <v>0</v>
      </c>
    </row>
    <row r="8994" spans="1:9" x14ac:dyDescent="0.2">
      <c r="A8994" t="s">
        <v>2001</v>
      </c>
      <c r="B8994" t="s">
        <v>2031</v>
      </c>
      <c r="C8994" t="str">
        <f>"56746170000000"</f>
        <v>56746170000000</v>
      </c>
      <c r="D8994" t="s">
        <v>9603</v>
      </c>
      <c r="E8994" t="str">
        <f>"56746175690011"</f>
        <v>56746175690011</v>
      </c>
      <c r="F8994" s="8" t="s">
        <v>30</v>
      </c>
      <c r="G8994" s="8" t="s">
        <v>30</v>
      </c>
      <c r="H8994" s="8" t="s">
        <v>30</v>
      </c>
      <c r="I8994" s="8" t="s">
        <v>30</v>
      </c>
    </row>
    <row r="8995" spans="1:9" x14ac:dyDescent="0.2">
      <c r="A8995" t="s">
        <v>2001</v>
      </c>
      <c r="B8995" t="s">
        <v>2032</v>
      </c>
      <c r="C8995" t="str">
        <f t="shared" ref="C8995:C9021" si="460">"56726520000000"</f>
        <v>56726520000000</v>
      </c>
      <c r="D8995" t="s">
        <v>7336</v>
      </c>
      <c r="E8995" t="str">
        <f>"56726525630272"</f>
        <v>56726525630272</v>
      </c>
      <c r="F8995" s="8">
        <v>2689</v>
      </c>
      <c r="G8995" s="8">
        <v>14924</v>
      </c>
      <c r="H8995" s="8">
        <v>1222</v>
      </c>
      <c r="I8995" s="8">
        <v>3701</v>
      </c>
    </row>
    <row r="8996" spans="1:9" x14ac:dyDescent="0.2">
      <c r="A8996" t="s">
        <v>2001</v>
      </c>
      <c r="B8996" t="s">
        <v>2032</v>
      </c>
      <c r="C8996" t="str">
        <f t="shared" si="460"/>
        <v>56726520000000</v>
      </c>
      <c r="D8996" t="s">
        <v>1393</v>
      </c>
      <c r="E8996" t="str">
        <f>"56726526056055"</f>
        <v>56726526056055</v>
      </c>
      <c r="F8996" s="8">
        <v>347</v>
      </c>
      <c r="G8996" s="8">
        <v>9507</v>
      </c>
      <c r="H8996" s="8">
        <v>2372</v>
      </c>
      <c r="I8996" s="8">
        <v>4469</v>
      </c>
    </row>
    <row r="8997" spans="1:9" x14ac:dyDescent="0.2">
      <c r="A8997" t="s">
        <v>2001</v>
      </c>
      <c r="B8997" t="s">
        <v>2032</v>
      </c>
      <c r="C8997" t="str">
        <f t="shared" si="460"/>
        <v>56726520000000</v>
      </c>
      <c r="D8997" t="s">
        <v>2517</v>
      </c>
      <c r="E8997" t="str">
        <f>"56726526056121"</f>
        <v>56726526056121</v>
      </c>
      <c r="F8997" s="8">
        <v>53</v>
      </c>
      <c r="G8997" s="8">
        <v>8569</v>
      </c>
      <c r="H8997" s="8">
        <v>1399</v>
      </c>
      <c r="I8997" s="8">
        <v>3642</v>
      </c>
    </row>
    <row r="8998" spans="1:9" x14ac:dyDescent="0.2">
      <c r="A8998" t="s">
        <v>2001</v>
      </c>
      <c r="B8998" t="s">
        <v>2032</v>
      </c>
      <c r="C8998" t="str">
        <f t="shared" si="460"/>
        <v>56726520000000</v>
      </c>
      <c r="D8998" t="s">
        <v>9604</v>
      </c>
      <c r="E8998" t="str">
        <f>"56726526056097"</f>
        <v>56726526056097</v>
      </c>
      <c r="F8998" s="8">
        <v>107</v>
      </c>
      <c r="G8998" s="8">
        <v>7683</v>
      </c>
      <c r="H8998" s="8">
        <v>1642</v>
      </c>
      <c r="I8998" s="8">
        <v>3863</v>
      </c>
    </row>
    <row r="8999" spans="1:9" x14ac:dyDescent="0.2">
      <c r="A8999" t="s">
        <v>2001</v>
      </c>
      <c r="B8999" t="s">
        <v>2032</v>
      </c>
      <c r="C8999" t="str">
        <f t="shared" si="460"/>
        <v>56726520000000</v>
      </c>
      <c r="D8999" t="s">
        <v>2243</v>
      </c>
      <c r="E8999" t="str">
        <f>"56726526056113"</f>
        <v>56726526056113</v>
      </c>
      <c r="F8999" s="8">
        <v>697</v>
      </c>
      <c r="G8999" s="8">
        <v>7564</v>
      </c>
      <c r="H8999" s="8">
        <v>1401</v>
      </c>
      <c r="I8999" s="8">
        <v>3628</v>
      </c>
    </row>
    <row r="9000" spans="1:9" x14ac:dyDescent="0.2">
      <c r="A9000" t="s">
        <v>2001</v>
      </c>
      <c r="B9000" t="s">
        <v>2032</v>
      </c>
      <c r="C9000" t="str">
        <f t="shared" si="460"/>
        <v>56726520000000</v>
      </c>
      <c r="D9000" t="s">
        <v>9605</v>
      </c>
      <c r="E9000" t="str">
        <f>"56726526062152"</f>
        <v>56726526062152</v>
      </c>
      <c r="F9000" s="8">
        <v>341</v>
      </c>
      <c r="G9000" s="8">
        <v>7107</v>
      </c>
      <c r="H9000" s="8">
        <v>1705</v>
      </c>
      <c r="I9000" s="8">
        <v>4127</v>
      </c>
    </row>
    <row r="9001" spans="1:9" x14ac:dyDescent="0.2">
      <c r="A9001" t="s">
        <v>2001</v>
      </c>
      <c r="B9001" t="s">
        <v>2032</v>
      </c>
      <c r="C9001" t="str">
        <f t="shared" si="460"/>
        <v>56726520000000</v>
      </c>
      <c r="D9001" t="s">
        <v>7478</v>
      </c>
      <c r="E9001" t="str">
        <f>"56726526056188"</f>
        <v>56726526056188</v>
      </c>
      <c r="F9001" s="8">
        <v>106</v>
      </c>
      <c r="G9001" s="8">
        <v>7792</v>
      </c>
      <c r="H9001" s="8">
        <v>1528</v>
      </c>
      <c r="I9001" s="8">
        <v>3754</v>
      </c>
    </row>
    <row r="9002" spans="1:9" x14ac:dyDescent="0.2">
      <c r="A9002" t="s">
        <v>2001</v>
      </c>
      <c r="B9002" t="s">
        <v>2032</v>
      </c>
      <c r="C9002" t="str">
        <f t="shared" si="460"/>
        <v>56726520000000</v>
      </c>
      <c r="D9002" t="s">
        <v>9606</v>
      </c>
      <c r="E9002" t="str">
        <f>"56726526056089"</f>
        <v>56726526056089</v>
      </c>
      <c r="F9002" s="8">
        <v>275</v>
      </c>
      <c r="G9002" s="8">
        <v>7256</v>
      </c>
      <c r="H9002" s="8">
        <v>1694</v>
      </c>
      <c r="I9002" s="8">
        <v>3895</v>
      </c>
    </row>
    <row r="9003" spans="1:9" x14ac:dyDescent="0.2">
      <c r="A9003" t="s">
        <v>2001</v>
      </c>
      <c r="B9003" t="s">
        <v>2032</v>
      </c>
      <c r="C9003" t="str">
        <f t="shared" si="460"/>
        <v>56726520000000</v>
      </c>
      <c r="D9003" t="s">
        <v>9607</v>
      </c>
      <c r="E9003" t="str">
        <f>"56726526056063"</f>
        <v>56726526056063</v>
      </c>
      <c r="F9003" s="8">
        <v>539</v>
      </c>
      <c r="G9003" s="8">
        <v>7296</v>
      </c>
      <c r="H9003" s="8">
        <v>1436</v>
      </c>
      <c r="I9003" s="8">
        <v>3749</v>
      </c>
    </row>
    <row r="9004" spans="1:9" x14ac:dyDescent="0.2">
      <c r="A9004" t="s">
        <v>2001</v>
      </c>
      <c r="B9004" t="s">
        <v>2032</v>
      </c>
      <c r="C9004" t="str">
        <f t="shared" si="460"/>
        <v>56726520000000</v>
      </c>
      <c r="D9004" t="s">
        <v>9608</v>
      </c>
      <c r="E9004" t="str">
        <f>"56726526056170"</f>
        <v>56726526056170</v>
      </c>
      <c r="F9004" s="8">
        <v>93</v>
      </c>
      <c r="G9004" s="8">
        <v>7794</v>
      </c>
      <c r="H9004" s="8">
        <v>1244</v>
      </c>
      <c r="I9004" s="8">
        <v>3503</v>
      </c>
    </row>
    <row r="9005" spans="1:9" x14ac:dyDescent="0.2">
      <c r="A9005" t="s">
        <v>2001</v>
      </c>
      <c r="B9005" t="s">
        <v>2032</v>
      </c>
      <c r="C9005" t="str">
        <f t="shared" si="460"/>
        <v>56726520000000</v>
      </c>
      <c r="D9005" t="s">
        <v>9609</v>
      </c>
      <c r="E9005" t="str">
        <f>"56726526056212"</f>
        <v>56726526056212</v>
      </c>
      <c r="F9005" s="8">
        <v>480</v>
      </c>
      <c r="G9005" s="8">
        <v>6830</v>
      </c>
      <c r="H9005" s="8">
        <v>1382</v>
      </c>
      <c r="I9005" s="8">
        <v>3755</v>
      </c>
    </row>
    <row r="9006" spans="1:9" x14ac:dyDescent="0.2">
      <c r="A9006" t="s">
        <v>2001</v>
      </c>
      <c r="B9006" t="s">
        <v>2032</v>
      </c>
      <c r="C9006" t="str">
        <f t="shared" si="460"/>
        <v>56726520000000</v>
      </c>
      <c r="D9006" t="s">
        <v>9610</v>
      </c>
      <c r="E9006" t="str">
        <f>"56726525637822"</f>
        <v>56726525637822</v>
      </c>
      <c r="F9006" s="8">
        <v>231</v>
      </c>
      <c r="G9006" s="8">
        <v>6877</v>
      </c>
      <c r="H9006" s="8">
        <v>1471</v>
      </c>
      <c r="I9006" s="8">
        <v>3825</v>
      </c>
    </row>
    <row r="9007" spans="1:9" x14ac:dyDescent="0.2">
      <c r="A9007" t="s">
        <v>2001</v>
      </c>
      <c r="B9007" t="s">
        <v>2032</v>
      </c>
      <c r="C9007" t="str">
        <f t="shared" si="460"/>
        <v>56726520000000</v>
      </c>
      <c r="D9007" t="s">
        <v>9611</v>
      </c>
      <c r="E9007" t="str">
        <f>"56726526056147"</f>
        <v>56726526056147</v>
      </c>
      <c r="F9007" s="8">
        <v>381</v>
      </c>
      <c r="G9007" s="8">
        <v>7035</v>
      </c>
      <c r="H9007" s="8">
        <v>1303</v>
      </c>
      <c r="I9007" s="8">
        <v>3578</v>
      </c>
    </row>
    <row r="9008" spans="1:9" x14ac:dyDescent="0.2">
      <c r="A9008" t="s">
        <v>2001</v>
      </c>
      <c r="B9008" t="s">
        <v>2032</v>
      </c>
      <c r="C9008" t="str">
        <f t="shared" si="460"/>
        <v>56726520000000</v>
      </c>
      <c r="D9008" t="s">
        <v>9612</v>
      </c>
      <c r="E9008" t="str">
        <f>"56726525630793"</f>
        <v>56726525630793</v>
      </c>
      <c r="F9008" s="8">
        <v>127</v>
      </c>
      <c r="G9008" s="8">
        <v>6776</v>
      </c>
      <c r="H9008" s="8">
        <v>1487</v>
      </c>
      <c r="I9008" s="8">
        <v>3832</v>
      </c>
    </row>
    <row r="9009" spans="1:9" x14ac:dyDescent="0.2">
      <c r="A9009" t="s">
        <v>2001</v>
      </c>
      <c r="B9009" t="s">
        <v>2032</v>
      </c>
      <c r="C9009" t="str">
        <f t="shared" si="460"/>
        <v>56726520000000</v>
      </c>
      <c r="D9009" t="s">
        <v>8376</v>
      </c>
      <c r="E9009" t="str">
        <f>"56726526056105"</f>
        <v>56726526056105</v>
      </c>
      <c r="F9009" s="8">
        <v>219</v>
      </c>
      <c r="G9009" s="8">
        <v>6836</v>
      </c>
      <c r="H9009" s="8">
        <v>1428</v>
      </c>
      <c r="I9009" s="8">
        <v>3663</v>
      </c>
    </row>
    <row r="9010" spans="1:9" x14ac:dyDescent="0.2">
      <c r="A9010" t="s">
        <v>2001</v>
      </c>
      <c r="B9010" t="s">
        <v>2032</v>
      </c>
      <c r="C9010" t="str">
        <f t="shared" si="460"/>
        <v>56726520000000</v>
      </c>
      <c r="D9010" t="s">
        <v>9613</v>
      </c>
      <c r="E9010" t="str">
        <f>"56726526056204"</f>
        <v>56726526056204</v>
      </c>
      <c r="F9010" s="8">
        <v>332</v>
      </c>
      <c r="G9010" s="8">
        <v>6574</v>
      </c>
      <c r="H9010" s="8">
        <v>1406</v>
      </c>
      <c r="I9010" s="8">
        <v>3663</v>
      </c>
    </row>
    <row r="9011" spans="1:9" x14ac:dyDescent="0.2">
      <c r="A9011" t="s">
        <v>2001</v>
      </c>
      <c r="B9011" t="s">
        <v>2032</v>
      </c>
      <c r="C9011" t="str">
        <f t="shared" si="460"/>
        <v>56726520000000</v>
      </c>
      <c r="D9011" t="s">
        <v>2220</v>
      </c>
      <c r="E9011" t="str">
        <f>"56726526056030"</f>
        <v>56726526056030</v>
      </c>
      <c r="F9011" s="8">
        <v>309</v>
      </c>
      <c r="G9011" s="8">
        <v>6621</v>
      </c>
      <c r="H9011" s="8">
        <v>1348</v>
      </c>
      <c r="I9011" s="8">
        <v>3612</v>
      </c>
    </row>
    <row r="9012" spans="1:9" x14ac:dyDescent="0.2">
      <c r="A9012" t="s">
        <v>2001</v>
      </c>
      <c r="B9012" t="s">
        <v>2032</v>
      </c>
      <c r="C9012" t="str">
        <f t="shared" si="460"/>
        <v>56726520000000</v>
      </c>
      <c r="D9012" t="s">
        <v>9614</v>
      </c>
      <c r="E9012" t="str">
        <f>"56726526116040"</f>
        <v>56726526116040</v>
      </c>
      <c r="F9012" s="8">
        <v>88</v>
      </c>
      <c r="G9012" s="8">
        <v>6861</v>
      </c>
      <c r="H9012" s="8">
        <v>1304</v>
      </c>
      <c r="I9012" s="8">
        <v>3596</v>
      </c>
    </row>
    <row r="9013" spans="1:9" x14ac:dyDescent="0.2">
      <c r="A9013" t="s">
        <v>2001</v>
      </c>
      <c r="B9013" t="s">
        <v>2032</v>
      </c>
      <c r="C9013" t="str">
        <f t="shared" si="460"/>
        <v>56726520000000</v>
      </c>
      <c r="D9013" t="s">
        <v>9615</v>
      </c>
      <c r="E9013" t="str">
        <f>"56726526056154"</f>
        <v>56726526056154</v>
      </c>
      <c r="F9013" s="8">
        <v>46</v>
      </c>
      <c r="G9013" s="8">
        <v>6437</v>
      </c>
      <c r="H9013" s="8">
        <v>1346</v>
      </c>
      <c r="I9013" s="8">
        <v>3599</v>
      </c>
    </row>
    <row r="9014" spans="1:9" x14ac:dyDescent="0.2">
      <c r="A9014" t="s">
        <v>2001</v>
      </c>
      <c r="B9014" t="s">
        <v>2032</v>
      </c>
      <c r="C9014" t="str">
        <f t="shared" si="460"/>
        <v>56726520000000</v>
      </c>
      <c r="D9014" t="s">
        <v>4845</v>
      </c>
      <c r="E9014" t="str">
        <f>"56726526056238"</f>
        <v>56726526056238</v>
      </c>
      <c r="F9014" s="8">
        <v>203</v>
      </c>
      <c r="G9014" s="8">
        <v>6329</v>
      </c>
      <c r="H9014" s="8">
        <v>1281</v>
      </c>
      <c r="I9014" s="8">
        <v>3608</v>
      </c>
    </row>
    <row r="9015" spans="1:9" x14ac:dyDescent="0.2">
      <c r="A9015" t="s">
        <v>2001</v>
      </c>
      <c r="B9015" t="s">
        <v>2032</v>
      </c>
      <c r="C9015" t="str">
        <f t="shared" si="460"/>
        <v>56726520000000</v>
      </c>
      <c r="D9015" t="s">
        <v>9616</v>
      </c>
      <c r="E9015" t="str">
        <f>"56726526062145"</f>
        <v>56726526062145</v>
      </c>
      <c r="F9015" s="8">
        <v>203</v>
      </c>
      <c r="G9015" s="8">
        <v>5859</v>
      </c>
      <c r="H9015" s="8">
        <v>1438</v>
      </c>
      <c r="I9015" s="8">
        <v>3880</v>
      </c>
    </row>
    <row r="9016" spans="1:9" x14ac:dyDescent="0.2">
      <c r="A9016" t="s">
        <v>2001</v>
      </c>
      <c r="B9016" t="s">
        <v>2032</v>
      </c>
      <c r="C9016" t="str">
        <f t="shared" si="460"/>
        <v>56726520000000</v>
      </c>
      <c r="D9016" t="s">
        <v>9617</v>
      </c>
      <c r="E9016" t="str">
        <f>"56726526060370"</f>
        <v>56726526060370</v>
      </c>
      <c r="F9016" s="8">
        <v>105</v>
      </c>
      <c r="G9016" s="8">
        <v>5905</v>
      </c>
      <c r="H9016" s="8">
        <v>1434</v>
      </c>
      <c r="I9016" s="8">
        <v>3865</v>
      </c>
    </row>
    <row r="9017" spans="1:9" x14ac:dyDescent="0.2">
      <c r="A9017" t="s">
        <v>2001</v>
      </c>
      <c r="B9017" t="s">
        <v>2032</v>
      </c>
      <c r="C9017" t="str">
        <f t="shared" si="460"/>
        <v>56726520000000</v>
      </c>
      <c r="D9017" t="s">
        <v>9618</v>
      </c>
      <c r="E9017" t="str">
        <f>"56726525630348"</f>
        <v>56726525630348</v>
      </c>
      <c r="F9017" s="8">
        <v>124</v>
      </c>
      <c r="G9017" s="8">
        <v>6651</v>
      </c>
      <c r="H9017" s="8">
        <v>1047</v>
      </c>
      <c r="I9017" s="8">
        <v>3481</v>
      </c>
    </row>
    <row r="9018" spans="1:9" x14ac:dyDescent="0.2">
      <c r="A9018" t="s">
        <v>2001</v>
      </c>
      <c r="B9018" t="s">
        <v>2032</v>
      </c>
      <c r="C9018" t="str">
        <f t="shared" si="460"/>
        <v>56726520000000</v>
      </c>
      <c r="D9018" t="s">
        <v>8331</v>
      </c>
      <c r="E9018" t="str">
        <f>"56726526097034"</f>
        <v>56726526097034</v>
      </c>
      <c r="F9018" s="8">
        <v>268</v>
      </c>
      <c r="G9018" s="8">
        <v>6188</v>
      </c>
      <c r="H9018" s="8">
        <v>1238</v>
      </c>
      <c r="I9018" s="8">
        <v>3523</v>
      </c>
    </row>
    <row r="9019" spans="1:9" x14ac:dyDescent="0.2">
      <c r="A9019" t="s">
        <v>2001</v>
      </c>
      <c r="B9019" t="s">
        <v>2032</v>
      </c>
      <c r="C9019" t="str">
        <f t="shared" si="460"/>
        <v>56726520000000</v>
      </c>
      <c r="D9019" t="s">
        <v>9619</v>
      </c>
      <c r="E9019" t="str">
        <f>"56726526060388"</f>
        <v>56726526060388</v>
      </c>
      <c r="F9019" s="8">
        <v>90</v>
      </c>
      <c r="G9019" s="8">
        <v>5779</v>
      </c>
      <c r="H9019" s="8">
        <v>1346</v>
      </c>
      <c r="I9019" s="8">
        <v>3783</v>
      </c>
    </row>
    <row r="9020" spans="1:9" x14ac:dyDescent="0.2">
      <c r="A9020" t="s">
        <v>2001</v>
      </c>
      <c r="B9020" t="s">
        <v>2032</v>
      </c>
      <c r="C9020" t="str">
        <f t="shared" si="460"/>
        <v>56726520000000</v>
      </c>
      <c r="D9020" t="s">
        <v>7649</v>
      </c>
      <c r="E9020" t="str">
        <f>"56726525630298"</f>
        <v>56726525630298</v>
      </c>
      <c r="F9020" s="8">
        <v>15</v>
      </c>
      <c r="G9020" s="8">
        <v>6048</v>
      </c>
      <c r="H9020" s="8">
        <v>1007</v>
      </c>
      <c r="I9020" s="8">
        <v>3446</v>
      </c>
    </row>
    <row r="9021" spans="1:9" x14ac:dyDescent="0.2">
      <c r="A9021" t="s">
        <v>2001</v>
      </c>
      <c r="B9021" t="s">
        <v>2032</v>
      </c>
      <c r="C9021" t="str">
        <f t="shared" si="460"/>
        <v>56726520000000</v>
      </c>
      <c r="D9021" t="s">
        <v>9620</v>
      </c>
      <c r="E9021" t="str">
        <f>"56726526115687"</f>
        <v>56726526115687</v>
      </c>
      <c r="F9021" s="8">
        <v>10</v>
      </c>
      <c r="G9021" s="8">
        <v>4477</v>
      </c>
      <c r="H9021" s="8">
        <v>1246</v>
      </c>
      <c r="I9021" s="8">
        <v>3497</v>
      </c>
    </row>
    <row r="9022" spans="1:9" x14ac:dyDescent="0.2">
      <c r="A9022" t="s">
        <v>2034</v>
      </c>
      <c r="B9022" t="s">
        <v>2036</v>
      </c>
      <c r="C9022" t="str">
        <f t="shared" ref="C9022:C9037" si="461">"57726780000000"</f>
        <v>57726780000000</v>
      </c>
      <c r="D9022" t="s">
        <v>9621</v>
      </c>
      <c r="E9022" t="str">
        <f>"57726785730098"</f>
        <v>57726785730098</v>
      </c>
      <c r="F9022" s="8">
        <v>273</v>
      </c>
      <c r="G9022" s="8">
        <v>14526</v>
      </c>
      <c r="H9022" s="8">
        <v>124585</v>
      </c>
      <c r="I9022" s="8">
        <v>522525</v>
      </c>
    </row>
    <row r="9023" spans="1:9" x14ac:dyDescent="0.2">
      <c r="A9023" t="s">
        <v>2034</v>
      </c>
      <c r="B9023" t="s">
        <v>2036</v>
      </c>
      <c r="C9023" t="str">
        <f t="shared" si="461"/>
        <v>57726780000000</v>
      </c>
      <c r="D9023" t="s">
        <v>9622</v>
      </c>
      <c r="E9023" t="str">
        <f>"57726785732219"</f>
        <v>57726785732219</v>
      </c>
      <c r="F9023" s="8">
        <v>4</v>
      </c>
      <c r="G9023" s="8">
        <v>24134</v>
      </c>
      <c r="H9023" s="8">
        <v>82595</v>
      </c>
      <c r="I9023" s="8">
        <v>185240</v>
      </c>
    </row>
    <row r="9024" spans="1:9" x14ac:dyDescent="0.2">
      <c r="A9024" t="s">
        <v>2034</v>
      </c>
      <c r="B9024" t="s">
        <v>2036</v>
      </c>
      <c r="C9024" t="str">
        <f t="shared" si="461"/>
        <v>57726780000000</v>
      </c>
      <c r="D9024" t="s">
        <v>9623</v>
      </c>
      <c r="E9024" t="str">
        <f>"57726786056253"</f>
        <v>57726786056253</v>
      </c>
      <c r="F9024" s="8">
        <v>0</v>
      </c>
      <c r="G9024" s="8">
        <v>7436</v>
      </c>
      <c r="H9024" s="8">
        <v>63327</v>
      </c>
      <c r="I9024" s="8">
        <v>104428</v>
      </c>
    </row>
    <row r="9025" spans="1:9" x14ac:dyDescent="0.2">
      <c r="A9025" t="s">
        <v>2034</v>
      </c>
      <c r="B9025" t="s">
        <v>2036</v>
      </c>
      <c r="C9025" t="str">
        <f t="shared" si="461"/>
        <v>57726780000000</v>
      </c>
      <c r="D9025" t="s">
        <v>9624</v>
      </c>
      <c r="E9025" t="str">
        <f>"57726786066245"</f>
        <v>57726786066245</v>
      </c>
      <c r="F9025" s="8">
        <v>421</v>
      </c>
      <c r="G9025" s="8">
        <v>23959</v>
      </c>
      <c r="H9025" s="8">
        <v>25188</v>
      </c>
      <c r="I9025" s="8">
        <v>105641</v>
      </c>
    </row>
    <row r="9026" spans="1:9" x14ac:dyDescent="0.2">
      <c r="A9026" t="s">
        <v>2034</v>
      </c>
      <c r="B9026" t="s">
        <v>2036</v>
      </c>
      <c r="C9026" t="str">
        <f t="shared" si="461"/>
        <v>57726780000000</v>
      </c>
      <c r="D9026" t="s">
        <v>9625</v>
      </c>
      <c r="E9026" t="str">
        <f>"57726786110894"</f>
        <v>57726786110894</v>
      </c>
      <c r="F9026" s="8">
        <v>91</v>
      </c>
      <c r="G9026" s="8">
        <v>7684</v>
      </c>
      <c r="H9026" s="8">
        <v>27134</v>
      </c>
      <c r="I9026" s="8">
        <v>113805</v>
      </c>
    </row>
    <row r="9027" spans="1:9" x14ac:dyDescent="0.2">
      <c r="A9027" t="s">
        <v>2034</v>
      </c>
      <c r="B9027" t="s">
        <v>2036</v>
      </c>
      <c r="C9027" t="str">
        <f t="shared" si="461"/>
        <v>57726780000000</v>
      </c>
      <c r="D9027" t="s">
        <v>9626</v>
      </c>
      <c r="E9027" t="str">
        <f>"57726780111401"</f>
        <v>57726780111401</v>
      </c>
      <c r="F9027" s="8">
        <v>142</v>
      </c>
      <c r="G9027" s="8">
        <v>19534</v>
      </c>
      <c r="H9027" s="8">
        <v>23939</v>
      </c>
      <c r="I9027" s="8">
        <v>100403</v>
      </c>
    </row>
    <row r="9028" spans="1:9" x14ac:dyDescent="0.2">
      <c r="A9028" t="s">
        <v>2034</v>
      </c>
      <c r="B9028" t="s">
        <v>2036</v>
      </c>
      <c r="C9028" t="str">
        <f t="shared" si="461"/>
        <v>57726780000000</v>
      </c>
      <c r="D9028" t="s">
        <v>9627</v>
      </c>
      <c r="E9028" t="str">
        <f>"57726786118905"</f>
        <v>57726786118905</v>
      </c>
      <c r="F9028" s="8">
        <v>422</v>
      </c>
      <c r="G9028" s="8">
        <v>9468</v>
      </c>
      <c r="H9028" s="8">
        <v>25690</v>
      </c>
      <c r="I9028" s="8">
        <v>107749</v>
      </c>
    </row>
    <row r="9029" spans="1:9" x14ac:dyDescent="0.2">
      <c r="A9029" t="s">
        <v>2034</v>
      </c>
      <c r="B9029" t="s">
        <v>2036</v>
      </c>
      <c r="C9029" t="str">
        <f t="shared" si="461"/>
        <v>57726780000000</v>
      </c>
      <c r="D9029" t="s">
        <v>9628</v>
      </c>
      <c r="E9029" t="str">
        <f>"57726786056261"</f>
        <v>57726786056261</v>
      </c>
      <c r="F9029" s="8">
        <v>13</v>
      </c>
      <c r="G9029" s="8">
        <v>10543</v>
      </c>
      <c r="H9029" s="8">
        <v>21657</v>
      </c>
      <c r="I9029" s="8">
        <v>90831</v>
      </c>
    </row>
    <row r="9030" spans="1:9" x14ac:dyDescent="0.2">
      <c r="A9030" t="s">
        <v>2034</v>
      </c>
      <c r="B9030" t="s">
        <v>2036</v>
      </c>
      <c r="C9030" t="str">
        <f t="shared" si="461"/>
        <v>57726780000000</v>
      </c>
      <c r="D9030" t="s">
        <v>9629</v>
      </c>
      <c r="E9030" t="str">
        <f>"57726786056303"</f>
        <v>57726786056303</v>
      </c>
      <c r="F9030" s="8">
        <v>220</v>
      </c>
      <c r="G9030" s="8">
        <v>11099</v>
      </c>
      <c r="H9030" s="8">
        <v>21456</v>
      </c>
      <c r="I9030" s="8">
        <v>89990</v>
      </c>
    </row>
    <row r="9031" spans="1:9" x14ac:dyDescent="0.2">
      <c r="A9031" t="s">
        <v>2034</v>
      </c>
      <c r="B9031" t="s">
        <v>2036</v>
      </c>
      <c r="C9031" t="str">
        <f t="shared" si="461"/>
        <v>57726780000000</v>
      </c>
      <c r="D9031" t="s">
        <v>9630</v>
      </c>
      <c r="E9031" t="str">
        <f>"57726780119578"</f>
        <v>57726780119578</v>
      </c>
      <c r="F9031" s="8">
        <v>3703</v>
      </c>
      <c r="G9031" s="8">
        <v>9334</v>
      </c>
      <c r="H9031" s="8">
        <v>19942</v>
      </c>
      <c r="I9031" s="8">
        <v>83640</v>
      </c>
    </row>
    <row r="9032" spans="1:9" x14ac:dyDescent="0.2">
      <c r="A9032" t="s">
        <v>2034</v>
      </c>
      <c r="B9032" t="s">
        <v>2036</v>
      </c>
      <c r="C9032" t="str">
        <f t="shared" si="461"/>
        <v>57726780000000</v>
      </c>
      <c r="D9032" t="s">
        <v>9631</v>
      </c>
      <c r="E9032" t="str">
        <f>"57726786056246"</f>
        <v>57726786056246</v>
      </c>
      <c r="F9032" s="8">
        <v>136</v>
      </c>
      <c r="G9032" s="8">
        <v>12209</v>
      </c>
      <c r="H9032" s="8">
        <v>19572</v>
      </c>
      <c r="I9032" s="8">
        <v>82086</v>
      </c>
    </row>
    <row r="9033" spans="1:9" x14ac:dyDescent="0.2">
      <c r="A9033" t="s">
        <v>2034</v>
      </c>
      <c r="B9033" t="s">
        <v>2036</v>
      </c>
      <c r="C9033" t="str">
        <f t="shared" si="461"/>
        <v>57726780000000</v>
      </c>
      <c r="D9033" t="s">
        <v>2229</v>
      </c>
      <c r="E9033" t="str">
        <f>"57726786056279"</f>
        <v>57726786056279</v>
      </c>
      <c r="F9033" s="8">
        <v>1</v>
      </c>
      <c r="G9033" s="8">
        <v>7570</v>
      </c>
      <c r="H9033" s="8">
        <v>20363</v>
      </c>
      <c r="I9033" s="8">
        <v>85404</v>
      </c>
    </row>
    <row r="9034" spans="1:9" x14ac:dyDescent="0.2">
      <c r="A9034" t="s">
        <v>2034</v>
      </c>
      <c r="B9034" t="s">
        <v>2036</v>
      </c>
      <c r="C9034" t="str">
        <f t="shared" si="461"/>
        <v>57726780000000</v>
      </c>
      <c r="D9034" t="s">
        <v>3158</v>
      </c>
      <c r="E9034" t="str">
        <f>"57726786056295"</f>
        <v>57726786056295</v>
      </c>
      <c r="F9034" s="8">
        <v>0</v>
      </c>
      <c r="G9034" s="8">
        <v>8382</v>
      </c>
      <c r="H9034" s="8">
        <v>19375</v>
      </c>
      <c r="I9034" s="8">
        <v>81262</v>
      </c>
    </row>
    <row r="9035" spans="1:9" x14ac:dyDescent="0.2">
      <c r="A9035" t="s">
        <v>2034</v>
      </c>
      <c r="B9035" t="s">
        <v>2036</v>
      </c>
      <c r="C9035" t="str">
        <f t="shared" si="461"/>
        <v>57726780000000</v>
      </c>
      <c r="D9035" t="s">
        <v>9632</v>
      </c>
      <c r="E9035" t="str">
        <f>"57726780106674"</f>
        <v>57726780106674</v>
      </c>
      <c r="F9035" s="8">
        <v>219</v>
      </c>
      <c r="G9035" s="8">
        <v>8427</v>
      </c>
      <c r="H9035" s="8">
        <v>18688</v>
      </c>
      <c r="I9035" s="8">
        <v>78379</v>
      </c>
    </row>
    <row r="9036" spans="1:9" x14ac:dyDescent="0.2">
      <c r="A9036" t="s">
        <v>2034</v>
      </c>
      <c r="B9036" t="s">
        <v>2036</v>
      </c>
      <c r="C9036" t="str">
        <f t="shared" si="461"/>
        <v>57726780000000</v>
      </c>
      <c r="D9036" t="s">
        <v>9633</v>
      </c>
      <c r="E9036" t="str">
        <f>"57726786060396"</f>
        <v>57726786060396</v>
      </c>
      <c r="F9036" s="8">
        <v>285</v>
      </c>
      <c r="G9036" s="8">
        <v>7444</v>
      </c>
      <c r="H9036" s="8">
        <v>17064</v>
      </c>
      <c r="I9036" s="8">
        <v>71568</v>
      </c>
    </row>
    <row r="9037" spans="1:9" x14ac:dyDescent="0.2">
      <c r="A9037" t="s">
        <v>2034</v>
      </c>
      <c r="B9037" t="s">
        <v>2036</v>
      </c>
      <c r="C9037" t="str">
        <f t="shared" si="461"/>
        <v>57726780000000</v>
      </c>
      <c r="D9037" t="s">
        <v>9634</v>
      </c>
      <c r="E9037" t="str">
        <f>"57726785732201"</f>
        <v>57726785732201</v>
      </c>
      <c r="F9037" s="8">
        <v>822</v>
      </c>
      <c r="G9037" s="8">
        <v>8678</v>
      </c>
      <c r="H9037" s="8">
        <v>6356</v>
      </c>
      <c r="I9037" s="8">
        <v>26657</v>
      </c>
    </row>
    <row r="9038" spans="1:9" x14ac:dyDescent="0.2">
      <c r="A9038" t="s">
        <v>2034</v>
      </c>
      <c r="B9038" t="s">
        <v>2038</v>
      </c>
      <c r="C9038" t="str">
        <f>"57726860000000"</f>
        <v>57726860000000</v>
      </c>
      <c r="D9038" t="s">
        <v>9635</v>
      </c>
      <c r="E9038" t="str">
        <f>"57726865730056"</f>
        <v>57726865730056</v>
      </c>
      <c r="F9038" s="8">
        <v>613</v>
      </c>
      <c r="G9038" s="8">
        <v>12126</v>
      </c>
      <c r="H9038" s="8">
        <v>1409</v>
      </c>
      <c r="I9038" s="8">
        <v>5999</v>
      </c>
    </row>
    <row r="9039" spans="1:9" x14ac:dyDescent="0.2">
      <c r="A9039" t="s">
        <v>2034</v>
      </c>
      <c r="B9039" t="s">
        <v>2038</v>
      </c>
      <c r="C9039" t="str">
        <f>"57726860000000"</f>
        <v>57726860000000</v>
      </c>
      <c r="D9039" t="s">
        <v>9636</v>
      </c>
      <c r="E9039" t="str">
        <f>"57726865732904"</f>
        <v>57726865732904</v>
      </c>
      <c r="F9039" s="8">
        <v>1507</v>
      </c>
      <c r="G9039" s="8">
        <v>8679</v>
      </c>
      <c r="H9039" s="8">
        <v>1409</v>
      </c>
      <c r="I9039" s="8">
        <v>5999</v>
      </c>
    </row>
    <row r="9040" spans="1:9" x14ac:dyDescent="0.2">
      <c r="A9040" t="s">
        <v>2034</v>
      </c>
      <c r="B9040" t="s">
        <v>2038</v>
      </c>
      <c r="C9040" t="str">
        <f>"57726860000000"</f>
        <v>57726860000000</v>
      </c>
      <c r="D9040" t="s">
        <v>9637</v>
      </c>
      <c r="E9040" t="str">
        <f>"57726866056311"</f>
        <v>57726866056311</v>
      </c>
      <c r="F9040" s="8">
        <v>1073</v>
      </c>
      <c r="G9040" s="8">
        <v>5734</v>
      </c>
      <c r="H9040" s="8">
        <v>1409</v>
      </c>
      <c r="I9040" s="8">
        <v>5999</v>
      </c>
    </row>
    <row r="9041" spans="1:9" x14ac:dyDescent="0.2">
      <c r="A9041" t="s">
        <v>2034</v>
      </c>
      <c r="B9041" t="s">
        <v>2038</v>
      </c>
      <c r="C9041" t="str">
        <f>"57726860000000"</f>
        <v>57726860000000</v>
      </c>
      <c r="D9041" t="s">
        <v>9638</v>
      </c>
      <c r="E9041" t="str">
        <f>"57726860129726"</f>
        <v>57726860129726</v>
      </c>
      <c r="F9041" s="8">
        <v>1027</v>
      </c>
      <c r="G9041" s="8">
        <v>5502</v>
      </c>
      <c r="H9041" s="8">
        <v>1409</v>
      </c>
      <c r="I9041" s="8">
        <v>5999</v>
      </c>
    </row>
    <row r="9042" spans="1:9" x14ac:dyDescent="0.2">
      <c r="A9042" t="s">
        <v>2034</v>
      </c>
      <c r="B9042" t="s">
        <v>247</v>
      </c>
      <c r="C9042" t="str">
        <f t="shared" ref="C9042:C9054" si="462">"57726940000000"</f>
        <v>57726940000000</v>
      </c>
      <c r="D9042" t="s">
        <v>9639</v>
      </c>
      <c r="E9042" t="str">
        <f>"57726945739552"</f>
        <v>57726945739552</v>
      </c>
      <c r="F9042" s="8">
        <v>81</v>
      </c>
      <c r="G9042" s="8">
        <v>16822</v>
      </c>
      <c r="H9042" s="8">
        <v>3540</v>
      </c>
      <c r="I9042" s="8">
        <v>5718</v>
      </c>
    </row>
    <row r="9043" spans="1:9" x14ac:dyDescent="0.2">
      <c r="A9043" t="s">
        <v>2034</v>
      </c>
      <c r="B9043" t="s">
        <v>247</v>
      </c>
      <c r="C9043" t="str">
        <f t="shared" si="462"/>
        <v>57726940000000</v>
      </c>
      <c r="D9043" t="s">
        <v>9640</v>
      </c>
      <c r="E9043" t="str">
        <f>"57726946056402"</f>
        <v>57726946056402</v>
      </c>
      <c r="F9043" s="8">
        <v>80</v>
      </c>
      <c r="G9043" s="8">
        <v>5963</v>
      </c>
      <c r="H9043" s="8">
        <v>423</v>
      </c>
      <c r="I9043" s="8">
        <v>2524</v>
      </c>
    </row>
    <row r="9044" spans="1:9" x14ac:dyDescent="0.2">
      <c r="A9044" t="s">
        <v>2034</v>
      </c>
      <c r="B9044" t="s">
        <v>247</v>
      </c>
      <c r="C9044" t="str">
        <f t="shared" si="462"/>
        <v>57726940000000</v>
      </c>
      <c r="D9044" t="s">
        <v>9641</v>
      </c>
      <c r="E9044" t="str">
        <f>"57726946056352"</f>
        <v>57726946056352</v>
      </c>
      <c r="F9044" s="8">
        <v>151</v>
      </c>
      <c r="G9044" s="8">
        <v>5304</v>
      </c>
      <c r="H9044" s="8">
        <v>523</v>
      </c>
      <c r="I9044" s="8">
        <v>2525</v>
      </c>
    </row>
    <row r="9045" spans="1:9" x14ac:dyDescent="0.2">
      <c r="A9045" t="s">
        <v>2034</v>
      </c>
      <c r="B9045" t="s">
        <v>247</v>
      </c>
      <c r="C9045" t="str">
        <f t="shared" si="462"/>
        <v>57726940000000</v>
      </c>
      <c r="D9045" t="s">
        <v>9642</v>
      </c>
      <c r="E9045" t="str">
        <f>"57726940116996"</f>
        <v>57726940116996</v>
      </c>
      <c r="F9045" s="8">
        <v>66</v>
      </c>
      <c r="G9045" s="8">
        <v>5597</v>
      </c>
      <c r="H9045" s="8">
        <v>515</v>
      </c>
      <c r="I9045" s="8">
        <v>1791</v>
      </c>
    </row>
    <row r="9046" spans="1:9" x14ac:dyDescent="0.2">
      <c r="A9046" t="s">
        <v>2034</v>
      </c>
      <c r="B9046" t="s">
        <v>247</v>
      </c>
      <c r="C9046" t="str">
        <f t="shared" si="462"/>
        <v>57726940000000</v>
      </c>
      <c r="D9046" t="s">
        <v>9643</v>
      </c>
      <c r="E9046" t="str">
        <f>"57726946056394"</f>
        <v>57726946056394</v>
      </c>
      <c r="F9046" s="8">
        <v>135</v>
      </c>
      <c r="G9046" s="8">
        <v>5622</v>
      </c>
      <c r="H9046" s="8">
        <v>532</v>
      </c>
      <c r="I9046" s="8">
        <v>1674</v>
      </c>
    </row>
    <row r="9047" spans="1:9" x14ac:dyDescent="0.2">
      <c r="A9047" t="s">
        <v>2034</v>
      </c>
      <c r="B9047" t="s">
        <v>247</v>
      </c>
      <c r="C9047" t="str">
        <f t="shared" si="462"/>
        <v>57726940000000</v>
      </c>
      <c r="D9047" t="s">
        <v>9644</v>
      </c>
      <c r="E9047" t="str">
        <f>"57726940135939"</f>
        <v>57726940135939</v>
      </c>
      <c r="F9047" s="8">
        <v>130</v>
      </c>
      <c r="G9047" s="8">
        <v>5603</v>
      </c>
      <c r="H9047" s="8">
        <v>219</v>
      </c>
      <c r="I9047" s="8">
        <v>862</v>
      </c>
    </row>
    <row r="9048" spans="1:9" x14ac:dyDescent="0.2">
      <c r="A9048" t="s">
        <v>2034</v>
      </c>
      <c r="B9048" t="s">
        <v>247</v>
      </c>
      <c r="C9048" t="str">
        <f t="shared" si="462"/>
        <v>57726940000000</v>
      </c>
      <c r="D9048" t="s">
        <v>9645</v>
      </c>
      <c r="E9048" t="str">
        <f>"57726945735154"</f>
        <v>57726945735154</v>
      </c>
      <c r="F9048" s="8">
        <v>24</v>
      </c>
      <c r="G9048" s="8">
        <v>4537</v>
      </c>
      <c r="H9048" s="8">
        <v>399</v>
      </c>
      <c r="I9048" s="8">
        <v>1768</v>
      </c>
    </row>
    <row r="9049" spans="1:9" x14ac:dyDescent="0.2">
      <c r="A9049" t="s">
        <v>2034</v>
      </c>
      <c r="B9049" t="s">
        <v>247</v>
      </c>
      <c r="C9049" t="str">
        <f t="shared" si="462"/>
        <v>57726940000000</v>
      </c>
      <c r="D9049" t="s">
        <v>9646</v>
      </c>
      <c r="E9049" t="str">
        <f>"57726946115463"</f>
        <v>57726946115463</v>
      </c>
      <c r="F9049" s="8">
        <v>32</v>
      </c>
      <c r="G9049" s="8">
        <v>5548</v>
      </c>
      <c r="H9049" s="8">
        <v>202</v>
      </c>
      <c r="I9049" s="8">
        <v>890</v>
      </c>
    </row>
    <row r="9050" spans="1:9" x14ac:dyDescent="0.2">
      <c r="A9050" t="s">
        <v>2034</v>
      </c>
      <c r="B9050" t="s">
        <v>247</v>
      </c>
      <c r="C9050" t="str">
        <f t="shared" si="462"/>
        <v>57726940000000</v>
      </c>
      <c r="D9050" t="s">
        <v>5942</v>
      </c>
      <c r="E9050" t="str">
        <f>"57726940114710"</f>
        <v>57726940114710</v>
      </c>
      <c r="F9050" s="8">
        <v>50</v>
      </c>
      <c r="G9050" s="8">
        <v>5368</v>
      </c>
      <c r="H9050" s="8">
        <v>353</v>
      </c>
      <c r="I9050" s="8">
        <v>879</v>
      </c>
    </row>
    <row r="9051" spans="1:9" x14ac:dyDescent="0.2">
      <c r="A9051" t="s">
        <v>2034</v>
      </c>
      <c r="B9051" t="s">
        <v>247</v>
      </c>
      <c r="C9051" t="str">
        <f t="shared" si="462"/>
        <v>57726940000000</v>
      </c>
      <c r="D9051" t="s">
        <v>9647</v>
      </c>
      <c r="E9051" t="str">
        <f>"57726946120745"</f>
        <v>57726946120745</v>
      </c>
      <c r="F9051" s="8">
        <v>32</v>
      </c>
      <c r="G9051" s="8">
        <v>4847</v>
      </c>
      <c r="H9051" s="8">
        <v>239</v>
      </c>
      <c r="I9051" s="8">
        <v>740</v>
      </c>
    </row>
    <row r="9052" spans="1:9" x14ac:dyDescent="0.2">
      <c r="A9052" t="s">
        <v>2034</v>
      </c>
      <c r="B9052" t="s">
        <v>247</v>
      </c>
      <c r="C9052" t="str">
        <f t="shared" si="462"/>
        <v>57726940000000</v>
      </c>
      <c r="D9052" t="s">
        <v>9315</v>
      </c>
      <c r="E9052" t="str">
        <f>"57726940120238"</f>
        <v>57726940120238</v>
      </c>
      <c r="F9052" s="8">
        <v>0</v>
      </c>
      <c r="G9052" s="8">
        <v>162</v>
      </c>
      <c r="H9052" s="8">
        <v>225</v>
      </c>
      <c r="I9052" s="8">
        <v>0</v>
      </c>
    </row>
    <row r="9053" spans="1:9" x14ac:dyDescent="0.2">
      <c r="A9053" t="s">
        <v>2034</v>
      </c>
      <c r="B9053" t="s">
        <v>247</v>
      </c>
      <c r="C9053" t="str">
        <f t="shared" si="462"/>
        <v>57726940000000</v>
      </c>
      <c r="D9053" t="s">
        <v>1629</v>
      </c>
      <c r="E9053" t="str">
        <f>"57726940120220"</f>
        <v>57726940120220</v>
      </c>
      <c r="F9053" s="8" t="s">
        <v>30</v>
      </c>
      <c r="G9053" s="8" t="s">
        <v>30</v>
      </c>
      <c r="H9053" s="8" t="s">
        <v>30</v>
      </c>
      <c r="I9053" s="8" t="s">
        <v>30</v>
      </c>
    </row>
    <row r="9054" spans="1:9" x14ac:dyDescent="0.2">
      <c r="A9054" t="s">
        <v>2034</v>
      </c>
      <c r="B9054" t="s">
        <v>247</v>
      </c>
      <c r="C9054" t="str">
        <f t="shared" si="462"/>
        <v>57726940000000</v>
      </c>
      <c r="D9054" t="s">
        <v>9648</v>
      </c>
      <c r="E9054" t="str">
        <f>"57726945730080"</f>
        <v>57726945730080</v>
      </c>
      <c r="F9054" s="8" t="s">
        <v>30</v>
      </c>
      <c r="G9054" s="8" t="s">
        <v>30</v>
      </c>
      <c r="H9054" s="8" t="s">
        <v>30</v>
      </c>
      <c r="I9054" s="8" t="s">
        <v>30</v>
      </c>
    </row>
    <row r="9055" spans="1:9" x14ac:dyDescent="0.2">
      <c r="A9055" t="s">
        <v>2034</v>
      </c>
      <c r="B9055" t="s">
        <v>2041</v>
      </c>
      <c r="C9055" t="str">
        <f>"57727020000000"</f>
        <v>57727020000000</v>
      </c>
      <c r="D9055" t="s">
        <v>9649</v>
      </c>
      <c r="E9055" t="str">
        <f>"57727025730049"</f>
        <v>57727025730049</v>
      </c>
      <c r="F9055" s="8">
        <v>156</v>
      </c>
      <c r="G9055" s="8">
        <v>10526</v>
      </c>
      <c r="H9055" s="8">
        <v>1012</v>
      </c>
      <c r="I9055" s="8">
        <v>8679</v>
      </c>
    </row>
    <row r="9056" spans="1:9" x14ac:dyDescent="0.2">
      <c r="A9056" t="s">
        <v>2034</v>
      </c>
      <c r="B9056" t="s">
        <v>2041</v>
      </c>
      <c r="C9056" t="str">
        <f>"57727020000000"</f>
        <v>57727020000000</v>
      </c>
      <c r="D9056" t="s">
        <v>9650</v>
      </c>
      <c r="E9056" t="str">
        <f>"57727025738505"</f>
        <v>57727025738505</v>
      </c>
      <c r="F9056" s="8">
        <v>451</v>
      </c>
      <c r="G9056" s="8">
        <v>7571</v>
      </c>
      <c r="H9056" s="8">
        <v>1013</v>
      </c>
      <c r="I9056" s="8">
        <v>8678</v>
      </c>
    </row>
    <row r="9057" spans="1:9" x14ac:dyDescent="0.2">
      <c r="A9057" t="s">
        <v>2034</v>
      </c>
      <c r="B9057" t="s">
        <v>2041</v>
      </c>
      <c r="C9057" t="str">
        <f>"57727020000000"</f>
        <v>57727020000000</v>
      </c>
      <c r="D9057" t="s">
        <v>9651</v>
      </c>
      <c r="E9057" t="str">
        <f>"57727026095368"</f>
        <v>57727026095368</v>
      </c>
      <c r="F9057" s="8">
        <v>428</v>
      </c>
      <c r="G9057" s="8">
        <v>7160</v>
      </c>
      <c r="H9057" s="8">
        <v>1013</v>
      </c>
      <c r="I9057" s="8">
        <v>8678</v>
      </c>
    </row>
    <row r="9058" spans="1:9" x14ac:dyDescent="0.2">
      <c r="A9058" t="s">
        <v>2034</v>
      </c>
      <c r="B9058" t="s">
        <v>2041</v>
      </c>
      <c r="C9058" t="str">
        <f>"57727020000000"</f>
        <v>57727020000000</v>
      </c>
      <c r="D9058" t="s">
        <v>9652</v>
      </c>
      <c r="E9058" t="str">
        <f>"57727020138974"</f>
        <v>57727020138974</v>
      </c>
      <c r="F9058" s="8">
        <v>530</v>
      </c>
      <c r="G9058" s="8">
        <v>6854</v>
      </c>
      <c r="H9058" s="8">
        <v>1013</v>
      </c>
      <c r="I9058" s="8">
        <v>8678</v>
      </c>
    </row>
    <row r="9059" spans="1:9" x14ac:dyDescent="0.2">
      <c r="A9059" t="s">
        <v>2034</v>
      </c>
      <c r="B9059" t="s">
        <v>2041</v>
      </c>
      <c r="C9059" t="str">
        <f>"57727020000000"</f>
        <v>57727020000000</v>
      </c>
      <c r="D9059" t="s">
        <v>9653</v>
      </c>
      <c r="E9059" t="str">
        <f>"57727026056410"</f>
        <v>57727026056410</v>
      </c>
      <c r="F9059" s="8">
        <v>542</v>
      </c>
      <c r="G9059" s="8">
        <v>6750</v>
      </c>
      <c r="H9059" s="8">
        <v>1013</v>
      </c>
      <c r="I9059" s="8">
        <v>8679</v>
      </c>
    </row>
    <row r="9060" spans="1:9" x14ac:dyDescent="0.2">
      <c r="A9060" t="s">
        <v>2034</v>
      </c>
      <c r="B9060" t="s">
        <v>2042</v>
      </c>
      <c r="C9060" t="str">
        <f t="shared" ref="C9060:C9078" si="463">"57727100000000"</f>
        <v>57727100000000</v>
      </c>
      <c r="D9060" t="s">
        <v>9654</v>
      </c>
      <c r="E9060" t="str">
        <f>"57727106116479"</f>
        <v>57727106116479</v>
      </c>
      <c r="F9060" s="8">
        <v>0</v>
      </c>
      <c r="G9060" s="8">
        <v>0</v>
      </c>
      <c r="H9060" s="8">
        <v>7271</v>
      </c>
      <c r="I9060" s="8">
        <v>103135</v>
      </c>
    </row>
    <row r="9061" spans="1:9" x14ac:dyDescent="0.2">
      <c r="A9061" t="s">
        <v>2034</v>
      </c>
      <c r="B9061" t="s">
        <v>2042</v>
      </c>
      <c r="C9061" t="str">
        <f t="shared" si="463"/>
        <v>57727100000000</v>
      </c>
      <c r="D9061" t="s">
        <v>9655</v>
      </c>
      <c r="E9061" t="str">
        <f>"57727105738810"</f>
        <v>57727105738810</v>
      </c>
      <c r="F9061" s="8">
        <v>180</v>
      </c>
      <c r="G9061" s="8">
        <v>11863</v>
      </c>
      <c r="H9061" s="8">
        <v>217</v>
      </c>
      <c r="I9061" s="8">
        <v>2800</v>
      </c>
    </row>
    <row r="9062" spans="1:9" x14ac:dyDescent="0.2">
      <c r="A9062" t="s">
        <v>2034</v>
      </c>
      <c r="B9062" t="s">
        <v>2042</v>
      </c>
      <c r="C9062" t="str">
        <f t="shared" si="463"/>
        <v>57727100000000</v>
      </c>
      <c r="D9062" t="s">
        <v>9656</v>
      </c>
      <c r="E9062" t="str">
        <f>"57727100121749"</f>
        <v>57727100121749</v>
      </c>
      <c r="F9062" s="8">
        <v>582</v>
      </c>
      <c r="G9062" s="8">
        <v>10166</v>
      </c>
      <c r="H9062" s="8">
        <v>386</v>
      </c>
      <c r="I9062" s="8">
        <v>802</v>
      </c>
    </row>
    <row r="9063" spans="1:9" x14ac:dyDescent="0.2">
      <c r="A9063" t="s">
        <v>2034</v>
      </c>
      <c r="B9063" t="s">
        <v>2042</v>
      </c>
      <c r="C9063" t="str">
        <f t="shared" si="463"/>
        <v>57727100000000</v>
      </c>
      <c r="D9063" t="s">
        <v>9657</v>
      </c>
      <c r="E9063" t="str">
        <f>"57727106066252"</f>
        <v>57727106066252</v>
      </c>
      <c r="F9063" s="8">
        <v>366</v>
      </c>
      <c r="G9063" s="8">
        <v>5697</v>
      </c>
      <c r="H9063" s="8">
        <v>2131</v>
      </c>
      <c r="I9063" s="8">
        <v>1114</v>
      </c>
    </row>
    <row r="9064" spans="1:9" x14ac:dyDescent="0.2">
      <c r="A9064" t="s">
        <v>2034</v>
      </c>
      <c r="B9064" t="s">
        <v>2042</v>
      </c>
      <c r="C9064" t="str">
        <f t="shared" si="463"/>
        <v>57727100000000</v>
      </c>
      <c r="D9064" t="s">
        <v>9658</v>
      </c>
      <c r="E9064" t="str">
        <f>"57727106056519"</f>
        <v>57727106056519</v>
      </c>
      <c r="F9064" s="8">
        <v>215</v>
      </c>
      <c r="G9064" s="8">
        <v>5080</v>
      </c>
      <c r="H9064" s="8">
        <v>446</v>
      </c>
      <c r="I9064" s="8">
        <v>1893</v>
      </c>
    </row>
    <row r="9065" spans="1:9" x14ac:dyDescent="0.2">
      <c r="A9065" t="s">
        <v>2034</v>
      </c>
      <c r="B9065" t="s">
        <v>2042</v>
      </c>
      <c r="C9065" t="str">
        <f t="shared" si="463"/>
        <v>57727100000000</v>
      </c>
      <c r="D9065" t="s">
        <v>9659</v>
      </c>
      <c r="E9065" t="str">
        <f>"57727106096671"</f>
        <v>57727106096671</v>
      </c>
      <c r="F9065" s="8">
        <v>159</v>
      </c>
      <c r="G9065" s="8">
        <v>4765</v>
      </c>
      <c r="H9065" s="8">
        <v>1070</v>
      </c>
      <c r="I9065" s="8">
        <v>1575</v>
      </c>
    </row>
    <row r="9066" spans="1:9" x14ac:dyDescent="0.2">
      <c r="A9066" t="s">
        <v>2034</v>
      </c>
      <c r="B9066" t="s">
        <v>2042</v>
      </c>
      <c r="C9066" t="str">
        <f t="shared" si="463"/>
        <v>57727100000000</v>
      </c>
      <c r="D9066" t="s">
        <v>9660</v>
      </c>
      <c r="E9066" t="str">
        <f>"57727105738802"</f>
        <v>57727105738802</v>
      </c>
      <c r="F9066" s="8">
        <v>181</v>
      </c>
      <c r="G9066" s="8">
        <v>4608</v>
      </c>
      <c r="H9066" s="8">
        <v>450</v>
      </c>
      <c r="I9066" s="8">
        <v>2129</v>
      </c>
    </row>
    <row r="9067" spans="1:9" x14ac:dyDescent="0.2">
      <c r="A9067" t="s">
        <v>2034</v>
      </c>
      <c r="B9067" t="s">
        <v>2042</v>
      </c>
      <c r="C9067" t="str">
        <f t="shared" si="463"/>
        <v>57727100000000</v>
      </c>
      <c r="D9067" t="s">
        <v>9661</v>
      </c>
      <c r="E9067" t="str">
        <f>"57727106056469"</f>
        <v>57727106056469</v>
      </c>
      <c r="F9067" s="8">
        <v>348</v>
      </c>
      <c r="G9067" s="8">
        <v>5214</v>
      </c>
      <c r="H9067" s="8">
        <v>369</v>
      </c>
      <c r="I9067" s="8">
        <v>1398</v>
      </c>
    </row>
    <row r="9068" spans="1:9" x14ac:dyDescent="0.2">
      <c r="A9068" t="s">
        <v>2034</v>
      </c>
      <c r="B9068" t="s">
        <v>2042</v>
      </c>
      <c r="C9068" t="str">
        <f t="shared" si="463"/>
        <v>57727100000000</v>
      </c>
      <c r="D9068" t="s">
        <v>9662</v>
      </c>
      <c r="E9068" t="str">
        <f>"57727106056527"</f>
        <v>57727106056527</v>
      </c>
      <c r="F9068" s="8">
        <v>180</v>
      </c>
      <c r="G9068" s="8">
        <v>6068</v>
      </c>
      <c r="H9068" s="8">
        <v>167</v>
      </c>
      <c r="I9068" s="8">
        <v>818</v>
      </c>
    </row>
    <row r="9069" spans="1:9" x14ac:dyDescent="0.2">
      <c r="A9069" t="s">
        <v>2034</v>
      </c>
      <c r="B9069" t="s">
        <v>2042</v>
      </c>
      <c r="C9069" t="str">
        <f t="shared" si="463"/>
        <v>57727100000000</v>
      </c>
      <c r="D9069" t="s">
        <v>9663</v>
      </c>
      <c r="E9069" t="str">
        <f>"57727106056477"</f>
        <v>57727106056477</v>
      </c>
      <c r="F9069" s="8">
        <v>212</v>
      </c>
      <c r="G9069" s="8">
        <v>4325</v>
      </c>
      <c r="H9069" s="8">
        <v>878</v>
      </c>
      <c r="I9069" s="8">
        <v>1806</v>
      </c>
    </row>
    <row r="9070" spans="1:9" x14ac:dyDescent="0.2">
      <c r="A9070" t="s">
        <v>2034</v>
      </c>
      <c r="B9070" t="s">
        <v>2042</v>
      </c>
      <c r="C9070" t="str">
        <f t="shared" si="463"/>
        <v>57727100000000</v>
      </c>
      <c r="D9070" t="s">
        <v>9664</v>
      </c>
      <c r="E9070" t="str">
        <f>"57727106071278"</f>
        <v>57727106071278</v>
      </c>
      <c r="F9070" s="8">
        <v>173</v>
      </c>
      <c r="G9070" s="8">
        <v>5013</v>
      </c>
      <c r="H9070" s="8">
        <v>405</v>
      </c>
      <c r="I9070" s="8">
        <v>1517</v>
      </c>
    </row>
    <row r="9071" spans="1:9" x14ac:dyDescent="0.2">
      <c r="A9071" t="s">
        <v>2034</v>
      </c>
      <c r="B9071" t="s">
        <v>2042</v>
      </c>
      <c r="C9071" t="str">
        <f t="shared" si="463"/>
        <v>57727100000000</v>
      </c>
      <c r="D9071" t="s">
        <v>9665</v>
      </c>
      <c r="E9071" t="str">
        <f>"57727106066260"</f>
        <v>57727106066260</v>
      </c>
      <c r="F9071" s="8">
        <v>161</v>
      </c>
      <c r="G9071" s="8">
        <v>5164</v>
      </c>
      <c r="H9071" s="8">
        <v>327</v>
      </c>
      <c r="I9071" s="8">
        <v>1088</v>
      </c>
    </row>
    <row r="9072" spans="1:9" x14ac:dyDescent="0.2">
      <c r="A9072" t="s">
        <v>2034</v>
      </c>
      <c r="B9072" t="s">
        <v>2042</v>
      </c>
      <c r="C9072" t="str">
        <f t="shared" si="463"/>
        <v>57727100000000</v>
      </c>
      <c r="D9072" t="s">
        <v>2914</v>
      </c>
      <c r="E9072" t="str">
        <f>"57727106056485"</f>
        <v>57727106056485</v>
      </c>
      <c r="F9072" s="8">
        <v>220</v>
      </c>
      <c r="G9072" s="8">
        <v>4262</v>
      </c>
      <c r="H9072" s="8">
        <v>899</v>
      </c>
      <c r="I9072" s="8">
        <v>1302</v>
      </c>
    </row>
    <row r="9073" spans="1:9" x14ac:dyDescent="0.2">
      <c r="A9073" t="s">
        <v>2034</v>
      </c>
      <c r="B9073" t="s">
        <v>2042</v>
      </c>
      <c r="C9073" t="str">
        <f t="shared" si="463"/>
        <v>57727100000000</v>
      </c>
      <c r="D9073" t="s">
        <v>5194</v>
      </c>
      <c r="E9073" t="str">
        <f>"57727100101162"</f>
        <v>57727100101162</v>
      </c>
      <c r="F9073" s="8">
        <v>137</v>
      </c>
      <c r="G9073" s="8">
        <v>4561</v>
      </c>
      <c r="H9073" s="8">
        <v>310</v>
      </c>
      <c r="I9073" s="8">
        <v>1639</v>
      </c>
    </row>
    <row r="9074" spans="1:9" x14ac:dyDescent="0.2">
      <c r="A9074" t="s">
        <v>2034</v>
      </c>
      <c r="B9074" t="s">
        <v>2042</v>
      </c>
      <c r="C9074" t="str">
        <f t="shared" si="463"/>
        <v>57727100000000</v>
      </c>
      <c r="D9074" t="s">
        <v>9666</v>
      </c>
      <c r="E9074" t="str">
        <f>"57727106107163"</f>
        <v>57727106107163</v>
      </c>
      <c r="F9074" s="8">
        <v>254</v>
      </c>
      <c r="G9074" s="8">
        <v>4553</v>
      </c>
      <c r="H9074" s="8">
        <v>474</v>
      </c>
      <c r="I9074" s="8">
        <v>1245</v>
      </c>
    </row>
    <row r="9075" spans="1:9" x14ac:dyDescent="0.2">
      <c r="A9075" t="s">
        <v>2034</v>
      </c>
      <c r="B9075" t="s">
        <v>2042</v>
      </c>
      <c r="C9075" t="str">
        <f t="shared" si="463"/>
        <v>57727100000000</v>
      </c>
      <c r="D9075" t="s">
        <v>9667</v>
      </c>
      <c r="E9075" t="str">
        <f>"57727106056444"</f>
        <v>57727106056444</v>
      </c>
      <c r="F9075" s="8">
        <v>147</v>
      </c>
      <c r="G9075" s="8">
        <v>5252</v>
      </c>
      <c r="H9075" s="8">
        <v>201</v>
      </c>
      <c r="I9075" s="8">
        <v>797</v>
      </c>
    </row>
    <row r="9076" spans="1:9" x14ac:dyDescent="0.2">
      <c r="A9076" t="s">
        <v>2034</v>
      </c>
      <c r="B9076" t="s">
        <v>2042</v>
      </c>
      <c r="C9076" t="str">
        <f t="shared" si="463"/>
        <v>57727100000000</v>
      </c>
      <c r="D9076" t="s">
        <v>9668</v>
      </c>
      <c r="E9076" t="str">
        <f>"57727106116677"</f>
        <v>57727106116677</v>
      </c>
      <c r="F9076" s="8">
        <v>219</v>
      </c>
      <c r="G9076" s="8">
        <v>4808</v>
      </c>
      <c r="H9076" s="8">
        <v>471</v>
      </c>
      <c r="I9076" s="8">
        <v>521</v>
      </c>
    </row>
    <row r="9077" spans="1:9" x14ac:dyDescent="0.2">
      <c r="A9077" t="s">
        <v>2034</v>
      </c>
      <c r="B9077" t="s">
        <v>2042</v>
      </c>
      <c r="C9077" t="str">
        <f t="shared" si="463"/>
        <v>57727100000000</v>
      </c>
      <c r="D9077" t="s">
        <v>9669</v>
      </c>
      <c r="E9077" t="str">
        <f>"57727100138180"</f>
        <v>57727100138180</v>
      </c>
      <c r="F9077" s="8">
        <v>116</v>
      </c>
      <c r="G9077" s="8">
        <v>4569</v>
      </c>
      <c r="H9077" s="8">
        <v>222</v>
      </c>
      <c r="I9077" s="8">
        <v>1068</v>
      </c>
    </row>
    <row r="9078" spans="1:9" x14ac:dyDescent="0.2">
      <c r="A9078" t="s">
        <v>2034</v>
      </c>
      <c r="B9078" t="s">
        <v>2042</v>
      </c>
      <c r="C9078" t="str">
        <f t="shared" si="463"/>
        <v>57727100000000</v>
      </c>
      <c r="D9078" t="s">
        <v>9670</v>
      </c>
      <c r="E9078" t="str">
        <f>"57727100138677"</f>
        <v>57727100138677</v>
      </c>
      <c r="F9078" s="8" t="s">
        <v>30</v>
      </c>
      <c r="G9078" s="8" t="s">
        <v>30</v>
      </c>
      <c r="H9078" s="8" t="s">
        <v>30</v>
      </c>
      <c r="I9078" s="8" t="s">
        <v>30</v>
      </c>
    </row>
    <row r="9079" spans="1:9" x14ac:dyDescent="0.2">
      <c r="A9079" t="s">
        <v>2034</v>
      </c>
      <c r="B9079" t="s">
        <v>2043</v>
      </c>
      <c r="C9079" t="str">
        <f>"57105790000000"</f>
        <v>57105790000000</v>
      </c>
      <c r="D9079" t="s">
        <v>9671</v>
      </c>
      <c r="E9079" t="str">
        <f>"57105795730106"</f>
        <v>57105795730106</v>
      </c>
      <c r="F9079" s="8">
        <v>35653</v>
      </c>
      <c r="G9079" s="8">
        <v>80694</v>
      </c>
      <c r="H9079" s="8">
        <v>0</v>
      </c>
      <c r="I9079" s="8">
        <v>0</v>
      </c>
    </row>
    <row r="9080" spans="1:9" x14ac:dyDescent="0.2">
      <c r="A9080" t="s">
        <v>2034</v>
      </c>
      <c r="B9080" t="s">
        <v>2043</v>
      </c>
      <c r="C9080" t="str">
        <f>"57105790000000"</f>
        <v>57105790000000</v>
      </c>
      <c r="D9080" t="s">
        <v>9672</v>
      </c>
      <c r="E9080" t="str">
        <f>"57105796077275"</f>
        <v>57105796077275</v>
      </c>
      <c r="F9080" s="8">
        <v>0</v>
      </c>
      <c r="G9080" s="8">
        <v>0</v>
      </c>
      <c r="H9080" s="8">
        <v>494</v>
      </c>
      <c r="I9080" s="8">
        <v>59198</v>
      </c>
    </row>
    <row r="9081" spans="1:9" x14ac:dyDescent="0.2">
      <c r="A9081" t="s">
        <v>2034</v>
      </c>
      <c r="B9081" t="s">
        <v>2043</v>
      </c>
      <c r="C9081" t="str">
        <f>"57105790000000"</f>
        <v>57105790000000</v>
      </c>
      <c r="D9081" t="s">
        <v>9673</v>
      </c>
      <c r="E9081" t="str">
        <f>"57105790113787"</f>
        <v>57105790113787</v>
      </c>
      <c r="F9081" s="8">
        <v>10878</v>
      </c>
      <c r="G9081" s="8">
        <v>13217</v>
      </c>
      <c r="H9081" s="8">
        <v>0</v>
      </c>
      <c r="I9081" s="8">
        <v>0</v>
      </c>
    </row>
    <row r="9082" spans="1:9" x14ac:dyDescent="0.2">
      <c r="A9082" t="s">
        <v>2044</v>
      </c>
      <c r="B9082" t="s">
        <v>2045</v>
      </c>
      <c r="C9082" t="str">
        <f>"58727280000000"</f>
        <v>58727280000000</v>
      </c>
      <c r="D9082" t="s">
        <v>2045</v>
      </c>
      <c r="E9082" t="str">
        <f>"58727286056600"</f>
        <v>58727286056600</v>
      </c>
      <c r="F9082" s="8">
        <v>1515</v>
      </c>
      <c r="G9082" s="8">
        <v>16759</v>
      </c>
      <c r="H9082" s="8">
        <v>0</v>
      </c>
      <c r="I9082" s="8">
        <v>0</v>
      </c>
    </row>
    <row r="9083" spans="1:9" x14ac:dyDescent="0.2">
      <c r="A9083" t="s">
        <v>2044</v>
      </c>
      <c r="B9083" t="s">
        <v>2047</v>
      </c>
      <c r="C9083" t="str">
        <f t="shared" ref="C9083:C9105" si="464">"58727360000000"</f>
        <v>58727360000000</v>
      </c>
      <c r="D9083" t="s">
        <v>9674</v>
      </c>
      <c r="E9083" t="str">
        <f>"58727360131599"</f>
        <v>58727360131599</v>
      </c>
      <c r="F9083" s="8">
        <v>4289</v>
      </c>
      <c r="G9083" s="8">
        <v>57827</v>
      </c>
      <c r="H9083" s="8">
        <v>1005</v>
      </c>
      <c r="I9083" s="8">
        <v>3007</v>
      </c>
    </row>
    <row r="9084" spans="1:9" x14ac:dyDescent="0.2">
      <c r="A9084" t="s">
        <v>2044</v>
      </c>
      <c r="B9084" t="s">
        <v>2047</v>
      </c>
      <c r="C9084" t="str">
        <f t="shared" si="464"/>
        <v>58727360000000</v>
      </c>
      <c r="D9084" t="s">
        <v>9675</v>
      </c>
      <c r="E9084" t="str">
        <f>"58727366056675"</f>
        <v>58727366056675</v>
      </c>
      <c r="F9084" s="8">
        <v>527</v>
      </c>
      <c r="G9084" s="8">
        <v>13955</v>
      </c>
      <c r="H9084" s="8">
        <v>1236</v>
      </c>
      <c r="I9084" s="8">
        <v>3627</v>
      </c>
    </row>
    <row r="9085" spans="1:9" x14ac:dyDescent="0.2">
      <c r="A9085" t="s">
        <v>2044</v>
      </c>
      <c r="B9085" t="s">
        <v>2047</v>
      </c>
      <c r="C9085" t="str">
        <f t="shared" si="464"/>
        <v>58727360000000</v>
      </c>
      <c r="D9085" t="s">
        <v>9676</v>
      </c>
      <c r="E9085" t="str">
        <f>"58727366056725"</f>
        <v>58727366056725</v>
      </c>
      <c r="F9085" s="8">
        <v>553</v>
      </c>
      <c r="G9085" s="8">
        <v>10123</v>
      </c>
      <c r="H9085" s="8">
        <v>1465</v>
      </c>
      <c r="I9085" s="8">
        <v>4972</v>
      </c>
    </row>
    <row r="9086" spans="1:9" x14ac:dyDescent="0.2">
      <c r="A9086" t="s">
        <v>2044</v>
      </c>
      <c r="B9086" t="s">
        <v>2047</v>
      </c>
      <c r="C9086" t="str">
        <f t="shared" si="464"/>
        <v>58727360000000</v>
      </c>
      <c r="D9086" t="s">
        <v>9677</v>
      </c>
      <c r="E9086" t="str">
        <f>"58727365830096"</f>
        <v>58727365830096</v>
      </c>
      <c r="F9086" s="8">
        <v>597</v>
      </c>
      <c r="G9086" s="8">
        <v>10330</v>
      </c>
      <c r="H9086" s="8">
        <v>1168</v>
      </c>
      <c r="I9086" s="8">
        <v>3376</v>
      </c>
    </row>
    <row r="9087" spans="1:9" x14ac:dyDescent="0.2">
      <c r="A9087" t="s">
        <v>2044</v>
      </c>
      <c r="B9087" t="s">
        <v>2047</v>
      </c>
      <c r="C9087" t="str">
        <f t="shared" si="464"/>
        <v>58727360000000</v>
      </c>
      <c r="D9087" t="s">
        <v>9678</v>
      </c>
      <c r="E9087" t="str">
        <f>"58727366056667"</f>
        <v>58727366056667</v>
      </c>
      <c r="F9087" s="8">
        <v>887</v>
      </c>
      <c r="G9087" s="8">
        <v>8965</v>
      </c>
      <c r="H9087" s="8">
        <v>1277</v>
      </c>
      <c r="I9087" s="8">
        <v>4017</v>
      </c>
    </row>
    <row r="9088" spans="1:9" x14ac:dyDescent="0.2">
      <c r="A9088" t="s">
        <v>2044</v>
      </c>
      <c r="B9088" t="s">
        <v>2047</v>
      </c>
      <c r="C9088" t="str">
        <f t="shared" si="464"/>
        <v>58727360000000</v>
      </c>
      <c r="D9088" t="s">
        <v>9679</v>
      </c>
      <c r="E9088" t="str">
        <f>"58727366056782"</f>
        <v>58727366056782</v>
      </c>
      <c r="F9088" s="8">
        <v>1004</v>
      </c>
      <c r="G9088" s="8">
        <v>8130</v>
      </c>
      <c r="H9088" s="8">
        <v>1552</v>
      </c>
      <c r="I9088" s="8">
        <v>4422</v>
      </c>
    </row>
    <row r="9089" spans="1:9" x14ac:dyDescent="0.2">
      <c r="A9089" t="s">
        <v>2044</v>
      </c>
      <c r="B9089" t="s">
        <v>2047</v>
      </c>
      <c r="C9089" t="str">
        <f t="shared" si="464"/>
        <v>58727360000000</v>
      </c>
      <c r="D9089" t="s">
        <v>9680</v>
      </c>
      <c r="E9089" t="str">
        <f>"58727366056691"</f>
        <v>58727366056691</v>
      </c>
      <c r="F9089" s="8">
        <v>1187</v>
      </c>
      <c r="G9089" s="8">
        <v>8013</v>
      </c>
      <c r="H9089" s="8">
        <v>1267</v>
      </c>
      <c r="I9089" s="8">
        <v>3668</v>
      </c>
    </row>
    <row r="9090" spans="1:9" x14ac:dyDescent="0.2">
      <c r="A9090" t="s">
        <v>2044</v>
      </c>
      <c r="B9090" t="s">
        <v>2047</v>
      </c>
      <c r="C9090" t="str">
        <f t="shared" si="464"/>
        <v>58727360000000</v>
      </c>
      <c r="D9090" t="s">
        <v>9681</v>
      </c>
      <c r="E9090" t="str">
        <f>"58727365835202"</f>
        <v>58727365835202</v>
      </c>
      <c r="F9090" s="8">
        <v>746</v>
      </c>
      <c r="G9090" s="8">
        <v>8269</v>
      </c>
      <c r="H9090" s="8">
        <v>1244</v>
      </c>
      <c r="I9090" s="8">
        <v>3815</v>
      </c>
    </row>
    <row r="9091" spans="1:9" x14ac:dyDescent="0.2">
      <c r="A9091" t="s">
        <v>2044</v>
      </c>
      <c r="B9091" t="s">
        <v>2047</v>
      </c>
      <c r="C9091" t="str">
        <f t="shared" si="464"/>
        <v>58727360000000</v>
      </c>
      <c r="D9091" t="s">
        <v>9682</v>
      </c>
      <c r="E9091" t="str">
        <f>"58727365830013"</f>
        <v>58727365830013</v>
      </c>
      <c r="F9091" s="8">
        <v>898</v>
      </c>
      <c r="G9091" s="8">
        <v>7363</v>
      </c>
      <c r="H9091" s="8">
        <v>1333</v>
      </c>
      <c r="I9091" s="8">
        <v>3770</v>
      </c>
    </row>
    <row r="9092" spans="1:9" x14ac:dyDescent="0.2">
      <c r="A9092" t="s">
        <v>2044</v>
      </c>
      <c r="B9092" t="s">
        <v>2047</v>
      </c>
      <c r="C9092" t="str">
        <f t="shared" si="464"/>
        <v>58727360000000</v>
      </c>
      <c r="D9092" t="s">
        <v>9683</v>
      </c>
      <c r="E9092" t="str">
        <f>"58727366056774"</f>
        <v>58727366056774</v>
      </c>
      <c r="F9092" s="8">
        <v>1127</v>
      </c>
      <c r="G9092" s="8">
        <v>6399</v>
      </c>
      <c r="H9092" s="8">
        <v>1306</v>
      </c>
      <c r="I9092" s="8">
        <v>3949</v>
      </c>
    </row>
    <row r="9093" spans="1:9" x14ac:dyDescent="0.2">
      <c r="A9093" t="s">
        <v>2044</v>
      </c>
      <c r="B9093" t="s">
        <v>2047</v>
      </c>
      <c r="C9093" t="str">
        <f t="shared" si="464"/>
        <v>58727360000000</v>
      </c>
      <c r="D9093" t="s">
        <v>9684</v>
      </c>
      <c r="E9093" t="str">
        <f>"58727366056659"</f>
        <v>58727366056659</v>
      </c>
      <c r="F9093" s="8">
        <v>919</v>
      </c>
      <c r="G9093" s="8">
        <v>5919</v>
      </c>
      <c r="H9093" s="8">
        <v>1395</v>
      </c>
      <c r="I9093" s="8">
        <v>4207</v>
      </c>
    </row>
    <row r="9094" spans="1:9" x14ac:dyDescent="0.2">
      <c r="A9094" t="s">
        <v>2044</v>
      </c>
      <c r="B9094" t="s">
        <v>2047</v>
      </c>
      <c r="C9094" t="str">
        <f t="shared" si="464"/>
        <v>58727360000000</v>
      </c>
      <c r="D9094" t="s">
        <v>5648</v>
      </c>
      <c r="E9094" t="str">
        <f>"58727366099014"</f>
        <v>58727366099014</v>
      </c>
      <c r="F9094" s="8">
        <v>382</v>
      </c>
      <c r="G9094" s="8">
        <v>7459</v>
      </c>
      <c r="H9094" s="8">
        <v>1110</v>
      </c>
      <c r="I9094" s="8">
        <v>3470</v>
      </c>
    </row>
    <row r="9095" spans="1:9" x14ac:dyDescent="0.2">
      <c r="A9095" t="s">
        <v>2044</v>
      </c>
      <c r="B9095" t="s">
        <v>2047</v>
      </c>
      <c r="C9095" t="str">
        <f t="shared" si="464"/>
        <v>58727360000000</v>
      </c>
      <c r="D9095" t="s">
        <v>9685</v>
      </c>
      <c r="E9095" t="str">
        <f>"58727366056790"</f>
        <v>58727366056790</v>
      </c>
      <c r="F9095" s="8">
        <v>1025</v>
      </c>
      <c r="G9095" s="8">
        <v>6333</v>
      </c>
      <c r="H9095" s="8">
        <v>1300</v>
      </c>
      <c r="I9095" s="8">
        <v>3735</v>
      </c>
    </row>
    <row r="9096" spans="1:9" x14ac:dyDescent="0.2">
      <c r="A9096" t="s">
        <v>2044</v>
      </c>
      <c r="B9096" t="s">
        <v>2047</v>
      </c>
      <c r="C9096" t="str">
        <f t="shared" si="464"/>
        <v>58727360000000</v>
      </c>
      <c r="D9096" t="s">
        <v>9686</v>
      </c>
      <c r="E9096" t="str">
        <f>"58727366056733"</f>
        <v>58727366056733</v>
      </c>
      <c r="F9096" s="8">
        <v>919</v>
      </c>
      <c r="G9096" s="8">
        <v>6030</v>
      </c>
      <c r="H9096" s="8">
        <v>1341</v>
      </c>
      <c r="I9096" s="8">
        <v>3933</v>
      </c>
    </row>
    <row r="9097" spans="1:9" x14ac:dyDescent="0.2">
      <c r="A9097" t="s">
        <v>2044</v>
      </c>
      <c r="B9097" t="s">
        <v>2047</v>
      </c>
      <c r="C9097" t="str">
        <f t="shared" si="464"/>
        <v>58727360000000</v>
      </c>
      <c r="D9097" t="s">
        <v>9687</v>
      </c>
      <c r="E9097" t="str">
        <f>"58727366056717"</f>
        <v>58727366056717</v>
      </c>
      <c r="F9097" s="8">
        <v>1288</v>
      </c>
      <c r="G9097" s="8">
        <v>6007</v>
      </c>
      <c r="H9097" s="8">
        <v>1212</v>
      </c>
      <c r="I9097" s="8">
        <v>3679</v>
      </c>
    </row>
    <row r="9098" spans="1:9" x14ac:dyDescent="0.2">
      <c r="A9098" t="s">
        <v>2044</v>
      </c>
      <c r="B9098" t="s">
        <v>2047</v>
      </c>
      <c r="C9098" t="str">
        <f t="shared" si="464"/>
        <v>58727360000000</v>
      </c>
      <c r="D9098" t="s">
        <v>9688</v>
      </c>
      <c r="E9098" t="str">
        <f>"58727366056741"</f>
        <v>58727366056741</v>
      </c>
      <c r="F9098" s="8">
        <v>953</v>
      </c>
      <c r="G9098" s="8">
        <v>6345</v>
      </c>
      <c r="H9098" s="8">
        <v>1175</v>
      </c>
      <c r="I9098" s="8">
        <v>3698</v>
      </c>
    </row>
    <row r="9099" spans="1:9" x14ac:dyDescent="0.2">
      <c r="A9099" t="s">
        <v>2044</v>
      </c>
      <c r="B9099" t="s">
        <v>2047</v>
      </c>
      <c r="C9099" t="str">
        <f t="shared" si="464"/>
        <v>58727360000000</v>
      </c>
      <c r="D9099" t="s">
        <v>9689</v>
      </c>
      <c r="E9099" t="str">
        <f>"58727366056709"</f>
        <v>58727366056709</v>
      </c>
      <c r="F9099" s="8">
        <v>1145</v>
      </c>
      <c r="G9099" s="8">
        <v>5869</v>
      </c>
      <c r="H9099" s="8">
        <v>1282</v>
      </c>
      <c r="I9099" s="8">
        <v>3731</v>
      </c>
    </row>
    <row r="9100" spans="1:9" x14ac:dyDescent="0.2">
      <c r="A9100" t="s">
        <v>2044</v>
      </c>
      <c r="B9100" t="s">
        <v>2047</v>
      </c>
      <c r="C9100" t="str">
        <f t="shared" si="464"/>
        <v>58727360000000</v>
      </c>
      <c r="D9100" t="s">
        <v>9690</v>
      </c>
      <c r="E9100" t="str">
        <f>"58727366056683"</f>
        <v>58727366056683</v>
      </c>
      <c r="F9100" s="8">
        <v>800</v>
      </c>
      <c r="G9100" s="8">
        <v>5907</v>
      </c>
      <c r="H9100" s="8">
        <v>1293</v>
      </c>
      <c r="I9100" s="8">
        <v>3779</v>
      </c>
    </row>
    <row r="9101" spans="1:9" x14ac:dyDescent="0.2">
      <c r="A9101" t="s">
        <v>2044</v>
      </c>
      <c r="B9101" t="s">
        <v>2047</v>
      </c>
      <c r="C9101" t="str">
        <f t="shared" si="464"/>
        <v>58727360000000</v>
      </c>
      <c r="D9101" t="s">
        <v>9691</v>
      </c>
      <c r="E9101" t="str">
        <f>"58727366056634"</f>
        <v>58727366056634</v>
      </c>
      <c r="F9101" s="8">
        <v>967</v>
      </c>
      <c r="G9101" s="8">
        <v>6004</v>
      </c>
      <c r="H9101" s="8">
        <v>1140</v>
      </c>
      <c r="I9101" s="8">
        <v>3620</v>
      </c>
    </row>
    <row r="9102" spans="1:9" x14ac:dyDescent="0.2">
      <c r="A9102" t="s">
        <v>2044</v>
      </c>
      <c r="B9102" t="s">
        <v>2047</v>
      </c>
      <c r="C9102" t="str">
        <f t="shared" si="464"/>
        <v>58727360000000</v>
      </c>
      <c r="D9102" t="s">
        <v>9692</v>
      </c>
      <c r="E9102" t="str">
        <f>"58727360119362"</f>
        <v>58727360119362</v>
      </c>
      <c r="F9102" s="8">
        <v>591</v>
      </c>
      <c r="G9102" s="8">
        <v>6289</v>
      </c>
      <c r="H9102" s="8">
        <v>1116</v>
      </c>
      <c r="I9102" s="8">
        <v>3485</v>
      </c>
    </row>
    <row r="9103" spans="1:9" x14ac:dyDescent="0.2">
      <c r="A9103" t="s">
        <v>2044</v>
      </c>
      <c r="B9103" t="s">
        <v>2047</v>
      </c>
      <c r="C9103" t="str">
        <f t="shared" si="464"/>
        <v>58727360000000</v>
      </c>
      <c r="D9103" t="s">
        <v>9693</v>
      </c>
      <c r="E9103" t="str">
        <f>"58727366056626"</f>
        <v>58727366056626</v>
      </c>
      <c r="F9103" s="8">
        <v>677</v>
      </c>
      <c r="G9103" s="8">
        <v>5773</v>
      </c>
      <c r="H9103" s="8">
        <v>1270</v>
      </c>
      <c r="I9103" s="8">
        <v>3687</v>
      </c>
    </row>
    <row r="9104" spans="1:9" x14ac:dyDescent="0.2">
      <c r="A9104" t="s">
        <v>2044</v>
      </c>
      <c r="B9104" t="s">
        <v>2047</v>
      </c>
      <c r="C9104" t="str">
        <f t="shared" si="464"/>
        <v>58727360000000</v>
      </c>
      <c r="D9104" t="s">
        <v>9694</v>
      </c>
      <c r="E9104" t="str">
        <f>"58727365830138"</f>
        <v>58727365830138</v>
      </c>
      <c r="F9104" s="8">
        <v>787</v>
      </c>
      <c r="G9104" s="8">
        <v>3721</v>
      </c>
      <c r="H9104" s="8">
        <v>970</v>
      </c>
      <c r="I9104" s="8">
        <v>2887</v>
      </c>
    </row>
    <row r="9105" spans="1:9" x14ac:dyDescent="0.2">
      <c r="A9105" t="s">
        <v>2044</v>
      </c>
      <c r="B9105" t="s">
        <v>2047</v>
      </c>
      <c r="C9105" t="str">
        <f t="shared" si="464"/>
        <v>58727360000000</v>
      </c>
      <c r="D9105" t="s">
        <v>9695</v>
      </c>
      <c r="E9105" t="str">
        <f>"58727365830054"</f>
        <v>58727365830054</v>
      </c>
      <c r="F9105" s="8" t="s">
        <v>30</v>
      </c>
      <c r="G9105" s="8" t="s">
        <v>30</v>
      </c>
      <c r="H9105" s="8" t="s">
        <v>30</v>
      </c>
      <c r="I9105" s="8" t="s">
        <v>30</v>
      </c>
    </row>
    <row r="9106" spans="1:9" x14ac:dyDescent="0.2">
      <c r="A9106" t="s">
        <v>2044</v>
      </c>
      <c r="B9106" t="s">
        <v>2049</v>
      </c>
      <c r="C9106" t="str">
        <f>"58727440000000"</f>
        <v>58727440000000</v>
      </c>
      <c r="D9106" t="s">
        <v>9696</v>
      </c>
      <c r="E9106" t="str">
        <f>"58727440112623"</f>
        <v>58727440112623</v>
      </c>
      <c r="F9106" s="8">
        <v>350</v>
      </c>
      <c r="G9106" s="8">
        <v>7263</v>
      </c>
      <c r="H9106" s="8">
        <v>451</v>
      </c>
      <c r="I9106" s="8">
        <v>3980</v>
      </c>
    </row>
    <row r="9107" spans="1:9" x14ac:dyDescent="0.2">
      <c r="A9107" t="s">
        <v>2044</v>
      </c>
      <c r="B9107" t="s">
        <v>2049</v>
      </c>
      <c r="C9107" t="str">
        <f>"58727440000000"</f>
        <v>58727440000000</v>
      </c>
      <c r="D9107" t="s">
        <v>9697</v>
      </c>
      <c r="E9107" t="str">
        <f>"58727440107375"</f>
        <v>58727440107375</v>
      </c>
      <c r="F9107" s="8">
        <v>312</v>
      </c>
      <c r="G9107" s="8">
        <v>5893</v>
      </c>
      <c r="H9107" s="8">
        <v>451</v>
      </c>
      <c r="I9107" s="8">
        <v>3980</v>
      </c>
    </row>
    <row r="9108" spans="1:9" x14ac:dyDescent="0.2">
      <c r="A9108" t="s">
        <v>2044</v>
      </c>
      <c r="B9108" t="s">
        <v>2049</v>
      </c>
      <c r="C9108" t="str">
        <f>"58727440000000"</f>
        <v>58727440000000</v>
      </c>
      <c r="D9108" t="s">
        <v>6243</v>
      </c>
      <c r="E9108" t="str">
        <f>"58727440114652"</f>
        <v>58727440114652</v>
      </c>
      <c r="F9108" s="8">
        <v>255</v>
      </c>
      <c r="G9108" s="8">
        <v>5841</v>
      </c>
      <c r="H9108" s="8">
        <v>451</v>
      </c>
      <c r="I9108" s="8">
        <v>3980</v>
      </c>
    </row>
    <row r="9109" spans="1:9" x14ac:dyDescent="0.2">
      <c r="A9109" t="s">
        <v>2044</v>
      </c>
      <c r="B9109" t="s">
        <v>2050</v>
      </c>
      <c r="C9109" t="str">
        <f>"58727510000000"</f>
        <v>58727510000000</v>
      </c>
      <c r="D9109" t="s">
        <v>9698</v>
      </c>
      <c r="E9109" t="str">
        <f>"58727516118806"</f>
        <v>58727516118806</v>
      </c>
      <c r="F9109" s="8">
        <v>558</v>
      </c>
      <c r="G9109" s="8">
        <v>9116</v>
      </c>
      <c r="H9109" s="8">
        <v>558</v>
      </c>
      <c r="I9109" s="8">
        <v>9116</v>
      </c>
    </row>
    <row r="9110" spans="1:9" x14ac:dyDescent="0.2">
      <c r="A9110" t="s">
        <v>2044</v>
      </c>
      <c r="B9110" t="s">
        <v>2050</v>
      </c>
      <c r="C9110" t="str">
        <f>"58727510000000"</f>
        <v>58727510000000</v>
      </c>
      <c r="D9110" t="s">
        <v>9699</v>
      </c>
      <c r="E9110" t="str">
        <f>"58727516056840"</f>
        <v>58727516056840</v>
      </c>
      <c r="F9110" s="8">
        <v>216</v>
      </c>
      <c r="G9110" s="8">
        <v>10169</v>
      </c>
      <c r="H9110" s="8">
        <v>852</v>
      </c>
      <c r="I9110" s="8">
        <v>4847</v>
      </c>
    </row>
    <row r="9111" spans="1:9" x14ac:dyDescent="0.2">
      <c r="A9111" t="s">
        <v>2044</v>
      </c>
      <c r="B9111" t="s">
        <v>2050</v>
      </c>
      <c r="C9111" t="str">
        <f>"58727510000000"</f>
        <v>58727510000000</v>
      </c>
      <c r="D9111" t="s">
        <v>9700</v>
      </c>
      <c r="E9111" t="str">
        <f>"58727516056816"</f>
        <v>58727516056816</v>
      </c>
      <c r="F9111" s="8">
        <v>177</v>
      </c>
      <c r="G9111" s="8">
        <v>9596</v>
      </c>
      <c r="H9111" s="8">
        <v>852</v>
      </c>
      <c r="I9111" s="8">
        <v>4847</v>
      </c>
    </row>
    <row r="9112" spans="1:9" x14ac:dyDescent="0.2">
      <c r="A9112" t="s">
        <v>2044</v>
      </c>
      <c r="B9112" t="s">
        <v>2050</v>
      </c>
      <c r="C9112" t="str">
        <f>"58727510000000"</f>
        <v>58727510000000</v>
      </c>
      <c r="D9112" t="s">
        <v>2506</v>
      </c>
      <c r="E9112" t="str">
        <f>"58727516056832"</f>
        <v>58727516056832</v>
      </c>
      <c r="F9112" s="8">
        <v>822</v>
      </c>
      <c r="G9112" s="8">
        <v>8399</v>
      </c>
      <c r="H9112" s="8">
        <v>852</v>
      </c>
      <c r="I9112" s="8">
        <v>4847</v>
      </c>
    </row>
    <row r="9113" spans="1:9" x14ac:dyDescent="0.2">
      <c r="A9113" t="s">
        <v>2044</v>
      </c>
      <c r="B9113" t="s">
        <v>2051</v>
      </c>
      <c r="C9113" t="str">
        <f>"58727690000000"</f>
        <v>58727690000000</v>
      </c>
      <c r="D9113" t="s">
        <v>9701</v>
      </c>
      <c r="E9113" t="str">
        <f>"58727690133751"</f>
        <v>58727690133751</v>
      </c>
      <c r="F9113" s="8">
        <v>792</v>
      </c>
      <c r="G9113" s="8">
        <v>7227</v>
      </c>
      <c r="H9113" s="8">
        <v>339</v>
      </c>
      <c r="I9113" s="8">
        <v>3097</v>
      </c>
    </row>
    <row r="9114" spans="1:9" x14ac:dyDescent="0.2">
      <c r="A9114" t="s">
        <v>2044</v>
      </c>
      <c r="B9114" t="s">
        <v>2051</v>
      </c>
      <c r="C9114" t="str">
        <f>"58727690000000"</f>
        <v>58727690000000</v>
      </c>
      <c r="D9114" t="s">
        <v>9702</v>
      </c>
      <c r="E9114" t="str">
        <f>"58727690123570"</f>
        <v>58727690123570</v>
      </c>
      <c r="F9114" s="8">
        <v>792</v>
      </c>
      <c r="G9114" s="8">
        <v>7227</v>
      </c>
      <c r="H9114" s="8">
        <v>339</v>
      </c>
      <c r="I9114" s="8">
        <v>3097</v>
      </c>
    </row>
    <row r="9115" spans="1:9" x14ac:dyDescent="0.2">
      <c r="A9115" t="s">
        <v>2044</v>
      </c>
      <c r="B9115" t="s">
        <v>2051</v>
      </c>
      <c r="C9115" t="str">
        <f>"58727690000000"</f>
        <v>58727690000000</v>
      </c>
      <c r="D9115" t="s">
        <v>2051</v>
      </c>
      <c r="E9115" t="str">
        <f>"58727695838305"</f>
        <v>58727695838305</v>
      </c>
      <c r="F9115" s="8">
        <v>792</v>
      </c>
      <c r="G9115" s="8">
        <v>7227</v>
      </c>
      <c r="H9115" s="8">
        <v>339</v>
      </c>
      <c r="I9115" s="8">
        <v>3097</v>
      </c>
    </row>
    <row r="9116" spans="1:9" x14ac:dyDescent="0.2">
      <c r="A9116" t="s">
        <v>2044</v>
      </c>
      <c r="B9116" t="s">
        <v>2052</v>
      </c>
      <c r="C9116" t="str">
        <f>"58105870000000"</f>
        <v>58105870000000</v>
      </c>
      <c r="D9116" t="s">
        <v>9703</v>
      </c>
      <c r="E9116" t="str">
        <f>"58105876069249"</f>
        <v>58105876069249</v>
      </c>
      <c r="F9116" s="8">
        <v>747</v>
      </c>
      <c r="G9116" s="8">
        <v>37897</v>
      </c>
      <c r="H9116" s="8">
        <v>1905</v>
      </c>
      <c r="I9116" s="8">
        <v>6603</v>
      </c>
    </row>
    <row r="9117" spans="1:9" x14ac:dyDescent="0.2">
      <c r="A9117" t="s">
        <v>2044</v>
      </c>
      <c r="B9117" t="s">
        <v>2052</v>
      </c>
      <c r="C9117" t="str">
        <f>"58105870000000"</f>
        <v>58105870000000</v>
      </c>
      <c r="D9117" t="s">
        <v>9704</v>
      </c>
      <c r="E9117" t="str">
        <f>"58105875830047"</f>
        <v>58105875830047</v>
      </c>
      <c r="F9117" s="8">
        <v>2729</v>
      </c>
      <c r="G9117" s="8">
        <v>34121</v>
      </c>
      <c r="H9117" s="8">
        <v>1905</v>
      </c>
      <c r="I9117" s="8">
        <v>6603</v>
      </c>
    </row>
    <row r="9118" spans="1:9" x14ac:dyDescent="0.2">
      <c r="A9118" t="s">
        <v>2044</v>
      </c>
      <c r="B9118" t="s">
        <v>2052</v>
      </c>
      <c r="C9118" t="str">
        <f>"58105870000000"</f>
        <v>58105870000000</v>
      </c>
      <c r="D9118" t="s">
        <v>9705</v>
      </c>
      <c r="E9118" t="str">
        <f>"58105870113274"</f>
        <v>58105870113274</v>
      </c>
      <c r="F9118" s="8">
        <v>1055</v>
      </c>
      <c r="G9118" s="8">
        <v>11663</v>
      </c>
      <c r="H9118" s="8">
        <v>1905</v>
      </c>
      <c r="I9118" s="8">
        <v>6603</v>
      </c>
    </row>
    <row r="9119" spans="1:9" x14ac:dyDescent="0.2">
      <c r="A9119" t="s">
        <v>2044</v>
      </c>
      <c r="B9119" t="s">
        <v>2052</v>
      </c>
      <c r="C9119" t="str">
        <f>"58105870000000"</f>
        <v>58105870000000</v>
      </c>
      <c r="D9119" t="s">
        <v>9706</v>
      </c>
      <c r="E9119" t="str">
        <f>"58105875830112"</f>
        <v>58105875830112</v>
      </c>
      <c r="F9119" s="8">
        <v>236</v>
      </c>
      <c r="G9119" s="8">
        <v>10848</v>
      </c>
      <c r="H9119" s="8">
        <v>1905</v>
      </c>
      <c r="I9119" s="8">
        <v>6603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 Level Data</vt:lpstr>
      <vt:lpstr>School Level Data</vt:lpstr>
    </vt:vector>
  </TitlesOfParts>
  <Company>California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2020-21 ESSA PPE Data - ESSA Per-Pupil Expenditure (PPE) Reporting (CA Dept of Education)</dc:title>
  <dc:subject>2020-21 data file that contains LEA-level ESSA PPE data for county offices of education, school districts, and direct funded charter schools.</dc:subject>
  <dc:creator>John Miles</dc:creator>
  <cp:lastModifiedBy>Taylor Uda</cp:lastModifiedBy>
  <dcterms:created xsi:type="dcterms:W3CDTF">2022-06-27T15:58:23Z</dcterms:created>
  <dcterms:modified xsi:type="dcterms:W3CDTF">2023-06-08T15:22:12Z</dcterms:modified>
</cp:coreProperties>
</file>